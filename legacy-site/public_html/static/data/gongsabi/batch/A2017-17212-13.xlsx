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공사비01\scan\공사비닷컴\공사비 닷컴 최종 수정본_20.12.04\2017년\"/>
    </mc:Choice>
  </mc:AlternateContent>
  <bookViews>
    <workbookView xWindow="0" yWindow="0" windowWidth="28545" windowHeight="11820" activeTab="1"/>
  </bookViews>
  <sheets>
    <sheet name="검색조건" sheetId="1" r:id="rId1"/>
    <sheet name="Pro #1" sheetId="2" r:id="rId2"/>
    <sheet name="Sheet2" sheetId="3" r:id="rId3"/>
    <sheet name="Sheet3" sheetId="4" r:id="rId4"/>
  </sheets>
  <calcPr calcId="152511"/>
</workbook>
</file>

<file path=xl/calcChain.xml><?xml version="1.0" encoding="utf-8"?>
<calcChain xmlns="http://schemas.openxmlformats.org/spreadsheetml/2006/main">
  <c r="D94" i="2" l="1"/>
  <c r="D161" i="2" l="1"/>
  <c r="E160" i="2"/>
  <c r="E159" i="2"/>
  <c r="E158" i="2"/>
  <c r="E157" i="2"/>
  <c r="E161" i="2" s="1"/>
  <c r="D153" i="2"/>
  <c r="E153" i="2" s="1"/>
  <c r="D152" i="2"/>
  <c r="E152" i="2" s="1"/>
  <c r="E151" i="2"/>
  <c r="D150" i="2"/>
  <c r="E150" i="2" s="1"/>
  <c r="D149" i="2"/>
  <c r="D154" i="2" s="1"/>
  <c r="E145" i="2"/>
  <c r="D144" i="2"/>
  <c r="E144" i="2" s="1"/>
  <c r="D143" i="2"/>
  <c r="E143" i="2" s="1"/>
  <c r="E142" i="2"/>
  <c r="D142" i="2"/>
  <c r="E141" i="2"/>
  <c r="D140" i="2"/>
  <c r="E140" i="2" s="1"/>
  <c r="D139" i="2"/>
  <c r="E139" i="2" s="1"/>
  <c r="E138" i="2"/>
  <c r="D137" i="2"/>
  <c r="E136" i="2"/>
  <c r="D132" i="2"/>
  <c r="E132" i="2" s="1"/>
  <c r="D131" i="2"/>
  <c r="E131" i="2" s="1"/>
  <c r="D130" i="2"/>
  <c r="E130" i="2" s="1"/>
  <c r="E129" i="2"/>
  <c r="E128" i="2"/>
  <c r="D128" i="2"/>
  <c r="E127" i="2"/>
  <c r="D126" i="2"/>
  <c r="E126" i="2" s="1"/>
  <c r="E125" i="2"/>
  <c r="D125" i="2"/>
  <c r="E124" i="2"/>
  <c r="D124" i="2"/>
  <c r="E123" i="2"/>
  <c r="D122" i="2"/>
  <c r="D133" i="2" s="1"/>
  <c r="D118" i="2"/>
  <c r="E118" i="2" s="1"/>
  <c r="D117" i="2"/>
  <c r="E117" i="2" s="1"/>
  <c r="E116" i="2"/>
  <c r="D116" i="2"/>
  <c r="E115" i="2"/>
  <c r="D114" i="2"/>
  <c r="E114" i="2" s="1"/>
  <c r="E113" i="2"/>
  <c r="E112" i="2"/>
  <c r="E111" i="2"/>
  <c r="E110" i="2"/>
  <c r="E109" i="2"/>
  <c r="E108" i="2"/>
  <c r="E107" i="2"/>
  <c r="E106" i="2"/>
  <c r="D105" i="2"/>
  <c r="E105" i="2" s="1"/>
  <c r="D104" i="2"/>
  <c r="E104" i="2" s="1"/>
  <c r="E103" i="2"/>
  <c r="D102" i="2"/>
  <c r="E102" i="2" s="1"/>
  <c r="E101" i="2"/>
  <c r="D100" i="2"/>
  <c r="E100" i="2" s="1"/>
  <c r="D99" i="2"/>
  <c r="E99" i="2" s="1"/>
  <c r="E98" i="2"/>
  <c r="D98" i="2"/>
  <c r="E94" i="2"/>
  <c r="D93" i="2"/>
  <c r="E93" i="2" s="1"/>
  <c r="D92" i="2"/>
  <c r="E92" i="2" s="1"/>
  <c r="E91" i="2"/>
  <c r="D91" i="2"/>
  <c r="E90" i="2"/>
  <c r="D89" i="2"/>
  <c r="E89" i="2" s="1"/>
  <c r="E88" i="2"/>
  <c r="E87" i="2"/>
  <c r="E86" i="2"/>
  <c r="E85" i="2"/>
  <c r="E84" i="2"/>
  <c r="E83" i="2"/>
  <c r="E82" i="2"/>
  <c r="E81" i="2"/>
  <c r="E80" i="2"/>
  <c r="E79" i="2"/>
  <c r="E78" i="2"/>
  <c r="E77" i="2"/>
  <c r="E76" i="2"/>
  <c r="E75" i="2"/>
  <c r="E74" i="2"/>
  <c r="D73" i="2"/>
  <c r="E73" i="2" s="1"/>
  <c r="D72" i="2"/>
  <c r="E72" i="2" s="1"/>
  <c r="D71" i="2"/>
  <c r="E71" i="2" s="1"/>
  <c r="D70" i="2"/>
  <c r="E70" i="2" s="1"/>
  <c r="D69" i="2"/>
  <c r="E65" i="2"/>
  <c r="D65" i="2"/>
  <c r="E64" i="2"/>
  <c r="D63" i="2"/>
  <c r="D66" i="2" s="1"/>
  <c r="D59" i="2"/>
  <c r="E59" i="2" s="1"/>
  <c r="D58" i="2"/>
  <c r="E58" i="2" s="1"/>
  <c r="E57" i="2"/>
  <c r="E56" i="2"/>
  <c r="E55" i="2"/>
  <c r="E54" i="2"/>
  <c r="D53" i="2"/>
  <c r="E53" i="2" s="1"/>
  <c r="E52" i="2"/>
  <c r="D52" i="2"/>
  <c r="E51" i="2"/>
  <c r="D50" i="2"/>
  <c r="E50" i="2" s="1"/>
  <c r="E49" i="2"/>
  <c r="D49" i="2"/>
  <c r="E48" i="2"/>
  <c r="D48" i="2"/>
  <c r="E47" i="2"/>
  <c r="D46" i="2"/>
  <c r="E46" i="2" s="1"/>
  <c r="D45" i="2"/>
  <c r="E45" i="2" s="1"/>
  <c r="D44" i="2"/>
  <c r="E44" i="2" s="1"/>
  <c r="D43" i="2"/>
  <c r="E43" i="2" s="1"/>
  <c r="E42" i="2"/>
  <c r="D42" i="2"/>
  <c r="E41" i="2"/>
  <c r="D41" i="2"/>
  <c r="D40" i="2"/>
  <c r="D60" i="2" s="1"/>
  <c r="E37" i="2"/>
  <c r="D32" i="2"/>
  <c r="E32" i="2" s="1"/>
  <c r="D31" i="2"/>
  <c r="E31" i="2" s="1"/>
  <c r="D29" i="2"/>
  <c r="E29" i="2" s="1"/>
  <c r="D26" i="2"/>
  <c r="E26" i="2" s="1"/>
  <c r="D25" i="2"/>
  <c r="E25" i="2" s="1"/>
  <c r="D24" i="2"/>
  <c r="D7" i="2"/>
  <c r="O31" i="1"/>
  <c r="M31" i="1"/>
  <c r="B7" i="1"/>
  <c r="B8" i="1" s="1"/>
  <c r="B9" i="1" s="1"/>
  <c r="B10" i="1" s="1"/>
  <c r="B11" i="1" s="1"/>
  <c r="B12" i="1" s="1"/>
  <c r="B13" i="1" s="1"/>
  <c r="B14" i="1" s="1"/>
  <c r="B15" i="1" s="1"/>
  <c r="B16" i="1" s="1"/>
  <c r="B17" i="1" s="1"/>
  <c r="B18" i="1" s="1"/>
  <c r="B19" i="1" s="1"/>
  <c r="B20" i="1" s="1"/>
  <c r="B21" i="1" s="1"/>
  <c r="A7" i="1"/>
  <c r="A8" i="1" s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B6" i="1"/>
  <c r="A6" i="1"/>
  <c r="E63" i="2" l="1"/>
  <c r="E66" i="2" s="1"/>
  <c r="E122" i="2"/>
  <c r="E133" i="2" s="1"/>
  <c r="D146" i="2"/>
  <c r="D30" i="2" s="1"/>
  <c r="E30" i="2" s="1"/>
  <c r="E149" i="2"/>
  <c r="E24" i="2"/>
  <c r="E40" i="2"/>
  <c r="D95" i="2"/>
  <c r="D27" i="2" s="1"/>
  <c r="E27" i="2" s="1"/>
  <c r="E69" i="2"/>
  <c r="D119" i="2"/>
  <c r="D28" i="2" s="1"/>
  <c r="E28" i="2" s="1"/>
  <c r="E119" i="2"/>
  <c r="E137" i="2"/>
  <c r="E146" i="2"/>
  <c r="E154" i="2"/>
  <c r="E60" i="2" l="1"/>
  <c r="E95" i="2"/>
  <c r="D33" i="2"/>
  <c r="E33" i="2" s="1"/>
  <c r="E34" i="2" l="1"/>
  <c r="D34" i="2"/>
</calcChain>
</file>

<file path=xl/sharedStrings.xml><?xml version="1.0" encoding="utf-8"?>
<sst xmlns="http://schemas.openxmlformats.org/spreadsheetml/2006/main" count="394" uniqueCount="221">
  <si>
    <t>옥외전력간선및 보안등공사</t>
  </si>
  <si>
    <t>변전실무근및기타건축공사</t>
  </si>
  <si>
    <t>~ 150,000 초과</t>
  </si>
  <si>
    <t>~ 100,000 미만</t>
  </si>
  <si>
    <t xml:space="preserve">냉난방(환기) </t>
  </si>
  <si>
    <t>케이블트레이및덕트</t>
  </si>
  <si>
    <t>1999년 이전</t>
  </si>
  <si>
    <t>10000~20000</t>
  </si>
  <si>
    <t>20000~30000</t>
  </si>
  <si>
    <t>50000 평 초과</t>
  </si>
  <si>
    <t>~ 20,000 미만</t>
  </si>
  <si>
    <t>~ 60,000 미만</t>
  </si>
  <si>
    <t>수,변전설비공사</t>
  </si>
  <si>
    <t>냉난방기설치공사</t>
  </si>
  <si>
    <t>동파방지열선공사</t>
  </si>
  <si>
    <t>통신 TRAY 공사</t>
  </si>
  <si>
    <t>보일러연도설치공사</t>
  </si>
  <si>
    <t>오토리프트전기공사</t>
  </si>
  <si>
    <t>급,배기덕트설치공사</t>
  </si>
  <si>
    <t>G.H.P 설치공사</t>
  </si>
  <si>
    <t>엘리베이터 설치공사</t>
  </si>
  <si>
    <t>제경비(VAT 별도)</t>
  </si>
  <si>
    <t>300~1000</t>
  </si>
  <si>
    <t>~ 5,000 미만</t>
  </si>
  <si>
    <t>3000~5000</t>
  </si>
  <si>
    <t>5000~10000</t>
  </si>
  <si>
    <t>~ 40,000 미만</t>
  </si>
  <si>
    <t>30000~40000</t>
  </si>
  <si>
    <t>40000~50000</t>
  </si>
  <si>
    <t>엘레베이터설치공사</t>
  </si>
  <si>
    <t>1000~3000</t>
  </si>
  <si>
    <t>~ 10,000 미만</t>
  </si>
  <si>
    <t>옥외소화배관공사,펌프실배관공사,기타공사</t>
  </si>
  <si>
    <t>상수도공사,사급자재비,운반비,기타공사</t>
  </si>
  <si>
    <t>평</t>
  </si>
  <si>
    <t>면적(평)</t>
  </si>
  <si>
    <t>건물종류</t>
  </si>
  <si>
    <t>착공년도</t>
  </si>
  <si>
    <t>공통가설</t>
  </si>
  <si>
    <t>옥외통신</t>
  </si>
  <si>
    <t>흙막이가시설</t>
  </si>
  <si>
    <t>장비설치</t>
  </si>
  <si>
    <t>전열설비</t>
  </si>
  <si>
    <t>가스배관</t>
  </si>
  <si>
    <t>철근콘크리트</t>
  </si>
  <si>
    <t>옥외배관</t>
  </si>
  <si>
    <t>기계실 배관</t>
  </si>
  <si>
    <t>닥트설치</t>
  </si>
  <si>
    <t>오배수배관</t>
  </si>
  <si>
    <t>급수급탕배관</t>
  </si>
  <si>
    <t>동력설비</t>
  </si>
  <si>
    <t>연도설치</t>
  </si>
  <si>
    <t>위생기구설치</t>
  </si>
  <si>
    <t>전력간선</t>
  </si>
  <si>
    <t>전등설비</t>
  </si>
  <si>
    <t>우,오수</t>
  </si>
  <si>
    <t>조명및전력제어</t>
  </si>
  <si>
    <t>통합배선</t>
  </si>
  <si>
    <t>옥내소화배관</t>
  </si>
  <si>
    <t>출입통제</t>
  </si>
  <si>
    <t>소화장비</t>
  </si>
  <si>
    <t>접지및피뢰</t>
  </si>
  <si>
    <t>자동제어공사</t>
  </si>
  <si>
    <t>단독주택</t>
  </si>
  <si>
    <t>스프링쿨러</t>
  </si>
  <si>
    <t>자동화재탐지</t>
  </si>
  <si>
    <t>소화가스</t>
  </si>
  <si>
    <t>소화내진</t>
  </si>
  <si>
    <t>착공연도</t>
  </si>
  <si>
    <t>보안등설비공사</t>
  </si>
  <si>
    <t>인입공사</t>
  </si>
  <si>
    <t>문화및집회</t>
  </si>
  <si>
    <t>~300 미만</t>
  </si>
  <si>
    <t>교육연구</t>
  </si>
  <si>
    <t>공조닥트공사</t>
  </si>
  <si>
    <t>비상등설비공사</t>
  </si>
  <si>
    <t>등  급</t>
  </si>
  <si>
    <t>T.A.B</t>
  </si>
  <si>
    <t>기계소방</t>
  </si>
  <si>
    <t>환기공사</t>
  </si>
  <si>
    <t>동력공사</t>
  </si>
  <si>
    <t>냉난방설비공사</t>
  </si>
  <si>
    <t>난방설비공사</t>
  </si>
  <si>
    <t>면적(M2)</t>
  </si>
  <si>
    <t>EHP공사</t>
  </si>
  <si>
    <t>원 /평</t>
  </si>
  <si>
    <t>A/V설비공사</t>
  </si>
  <si>
    <t>배기닥트공사</t>
  </si>
  <si>
    <t>변전실설비공사</t>
  </si>
  <si>
    <t>주상복합</t>
  </si>
  <si>
    <t>지열공사</t>
  </si>
  <si>
    <t>방진,방음공사</t>
  </si>
  <si>
    <t>인테리어</t>
  </si>
  <si>
    <t>지붕및홈통</t>
  </si>
  <si>
    <t>기계공종</t>
  </si>
  <si>
    <t>조경공종</t>
  </si>
  <si>
    <t>소방공종</t>
  </si>
  <si>
    <t>통신공종</t>
  </si>
  <si>
    <t>부대공종</t>
  </si>
  <si>
    <t>토목공종</t>
  </si>
  <si>
    <t>전기공종</t>
  </si>
  <si>
    <t>원/ m2</t>
  </si>
  <si>
    <t>2019년</t>
  </si>
  <si>
    <t>2001년</t>
  </si>
  <si>
    <t>오피스텔</t>
  </si>
  <si>
    <t>2016년</t>
  </si>
  <si>
    <t>2000년</t>
  </si>
  <si>
    <t>2020년</t>
  </si>
  <si>
    <t>2011년</t>
  </si>
  <si>
    <t>2006년</t>
  </si>
  <si>
    <t>2018년</t>
  </si>
  <si>
    <t>가스설비</t>
  </si>
  <si>
    <t>2015년</t>
  </si>
  <si>
    <t>2004년</t>
  </si>
  <si>
    <t>2017년</t>
  </si>
  <si>
    <t>2013년</t>
  </si>
  <si>
    <t>2012년</t>
  </si>
  <si>
    <t>2008년</t>
  </si>
  <si>
    <t>2009년</t>
  </si>
  <si>
    <t>2010년</t>
  </si>
  <si>
    <t>2002년</t>
  </si>
  <si>
    <t>2007년</t>
  </si>
  <si>
    <t>관급자재</t>
  </si>
  <si>
    <t>2014년</t>
  </si>
  <si>
    <t>2005년</t>
  </si>
  <si>
    <t>2003년</t>
  </si>
  <si>
    <t>일반</t>
  </si>
  <si>
    <t>경기도</t>
  </si>
  <si>
    <t>지 역</t>
  </si>
  <si>
    <t>종교</t>
  </si>
  <si>
    <t>구분</t>
  </si>
  <si>
    <t>실행</t>
  </si>
  <si>
    <t>도급</t>
  </si>
  <si>
    <t>대구시</t>
  </si>
  <si>
    <t>등급</t>
  </si>
  <si>
    <t>판매</t>
  </si>
  <si>
    <t>업무</t>
  </si>
  <si>
    <t>공 정</t>
  </si>
  <si>
    <t>충청도</t>
  </si>
  <si>
    <t>서울</t>
  </si>
  <si>
    <t>항 목</t>
  </si>
  <si>
    <t>NO</t>
  </si>
  <si>
    <t>연면적</t>
  </si>
  <si>
    <t>아파트</t>
  </si>
  <si>
    <t>토목</t>
  </si>
  <si>
    <t>가구</t>
  </si>
  <si>
    <t>가전</t>
  </si>
  <si>
    <t>전라도</t>
  </si>
  <si>
    <t>m2</t>
  </si>
  <si>
    <t>경상도</t>
  </si>
  <si>
    <t>창호</t>
  </si>
  <si>
    <t>방송</t>
  </si>
  <si>
    <t>인천시</t>
  </si>
  <si>
    <t>계</t>
  </si>
  <si>
    <t>구 분</t>
  </si>
  <si>
    <t>전기</t>
  </si>
  <si>
    <t>중급</t>
  </si>
  <si>
    <t>식재</t>
  </si>
  <si>
    <t>대전시</t>
  </si>
  <si>
    <t>강원도</t>
  </si>
  <si>
    <t>운동</t>
  </si>
  <si>
    <t>공사명</t>
  </si>
  <si>
    <t>숙박</t>
  </si>
  <si>
    <t>세종시</t>
  </si>
  <si>
    <t>부산시</t>
  </si>
  <si>
    <t>제주도</t>
  </si>
  <si>
    <t>목</t>
  </si>
  <si>
    <t>고급</t>
  </si>
  <si>
    <t>광주시</t>
  </si>
  <si>
    <t>기타</t>
  </si>
  <si>
    <t>울산시</t>
  </si>
  <si>
    <t>근생</t>
  </si>
  <si>
    <t>수장</t>
  </si>
  <si>
    <t>의료</t>
  </si>
  <si>
    <t>통신</t>
  </si>
  <si>
    <t>파일</t>
  </si>
  <si>
    <t>구조물</t>
  </si>
  <si>
    <t>토공사</t>
  </si>
  <si>
    <t>금속</t>
  </si>
  <si>
    <t>빌라</t>
  </si>
  <si>
    <t>유도등</t>
  </si>
  <si>
    <t>포장</t>
  </si>
  <si>
    <t>공장</t>
  </si>
  <si>
    <t>미장</t>
  </si>
  <si>
    <t>시설물</t>
  </si>
  <si>
    <t>잡</t>
  </si>
  <si>
    <t>유리</t>
  </si>
  <si>
    <t>창고</t>
  </si>
  <si>
    <t>공정</t>
  </si>
  <si>
    <t>석</t>
  </si>
  <si>
    <t>가설</t>
  </si>
  <si>
    <t>도장</t>
  </si>
  <si>
    <t>TV</t>
  </si>
  <si>
    <t>부대</t>
  </si>
  <si>
    <t>소방</t>
  </si>
  <si>
    <t>철골</t>
  </si>
  <si>
    <t>조적</t>
  </si>
  <si>
    <t>기계</t>
  </si>
  <si>
    <t>타일</t>
  </si>
  <si>
    <t>조경</t>
  </si>
  <si>
    <t>설계가</t>
  </si>
  <si>
    <t>건축</t>
  </si>
  <si>
    <t>지역</t>
  </si>
  <si>
    <t>방수</t>
  </si>
  <si>
    <t>공 종</t>
  </si>
  <si>
    <t>구내통신설비공사(전화,TV,LAN)</t>
  </si>
  <si>
    <t xml:space="preserve">목공사및수장공사(인테리어공사 포함)	</t>
  </si>
  <si>
    <t>기초공사,골재비및운반비,작업부산물,기타공사</t>
  </si>
  <si>
    <t>CCTV설비공사,기타공사</t>
  </si>
  <si>
    <t>전기인입 및 수변전 설비공사</t>
  </si>
  <si>
    <t>포항격납고 신축 공사</t>
  </si>
  <si>
    <t>지붕및홈통공사 포함</t>
  </si>
  <si>
    <t>창호및유리공사</t>
  </si>
  <si>
    <t>바닥난방공사</t>
  </si>
  <si>
    <t>기타공사</t>
  </si>
  <si>
    <t>CATV 및 TV 설비공사</t>
  </si>
  <si>
    <t>우수공사,오수공사</t>
  </si>
  <si>
    <t>옥외보안등설비공사</t>
  </si>
  <si>
    <t>1000 M2 미만</t>
    <phoneticPr fontId="4" type="noConversion"/>
  </si>
  <si>
    <t>구  조</t>
    <phoneticPr fontId="5" type="noConversion"/>
  </si>
  <si>
    <t>외  장</t>
    <phoneticPr fontId="5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</si>
</sst>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1" formatCode="_-* #,##0_-;\-* #,##0_-;_-* &quot;-&quot;_-;_-@_-"/>
    <numFmt numFmtId="176" formatCode="0_);[Red]\(0\)"/>
    <numFmt numFmtId="177" formatCode="0_ "/>
    <numFmt numFmtId="178" formatCode="_-* #,##0.0_-;\-* #,##0.0_-;_-* &quot;-&quot;_-;_-@_-"/>
  </numFmts>
  <fonts count="6" x14ac:knownFonts="1">
    <font>
      <sz val="11"/>
      <color rgb="FF000000"/>
      <name val="맑은 고딕"/>
    </font>
    <font>
      <b/>
      <sz val="11"/>
      <color rgb="FF000000"/>
      <name val="맑은 고딕"/>
      <family val="3"/>
      <charset val="129"/>
    </font>
    <font>
      <sz val="12"/>
      <color rgb="FF000000"/>
      <name val="맑은 고딕"/>
      <family val="3"/>
      <charset val="129"/>
    </font>
    <font>
      <sz val="11"/>
      <color rgb="FF000000"/>
      <name val="맑은 고딕"/>
      <family val="3"/>
      <charset val="129"/>
    </font>
    <font>
      <sz val="8"/>
      <name val="돋움"/>
      <family val="3"/>
      <charset val="129"/>
    </font>
    <font>
      <sz val="8"/>
      <name val="맑은 고딕"/>
      <family val="2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DEADB"/>
        <bgColor indexed="64"/>
      </patternFill>
    </fill>
  </fills>
  <borders count="3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</borders>
  <cellStyleXfs count="2">
    <xf numFmtId="0" fontId="0" fillId="0" borderId="0">
      <alignment vertical="center"/>
    </xf>
    <xf numFmtId="41" fontId="3" fillId="0" borderId="0">
      <alignment vertical="center"/>
    </xf>
  </cellStyleXfs>
  <cellXfs count="81">
    <xf numFmtId="0" fontId="0" fillId="0" borderId="0" xfId="0" applyNumberFormat="1">
      <alignment vertical="center"/>
    </xf>
    <xf numFmtId="49" fontId="0" fillId="0" borderId="1" xfId="0" applyNumberFormat="1" applyFill="1" applyBorder="1">
      <alignment vertical="center"/>
    </xf>
    <xf numFmtId="0" fontId="0" fillId="0" borderId="0" xfId="0" applyNumberFormat="1" applyFill="1">
      <alignment vertical="center"/>
    </xf>
    <xf numFmtId="176" fontId="0" fillId="0" borderId="0" xfId="0" applyNumberFormat="1" applyFill="1">
      <alignment vertical="center"/>
    </xf>
    <xf numFmtId="0" fontId="0" fillId="0" borderId="2" xfId="0" applyNumberFormat="1" applyFill="1" applyBorder="1">
      <alignment vertical="center"/>
    </xf>
    <xf numFmtId="0" fontId="0" fillId="0" borderId="3" xfId="0" applyNumberFormat="1" applyFill="1" applyBorder="1">
      <alignment vertical="center"/>
    </xf>
    <xf numFmtId="176" fontId="0" fillId="0" borderId="4" xfId="0" applyNumberFormat="1" applyFill="1" applyBorder="1">
      <alignment vertical="center"/>
    </xf>
    <xf numFmtId="49" fontId="0" fillId="0" borderId="5" xfId="0" applyNumberFormat="1" applyFill="1" applyBorder="1">
      <alignment vertical="center"/>
    </xf>
    <xf numFmtId="176" fontId="0" fillId="0" borderId="5" xfId="0" applyNumberFormat="1" applyFill="1" applyBorder="1">
      <alignment vertical="center"/>
    </xf>
    <xf numFmtId="0" fontId="0" fillId="0" borderId="4" xfId="0" applyNumberFormat="1" applyFill="1" applyBorder="1">
      <alignment vertical="center"/>
    </xf>
    <xf numFmtId="0" fontId="0" fillId="0" borderId="5" xfId="0" applyNumberFormat="1" applyFill="1" applyBorder="1">
      <alignment vertical="center"/>
    </xf>
    <xf numFmtId="0" fontId="0" fillId="0" borderId="1" xfId="0" applyNumberFormat="1" applyFill="1" applyBorder="1">
      <alignment vertical="center"/>
    </xf>
    <xf numFmtId="0" fontId="0" fillId="0" borderId="6" xfId="0" applyNumberFormat="1" applyFill="1" applyBorder="1">
      <alignment vertical="center"/>
    </xf>
    <xf numFmtId="0" fontId="0" fillId="0" borderId="7" xfId="0" applyNumberFormat="1" applyFill="1" applyBorder="1">
      <alignment vertical="center"/>
    </xf>
    <xf numFmtId="0" fontId="0" fillId="0" borderId="8" xfId="0" applyNumberFormat="1" applyFill="1" applyBorder="1">
      <alignment vertical="center"/>
    </xf>
    <xf numFmtId="0" fontId="0" fillId="0" borderId="9" xfId="0" applyNumberFormat="1" applyFill="1" applyBorder="1">
      <alignment vertical="center"/>
    </xf>
    <xf numFmtId="0" fontId="0" fillId="0" borderId="10" xfId="0" applyNumberFormat="1" applyFill="1" applyBorder="1">
      <alignment vertical="center"/>
    </xf>
    <xf numFmtId="49" fontId="0" fillId="0" borderId="3" xfId="0" applyNumberFormat="1" applyFill="1" applyBorder="1">
      <alignment vertical="center"/>
    </xf>
    <xf numFmtId="0" fontId="0" fillId="0" borderId="0" xfId="0" applyNumberFormat="1" applyFill="1" applyAlignment="1">
      <alignment horizontal="right" vertical="center"/>
    </xf>
    <xf numFmtId="0" fontId="0" fillId="0" borderId="3" xfId="0" applyNumberFormat="1" applyFill="1" applyBorder="1" applyAlignment="1">
      <alignment horizontal="right" vertical="center"/>
    </xf>
    <xf numFmtId="49" fontId="0" fillId="0" borderId="1" xfId="0" applyNumberFormat="1" applyFill="1" applyBorder="1" applyAlignment="1">
      <alignment horizontal="right" vertical="center"/>
    </xf>
    <xf numFmtId="49" fontId="0" fillId="0" borderId="8" xfId="0" applyNumberFormat="1" applyFill="1" applyBorder="1" applyAlignment="1">
      <alignment horizontal="right" vertical="center"/>
    </xf>
    <xf numFmtId="41" fontId="0" fillId="0" borderId="3" xfId="1" applyNumberFormat="1" applyFont="1" applyFill="1" applyBorder="1">
      <alignment vertical="center"/>
    </xf>
    <xf numFmtId="177" fontId="0" fillId="0" borderId="3" xfId="0" applyNumberFormat="1" applyFill="1" applyBorder="1">
      <alignment vertical="center"/>
    </xf>
    <xf numFmtId="176" fontId="0" fillId="0" borderId="1" xfId="0" applyNumberFormat="1" applyFill="1" applyBorder="1">
      <alignment vertical="center"/>
    </xf>
    <xf numFmtId="176" fontId="0" fillId="0" borderId="3" xfId="0" applyNumberFormat="1" applyFill="1" applyBorder="1">
      <alignment vertical="center"/>
    </xf>
    <xf numFmtId="176" fontId="0" fillId="0" borderId="8" xfId="0" applyNumberFormat="1" applyFill="1" applyBorder="1">
      <alignment vertical="center"/>
    </xf>
    <xf numFmtId="41" fontId="0" fillId="0" borderId="1" xfId="1" applyNumberFormat="1" applyFont="1" applyFill="1" applyBorder="1">
      <alignment vertical="center"/>
    </xf>
    <xf numFmtId="0" fontId="0" fillId="2" borderId="3" xfId="0" applyNumberFormat="1" applyFill="1" applyBorder="1">
      <alignment vertical="center"/>
    </xf>
    <xf numFmtId="49" fontId="0" fillId="2" borderId="1" xfId="0" applyNumberFormat="1" applyFill="1" applyBorder="1">
      <alignment vertical="center"/>
    </xf>
    <xf numFmtId="176" fontId="0" fillId="2" borderId="5" xfId="0" applyNumberFormat="1" applyFill="1" applyBorder="1">
      <alignment vertical="center"/>
    </xf>
    <xf numFmtId="0" fontId="0" fillId="2" borderId="5" xfId="0" applyNumberFormat="1" applyFill="1" applyBorder="1">
      <alignment vertical="center"/>
    </xf>
    <xf numFmtId="0" fontId="0" fillId="2" borderId="1" xfId="0" applyNumberFormat="1" applyFill="1" applyBorder="1">
      <alignment vertical="center"/>
    </xf>
    <xf numFmtId="0" fontId="0" fillId="2" borderId="9" xfId="0" applyNumberFormat="1" applyFill="1" applyBorder="1">
      <alignment vertical="center"/>
    </xf>
    <xf numFmtId="0" fontId="0" fillId="2" borderId="8" xfId="0" applyNumberFormat="1" applyFill="1" applyBorder="1">
      <alignment vertical="center"/>
    </xf>
    <xf numFmtId="41" fontId="0" fillId="0" borderId="0" xfId="1" applyNumberFormat="1" applyFont="1" applyFill="1">
      <alignment vertical="center"/>
    </xf>
    <xf numFmtId="41" fontId="0" fillId="0" borderId="11" xfId="1" applyNumberFormat="1" applyFont="1" applyFill="1" applyBorder="1">
      <alignment vertical="center"/>
    </xf>
    <xf numFmtId="4" fontId="0" fillId="0" borderId="11" xfId="0" applyNumberFormat="1" applyFill="1" applyBorder="1">
      <alignment vertical="center"/>
    </xf>
    <xf numFmtId="49" fontId="0" fillId="2" borderId="5" xfId="0" applyNumberFormat="1" applyFill="1" applyBorder="1">
      <alignment vertical="center"/>
    </xf>
    <xf numFmtId="3" fontId="0" fillId="0" borderId="12" xfId="0" applyNumberFormat="1" applyFill="1" applyBorder="1">
      <alignment vertical="center"/>
    </xf>
    <xf numFmtId="3" fontId="0" fillId="0" borderId="13" xfId="0" applyNumberFormat="1" applyFill="1" applyBorder="1">
      <alignment vertical="center"/>
    </xf>
    <xf numFmtId="3" fontId="0" fillId="0" borderId="14" xfId="0" applyNumberFormat="1" applyFill="1" applyBorder="1">
      <alignment vertical="center"/>
    </xf>
    <xf numFmtId="3" fontId="0" fillId="0" borderId="2" xfId="0" applyNumberFormat="1" applyFill="1" applyBorder="1">
      <alignment vertical="center"/>
    </xf>
    <xf numFmtId="3" fontId="0" fillId="0" borderId="6" xfId="0" applyNumberFormat="1" applyFill="1" applyBorder="1">
      <alignment vertical="center"/>
    </xf>
    <xf numFmtId="3" fontId="0" fillId="0" borderId="0" xfId="0" applyNumberFormat="1" applyFill="1">
      <alignment vertical="center"/>
    </xf>
    <xf numFmtId="3" fontId="0" fillId="0" borderId="15" xfId="0" applyNumberFormat="1" applyFill="1" applyBorder="1">
      <alignment vertical="center"/>
    </xf>
    <xf numFmtId="49" fontId="1" fillId="2" borderId="15" xfId="0" applyNumberFormat="1" applyFont="1" applyFill="1" applyBorder="1" applyAlignment="1">
      <alignment horizontal="center" vertical="center"/>
    </xf>
    <xf numFmtId="49" fontId="1" fillId="2" borderId="16" xfId="0" applyNumberFormat="1" applyFont="1" applyFill="1" applyBorder="1" applyAlignment="1">
      <alignment horizontal="center" vertical="center"/>
    </xf>
    <xf numFmtId="49" fontId="1" fillId="2" borderId="17" xfId="0" applyNumberFormat="1" applyFont="1" applyFill="1" applyBorder="1" applyAlignment="1">
      <alignment horizontal="center" vertical="center"/>
    </xf>
    <xf numFmtId="49" fontId="1" fillId="2" borderId="18" xfId="0" applyNumberFormat="1" applyFont="1" applyFill="1" applyBorder="1" applyAlignment="1">
      <alignment horizontal="center" vertical="center"/>
    </xf>
    <xf numFmtId="176" fontId="0" fillId="2" borderId="19" xfId="0" applyNumberFormat="1" applyFill="1" applyBorder="1">
      <alignment vertical="center"/>
    </xf>
    <xf numFmtId="0" fontId="0" fillId="2" borderId="19" xfId="0" applyNumberFormat="1" applyFill="1" applyBorder="1">
      <alignment vertical="center"/>
    </xf>
    <xf numFmtId="3" fontId="0" fillId="0" borderId="20" xfId="0" applyNumberFormat="1" applyFill="1" applyBorder="1">
      <alignment vertical="center"/>
    </xf>
    <xf numFmtId="3" fontId="0" fillId="0" borderId="17" xfId="0" applyNumberFormat="1" applyFill="1" applyBorder="1">
      <alignment vertical="center"/>
    </xf>
    <xf numFmtId="0" fontId="2" fillId="0" borderId="21" xfId="0" applyNumberFormat="1" applyFont="1" applyFill="1" applyBorder="1">
      <alignment vertical="center"/>
    </xf>
    <xf numFmtId="178" fontId="0" fillId="3" borderId="0" xfId="1" applyNumberFormat="1" applyFont="1" applyFill="1" applyAlignment="1">
      <alignment vertical="center" shrinkToFit="1"/>
    </xf>
    <xf numFmtId="0" fontId="0" fillId="3" borderId="0" xfId="0" applyNumberFormat="1" applyFill="1">
      <alignment vertical="center"/>
    </xf>
    <xf numFmtId="41" fontId="0" fillId="3" borderId="0" xfId="1" applyNumberFormat="1" applyFont="1" applyFill="1">
      <alignment vertical="center"/>
    </xf>
    <xf numFmtId="3" fontId="0" fillId="0" borderId="22" xfId="0" applyNumberFormat="1" applyFill="1" applyBorder="1">
      <alignment vertical="center"/>
    </xf>
    <xf numFmtId="3" fontId="0" fillId="0" borderId="16" xfId="0" applyNumberFormat="1" applyFill="1" applyBorder="1">
      <alignment vertical="center"/>
    </xf>
    <xf numFmtId="3" fontId="0" fillId="0" borderId="18" xfId="0" applyNumberFormat="1" applyFill="1" applyBorder="1">
      <alignment vertical="center"/>
    </xf>
    <xf numFmtId="3" fontId="0" fillId="0" borderId="23" xfId="0" applyNumberFormat="1" applyFill="1" applyBorder="1">
      <alignment vertical="center"/>
    </xf>
    <xf numFmtId="3" fontId="0" fillId="0" borderId="24" xfId="0" applyNumberFormat="1" applyFill="1" applyBorder="1">
      <alignment vertical="center"/>
    </xf>
    <xf numFmtId="3" fontId="0" fillId="0" borderId="4" xfId="0" applyNumberFormat="1" applyFill="1" applyBorder="1">
      <alignment vertical="center"/>
    </xf>
    <xf numFmtId="3" fontId="0" fillId="0" borderId="10" xfId="0" applyNumberFormat="1" applyFill="1" applyBorder="1">
      <alignment vertical="center"/>
    </xf>
    <xf numFmtId="0" fontId="0" fillId="0" borderId="12" xfId="0" applyNumberFormat="1" applyFill="1" applyBorder="1">
      <alignment vertical="center"/>
    </xf>
    <xf numFmtId="49" fontId="3" fillId="0" borderId="3" xfId="0" applyNumberFormat="1" applyFont="1" applyFill="1" applyBorder="1">
      <alignment vertical="center"/>
    </xf>
    <xf numFmtId="49" fontId="1" fillId="2" borderId="25" xfId="0" applyNumberFormat="1" applyFont="1" applyFill="1" applyBorder="1" applyAlignment="1">
      <alignment horizontal="center" vertical="center"/>
    </xf>
    <xf numFmtId="49" fontId="1" fillId="2" borderId="26" xfId="0" applyNumberFormat="1" applyFont="1" applyFill="1" applyBorder="1" applyAlignment="1">
      <alignment horizontal="center" vertical="center"/>
    </xf>
    <xf numFmtId="49" fontId="1" fillId="2" borderId="27" xfId="0" applyNumberFormat="1" applyFont="1" applyFill="1" applyBorder="1" applyAlignment="1">
      <alignment horizontal="center" vertical="center"/>
    </xf>
    <xf numFmtId="0" fontId="0" fillId="0" borderId="28" xfId="0" applyNumberFormat="1" applyFill="1" applyBorder="1" applyAlignment="1">
      <alignment horizontal="center" vertical="center"/>
    </xf>
    <xf numFmtId="0" fontId="0" fillId="0" borderId="29" xfId="0" applyNumberFormat="1" applyFill="1" applyBorder="1" applyAlignment="1">
      <alignment horizontal="center" vertical="center"/>
    </xf>
    <xf numFmtId="0" fontId="0" fillId="0" borderId="30" xfId="0" applyNumberFormat="1" applyFill="1" applyBorder="1" applyAlignment="1">
      <alignment horizontal="center" vertical="center"/>
    </xf>
    <xf numFmtId="49" fontId="1" fillId="0" borderId="31" xfId="0" applyNumberFormat="1" applyFont="1" applyFill="1" applyBorder="1" applyAlignment="1">
      <alignment horizontal="center" vertical="center"/>
    </xf>
    <xf numFmtId="49" fontId="1" fillId="0" borderId="32" xfId="0" applyNumberFormat="1" applyFont="1" applyFill="1" applyBorder="1" applyAlignment="1">
      <alignment horizontal="center" vertical="center"/>
    </xf>
    <xf numFmtId="49" fontId="1" fillId="0" borderId="15" xfId="0" applyNumberFormat="1" applyFont="1" applyFill="1" applyBorder="1" applyAlignment="1">
      <alignment horizontal="center" vertical="center"/>
    </xf>
    <xf numFmtId="49" fontId="1" fillId="0" borderId="16" xfId="0" applyNumberFormat="1" applyFont="1" applyFill="1" applyBorder="1" applyAlignment="1">
      <alignment horizontal="center" vertical="center"/>
    </xf>
    <xf numFmtId="49" fontId="1" fillId="0" borderId="17" xfId="0" applyNumberFormat="1" applyFont="1" applyFill="1" applyBorder="1" applyAlignment="1">
      <alignment horizontal="center" vertical="center"/>
    </xf>
    <xf numFmtId="49" fontId="1" fillId="0" borderId="18" xfId="0" applyNumberFormat="1" applyFont="1" applyFill="1" applyBorder="1" applyAlignment="1">
      <alignment horizontal="center" vertical="center"/>
    </xf>
    <xf numFmtId="0" fontId="0" fillId="0" borderId="0" xfId="0" applyFill="1">
      <alignment vertical="center"/>
    </xf>
    <xf numFmtId="41" fontId="0" fillId="0" borderId="0" xfId="1" applyFont="1" applyFill="1">
      <alignment vertical="center"/>
    </xf>
  </cellXfs>
  <cellStyles count="2">
    <cellStyle name="쉼표 [0]" xfId="1" builtinId="6"/>
    <cellStyle name="표준" xfId="0" builtinId="0"/>
  </cellStyles>
  <dxfs count="14">
    <dxf>
      <fill>
        <patternFill patternType="solid">
          <fgColor rgb="FF6182D6"/>
          <bgColor rgb="FF6182D6"/>
        </patternFill>
      </fill>
    </dxf>
    <dxf>
      <fill>
        <patternFill patternType="solid">
          <fgColor rgb="FF94A5DF"/>
          <bgColor rgb="FF94A5DF"/>
        </patternFill>
      </fill>
      <border>
        <top style="thin">
          <color rgb="FF6182D6"/>
        </top>
        <bottom style="thin">
          <color rgb="FF6182D6"/>
        </bottom>
      </border>
    </dxf>
    <dxf>
      <font>
        <b/>
      </font>
    </dxf>
    <dxf>
      <font>
        <b/>
      </font>
    </dxf>
    <dxf>
      <font>
        <b/>
      </font>
      <border>
        <top style="thin">
          <color rgb="FF6182D6"/>
        </top>
      </border>
    </dxf>
    <dxf>
      <font>
        <b/>
      </font>
      <border>
        <bottom style="medium">
          <color rgb="FF6182D6"/>
        </bottom>
      </border>
    </dxf>
    <dxf>
      <font>
        <color rgb="FF000000"/>
      </font>
      <border>
        <left/>
        <right/>
        <top style="medium">
          <color rgb="FF6182D6"/>
        </top>
        <bottom style="medium">
          <color rgb="FF6182D6"/>
        </bottom>
        <vertical/>
        <horizontal/>
      </border>
    </dxf>
    <dxf>
      <fill>
        <patternFill patternType="solid">
          <fgColor rgb="FFAEBFEA"/>
          <bgColor rgb="FFAEBFEA"/>
        </patternFill>
      </fill>
    </dxf>
    <dxf>
      <fill>
        <patternFill patternType="solid">
          <fgColor rgb="FFAEBFEA"/>
          <bgColor rgb="FFAEBFEA"/>
        </patternFill>
      </fill>
    </dxf>
    <dxf>
      <font>
        <b/>
        <color rgb="FFFFFFFF"/>
      </font>
      <fill>
        <patternFill patternType="solid">
          <fgColor rgb="FF6182D6"/>
          <bgColor rgb="FF6182D6"/>
        </patternFill>
      </fill>
    </dxf>
    <dxf>
      <font>
        <b/>
        <color rgb="FFFFFFFF"/>
      </font>
      <fill>
        <patternFill patternType="solid">
          <fgColor rgb="FF6182D6"/>
          <bgColor rgb="FF6182D6"/>
        </patternFill>
      </fill>
    </dxf>
    <dxf>
      <font>
        <b/>
        <color rgb="FFFFFFFF"/>
      </font>
      <fill>
        <patternFill patternType="solid">
          <fgColor rgb="FF6182D6"/>
          <bgColor rgb="FF6182D6"/>
        </patternFill>
      </fill>
      <border>
        <top style="thick">
          <color rgb="FFFFFFFF"/>
        </top>
      </border>
    </dxf>
    <dxf>
      <font>
        <b/>
        <color rgb="FFFFFFFF"/>
      </font>
      <fill>
        <patternFill patternType="solid">
          <fgColor rgb="FF6182D6"/>
          <bgColor rgb="FF6182D6"/>
        </patternFill>
      </fill>
      <border>
        <bottom style="thick">
          <color rgb="FFFFFFFF"/>
        </bottom>
      </border>
    </dxf>
    <dxf>
      <font>
        <color rgb="FF000000"/>
      </font>
      <fill>
        <patternFill patternType="solid">
          <fgColor rgb="FFD7DFF4"/>
          <bgColor rgb="FFD7DFF4"/>
        </patternFill>
      </fill>
      <border>
        <left style="thin">
          <color rgb="FFFFFFFF"/>
        </left>
        <right style="thin">
          <color rgb="FFFFFFFF"/>
        </right>
        <top style="thin">
          <color rgb="FFFFFFFF"/>
        </top>
        <bottom style="thin">
          <color rgb="FFFFFFFF"/>
        </bottom>
        <vertical style="thin">
          <color rgb="FFFFFFFF"/>
        </vertical>
        <horizontal style="thin">
          <color rgb="FFFFFFFF"/>
        </horizontal>
      </border>
    </dxf>
  </dxfs>
  <tableStyles count="2" defaultTableStyle="TableStyleMedium2" defaultPivotStyle="PivotStyleLight16">
    <tableStyle name="Normal Style 1 - Accent 1" pivot="0" count="7">
      <tableStyleElement type="wholeTable" dxfId="13"/>
      <tableStyleElement type="headerRow" dxfId="12"/>
      <tableStyleElement type="totalRow" dxfId="11"/>
      <tableStyleElement type="firstColumn" dxfId="10"/>
      <tableStyleElement type="lastColumn" dxfId="9"/>
      <tableStyleElement type="firstRowStripe" dxfId="8"/>
      <tableStyleElement type="firstColumnStripe" dxfId="7"/>
    </tableStyle>
    <tableStyle name="Light Style 1 - Accent 1" table="0" count="7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2:AG72"/>
  <sheetViews>
    <sheetView zoomScaleNormal="100" zoomScaleSheetLayoutView="75" workbookViewId="0"/>
  </sheetViews>
  <sheetFormatPr defaultColWidth="9" defaultRowHeight="16.5" x14ac:dyDescent="0.3"/>
  <cols>
    <col min="1" max="2" width="5.5" style="2" customWidth="1"/>
    <col min="3" max="3" width="16.375" style="2" customWidth="1"/>
    <col min="4" max="4" width="4.625" style="2" customWidth="1"/>
    <col min="5" max="5" width="17.75" style="2" customWidth="1"/>
    <col min="6" max="6" width="5" style="2" customWidth="1"/>
    <col min="7" max="7" width="17.75" style="2" customWidth="1"/>
    <col min="8" max="8" width="4.375" style="2" customWidth="1"/>
    <col min="9" max="9" width="9.875" style="2" customWidth="1"/>
    <col min="10" max="10" width="4.25" style="18" customWidth="1"/>
    <col min="11" max="11" width="12.625" style="2" customWidth="1"/>
    <col min="12" max="12" width="3.75" style="2" customWidth="1"/>
    <col min="13" max="13" width="9.375" style="3" customWidth="1"/>
    <col min="14" max="14" width="3.75" style="2" customWidth="1"/>
    <col min="15" max="15" width="9.375" style="3" customWidth="1"/>
    <col min="16" max="16" width="5.25" style="3" customWidth="1"/>
    <col min="17" max="17" width="10.375" style="2" customWidth="1"/>
    <col min="18" max="18" width="5.25" style="3" customWidth="1"/>
    <col min="19" max="19" width="10.375" style="2" customWidth="1"/>
    <col min="20" max="20" width="5.25" style="3" customWidth="1"/>
    <col min="21" max="21" width="10.375" style="2" customWidth="1"/>
    <col min="22" max="22" width="5.25" style="3" customWidth="1"/>
    <col min="23" max="23" width="10.375" style="2" customWidth="1"/>
    <col min="24" max="24" width="4.75" style="3" customWidth="1"/>
    <col min="25" max="25" width="10.375" style="2" customWidth="1"/>
    <col min="26" max="26" width="4.75" style="2" customWidth="1"/>
    <col min="27" max="27" width="11.125" style="2" customWidth="1"/>
    <col min="28" max="28" width="4.75" style="2" customWidth="1"/>
    <col min="29" max="29" width="12.25" style="2" customWidth="1"/>
    <col min="30" max="30" width="4.75" style="2" customWidth="1"/>
    <col min="31" max="31" width="12.25" style="2" customWidth="1"/>
    <col min="32" max="32" width="4.75" style="2" customWidth="1"/>
    <col min="33" max="33" width="12.25" style="2" customWidth="1"/>
    <col min="34" max="53" width="24" style="2" customWidth="1"/>
    <col min="54" max="55" width="24" style="2" bestFit="1" customWidth="1"/>
    <col min="56" max="69" width="24" style="2" customWidth="1"/>
    <col min="70" max="71" width="24" style="2" bestFit="1" customWidth="1"/>
    <col min="72" max="72" width="15.875" style="2" bestFit="1" customWidth="1"/>
    <col min="73" max="73" width="20.125" style="2" bestFit="1" customWidth="1"/>
    <col min="74" max="16384" width="9" style="2"/>
  </cols>
  <sheetData>
    <row r="2" spans="1:33" x14ac:dyDescent="0.3">
      <c r="A2" s="70" t="s">
        <v>141</v>
      </c>
      <c r="B2" s="73" t="s">
        <v>36</v>
      </c>
      <c r="C2" s="74"/>
      <c r="D2" s="73" t="s">
        <v>35</v>
      </c>
      <c r="E2" s="74"/>
      <c r="F2" s="73" t="s">
        <v>83</v>
      </c>
      <c r="G2" s="74"/>
      <c r="H2" s="73" t="s">
        <v>202</v>
      </c>
      <c r="I2" s="74"/>
      <c r="J2" s="73" t="s">
        <v>37</v>
      </c>
      <c r="K2" s="74"/>
      <c r="L2" s="73" t="s">
        <v>130</v>
      </c>
      <c r="M2" s="74"/>
      <c r="N2" s="73" t="s">
        <v>134</v>
      </c>
      <c r="O2" s="74"/>
      <c r="P2" s="73" t="s">
        <v>188</v>
      </c>
      <c r="Q2" s="74"/>
      <c r="R2" s="67" t="s">
        <v>204</v>
      </c>
      <c r="S2" s="68"/>
      <c r="T2" s="68"/>
      <c r="U2" s="68"/>
      <c r="V2" s="68"/>
      <c r="W2" s="68"/>
      <c r="X2" s="68"/>
      <c r="Y2" s="68"/>
      <c r="Z2" s="68"/>
      <c r="AA2" s="68"/>
      <c r="AB2" s="68"/>
      <c r="AC2" s="68"/>
      <c r="AD2" s="68"/>
      <c r="AE2" s="68"/>
      <c r="AF2" s="68"/>
      <c r="AG2" s="69"/>
    </row>
    <row r="3" spans="1:33" x14ac:dyDescent="0.3">
      <c r="A3" s="71"/>
      <c r="B3" s="75"/>
      <c r="C3" s="76"/>
      <c r="D3" s="75"/>
      <c r="E3" s="76"/>
      <c r="F3" s="75"/>
      <c r="G3" s="76"/>
      <c r="H3" s="75"/>
      <c r="I3" s="76"/>
      <c r="J3" s="75"/>
      <c r="K3" s="76"/>
      <c r="L3" s="75"/>
      <c r="M3" s="76"/>
      <c r="N3" s="75"/>
      <c r="O3" s="76"/>
      <c r="P3" s="75"/>
      <c r="Q3" s="76"/>
      <c r="R3" s="46" t="s">
        <v>201</v>
      </c>
      <c r="S3" s="47"/>
      <c r="T3" s="46" t="s">
        <v>144</v>
      </c>
      <c r="U3" s="47"/>
      <c r="V3" s="46" t="s">
        <v>197</v>
      </c>
      <c r="W3" s="47"/>
      <c r="X3" s="46" t="s">
        <v>155</v>
      </c>
      <c r="Y3" s="47"/>
      <c r="Z3" s="46" t="s">
        <v>174</v>
      </c>
      <c r="AA3" s="47"/>
      <c r="AB3" s="46" t="s">
        <v>194</v>
      </c>
      <c r="AC3" s="47"/>
      <c r="AD3" s="46" t="s">
        <v>193</v>
      </c>
      <c r="AE3" s="47"/>
      <c r="AF3" s="46" t="s">
        <v>199</v>
      </c>
      <c r="AG3" s="47"/>
    </row>
    <row r="4" spans="1:33" x14ac:dyDescent="0.3">
      <c r="A4" s="72"/>
      <c r="B4" s="77"/>
      <c r="C4" s="78"/>
      <c r="D4" s="77"/>
      <c r="E4" s="78"/>
      <c r="F4" s="77"/>
      <c r="G4" s="78"/>
      <c r="H4" s="77"/>
      <c r="I4" s="78"/>
      <c r="J4" s="77"/>
      <c r="K4" s="78"/>
      <c r="L4" s="77"/>
      <c r="M4" s="78"/>
      <c r="N4" s="77"/>
      <c r="O4" s="78"/>
      <c r="P4" s="77"/>
      <c r="Q4" s="78"/>
      <c r="R4" s="48"/>
      <c r="S4" s="49"/>
      <c r="T4" s="48"/>
      <c r="U4" s="49"/>
      <c r="V4" s="48"/>
      <c r="W4" s="49"/>
      <c r="X4" s="48"/>
      <c r="Y4" s="49"/>
      <c r="Z4" s="48"/>
      <c r="AA4" s="49"/>
      <c r="AB4" s="48"/>
      <c r="AC4" s="49"/>
      <c r="AD4" s="48"/>
      <c r="AE4" s="49"/>
      <c r="AF4" s="48"/>
      <c r="AG4" s="49"/>
    </row>
    <row r="5" spans="1:33" x14ac:dyDescent="0.3">
      <c r="A5" s="4">
        <v>1</v>
      </c>
      <c r="B5" s="5">
        <v>1</v>
      </c>
      <c r="C5" s="17" t="s">
        <v>143</v>
      </c>
      <c r="D5" s="5">
        <v>1</v>
      </c>
      <c r="E5" s="1" t="s">
        <v>72</v>
      </c>
      <c r="F5" s="5">
        <v>1</v>
      </c>
      <c r="G5" s="66" t="s">
        <v>218</v>
      </c>
      <c r="H5" s="5">
        <v>1</v>
      </c>
      <c r="I5" s="1" t="s">
        <v>139</v>
      </c>
      <c r="J5" s="19">
        <v>1</v>
      </c>
      <c r="K5" s="1" t="s">
        <v>6</v>
      </c>
      <c r="L5" s="5">
        <v>1</v>
      </c>
      <c r="M5" s="6" t="s">
        <v>200</v>
      </c>
      <c r="N5" s="5">
        <v>1</v>
      </c>
      <c r="O5" s="6" t="s">
        <v>167</v>
      </c>
      <c r="P5" s="5">
        <v>1</v>
      </c>
      <c r="Q5" s="1" t="s">
        <v>38</v>
      </c>
      <c r="R5" s="28">
        <v>1</v>
      </c>
      <c r="S5" s="29" t="s">
        <v>190</v>
      </c>
      <c r="T5" s="28">
        <v>1</v>
      </c>
      <c r="U5" s="29" t="s">
        <v>177</v>
      </c>
      <c r="V5" s="28">
        <v>1</v>
      </c>
      <c r="W5" s="29" t="s">
        <v>41</v>
      </c>
      <c r="X5" s="28">
        <v>1</v>
      </c>
      <c r="Y5" s="29" t="s">
        <v>53</v>
      </c>
      <c r="Z5" s="28">
        <v>1</v>
      </c>
      <c r="AA5" s="29" t="s">
        <v>192</v>
      </c>
      <c r="AB5" s="28">
        <v>1</v>
      </c>
      <c r="AC5" s="29" t="s">
        <v>78</v>
      </c>
      <c r="AD5" s="28">
        <v>1</v>
      </c>
      <c r="AE5" s="29" t="s">
        <v>55</v>
      </c>
      <c r="AF5" s="28">
        <v>1</v>
      </c>
      <c r="AG5" s="38" t="s">
        <v>157</v>
      </c>
    </row>
    <row r="6" spans="1:33" x14ac:dyDescent="0.3">
      <c r="A6" s="4">
        <f>+A5+1</f>
        <v>2</v>
      </c>
      <c r="B6" s="5">
        <f>+B5+1</f>
        <v>2</v>
      </c>
      <c r="C6" s="17" t="s">
        <v>89</v>
      </c>
      <c r="D6" s="5">
        <v>2</v>
      </c>
      <c r="E6" s="1" t="s">
        <v>22</v>
      </c>
      <c r="F6" s="5">
        <v>2</v>
      </c>
      <c r="G6" s="17" t="s">
        <v>23</v>
      </c>
      <c r="H6" s="5">
        <v>2</v>
      </c>
      <c r="I6" s="1" t="s">
        <v>127</v>
      </c>
      <c r="J6" s="19">
        <v>2</v>
      </c>
      <c r="K6" s="1" t="s">
        <v>106</v>
      </c>
      <c r="L6" s="5">
        <v>2</v>
      </c>
      <c r="M6" s="6" t="s">
        <v>132</v>
      </c>
      <c r="N6" s="5">
        <v>2</v>
      </c>
      <c r="O6" s="6" t="s">
        <v>156</v>
      </c>
      <c r="P6" s="5">
        <v>2</v>
      </c>
      <c r="Q6" s="1" t="s">
        <v>201</v>
      </c>
      <c r="R6" s="28">
        <v>2</v>
      </c>
      <c r="S6" s="29" t="s">
        <v>44</v>
      </c>
      <c r="T6" s="28">
        <v>2</v>
      </c>
      <c r="U6" s="29" t="s">
        <v>175</v>
      </c>
      <c r="V6" s="28">
        <v>2</v>
      </c>
      <c r="W6" s="29" t="s">
        <v>45</v>
      </c>
      <c r="X6" s="28">
        <v>2</v>
      </c>
      <c r="Y6" s="29" t="s">
        <v>50</v>
      </c>
      <c r="Z6" s="28">
        <v>2</v>
      </c>
      <c r="AA6" s="29" t="s">
        <v>205</v>
      </c>
      <c r="AB6" s="28">
        <v>2</v>
      </c>
      <c r="AC6" s="29" t="s">
        <v>169</v>
      </c>
      <c r="AD6" s="28">
        <v>2</v>
      </c>
      <c r="AE6" s="29" t="s">
        <v>181</v>
      </c>
      <c r="AF6" s="28">
        <v>2</v>
      </c>
      <c r="AG6" s="38" t="s">
        <v>184</v>
      </c>
    </row>
    <row r="7" spans="1:33" x14ac:dyDescent="0.3">
      <c r="A7" s="4">
        <f t="shared" ref="A7:B21" si="0">+A6+1</f>
        <v>3</v>
      </c>
      <c r="B7" s="5">
        <f t="shared" si="0"/>
        <v>3</v>
      </c>
      <c r="C7" s="17" t="s">
        <v>104</v>
      </c>
      <c r="D7" s="5">
        <v>3</v>
      </c>
      <c r="E7" s="1" t="s">
        <v>30</v>
      </c>
      <c r="F7" s="5">
        <v>3</v>
      </c>
      <c r="G7" s="17" t="s">
        <v>31</v>
      </c>
      <c r="H7" s="5">
        <v>3</v>
      </c>
      <c r="I7" s="1" t="s">
        <v>152</v>
      </c>
      <c r="J7" s="19">
        <v>3</v>
      </c>
      <c r="K7" s="1" t="s">
        <v>103</v>
      </c>
      <c r="L7" s="5">
        <v>3</v>
      </c>
      <c r="M7" s="6" t="s">
        <v>131</v>
      </c>
      <c r="N7" s="5">
        <v>3</v>
      </c>
      <c r="O7" s="6" t="s">
        <v>126</v>
      </c>
      <c r="P7" s="5">
        <v>3</v>
      </c>
      <c r="Q7" s="1" t="s">
        <v>144</v>
      </c>
      <c r="R7" s="28">
        <v>3</v>
      </c>
      <c r="S7" s="29" t="s">
        <v>195</v>
      </c>
      <c r="T7" s="28">
        <v>3</v>
      </c>
      <c r="U7" s="29" t="s">
        <v>40</v>
      </c>
      <c r="V7" s="28">
        <v>3</v>
      </c>
      <c r="W7" s="29" t="s">
        <v>46</v>
      </c>
      <c r="X7" s="28">
        <v>3</v>
      </c>
      <c r="Y7" s="29" t="s">
        <v>54</v>
      </c>
      <c r="Z7" s="28">
        <v>3</v>
      </c>
      <c r="AA7" s="29" t="s">
        <v>86</v>
      </c>
      <c r="AB7" s="28">
        <v>3</v>
      </c>
      <c r="AC7" s="29" t="s">
        <v>66</v>
      </c>
      <c r="AD7" s="28">
        <v>3</v>
      </c>
      <c r="AE7" s="29" t="s">
        <v>176</v>
      </c>
      <c r="AF7" s="28">
        <v>3</v>
      </c>
      <c r="AG7" s="38" t="s">
        <v>169</v>
      </c>
    </row>
    <row r="8" spans="1:33" x14ac:dyDescent="0.3">
      <c r="A8" s="4">
        <f t="shared" si="0"/>
        <v>4</v>
      </c>
      <c r="B8" s="5">
        <f t="shared" si="0"/>
        <v>4</v>
      </c>
      <c r="C8" s="17" t="s">
        <v>179</v>
      </c>
      <c r="D8" s="5">
        <v>4</v>
      </c>
      <c r="E8" s="1" t="s">
        <v>24</v>
      </c>
      <c r="F8" s="5">
        <v>4</v>
      </c>
      <c r="G8" s="17" t="s">
        <v>10</v>
      </c>
      <c r="H8" s="5">
        <v>4</v>
      </c>
      <c r="I8" s="1" t="s">
        <v>164</v>
      </c>
      <c r="J8" s="19">
        <v>4</v>
      </c>
      <c r="K8" s="1" t="s">
        <v>120</v>
      </c>
      <c r="L8" s="5"/>
      <c r="M8" s="6"/>
      <c r="N8" s="5"/>
      <c r="O8" s="6"/>
      <c r="P8" s="5">
        <v>4</v>
      </c>
      <c r="Q8" s="1" t="s">
        <v>197</v>
      </c>
      <c r="R8" s="28">
        <v>4</v>
      </c>
      <c r="S8" s="29" t="s">
        <v>196</v>
      </c>
      <c r="T8" s="28"/>
      <c r="U8" s="29"/>
      <c r="V8" s="28">
        <v>4</v>
      </c>
      <c r="W8" s="29" t="s">
        <v>43</v>
      </c>
      <c r="X8" s="28">
        <v>4</v>
      </c>
      <c r="Y8" s="29" t="s">
        <v>56</v>
      </c>
      <c r="Z8" s="28">
        <v>4</v>
      </c>
      <c r="AA8" s="29" t="s">
        <v>151</v>
      </c>
      <c r="AB8" s="28">
        <v>4</v>
      </c>
      <c r="AC8" s="29" t="s">
        <v>67</v>
      </c>
      <c r="AD8" s="28">
        <v>4</v>
      </c>
      <c r="AE8" s="29" t="s">
        <v>169</v>
      </c>
      <c r="AF8" s="28">
        <v>4</v>
      </c>
      <c r="AG8" s="38" t="s">
        <v>122</v>
      </c>
    </row>
    <row r="9" spans="1:33" x14ac:dyDescent="0.3">
      <c r="A9" s="4">
        <f t="shared" si="0"/>
        <v>5</v>
      </c>
      <c r="B9" s="5">
        <f t="shared" si="0"/>
        <v>5</v>
      </c>
      <c r="C9" s="17" t="s">
        <v>63</v>
      </c>
      <c r="D9" s="5">
        <v>5</v>
      </c>
      <c r="E9" s="1" t="s">
        <v>25</v>
      </c>
      <c r="F9" s="5">
        <v>5</v>
      </c>
      <c r="G9" s="17" t="s">
        <v>26</v>
      </c>
      <c r="H9" s="5">
        <v>5</v>
      </c>
      <c r="I9" s="1" t="s">
        <v>158</v>
      </c>
      <c r="J9" s="19">
        <v>5</v>
      </c>
      <c r="K9" s="1" t="s">
        <v>125</v>
      </c>
      <c r="L9" s="5"/>
      <c r="M9" s="6"/>
      <c r="N9" s="5"/>
      <c r="O9" s="6"/>
      <c r="P9" s="5">
        <v>5</v>
      </c>
      <c r="Q9" s="1" t="s">
        <v>155</v>
      </c>
      <c r="R9" s="28">
        <v>5</v>
      </c>
      <c r="S9" s="29" t="s">
        <v>203</v>
      </c>
      <c r="T9" s="28"/>
      <c r="U9" s="29"/>
      <c r="V9" s="28">
        <v>5</v>
      </c>
      <c r="W9" s="29" t="s">
        <v>49</v>
      </c>
      <c r="X9" s="28">
        <v>5</v>
      </c>
      <c r="Y9" s="29" t="s">
        <v>42</v>
      </c>
      <c r="Z9" s="28">
        <v>5</v>
      </c>
      <c r="AA9" s="29" t="s">
        <v>39</v>
      </c>
      <c r="AB9" s="28">
        <v>5</v>
      </c>
      <c r="AC9" s="29" t="s">
        <v>60</v>
      </c>
      <c r="AD9" s="28">
        <v>5</v>
      </c>
      <c r="AE9" s="29" t="s">
        <v>122</v>
      </c>
      <c r="AF9" s="28"/>
      <c r="AG9" s="29"/>
    </row>
    <row r="10" spans="1:33" x14ac:dyDescent="0.3">
      <c r="A10" s="4">
        <f t="shared" si="0"/>
        <v>6</v>
      </c>
      <c r="B10" s="5">
        <f t="shared" si="0"/>
        <v>6</v>
      </c>
      <c r="C10" s="17" t="s">
        <v>171</v>
      </c>
      <c r="D10" s="5">
        <v>6</v>
      </c>
      <c r="E10" s="1" t="s">
        <v>7</v>
      </c>
      <c r="F10" s="5">
        <v>6</v>
      </c>
      <c r="G10" s="17" t="s">
        <v>11</v>
      </c>
      <c r="H10" s="5">
        <v>6</v>
      </c>
      <c r="I10" s="1" t="s">
        <v>133</v>
      </c>
      <c r="J10" s="19">
        <v>6</v>
      </c>
      <c r="K10" s="1" t="s">
        <v>113</v>
      </c>
      <c r="L10" s="5"/>
      <c r="M10" s="6"/>
      <c r="N10" s="5"/>
      <c r="O10" s="6"/>
      <c r="P10" s="5">
        <v>6</v>
      </c>
      <c r="Q10" s="1" t="s">
        <v>174</v>
      </c>
      <c r="R10" s="28">
        <v>6</v>
      </c>
      <c r="S10" s="29" t="s">
        <v>198</v>
      </c>
      <c r="T10" s="28"/>
      <c r="U10" s="29"/>
      <c r="V10" s="28">
        <v>6</v>
      </c>
      <c r="W10" s="29" t="s">
        <v>111</v>
      </c>
      <c r="X10" s="28">
        <v>6</v>
      </c>
      <c r="Y10" s="29" t="s">
        <v>4</v>
      </c>
      <c r="Z10" s="28">
        <v>6</v>
      </c>
      <c r="AA10" s="29" t="s">
        <v>59</v>
      </c>
      <c r="AB10" s="28">
        <v>6</v>
      </c>
      <c r="AC10" s="29" t="s">
        <v>64</v>
      </c>
      <c r="AD10" s="28"/>
      <c r="AE10" s="29"/>
      <c r="AF10" s="28"/>
      <c r="AG10" s="29"/>
    </row>
    <row r="11" spans="1:33" x14ac:dyDescent="0.3">
      <c r="A11" s="4">
        <f t="shared" si="0"/>
        <v>7</v>
      </c>
      <c r="B11" s="5">
        <f t="shared" si="0"/>
        <v>7</v>
      </c>
      <c r="C11" s="17" t="s">
        <v>71</v>
      </c>
      <c r="D11" s="5">
        <v>7</v>
      </c>
      <c r="E11" s="1" t="s">
        <v>8</v>
      </c>
      <c r="F11" s="5">
        <v>7</v>
      </c>
      <c r="G11" s="17" t="s">
        <v>3</v>
      </c>
      <c r="H11" s="5">
        <v>7</v>
      </c>
      <c r="I11" s="1" t="s">
        <v>170</v>
      </c>
      <c r="J11" s="19">
        <v>7</v>
      </c>
      <c r="K11" s="1" t="s">
        <v>124</v>
      </c>
      <c r="L11" s="5"/>
      <c r="M11" s="6"/>
      <c r="N11" s="5"/>
      <c r="O11" s="6"/>
      <c r="P11" s="5">
        <v>7</v>
      </c>
      <c r="Q11" s="1" t="s">
        <v>194</v>
      </c>
      <c r="R11" s="28">
        <v>7</v>
      </c>
      <c r="S11" s="29" t="s">
        <v>189</v>
      </c>
      <c r="T11" s="28"/>
      <c r="U11" s="29"/>
      <c r="V11" s="28">
        <v>7</v>
      </c>
      <c r="W11" s="29" t="s">
        <v>91</v>
      </c>
      <c r="X11" s="28">
        <v>7</v>
      </c>
      <c r="Y11" s="29" t="s">
        <v>61</v>
      </c>
      <c r="Z11" s="28">
        <v>7</v>
      </c>
      <c r="AA11" s="29" t="s">
        <v>5</v>
      </c>
      <c r="AB11" s="28">
        <v>7</v>
      </c>
      <c r="AC11" s="29" t="s">
        <v>58</v>
      </c>
      <c r="AD11" s="28"/>
      <c r="AE11" s="29"/>
      <c r="AF11" s="28"/>
      <c r="AG11" s="29"/>
    </row>
    <row r="12" spans="1:33" x14ac:dyDescent="0.3">
      <c r="A12" s="4">
        <f t="shared" si="0"/>
        <v>8</v>
      </c>
      <c r="B12" s="5">
        <f t="shared" si="0"/>
        <v>8</v>
      </c>
      <c r="C12" s="17" t="s">
        <v>129</v>
      </c>
      <c r="D12" s="5">
        <v>8</v>
      </c>
      <c r="E12" s="1" t="s">
        <v>27</v>
      </c>
      <c r="F12" s="5">
        <v>8</v>
      </c>
      <c r="G12" s="17" t="s">
        <v>2</v>
      </c>
      <c r="H12" s="5">
        <v>8</v>
      </c>
      <c r="I12" s="1" t="s">
        <v>163</v>
      </c>
      <c r="J12" s="19">
        <v>8</v>
      </c>
      <c r="K12" s="1" t="s">
        <v>109</v>
      </c>
      <c r="L12" s="5"/>
      <c r="M12" s="6"/>
      <c r="N12" s="5"/>
      <c r="O12" s="6"/>
      <c r="P12" s="5">
        <v>8</v>
      </c>
      <c r="Q12" s="1" t="s">
        <v>193</v>
      </c>
      <c r="R12" s="28">
        <v>8</v>
      </c>
      <c r="S12" s="29" t="s">
        <v>166</v>
      </c>
      <c r="T12" s="28"/>
      <c r="U12" s="29"/>
      <c r="V12" s="28">
        <v>8</v>
      </c>
      <c r="W12" s="29" t="s">
        <v>90</v>
      </c>
      <c r="X12" s="28">
        <v>8</v>
      </c>
      <c r="Y12" s="29" t="s">
        <v>5</v>
      </c>
      <c r="Z12" s="28">
        <v>8</v>
      </c>
      <c r="AA12" s="29" t="s">
        <v>15</v>
      </c>
      <c r="AB12" s="28">
        <v>8</v>
      </c>
      <c r="AC12" s="29" t="s">
        <v>180</v>
      </c>
      <c r="AD12" s="28"/>
      <c r="AE12" s="29"/>
      <c r="AF12" s="28"/>
      <c r="AG12" s="29"/>
    </row>
    <row r="13" spans="1:33" x14ac:dyDescent="0.3">
      <c r="A13" s="4">
        <f t="shared" si="0"/>
        <v>9</v>
      </c>
      <c r="B13" s="5">
        <f t="shared" si="0"/>
        <v>9</v>
      </c>
      <c r="C13" s="17" t="s">
        <v>135</v>
      </c>
      <c r="D13" s="5">
        <v>9</v>
      </c>
      <c r="E13" s="1" t="s">
        <v>28</v>
      </c>
      <c r="F13" s="5"/>
      <c r="G13" s="17"/>
      <c r="H13" s="5">
        <v>9</v>
      </c>
      <c r="I13" s="1" t="s">
        <v>168</v>
      </c>
      <c r="J13" s="19">
        <v>9</v>
      </c>
      <c r="K13" s="1" t="s">
        <v>121</v>
      </c>
      <c r="L13" s="5"/>
      <c r="M13" s="6"/>
      <c r="N13" s="5"/>
      <c r="O13" s="6"/>
      <c r="P13" s="5">
        <v>9</v>
      </c>
      <c r="Q13" s="1" t="s">
        <v>199</v>
      </c>
      <c r="R13" s="28">
        <v>9</v>
      </c>
      <c r="S13" s="29" t="s">
        <v>178</v>
      </c>
      <c r="T13" s="28"/>
      <c r="U13" s="29"/>
      <c r="V13" s="28">
        <v>9</v>
      </c>
      <c r="W13" s="29" t="s">
        <v>29</v>
      </c>
      <c r="X13" s="28">
        <v>9</v>
      </c>
      <c r="Y13" s="29" t="s">
        <v>1</v>
      </c>
      <c r="Z13" s="28">
        <v>9</v>
      </c>
      <c r="AA13" s="29" t="s">
        <v>57</v>
      </c>
      <c r="AB13" s="28">
        <v>9</v>
      </c>
      <c r="AC13" s="29" t="s">
        <v>65</v>
      </c>
      <c r="AD13" s="28"/>
      <c r="AE13" s="29"/>
      <c r="AF13" s="28"/>
      <c r="AG13" s="29"/>
    </row>
    <row r="14" spans="1:33" x14ac:dyDescent="0.3">
      <c r="A14" s="4">
        <f t="shared" si="0"/>
        <v>10</v>
      </c>
      <c r="B14" s="5">
        <f t="shared" si="0"/>
        <v>10</v>
      </c>
      <c r="C14" s="17" t="s">
        <v>173</v>
      </c>
      <c r="D14" s="5">
        <v>10</v>
      </c>
      <c r="E14" s="1" t="s">
        <v>9</v>
      </c>
      <c r="F14" s="5"/>
      <c r="G14" s="17"/>
      <c r="H14" s="5">
        <v>10</v>
      </c>
      <c r="I14" s="1" t="s">
        <v>159</v>
      </c>
      <c r="J14" s="19">
        <v>10</v>
      </c>
      <c r="K14" s="1" t="s">
        <v>117</v>
      </c>
      <c r="L14" s="5"/>
      <c r="M14" s="6"/>
      <c r="N14" s="5"/>
      <c r="O14" s="6"/>
      <c r="P14" s="5"/>
      <c r="Q14" s="1"/>
      <c r="R14" s="28">
        <v>10</v>
      </c>
      <c r="S14" s="29" t="s">
        <v>183</v>
      </c>
      <c r="T14" s="28"/>
      <c r="U14" s="29"/>
      <c r="V14" s="28">
        <v>10</v>
      </c>
      <c r="W14" s="29" t="s">
        <v>74</v>
      </c>
      <c r="X14" s="28">
        <v>10</v>
      </c>
      <c r="Y14" s="29" t="s">
        <v>75</v>
      </c>
      <c r="Z14" s="28">
        <v>10</v>
      </c>
      <c r="AA14" s="29" t="s">
        <v>122</v>
      </c>
      <c r="AB14" s="28">
        <v>10</v>
      </c>
      <c r="AC14" s="29" t="s">
        <v>122</v>
      </c>
      <c r="AD14" s="28"/>
      <c r="AE14" s="29"/>
      <c r="AF14" s="28"/>
      <c r="AG14" s="29"/>
    </row>
    <row r="15" spans="1:33" x14ac:dyDescent="0.3">
      <c r="A15" s="4">
        <f t="shared" si="0"/>
        <v>11</v>
      </c>
      <c r="B15" s="5">
        <f t="shared" si="0"/>
        <v>11</v>
      </c>
      <c r="C15" s="17" t="s">
        <v>73</v>
      </c>
      <c r="D15" s="5"/>
      <c r="E15" s="1"/>
      <c r="F15" s="17"/>
      <c r="G15" s="17"/>
      <c r="H15" s="5">
        <v>11</v>
      </c>
      <c r="I15" s="1" t="s">
        <v>138</v>
      </c>
      <c r="J15" s="19">
        <v>11</v>
      </c>
      <c r="K15" s="1" t="s">
        <v>118</v>
      </c>
      <c r="L15" s="5"/>
      <c r="M15" s="6"/>
      <c r="N15" s="5"/>
      <c r="O15" s="6"/>
      <c r="P15" s="5"/>
      <c r="Q15" s="1"/>
      <c r="R15" s="28">
        <v>11</v>
      </c>
      <c r="S15" s="29" t="s">
        <v>150</v>
      </c>
      <c r="T15" s="28"/>
      <c r="U15" s="29"/>
      <c r="V15" s="28">
        <v>11</v>
      </c>
      <c r="W15" s="29" t="s">
        <v>79</v>
      </c>
      <c r="X15" s="28">
        <v>11</v>
      </c>
      <c r="Y15" s="29" t="s">
        <v>81</v>
      </c>
      <c r="Z15" s="28">
        <v>11</v>
      </c>
      <c r="AA15" s="29" t="s">
        <v>169</v>
      </c>
      <c r="AB15" s="28"/>
      <c r="AC15" s="29"/>
      <c r="AD15" s="28"/>
      <c r="AE15" s="29"/>
      <c r="AF15" s="28"/>
      <c r="AG15" s="29"/>
    </row>
    <row r="16" spans="1:33" x14ac:dyDescent="0.3">
      <c r="A16" s="4">
        <f t="shared" si="0"/>
        <v>12</v>
      </c>
      <c r="B16" s="5">
        <f t="shared" si="0"/>
        <v>12</v>
      </c>
      <c r="C16" s="17" t="s">
        <v>160</v>
      </c>
      <c r="D16" s="5"/>
      <c r="E16" s="1"/>
      <c r="F16" s="17"/>
      <c r="G16" s="22"/>
      <c r="H16" s="5">
        <v>12</v>
      </c>
      <c r="I16" s="1" t="s">
        <v>149</v>
      </c>
      <c r="J16" s="19">
        <v>12</v>
      </c>
      <c r="K16" s="1" t="s">
        <v>119</v>
      </c>
      <c r="L16" s="5"/>
      <c r="M16" s="6"/>
      <c r="N16" s="5"/>
      <c r="O16" s="6"/>
      <c r="P16" s="5"/>
      <c r="Q16" s="1"/>
      <c r="R16" s="28">
        <v>12</v>
      </c>
      <c r="S16" s="29" t="s">
        <v>186</v>
      </c>
      <c r="T16" s="28"/>
      <c r="U16" s="29"/>
      <c r="V16" s="28">
        <v>12</v>
      </c>
      <c r="W16" s="29" t="s">
        <v>16</v>
      </c>
      <c r="X16" s="28">
        <v>12</v>
      </c>
      <c r="Y16" s="29" t="s">
        <v>88</v>
      </c>
      <c r="Z16" s="28"/>
      <c r="AA16" s="29"/>
      <c r="AB16" s="28"/>
      <c r="AC16" s="29"/>
      <c r="AD16" s="28"/>
      <c r="AE16" s="29"/>
      <c r="AF16" s="28"/>
      <c r="AG16" s="29"/>
    </row>
    <row r="17" spans="1:33" x14ac:dyDescent="0.3">
      <c r="A17" s="4">
        <f t="shared" si="0"/>
        <v>13</v>
      </c>
      <c r="B17" s="5">
        <f t="shared" si="0"/>
        <v>13</v>
      </c>
      <c r="C17" s="17" t="s">
        <v>136</v>
      </c>
      <c r="D17" s="5"/>
      <c r="E17" s="1"/>
      <c r="F17" s="17"/>
      <c r="G17" s="17"/>
      <c r="H17" s="5">
        <v>13</v>
      </c>
      <c r="I17" s="1" t="s">
        <v>147</v>
      </c>
      <c r="J17" s="19">
        <v>13</v>
      </c>
      <c r="K17" s="1" t="s">
        <v>108</v>
      </c>
      <c r="L17" s="5"/>
      <c r="M17" s="6"/>
      <c r="N17" s="5"/>
      <c r="O17" s="6"/>
      <c r="P17" s="5"/>
      <c r="Q17" s="1"/>
      <c r="R17" s="28">
        <v>13</v>
      </c>
      <c r="S17" s="29" t="s">
        <v>191</v>
      </c>
      <c r="T17" s="28"/>
      <c r="U17" s="29"/>
      <c r="V17" s="28">
        <v>13</v>
      </c>
      <c r="W17" s="29" t="s">
        <v>62</v>
      </c>
      <c r="X17" s="28">
        <v>13</v>
      </c>
      <c r="Y17" s="29" t="s">
        <v>80</v>
      </c>
      <c r="Z17" s="28"/>
      <c r="AA17" s="29"/>
      <c r="AB17" s="28"/>
      <c r="AC17" s="29"/>
      <c r="AD17" s="28"/>
      <c r="AE17" s="29"/>
      <c r="AF17" s="28"/>
      <c r="AG17" s="29"/>
    </row>
    <row r="18" spans="1:33" x14ac:dyDescent="0.3">
      <c r="A18" s="4">
        <f t="shared" si="0"/>
        <v>14</v>
      </c>
      <c r="B18" s="5">
        <f t="shared" si="0"/>
        <v>14</v>
      </c>
      <c r="C18" s="17" t="s">
        <v>162</v>
      </c>
      <c r="D18" s="17"/>
      <c r="E18" s="1"/>
      <c r="F18" s="17"/>
      <c r="G18" s="23"/>
      <c r="H18" s="5">
        <v>14</v>
      </c>
      <c r="I18" s="1" t="s">
        <v>165</v>
      </c>
      <c r="J18" s="19">
        <v>14</v>
      </c>
      <c r="K18" s="1" t="s">
        <v>116</v>
      </c>
      <c r="L18" s="5"/>
      <c r="M18" s="6"/>
      <c r="N18" s="5"/>
      <c r="O18" s="6"/>
      <c r="P18" s="5"/>
      <c r="Q18" s="1"/>
      <c r="R18" s="28">
        <v>14</v>
      </c>
      <c r="S18" s="29" t="s">
        <v>172</v>
      </c>
      <c r="T18" s="28"/>
      <c r="U18" s="29"/>
      <c r="V18" s="28">
        <v>14</v>
      </c>
      <c r="W18" s="29" t="s">
        <v>87</v>
      </c>
      <c r="X18" s="28">
        <v>14</v>
      </c>
      <c r="Y18" s="29" t="s">
        <v>69</v>
      </c>
      <c r="Z18" s="28"/>
      <c r="AA18" s="29"/>
      <c r="AB18" s="28"/>
      <c r="AC18" s="29"/>
      <c r="AD18" s="28"/>
      <c r="AE18" s="29"/>
      <c r="AF18" s="28"/>
      <c r="AG18" s="29"/>
    </row>
    <row r="19" spans="1:33" x14ac:dyDescent="0.3">
      <c r="A19" s="4">
        <f t="shared" si="0"/>
        <v>15</v>
      </c>
      <c r="B19" s="5">
        <f t="shared" si="0"/>
        <v>15</v>
      </c>
      <c r="C19" s="17" t="s">
        <v>182</v>
      </c>
      <c r="D19" s="5"/>
      <c r="E19" s="1"/>
      <c r="F19" s="17"/>
      <c r="G19" s="17"/>
      <c r="H19" s="5"/>
      <c r="I19" s="1"/>
      <c r="J19" s="19">
        <v>15</v>
      </c>
      <c r="K19" s="1" t="s">
        <v>115</v>
      </c>
      <c r="L19" s="5"/>
      <c r="M19" s="6"/>
      <c r="N19" s="5"/>
      <c r="O19" s="6"/>
      <c r="P19" s="5"/>
      <c r="Q19" s="1"/>
      <c r="R19" s="28">
        <v>15</v>
      </c>
      <c r="S19" s="29" t="s">
        <v>92</v>
      </c>
      <c r="T19" s="28"/>
      <c r="U19" s="29"/>
      <c r="V19" s="28">
        <v>15</v>
      </c>
      <c r="W19" s="29" t="s">
        <v>18</v>
      </c>
      <c r="X19" s="28">
        <v>15</v>
      </c>
      <c r="Y19" s="29" t="s">
        <v>17</v>
      </c>
      <c r="Z19" s="28"/>
      <c r="AA19" s="29"/>
      <c r="AB19" s="28"/>
      <c r="AC19" s="29"/>
      <c r="AD19" s="28"/>
      <c r="AE19" s="29"/>
      <c r="AF19" s="28"/>
      <c r="AG19" s="29"/>
    </row>
    <row r="20" spans="1:33" x14ac:dyDescent="0.3">
      <c r="A20" s="4">
        <f t="shared" si="0"/>
        <v>16</v>
      </c>
      <c r="B20" s="5">
        <f t="shared" si="0"/>
        <v>16</v>
      </c>
      <c r="C20" s="17" t="s">
        <v>187</v>
      </c>
      <c r="D20" s="5"/>
      <c r="E20" s="1"/>
      <c r="F20" s="17"/>
      <c r="G20" s="17"/>
      <c r="H20" s="5"/>
      <c r="I20" s="1"/>
      <c r="J20" s="19">
        <v>16</v>
      </c>
      <c r="K20" s="1" t="s">
        <v>123</v>
      </c>
      <c r="L20" s="5"/>
      <c r="M20" s="6"/>
      <c r="N20" s="5"/>
      <c r="O20" s="6"/>
      <c r="P20" s="5"/>
      <c r="Q20" s="1"/>
      <c r="R20" s="28">
        <v>16</v>
      </c>
      <c r="S20" s="29" t="s">
        <v>93</v>
      </c>
      <c r="T20" s="28"/>
      <c r="U20" s="29"/>
      <c r="V20" s="28">
        <v>16</v>
      </c>
      <c r="W20" s="29" t="s">
        <v>13</v>
      </c>
      <c r="X20" s="28">
        <v>16</v>
      </c>
      <c r="Y20" s="29" t="s">
        <v>82</v>
      </c>
      <c r="Z20" s="28"/>
      <c r="AA20" s="29"/>
      <c r="AB20" s="28"/>
      <c r="AC20" s="29"/>
      <c r="AD20" s="28"/>
      <c r="AE20" s="29"/>
      <c r="AF20" s="28"/>
      <c r="AG20" s="29"/>
    </row>
    <row r="21" spans="1:33" x14ac:dyDescent="0.3">
      <c r="A21" s="4">
        <f t="shared" si="0"/>
        <v>17</v>
      </c>
      <c r="B21" s="5">
        <f t="shared" si="0"/>
        <v>17</v>
      </c>
      <c r="C21" s="17" t="s">
        <v>169</v>
      </c>
      <c r="D21" s="5"/>
      <c r="E21" s="1"/>
      <c r="F21" s="17"/>
      <c r="G21" s="17"/>
      <c r="H21" s="5"/>
      <c r="I21" s="1"/>
      <c r="J21" s="19">
        <v>17</v>
      </c>
      <c r="K21" s="1" t="s">
        <v>112</v>
      </c>
      <c r="L21" s="5"/>
      <c r="M21" s="6"/>
      <c r="N21" s="5"/>
      <c r="O21" s="6"/>
      <c r="P21" s="5"/>
      <c r="Q21" s="1"/>
      <c r="R21" s="28">
        <v>17</v>
      </c>
      <c r="S21" s="29" t="s">
        <v>145</v>
      </c>
      <c r="T21" s="28"/>
      <c r="U21" s="29"/>
      <c r="V21" s="28">
        <v>17</v>
      </c>
      <c r="W21" s="29" t="s">
        <v>14</v>
      </c>
      <c r="X21" s="28">
        <v>17</v>
      </c>
      <c r="Y21" s="29" t="s">
        <v>0</v>
      </c>
      <c r="Z21" s="28"/>
      <c r="AA21" s="29"/>
      <c r="AB21" s="28"/>
      <c r="AC21" s="29"/>
      <c r="AD21" s="28"/>
      <c r="AE21" s="29"/>
      <c r="AF21" s="28"/>
      <c r="AG21" s="29"/>
    </row>
    <row r="22" spans="1:33" x14ac:dyDescent="0.3">
      <c r="A22" s="4"/>
      <c r="B22" s="5"/>
      <c r="C22" s="17"/>
      <c r="D22" s="5"/>
      <c r="E22" s="27"/>
      <c r="F22" s="22"/>
      <c r="G22" s="25"/>
      <c r="H22" s="25"/>
      <c r="I22" s="24"/>
      <c r="J22" s="19">
        <v>18</v>
      </c>
      <c r="K22" s="1" t="s">
        <v>105</v>
      </c>
      <c r="L22" s="5"/>
      <c r="M22" s="6"/>
      <c r="N22" s="5"/>
      <c r="O22" s="6"/>
      <c r="P22" s="5"/>
      <c r="Q22" s="1"/>
      <c r="R22" s="28">
        <v>18</v>
      </c>
      <c r="S22" s="29" t="s">
        <v>146</v>
      </c>
      <c r="T22" s="28"/>
      <c r="U22" s="29"/>
      <c r="V22" s="28">
        <v>18</v>
      </c>
      <c r="W22" s="29" t="s">
        <v>84</v>
      </c>
      <c r="X22" s="28">
        <v>18</v>
      </c>
      <c r="Y22" s="29" t="s">
        <v>12</v>
      </c>
      <c r="Z22" s="28"/>
      <c r="AA22" s="29"/>
      <c r="AB22" s="28"/>
      <c r="AC22" s="29"/>
      <c r="AD22" s="28"/>
      <c r="AE22" s="29"/>
      <c r="AF22" s="28"/>
      <c r="AG22" s="29"/>
    </row>
    <row r="23" spans="1:33" x14ac:dyDescent="0.3">
      <c r="A23" s="4"/>
      <c r="B23" s="5"/>
      <c r="C23" s="17"/>
      <c r="D23" s="5"/>
      <c r="E23" s="27"/>
      <c r="F23" s="22"/>
      <c r="G23" s="25"/>
      <c r="H23" s="25"/>
      <c r="I23" s="24"/>
      <c r="J23" s="19">
        <v>19</v>
      </c>
      <c r="K23" s="1" t="s">
        <v>114</v>
      </c>
      <c r="L23" s="5"/>
      <c r="M23" s="6"/>
      <c r="N23" s="5"/>
      <c r="O23" s="6"/>
      <c r="P23" s="5"/>
      <c r="Q23" s="1"/>
      <c r="R23" s="28">
        <v>19</v>
      </c>
      <c r="S23" s="29" t="s">
        <v>185</v>
      </c>
      <c r="T23" s="28"/>
      <c r="U23" s="29"/>
      <c r="V23" s="28">
        <v>19</v>
      </c>
      <c r="W23" s="29" t="s">
        <v>19</v>
      </c>
      <c r="X23" s="28">
        <v>19</v>
      </c>
      <c r="Y23" s="29" t="s">
        <v>70</v>
      </c>
      <c r="Z23" s="28"/>
      <c r="AA23" s="29"/>
      <c r="AB23" s="28"/>
      <c r="AC23" s="29"/>
      <c r="AD23" s="28"/>
      <c r="AE23" s="29"/>
      <c r="AF23" s="28"/>
      <c r="AG23" s="29"/>
    </row>
    <row r="24" spans="1:33" x14ac:dyDescent="0.3">
      <c r="A24" s="4"/>
      <c r="B24" s="5"/>
      <c r="C24" s="17"/>
      <c r="D24" s="5"/>
      <c r="E24" s="27"/>
      <c r="F24" s="22"/>
      <c r="G24" s="25"/>
      <c r="H24" s="25"/>
      <c r="I24" s="24"/>
      <c r="J24" s="19">
        <v>20</v>
      </c>
      <c r="K24" s="1" t="s">
        <v>110</v>
      </c>
      <c r="L24" s="5"/>
      <c r="M24" s="6"/>
      <c r="N24" s="5"/>
      <c r="O24" s="6"/>
      <c r="P24" s="5"/>
      <c r="Q24" s="1"/>
      <c r="R24" s="28">
        <v>20</v>
      </c>
      <c r="S24" s="29" t="s">
        <v>122</v>
      </c>
      <c r="T24" s="28"/>
      <c r="U24" s="29"/>
      <c r="V24" s="28">
        <v>20</v>
      </c>
      <c r="W24" s="29" t="s">
        <v>77</v>
      </c>
      <c r="X24" s="28">
        <v>20</v>
      </c>
      <c r="Y24" s="29" t="s">
        <v>122</v>
      </c>
      <c r="Z24" s="28"/>
      <c r="AA24" s="29"/>
      <c r="AB24" s="28"/>
      <c r="AC24" s="29"/>
      <c r="AD24" s="28"/>
      <c r="AE24" s="29"/>
      <c r="AF24" s="28"/>
      <c r="AG24" s="29"/>
    </row>
    <row r="25" spans="1:33" x14ac:dyDescent="0.3">
      <c r="A25" s="4"/>
      <c r="B25" s="5"/>
      <c r="C25" s="1"/>
      <c r="D25" s="1"/>
      <c r="E25" s="27"/>
      <c r="F25" s="22"/>
      <c r="G25" s="25"/>
      <c r="H25" s="24"/>
      <c r="I25" s="24"/>
      <c r="J25" s="19">
        <v>21</v>
      </c>
      <c r="K25" s="1" t="s">
        <v>102</v>
      </c>
      <c r="L25" s="7"/>
      <c r="M25" s="6"/>
      <c r="N25" s="7"/>
      <c r="O25" s="6"/>
      <c r="P25" s="8"/>
      <c r="Q25" s="1"/>
      <c r="R25" s="30"/>
      <c r="S25" s="29"/>
      <c r="T25" s="50"/>
      <c r="U25" s="29"/>
      <c r="V25" s="28">
        <v>21</v>
      </c>
      <c r="W25" s="29" t="s">
        <v>48</v>
      </c>
      <c r="X25" s="28">
        <v>21</v>
      </c>
      <c r="Y25" s="29" t="s">
        <v>169</v>
      </c>
      <c r="Z25" s="50"/>
      <c r="AA25" s="29"/>
      <c r="AB25" s="30"/>
      <c r="AC25" s="29"/>
      <c r="AD25" s="30"/>
      <c r="AE25" s="29"/>
      <c r="AF25" s="30"/>
      <c r="AG25" s="29"/>
    </row>
    <row r="26" spans="1:33" x14ac:dyDescent="0.3">
      <c r="A26" s="4"/>
      <c r="B26" s="5"/>
      <c r="C26" s="1"/>
      <c r="D26" s="1"/>
      <c r="E26" s="27"/>
      <c r="F26" s="22"/>
      <c r="G26" s="25"/>
      <c r="H26" s="24"/>
      <c r="I26" s="24"/>
      <c r="J26" s="19">
        <v>22</v>
      </c>
      <c r="K26" s="1" t="s">
        <v>107</v>
      </c>
      <c r="L26" s="7"/>
      <c r="M26" s="9"/>
      <c r="N26" s="7"/>
      <c r="O26" s="9"/>
      <c r="P26" s="10"/>
      <c r="Q26" s="1"/>
      <c r="R26" s="31"/>
      <c r="S26" s="29"/>
      <c r="T26" s="51"/>
      <c r="U26" s="29"/>
      <c r="V26" s="28">
        <v>22</v>
      </c>
      <c r="W26" s="29" t="s">
        <v>51</v>
      </c>
      <c r="X26" s="51"/>
      <c r="Y26" s="29"/>
      <c r="Z26" s="51"/>
      <c r="AA26" s="29"/>
      <c r="AB26" s="31"/>
      <c r="AC26" s="29"/>
      <c r="AD26" s="31"/>
      <c r="AE26" s="29"/>
      <c r="AF26" s="31"/>
      <c r="AG26" s="29"/>
    </row>
    <row r="27" spans="1:33" x14ac:dyDescent="0.3">
      <c r="A27" s="4"/>
      <c r="B27" s="5"/>
      <c r="C27" s="11"/>
      <c r="D27" s="11"/>
      <c r="E27" s="27"/>
      <c r="F27" s="22"/>
      <c r="G27" s="25"/>
      <c r="H27" s="24"/>
      <c r="I27" s="24"/>
      <c r="J27" s="20"/>
      <c r="K27" s="1"/>
      <c r="L27" s="7"/>
      <c r="M27" s="9"/>
      <c r="N27" s="7"/>
      <c r="O27" s="9"/>
      <c r="P27" s="10"/>
      <c r="Q27" s="1"/>
      <c r="R27" s="31"/>
      <c r="S27" s="29"/>
      <c r="T27" s="51"/>
      <c r="U27" s="29"/>
      <c r="V27" s="28">
        <v>23</v>
      </c>
      <c r="W27" s="29" t="s">
        <v>47</v>
      </c>
      <c r="X27" s="51"/>
      <c r="Y27" s="29"/>
      <c r="Z27" s="51"/>
      <c r="AA27" s="29"/>
      <c r="AB27" s="31"/>
      <c r="AC27" s="29"/>
      <c r="AD27" s="31"/>
      <c r="AE27" s="29"/>
      <c r="AF27" s="31"/>
      <c r="AG27" s="29"/>
    </row>
    <row r="28" spans="1:33" x14ac:dyDescent="0.3">
      <c r="A28" s="4"/>
      <c r="B28" s="5"/>
      <c r="C28" s="11"/>
      <c r="D28" s="11"/>
      <c r="E28" s="27"/>
      <c r="F28" s="22"/>
      <c r="G28" s="25"/>
      <c r="H28" s="24"/>
      <c r="I28" s="24"/>
      <c r="J28" s="20"/>
      <c r="K28" s="1"/>
      <c r="L28" s="7"/>
      <c r="M28" s="9"/>
      <c r="N28" s="7"/>
      <c r="O28" s="9"/>
      <c r="P28" s="10"/>
      <c r="Q28" s="1"/>
      <c r="R28" s="31"/>
      <c r="S28" s="29"/>
      <c r="T28" s="31"/>
      <c r="U28" s="29"/>
      <c r="V28" s="28">
        <v>24</v>
      </c>
      <c r="W28" s="29" t="s">
        <v>52</v>
      </c>
      <c r="X28" s="51"/>
      <c r="Y28" s="29"/>
      <c r="Z28" s="51"/>
      <c r="AA28" s="29"/>
      <c r="AB28" s="31"/>
      <c r="AC28" s="29"/>
      <c r="AD28" s="31"/>
      <c r="AE28" s="29"/>
      <c r="AF28" s="31"/>
      <c r="AG28" s="29"/>
    </row>
    <row r="29" spans="1:33" x14ac:dyDescent="0.3">
      <c r="A29" s="4"/>
      <c r="B29" s="5"/>
      <c r="C29" s="11"/>
      <c r="D29" s="11"/>
      <c r="E29" s="24"/>
      <c r="F29" s="25"/>
      <c r="G29" s="25"/>
      <c r="H29" s="24"/>
      <c r="I29" s="24"/>
      <c r="J29" s="20"/>
      <c r="K29" s="11"/>
      <c r="L29" s="10"/>
      <c r="M29" s="6"/>
      <c r="N29" s="10"/>
      <c r="O29" s="6"/>
      <c r="P29" s="8"/>
      <c r="Q29" s="11"/>
      <c r="R29" s="30"/>
      <c r="S29" s="32"/>
      <c r="T29" s="30"/>
      <c r="U29" s="32"/>
      <c r="V29" s="28">
        <v>25</v>
      </c>
      <c r="W29" s="29" t="s">
        <v>122</v>
      </c>
      <c r="X29" s="50"/>
      <c r="Y29" s="32"/>
      <c r="Z29" s="30"/>
      <c r="AA29" s="32"/>
      <c r="AB29" s="30"/>
      <c r="AC29" s="32"/>
      <c r="AD29" s="30"/>
      <c r="AE29" s="32"/>
      <c r="AF29" s="30"/>
      <c r="AG29" s="32"/>
    </row>
    <row r="30" spans="1:33" x14ac:dyDescent="0.3">
      <c r="A30" s="12"/>
      <c r="B30" s="13"/>
      <c r="C30" s="14"/>
      <c r="D30" s="14"/>
      <c r="E30" s="26"/>
      <c r="F30" s="26"/>
      <c r="G30" s="26"/>
      <c r="H30" s="26"/>
      <c r="I30" s="26"/>
      <c r="J30" s="21"/>
      <c r="K30" s="14"/>
      <c r="L30" s="15"/>
      <c r="M30" s="16"/>
      <c r="N30" s="15"/>
      <c r="O30" s="16"/>
      <c r="P30" s="15"/>
      <c r="Q30" s="14"/>
      <c r="R30" s="33"/>
      <c r="S30" s="34"/>
      <c r="T30" s="33"/>
      <c r="U30" s="34"/>
      <c r="V30" s="33">
        <v>26</v>
      </c>
      <c r="W30" s="33" t="s">
        <v>169</v>
      </c>
      <c r="X30" s="34"/>
      <c r="Y30" s="34"/>
      <c r="Z30" s="33"/>
      <c r="AA30" s="34"/>
      <c r="AB30" s="33"/>
      <c r="AC30" s="34"/>
      <c r="AD30" s="33"/>
      <c r="AE30" s="34"/>
      <c r="AF30" s="33"/>
      <c r="AG30" s="34"/>
    </row>
    <row r="31" spans="1:33" x14ac:dyDescent="0.3">
      <c r="M31" s="3">
        <f>SUM(M5:M30)</f>
        <v>0</v>
      </c>
      <c r="O31" s="3">
        <f>SUM(O5:O30)</f>
        <v>0</v>
      </c>
    </row>
    <row r="32" spans="1:33" x14ac:dyDescent="0.3">
      <c r="M32" s="2"/>
      <c r="O32" s="2"/>
      <c r="P32" s="2"/>
      <c r="R32" s="2"/>
      <c r="T32" s="2"/>
      <c r="V32" s="2"/>
      <c r="X32" s="2"/>
    </row>
    <row r="33" spans="13:24" x14ac:dyDescent="0.3">
      <c r="M33" s="2"/>
      <c r="O33" s="2"/>
      <c r="P33" s="2"/>
      <c r="R33" s="2"/>
      <c r="T33" s="2"/>
      <c r="V33" s="2"/>
      <c r="X33" s="2"/>
    </row>
    <row r="34" spans="13:24" x14ac:dyDescent="0.3">
      <c r="M34" s="2"/>
      <c r="O34" s="2"/>
      <c r="P34" s="2"/>
      <c r="R34" s="2"/>
      <c r="T34" s="2"/>
      <c r="V34" s="2"/>
      <c r="X34" s="2"/>
    </row>
    <row r="35" spans="13:24" x14ac:dyDescent="0.3">
      <c r="M35" s="2"/>
      <c r="O35" s="2"/>
      <c r="P35" s="2"/>
      <c r="R35" s="2"/>
      <c r="T35" s="2"/>
      <c r="V35" s="2"/>
      <c r="X35" s="2"/>
    </row>
    <row r="36" spans="13:24" x14ac:dyDescent="0.3">
      <c r="M36" s="2"/>
      <c r="O36" s="2"/>
      <c r="P36" s="2"/>
      <c r="R36" s="2"/>
      <c r="T36" s="2"/>
      <c r="V36" s="2"/>
      <c r="X36" s="2"/>
    </row>
    <row r="37" spans="13:24" x14ac:dyDescent="0.3">
      <c r="M37" s="2"/>
      <c r="O37" s="2"/>
      <c r="P37" s="2"/>
      <c r="R37" s="2"/>
      <c r="T37" s="2"/>
      <c r="V37" s="2"/>
      <c r="X37" s="2"/>
    </row>
    <row r="38" spans="13:24" x14ac:dyDescent="0.3">
      <c r="M38" s="2"/>
      <c r="O38" s="2"/>
      <c r="P38" s="2"/>
      <c r="R38" s="2"/>
      <c r="T38" s="2"/>
      <c r="V38" s="2"/>
      <c r="X38" s="2"/>
    </row>
    <row r="39" spans="13:24" x14ac:dyDescent="0.3">
      <c r="M39" s="2"/>
      <c r="O39" s="2"/>
      <c r="P39" s="2"/>
      <c r="R39" s="2"/>
      <c r="T39" s="2"/>
      <c r="V39" s="2"/>
      <c r="X39" s="2"/>
    </row>
    <row r="40" spans="13:24" x14ac:dyDescent="0.3">
      <c r="M40" s="2"/>
      <c r="O40" s="2"/>
      <c r="P40" s="2"/>
      <c r="R40" s="2"/>
      <c r="T40" s="2"/>
      <c r="V40" s="2"/>
      <c r="X40" s="2"/>
    </row>
    <row r="41" spans="13:24" x14ac:dyDescent="0.3">
      <c r="M41" s="2"/>
      <c r="O41" s="2"/>
      <c r="P41" s="2"/>
      <c r="R41" s="2"/>
      <c r="T41" s="2"/>
      <c r="V41" s="2"/>
      <c r="X41" s="2"/>
    </row>
    <row r="42" spans="13:24" x14ac:dyDescent="0.3">
      <c r="M42" s="2"/>
      <c r="O42" s="2"/>
      <c r="P42" s="2"/>
      <c r="R42" s="2"/>
      <c r="T42" s="2"/>
      <c r="V42" s="2"/>
      <c r="X42" s="2"/>
    </row>
    <row r="43" spans="13:24" x14ac:dyDescent="0.3">
      <c r="M43" s="2"/>
      <c r="O43" s="2"/>
      <c r="P43" s="2"/>
      <c r="R43" s="2"/>
      <c r="T43" s="2"/>
      <c r="V43" s="2"/>
      <c r="X43" s="2"/>
    </row>
    <row r="44" spans="13:24" x14ac:dyDescent="0.3">
      <c r="M44" s="2"/>
      <c r="O44" s="2"/>
      <c r="P44" s="2"/>
      <c r="R44" s="2"/>
      <c r="T44" s="2"/>
      <c r="V44" s="2"/>
      <c r="X44" s="2"/>
    </row>
    <row r="45" spans="13:24" x14ac:dyDescent="0.3">
      <c r="M45" s="2"/>
      <c r="O45" s="2"/>
      <c r="P45" s="2"/>
      <c r="R45" s="2"/>
      <c r="T45" s="2"/>
      <c r="V45" s="2"/>
      <c r="X45" s="2"/>
    </row>
    <row r="46" spans="13:24" x14ac:dyDescent="0.3">
      <c r="M46" s="2"/>
      <c r="O46" s="2"/>
      <c r="P46" s="2"/>
      <c r="R46" s="2"/>
      <c r="T46" s="2"/>
      <c r="V46" s="2"/>
      <c r="X46" s="2"/>
    </row>
    <row r="47" spans="13:24" x14ac:dyDescent="0.3">
      <c r="M47" s="2"/>
      <c r="O47" s="2"/>
      <c r="P47" s="2"/>
      <c r="R47" s="2"/>
      <c r="T47" s="2"/>
      <c r="V47" s="2"/>
      <c r="X47" s="2"/>
    </row>
    <row r="48" spans="13:24" x14ac:dyDescent="0.3">
      <c r="M48" s="2"/>
      <c r="O48" s="2"/>
      <c r="P48" s="2"/>
      <c r="R48" s="2"/>
      <c r="T48" s="2"/>
      <c r="V48" s="2"/>
      <c r="X48" s="2"/>
    </row>
    <row r="49" spans="13:24" x14ac:dyDescent="0.3">
      <c r="M49" s="2"/>
      <c r="O49" s="2"/>
      <c r="P49" s="2"/>
      <c r="R49" s="2"/>
      <c r="T49" s="2"/>
      <c r="V49" s="2"/>
      <c r="X49" s="2"/>
    </row>
    <row r="50" spans="13:24" x14ac:dyDescent="0.3">
      <c r="M50" s="2"/>
      <c r="O50" s="2"/>
      <c r="P50" s="2"/>
      <c r="R50" s="2"/>
      <c r="T50" s="2"/>
      <c r="V50" s="2"/>
      <c r="X50" s="2"/>
    </row>
    <row r="51" spans="13:24" x14ac:dyDescent="0.3">
      <c r="M51" s="2"/>
      <c r="O51" s="2"/>
      <c r="P51" s="2"/>
      <c r="R51" s="2"/>
      <c r="T51" s="2"/>
      <c r="V51" s="2"/>
      <c r="X51" s="2"/>
    </row>
    <row r="52" spans="13:24" x14ac:dyDescent="0.3">
      <c r="M52" s="2"/>
      <c r="O52" s="2"/>
      <c r="P52" s="2"/>
      <c r="R52" s="2"/>
      <c r="T52" s="2"/>
      <c r="V52" s="2"/>
      <c r="X52" s="2"/>
    </row>
    <row r="53" spans="13:24" x14ac:dyDescent="0.3">
      <c r="M53" s="2"/>
      <c r="O53" s="2"/>
      <c r="P53" s="2"/>
      <c r="R53" s="2"/>
      <c r="T53" s="2"/>
      <c r="V53" s="2"/>
      <c r="X53" s="2"/>
    </row>
    <row r="54" spans="13:24" x14ac:dyDescent="0.3">
      <c r="M54" s="2"/>
      <c r="O54" s="2"/>
      <c r="P54" s="2"/>
      <c r="R54" s="2"/>
      <c r="T54" s="2"/>
      <c r="V54" s="2"/>
      <c r="X54" s="2"/>
    </row>
    <row r="55" spans="13:24" x14ac:dyDescent="0.3">
      <c r="M55" s="2"/>
      <c r="O55" s="2"/>
      <c r="P55" s="2"/>
      <c r="R55" s="2"/>
      <c r="T55" s="2"/>
      <c r="V55" s="2"/>
      <c r="X55" s="2"/>
    </row>
    <row r="56" spans="13:24" x14ac:dyDescent="0.3">
      <c r="M56" s="2"/>
      <c r="O56" s="2"/>
      <c r="P56" s="2"/>
      <c r="R56" s="2"/>
      <c r="T56" s="2"/>
      <c r="V56" s="2"/>
      <c r="X56" s="2"/>
    </row>
    <row r="57" spans="13:24" x14ac:dyDescent="0.3">
      <c r="M57" s="2"/>
      <c r="O57" s="2"/>
      <c r="P57" s="2"/>
      <c r="R57" s="2"/>
      <c r="T57" s="2"/>
      <c r="V57" s="2"/>
      <c r="X57" s="2"/>
    </row>
    <row r="58" spans="13:24" x14ac:dyDescent="0.3">
      <c r="M58" s="2"/>
      <c r="O58" s="2"/>
      <c r="P58" s="2"/>
      <c r="R58" s="2"/>
      <c r="T58" s="2"/>
      <c r="V58" s="2"/>
      <c r="X58" s="2"/>
    </row>
    <row r="59" spans="13:24" x14ac:dyDescent="0.3">
      <c r="M59" s="2"/>
      <c r="O59" s="2"/>
      <c r="P59" s="2"/>
      <c r="R59" s="2"/>
      <c r="T59" s="2"/>
      <c r="V59" s="2"/>
      <c r="X59" s="2"/>
    </row>
    <row r="60" spans="13:24" x14ac:dyDescent="0.3">
      <c r="M60" s="2"/>
      <c r="O60" s="2"/>
      <c r="P60" s="2"/>
      <c r="R60" s="2"/>
      <c r="T60" s="2"/>
      <c r="V60" s="2"/>
      <c r="X60" s="2"/>
    </row>
    <row r="61" spans="13:24" x14ac:dyDescent="0.3">
      <c r="M61" s="2"/>
      <c r="O61" s="2"/>
      <c r="P61" s="2"/>
      <c r="R61" s="2"/>
      <c r="T61" s="2"/>
      <c r="V61" s="2"/>
      <c r="X61" s="2"/>
    </row>
    <row r="62" spans="13:24" x14ac:dyDescent="0.3">
      <c r="M62" s="2"/>
      <c r="O62" s="2"/>
      <c r="P62" s="2"/>
      <c r="R62" s="2"/>
      <c r="T62" s="2"/>
      <c r="V62" s="2"/>
      <c r="X62" s="2"/>
    </row>
    <row r="63" spans="13:24" x14ac:dyDescent="0.3">
      <c r="M63" s="2"/>
      <c r="O63" s="2"/>
      <c r="P63" s="2"/>
      <c r="R63" s="2"/>
      <c r="T63" s="2"/>
      <c r="V63" s="2"/>
      <c r="X63" s="2"/>
    </row>
    <row r="64" spans="13:24" x14ac:dyDescent="0.3">
      <c r="M64" s="2"/>
      <c r="O64" s="2"/>
      <c r="P64" s="2"/>
      <c r="R64" s="2"/>
      <c r="T64" s="2"/>
      <c r="V64" s="2"/>
      <c r="X64" s="2"/>
    </row>
    <row r="65" spans="13:24" x14ac:dyDescent="0.3">
      <c r="M65" s="2"/>
      <c r="O65" s="2"/>
      <c r="P65" s="2"/>
      <c r="R65" s="2"/>
      <c r="T65" s="2"/>
      <c r="V65" s="2"/>
      <c r="X65" s="2"/>
    </row>
    <row r="66" spans="13:24" x14ac:dyDescent="0.3">
      <c r="M66" s="2"/>
      <c r="O66" s="2"/>
      <c r="P66" s="2"/>
      <c r="R66" s="2"/>
      <c r="T66" s="2"/>
      <c r="V66" s="2"/>
      <c r="X66" s="2"/>
    </row>
    <row r="67" spans="13:24" x14ac:dyDescent="0.3">
      <c r="M67" s="2"/>
      <c r="O67" s="2"/>
      <c r="P67" s="2"/>
      <c r="R67" s="2"/>
      <c r="T67" s="2"/>
      <c r="V67" s="2"/>
      <c r="X67" s="2"/>
    </row>
    <row r="68" spans="13:24" x14ac:dyDescent="0.3">
      <c r="M68" s="2"/>
      <c r="O68" s="2"/>
      <c r="P68" s="2"/>
      <c r="R68" s="2"/>
      <c r="T68" s="2"/>
      <c r="V68" s="2"/>
      <c r="X68" s="2"/>
    </row>
    <row r="69" spans="13:24" x14ac:dyDescent="0.3">
      <c r="M69" s="2"/>
      <c r="O69" s="2"/>
      <c r="P69" s="2"/>
      <c r="R69" s="2"/>
      <c r="T69" s="2"/>
      <c r="V69" s="2"/>
      <c r="X69" s="2"/>
    </row>
    <row r="70" spans="13:24" x14ac:dyDescent="0.3">
      <c r="M70" s="2"/>
      <c r="O70" s="2"/>
      <c r="P70" s="2"/>
      <c r="R70" s="2"/>
      <c r="T70" s="2"/>
      <c r="V70" s="2"/>
      <c r="X70" s="2"/>
    </row>
    <row r="71" spans="13:24" x14ac:dyDescent="0.3">
      <c r="M71" s="2"/>
      <c r="O71" s="2"/>
      <c r="P71" s="2"/>
      <c r="R71" s="2"/>
      <c r="T71" s="2"/>
      <c r="V71" s="2"/>
      <c r="X71" s="2"/>
    </row>
    <row r="72" spans="13:24" x14ac:dyDescent="0.3">
      <c r="M72" s="2"/>
      <c r="O72" s="2"/>
      <c r="P72" s="2"/>
      <c r="R72" s="2"/>
      <c r="T72" s="2"/>
      <c r="V72" s="2"/>
      <c r="X72" s="2"/>
    </row>
  </sheetData>
  <mergeCells count="10">
    <mergeCell ref="R2:AG2"/>
    <mergeCell ref="A2:A4"/>
    <mergeCell ref="L2:M4"/>
    <mergeCell ref="P2:Q4"/>
    <mergeCell ref="B2:C4"/>
    <mergeCell ref="F2:G4"/>
    <mergeCell ref="D2:E4"/>
    <mergeCell ref="H2:I4"/>
    <mergeCell ref="J2:K4"/>
    <mergeCell ref="N2:O4"/>
  </mergeCells>
  <phoneticPr fontId="4" type="noConversion"/>
  <pageMargins left="0.69999998807907104" right="0.69999998807907104" top="0.75" bottom="0.75" header="0.30000001192092896" footer="0.30000001192092896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2:G161"/>
  <sheetViews>
    <sheetView tabSelected="1" zoomScale="90" zoomScaleNormal="90" zoomScaleSheetLayoutView="75" workbookViewId="0">
      <selection activeCell="A24" sqref="A24"/>
    </sheetView>
  </sheetViews>
  <sheetFormatPr defaultColWidth="9" defaultRowHeight="16.5" x14ac:dyDescent="0.3"/>
  <cols>
    <col min="1" max="1" width="5.5" style="2" customWidth="1"/>
    <col min="2" max="2" width="16.375" style="2" customWidth="1"/>
    <col min="3" max="3" width="29.125" style="35" bestFit="1" customWidth="1"/>
    <col min="4" max="4" width="12.625" style="2" customWidth="1"/>
    <col min="5" max="5" width="11.875" style="35" bestFit="1" customWidth="1"/>
    <col min="6" max="6" width="17.75" style="2" customWidth="1"/>
    <col min="7" max="7" width="8.75" style="2" customWidth="1"/>
    <col min="8" max="16384" width="9" style="2"/>
  </cols>
  <sheetData>
    <row r="2" spans="1:4" x14ac:dyDescent="0.3">
      <c r="A2" s="2">
        <v>1</v>
      </c>
      <c r="B2" s="2" t="s">
        <v>161</v>
      </c>
      <c r="C2" s="36" t="s">
        <v>210</v>
      </c>
    </row>
    <row r="4" spans="1:4" x14ac:dyDescent="0.3">
      <c r="A4" s="2">
        <v>2</v>
      </c>
      <c r="B4" s="2" t="s">
        <v>36</v>
      </c>
      <c r="C4" s="36" t="s">
        <v>169</v>
      </c>
    </row>
    <row r="6" spans="1:4" x14ac:dyDescent="0.3">
      <c r="A6" s="2">
        <v>3</v>
      </c>
      <c r="B6" s="2" t="s">
        <v>142</v>
      </c>
      <c r="C6" s="2" t="s">
        <v>148</v>
      </c>
      <c r="D6" s="35" t="s">
        <v>34</v>
      </c>
    </row>
    <row r="7" spans="1:4" x14ac:dyDescent="0.3">
      <c r="C7" s="37">
        <v>3750</v>
      </c>
      <c r="D7" s="36">
        <f>+C7/3.3058</f>
        <v>1134.369895335471</v>
      </c>
    </row>
    <row r="9" spans="1:4" x14ac:dyDescent="0.3">
      <c r="A9" s="2">
        <v>4</v>
      </c>
      <c r="B9" s="2" t="s">
        <v>128</v>
      </c>
      <c r="C9" s="36" t="s">
        <v>149</v>
      </c>
    </row>
    <row r="11" spans="1:4" x14ac:dyDescent="0.3">
      <c r="A11" s="2">
        <v>5</v>
      </c>
      <c r="B11" s="2" t="s">
        <v>68</v>
      </c>
      <c r="C11" s="36" t="s">
        <v>114</v>
      </c>
    </row>
    <row r="13" spans="1:4" x14ac:dyDescent="0.3">
      <c r="A13" s="2">
        <v>6</v>
      </c>
      <c r="B13" s="2" t="s">
        <v>154</v>
      </c>
      <c r="C13" s="36" t="s">
        <v>200</v>
      </c>
    </row>
    <row r="15" spans="1:4" x14ac:dyDescent="0.3">
      <c r="A15" s="2">
        <v>7</v>
      </c>
      <c r="B15" s="2" t="s">
        <v>76</v>
      </c>
      <c r="C15" s="36" t="s">
        <v>156</v>
      </c>
    </row>
    <row r="17" spans="1:5" x14ac:dyDescent="0.3">
      <c r="A17" s="79">
        <v>8</v>
      </c>
      <c r="B17" s="79" t="s">
        <v>219</v>
      </c>
      <c r="C17" s="80"/>
    </row>
    <row r="18" spans="1:5" x14ac:dyDescent="0.3">
      <c r="A18" s="79"/>
      <c r="B18" s="79"/>
      <c r="C18" s="80"/>
    </row>
    <row r="19" spans="1:5" x14ac:dyDescent="0.3">
      <c r="A19" s="79">
        <v>9</v>
      </c>
      <c r="B19" s="79" t="s">
        <v>220</v>
      </c>
      <c r="C19" s="80"/>
    </row>
    <row r="23" spans="1:5" x14ac:dyDescent="0.3">
      <c r="A23" s="2">
        <v>10</v>
      </c>
      <c r="B23" s="2" t="s">
        <v>137</v>
      </c>
      <c r="C23" s="2" t="s">
        <v>140</v>
      </c>
      <c r="D23" s="2" t="s">
        <v>101</v>
      </c>
      <c r="E23" s="35" t="s">
        <v>85</v>
      </c>
    </row>
    <row r="24" spans="1:5" x14ac:dyDescent="0.3">
      <c r="B24" s="2">
        <v>1</v>
      </c>
      <c r="C24" s="35" t="s">
        <v>38</v>
      </c>
      <c r="D24" s="41">
        <f>+D37</f>
        <v>0</v>
      </c>
      <c r="E24" s="58">
        <f t="shared" ref="E24:E33" si="0">TRUNC(+D24*3.3058,-1)</f>
        <v>0</v>
      </c>
    </row>
    <row r="25" spans="1:5" x14ac:dyDescent="0.3">
      <c r="B25" s="2">
        <v>2</v>
      </c>
      <c r="C25" s="35" t="s">
        <v>201</v>
      </c>
      <c r="D25" s="45">
        <f>+D60</f>
        <v>779980</v>
      </c>
      <c r="E25" s="59">
        <f t="shared" si="0"/>
        <v>2578450</v>
      </c>
    </row>
    <row r="26" spans="1:5" x14ac:dyDescent="0.3">
      <c r="B26" s="2">
        <v>3</v>
      </c>
      <c r="C26" s="35" t="s">
        <v>144</v>
      </c>
      <c r="D26" s="45">
        <f>+D66</f>
        <v>72070</v>
      </c>
      <c r="E26" s="59">
        <f t="shared" si="0"/>
        <v>238240</v>
      </c>
    </row>
    <row r="27" spans="1:5" x14ac:dyDescent="0.3">
      <c r="B27" s="2">
        <v>4</v>
      </c>
      <c r="C27" s="35" t="s">
        <v>197</v>
      </c>
      <c r="D27" s="45">
        <f>+D95</f>
        <v>124860</v>
      </c>
      <c r="E27" s="59">
        <f t="shared" si="0"/>
        <v>412760</v>
      </c>
    </row>
    <row r="28" spans="1:5" x14ac:dyDescent="0.3">
      <c r="B28" s="2">
        <v>5</v>
      </c>
      <c r="C28" s="35" t="s">
        <v>155</v>
      </c>
      <c r="D28" s="45">
        <f>+D119</f>
        <v>296250</v>
      </c>
      <c r="E28" s="59">
        <f t="shared" si="0"/>
        <v>979340</v>
      </c>
    </row>
    <row r="29" spans="1:5" x14ac:dyDescent="0.3">
      <c r="B29" s="2">
        <v>6</v>
      </c>
      <c r="C29" s="35" t="s">
        <v>174</v>
      </c>
      <c r="D29" s="45">
        <f>+D133</f>
        <v>66810</v>
      </c>
      <c r="E29" s="59">
        <f t="shared" si="0"/>
        <v>220860</v>
      </c>
    </row>
    <row r="30" spans="1:5" x14ac:dyDescent="0.3">
      <c r="B30" s="2">
        <v>7</v>
      </c>
      <c r="C30" s="35" t="s">
        <v>194</v>
      </c>
      <c r="D30" s="45">
        <f>+D146</f>
        <v>90760</v>
      </c>
      <c r="E30" s="59">
        <f t="shared" si="0"/>
        <v>300030</v>
      </c>
    </row>
    <row r="31" spans="1:5" x14ac:dyDescent="0.3">
      <c r="B31" s="2">
        <v>8</v>
      </c>
      <c r="C31" s="35" t="s">
        <v>193</v>
      </c>
      <c r="D31" s="45">
        <f>+D154</f>
        <v>16810</v>
      </c>
      <c r="E31" s="59">
        <f t="shared" si="0"/>
        <v>55570</v>
      </c>
    </row>
    <row r="32" spans="1:5" x14ac:dyDescent="0.3">
      <c r="B32" s="2">
        <v>9</v>
      </c>
      <c r="C32" s="35" t="s">
        <v>199</v>
      </c>
      <c r="D32" s="45">
        <f>+D161</f>
        <v>0</v>
      </c>
      <c r="E32" s="59">
        <f t="shared" si="0"/>
        <v>0</v>
      </c>
    </row>
    <row r="33" spans="1:7" x14ac:dyDescent="0.3">
      <c r="B33" s="2">
        <v>10</v>
      </c>
      <c r="C33" s="35" t="s">
        <v>21</v>
      </c>
      <c r="D33" s="53">
        <f>TRUNC(SUM(D24:D32)*0.275,-1)</f>
        <v>398070</v>
      </c>
      <c r="E33" s="60">
        <f t="shared" si="0"/>
        <v>1315930</v>
      </c>
    </row>
    <row r="34" spans="1:7" x14ac:dyDescent="0.3">
      <c r="C34" s="35" t="s">
        <v>153</v>
      </c>
      <c r="D34" s="44">
        <f>SUM(D24:D33)</f>
        <v>1845610</v>
      </c>
      <c r="E34" s="44">
        <f>SUM(E24:E33)</f>
        <v>6101180</v>
      </c>
    </row>
    <row r="35" spans="1:7" s="56" customFormat="1" x14ac:dyDescent="0.3">
      <c r="C35" s="57"/>
      <c r="D35" s="57"/>
      <c r="E35" s="57"/>
      <c r="G35" s="55"/>
    </row>
    <row r="36" spans="1:7" s="56" customFormat="1" x14ac:dyDescent="0.3">
      <c r="B36" s="56" t="s">
        <v>38</v>
      </c>
      <c r="C36" s="56" t="s">
        <v>140</v>
      </c>
      <c r="D36" s="57" t="s">
        <v>101</v>
      </c>
      <c r="E36" s="57" t="s">
        <v>85</v>
      </c>
      <c r="G36" s="55"/>
    </row>
    <row r="37" spans="1:7" x14ac:dyDescent="0.3">
      <c r="C37" s="38" t="s">
        <v>38</v>
      </c>
      <c r="D37" s="52">
        <v>0</v>
      </c>
      <c r="E37" s="61">
        <f>TRUNC(+D37*3.3058,-1)</f>
        <v>0</v>
      </c>
    </row>
    <row r="38" spans="1:7" s="56" customFormat="1" x14ac:dyDescent="0.3">
      <c r="C38" s="57"/>
      <c r="D38" s="57"/>
      <c r="E38" s="57"/>
      <c r="G38" s="55"/>
    </row>
    <row r="39" spans="1:7" s="56" customFormat="1" x14ac:dyDescent="0.3">
      <c r="B39" s="56" t="s">
        <v>201</v>
      </c>
      <c r="C39" s="56" t="s">
        <v>140</v>
      </c>
      <c r="D39" s="57" t="s">
        <v>101</v>
      </c>
      <c r="E39" s="57" t="s">
        <v>85</v>
      </c>
      <c r="G39" s="55"/>
    </row>
    <row r="40" spans="1:7" x14ac:dyDescent="0.3">
      <c r="A40" s="2">
        <v>1</v>
      </c>
      <c r="C40" s="38" t="s">
        <v>190</v>
      </c>
      <c r="D40" s="40">
        <f>TRUNC(43958,-1)</f>
        <v>43950</v>
      </c>
      <c r="E40" s="62">
        <f t="shared" ref="E40:E59" si="1">TRUNC(+D40*3.3058,-1)</f>
        <v>145280</v>
      </c>
    </row>
    <row r="41" spans="1:7" x14ac:dyDescent="0.3">
      <c r="A41" s="2">
        <v>2</v>
      </c>
      <c r="C41" s="38" t="s">
        <v>44</v>
      </c>
      <c r="D41" s="42">
        <f>TRUNC(135704,-1)</f>
        <v>135700</v>
      </c>
      <c r="E41" s="63">
        <f t="shared" si="1"/>
        <v>448590</v>
      </c>
    </row>
    <row r="42" spans="1:7" x14ac:dyDescent="0.3">
      <c r="A42" s="2">
        <v>3</v>
      </c>
      <c r="C42" s="38" t="s">
        <v>195</v>
      </c>
      <c r="D42" s="42">
        <f>TRUNC(78157,-1)</f>
        <v>78150</v>
      </c>
      <c r="E42" s="63">
        <f t="shared" si="1"/>
        <v>258340</v>
      </c>
    </row>
    <row r="43" spans="1:7" x14ac:dyDescent="0.3">
      <c r="A43" s="2">
        <v>4</v>
      </c>
      <c r="C43" s="38" t="s">
        <v>196</v>
      </c>
      <c r="D43" s="42">
        <f>TRUNC(27080,-1)</f>
        <v>27080</v>
      </c>
      <c r="E43" s="63">
        <f t="shared" si="1"/>
        <v>89520</v>
      </c>
    </row>
    <row r="44" spans="1:7" x14ac:dyDescent="0.3">
      <c r="A44" s="2">
        <v>5</v>
      </c>
      <c r="C44" s="38" t="s">
        <v>203</v>
      </c>
      <c r="D44" s="42">
        <f>TRUNC(19023,-1)</f>
        <v>19020</v>
      </c>
      <c r="E44" s="63">
        <f t="shared" si="1"/>
        <v>62870</v>
      </c>
    </row>
    <row r="45" spans="1:7" x14ac:dyDescent="0.3">
      <c r="A45" s="2">
        <v>6</v>
      </c>
      <c r="C45" s="38" t="s">
        <v>198</v>
      </c>
      <c r="D45" s="42">
        <f>TRUNC(8415,-1)</f>
        <v>8410</v>
      </c>
      <c r="E45" s="63">
        <f t="shared" si="1"/>
        <v>27800</v>
      </c>
    </row>
    <row r="46" spans="1:7" x14ac:dyDescent="0.3">
      <c r="A46" s="2">
        <v>7</v>
      </c>
      <c r="C46" s="38" t="s">
        <v>189</v>
      </c>
      <c r="D46" s="42">
        <f>TRUNC(2701,-1)</f>
        <v>2700</v>
      </c>
      <c r="E46" s="63">
        <f t="shared" si="1"/>
        <v>8920</v>
      </c>
    </row>
    <row r="47" spans="1:7" x14ac:dyDescent="0.3">
      <c r="A47" s="2">
        <v>8</v>
      </c>
      <c r="C47" s="38" t="s">
        <v>166</v>
      </c>
      <c r="D47" s="42">
        <v>0</v>
      </c>
      <c r="E47" s="63">
        <f t="shared" si="1"/>
        <v>0</v>
      </c>
    </row>
    <row r="48" spans="1:7" x14ac:dyDescent="0.3">
      <c r="A48" s="2">
        <v>9</v>
      </c>
      <c r="C48" s="38" t="s">
        <v>178</v>
      </c>
      <c r="D48" s="42">
        <f>TRUNC(38567,-1)</f>
        <v>38560</v>
      </c>
      <c r="E48" s="63">
        <f t="shared" si="1"/>
        <v>127470</v>
      </c>
      <c r="F48" s="2" t="s">
        <v>211</v>
      </c>
    </row>
    <row r="49" spans="1:7" x14ac:dyDescent="0.3">
      <c r="A49" s="2">
        <v>10</v>
      </c>
      <c r="C49" s="38" t="s">
        <v>183</v>
      </c>
      <c r="D49" s="42">
        <f>TRUNC(40003,-1)</f>
        <v>40000</v>
      </c>
      <c r="E49" s="63">
        <f t="shared" si="1"/>
        <v>132230</v>
      </c>
    </row>
    <row r="50" spans="1:7" x14ac:dyDescent="0.3">
      <c r="A50" s="2">
        <v>11</v>
      </c>
      <c r="C50" s="38" t="s">
        <v>150</v>
      </c>
      <c r="D50" s="42">
        <f>TRUNC(73927,-1)</f>
        <v>73920</v>
      </c>
      <c r="E50" s="63">
        <f t="shared" si="1"/>
        <v>244360</v>
      </c>
      <c r="F50" s="2" t="s">
        <v>212</v>
      </c>
    </row>
    <row r="51" spans="1:7" x14ac:dyDescent="0.3">
      <c r="A51" s="2">
        <v>12</v>
      </c>
      <c r="C51" s="38" t="s">
        <v>186</v>
      </c>
      <c r="D51" s="42">
        <v>0</v>
      </c>
      <c r="E51" s="63">
        <f t="shared" si="1"/>
        <v>0</v>
      </c>
    </row>
    <row r="52" spans="1:7" x14ac:dyDescent="0.3">
      <c r="A52" s="2">
        <v>13</v>
      </c>
      <c r="C52" s="38" t="s">
        <v>191</v>
      </c>
      <c r="D52" s="42">
        <f>TRUNC(11399,-1)</f>
        <v>11390</v>
      </c>
      <c r="E52" s="63">
        <f t="shared" si="1"/>
        <v>37650</v>
      </c>
    </row>
    <row r="53" spans="1:7" x14ac:dyDescent="0.3">
      <c r="A53" s="2">
        <v>14</v>
      </c>
      <c r="C53" s="38" t="s">
        <v>172</v>
      </c>
      <c r="D53" s="42">
        <f>TRUNC(38986,-1)</f>
        <v>38980</v>
      </c>
      <c r="E53" s="63">
        <f t="shared" si="1"/>
        <v>128860</v>
      </c>
      <c r="F53" s="2" t="s">
        <v>206</v>
      </c>
    </row>
    <row r="54" spans="1:7" x14ac:dyDescent="0.3">
      <c r="A54" s="2">
        <v>15</v>
      </c>
      <c r="C54" s="38" t="s">
        <v>92</v>
      </c>
      <c r="D54" s="42">
        <v>0</v>
      </c>
      <c r="E54" s="63">
        <f t="shared" si="1"/>
        <v>0</v>
      </c>
    </row>
    <row r="55" spans="1:7" x14ac:dyDescent="0.3">
      <c r="A55" s="2">
        <v>16</v>
      </c>
      <c r="C55" s="38" t="s">
        <v>93</v>
      </c>
      <c r="D55" s="42">
        <v>0</v>
      </c>
      <c r="E55" s="63">
        <f t="shared" si="1"/>
        <v>0</v>
      </c>
    </row>
    <row r="56" spans="1:7" x14ac:dyDescent="0.3">
      <c r="A56" s="2">
        <v>17</v>
      </c>
      <c r="C56" s="38" t="s">
        <v>145</v>
      </c>
      <c r="D56" s="42">
        <v>0</v>
      </c>
      <c r="E56" s="63">
        <f t="shared" si="1"/>
        <v>0</v>
      </c>
    </row>
    <row r="57" spans="1:7" x14ac:dyDescent="0.3">
      <c r="A57" s="2">
        <v>18</v>
      </c>
      <c r="C57" s="38" t="s">
        <v>146</v>
      </c>
      <c r="D57" s="42">
        <v>0</v>
      </c>
      <c r="E57" s="63">
        <f t="shared" si="1"/>
        <v>0</v>
      </c>
    </row>
    <row r="58" spans="1:7" x14ac:dyDescent="0.3">
      <c r="A58" s="2">
        <v>19</v>
      </c>
      <c r="C58" s="38" t="s">
        <v>185</v>
      </c>
      <c r="D58" s="42">
        <f>TRUNC(30238+4234-1096+7728,-1)</f>
        <v>41100</v>
      </c>
      <c r="E58" s="63">
        <f t="shared" si="1"/>
        <v>135860</v>
      </c>
      <c r="F58" s="2" t="s">
        <v>207</v>
      </c>
    </row>
    <row r="59" spans="1:7" x14ac:dyDescent="0.3">
      <c r="A59" s="2">
        <v>20</v>
      </c>
      <c r="C59" s="38" t="s">
        <v>122</v>
      </c>
      <c r="D59" s="43">
        <f>TRUNC(221027,-1)</f>
        <v>221020</v>
      </c>
      <c r="E59" s="64">
        <f t="shared" si="1"/>
        <v>730640</v>
      </c>
    </row>
    <row r="60" spans="1:7" x14ac:dyDescent="0.3">
      <c r="A60" s="2">
        <v>21</v>
      </c>
      <c r="C60" s="27" t="s">
        <v>153</v>
      </c>
      <c r="D60" s="39">
        <f>SUM(D40:D59)</f>
        <v>779980</v>
      </c>
      <c r="E60" s="39">
        <f>SUM(E40:E59)</f>
        <v>2578390</v>
      </c>
    </row>
    <row r="61" spans="1:7" s="56" customFormat="1" x14ac:dyDescent="0.3">
      <c r="C61" s="57"/>
      <c r="D61" s="57"/>
      <c r="E61" s="57"/>
      <c r="G61" s="55"/>
    </row>
    <row r="62" spans="1:7" s="56" customFormat="1" x14ac:dyDescent="0.3">
      <c r="B62" s="56" t="s">
        <v>99</v>
      </c>
      <c r="C62" s="56" t="s">
        <v>140</v>
      </c>
      <c r="D62" s="57" t="s">
        <v>101</v>
      </c>
      <c r="E62" s="57" t="s">
        <v>85</v>
      </c>
      <c r="G62" s="55"/>
    </row>
    <row r="63" spans="1:7" x14ac:dyDescent="0.3">
      <c r="A63" s="2">
        <v>1</v>
      </c>
      <c r="C63" s="38" t="s">
        <v>177</v>
      </c>
      <c r="D63" s="40">
        <f>TRUNC(36347,-1)</f>
        <v>36340</v>
      </c>
      <c r="E63" s="62">
        <f>TRUNC(+D63*3.3058,-1)</f>
        <v>120130</v>
      </c>
    </row>
    <row r="64" spans="1:7" x14ac:dyDescent="0.3">
      <c r="A64" s="2">
        <v>2</v>
      </c>
      <c r="C64" s="38" t="s">
        <v>175</v>
      </c>
      <c r="D64" s="42">
        <v>0</v>
      </c>
      <c r="E64" s="63">
        <f>TRUNC(+D64*3.3058,-1)</f>
        <v>0</v>
      </c>
    </row>
    <row r="65" spans="1:7" x14ac:dyDescent="0.3">
      <c r="A65" s="2">
        <v>3</v>
      </c>
      <c r="C65" s="38" t="s">
        <v>40</v>
      </c>
      <c r="D65" s="43">
        <f>TRUNC(35738,-1)</f>
        <v>35730</v>
      </c>
      <c r="E65" s="64">
        <f>TRUNC(+D65*3.3058,-1)</f>
        <v>118110</v>
      </c>
    </row>
    <row r="66" spans="1:7" x14ac:dyDescent="0.3">
      <c r="A66" s="2">
        <v>4</v>
      </c>
      <c r="C66" s="27" t="s">
        <v>153</v>
      </c>
      <c r="D66" s="39">
        <f>SUM(D63:D65)</f>
        <v>72070</v>
      </c>
      <c r="E66" s="65">
        <f>SUM(E63:E65)</f>
        <v>238240</v>
      </c>
    </row>
    <row r="67" spans="1:7" s="56" customFormat="1" x14ac:dyDescent="0.3">
      <c r="C67" s="57"/>
      <c r="D67" s="57"/>
      <c r="E67" s="57"/>
      <c r="G67" s="55"/>
    </row>
    <row r="68" spans="1:7" s="56" customFormat="1" x14ac:dyDescent="0.3">
      <c r="B68" s="56" t="s">
        <v>94</v>
      </c>
      <c r="C68" s="56" t="s">
        <v>140</v>
      </c>
      <c r="D68" s="57" t="s">
        <v>101</v>
      </c>
      <c r="E68" s="57" t="s">
        <v>85</v>
      </c>
      <c r="G68" s="55"/>
    </row>
    <row r="69" spans="1:7" x14ac:dyDescent="0.3">
      <c r="A69" s="2">
        <v>1</v>
      </c>
      <c r="C69" s="38" t="s">
        <v>41</v>
      </c>
      <c r="D69" s="40">
        <f>TRUNC(5840,-1)</f>
        <v>5840</v>
      </c>
      <c r="E69" s="62">
        <f t="shared" ref="E69:E94" si="2">TRUNC(+D69*3.3058,-1)</f>
        <v>19300</v>
      </c>
    </row>
    <row r="70" spans="1:7" ht="16.5" customHeight="1" x14ac:dyDescent="0.3">
      <c r="A70" s="2">
        <v>2</v>
      </c>
      <c r="C70" s="38" t="s">
        <v>45</v>
      </c>
      <c r="D70" s="42">
        <f>TRUNC(973,-1)</f>
        <v>970</v>
      </c>
      <c r="E70" s="63">
        <f t="shared" si="2"/>
        <v>3200</v>
      </c>
    </row>
    <row r="71" spans="1:7" x14ac:dyDescent="0.3">
      <c r="A71" s="2">
        <v>3</v>
      </c>
      <c r="C71" s="38" t="s">
        <v>46</v>
      </c>
      <c r="D71" s="42">
        <f>TRUNC(6018,-1)</f>
        <v>6010</v>
      </c>
      <c r="E71" s="63">
        <f t="shared" si="2"/>
        <v>19860</v>
      </c>
    </row>
    <row r="72" spans="1:7" x14ac:dyDescent="0.3">
      <c r="A72" s="2">
        <v>4</v>
      </c>
      <c r="C72" s="38" t="s">
        <v>43</v>
      </c>
      <c r="D72" s="42">
        <f>TRUNC(6639,-1)</f>
        <v>6630</v>
      </c>
      <c r="E72" s="63">
        <f t="shared" si="2"/>
        <v>21910</v>
      </c>
    </row>
    <row r="73" spans="1:7" x14ac:dyDescent="0.3">
      <c r="A73" s="2">
        <v>5</v>
      </c>
      <c r="C73" s="38" t="s">
        <v>49</v>
      </c>
      <c r="D73" s="42">
        <f>TRUNC(7406,-1)</f>
        <v>7400</v>
      </c>
      <c r="E73" s="63">
        <f t="shared" si="2"/>
        <v>24460</v>
      </c>
    </row>
    <row r="74" spans="1:7" x14ac:dyDescent="0.3">
      <c r="A74" s="2">
        <v>6</v>
      </c>
      <c r="C74" s="38" t="s">
        <v>111</v>
      </c>
      <c r="D74" s="42">
        <v>0</v>
      </c>
      <c r="E74" s="63">
        <f t="shared" si="2"/>
        <v>0</v>
      </c>
    </row>
    <row r="75" spans="1:7" x14ac:dyDescent="0.3">
      <c r="A75" s="2">
        <v>7</v>
      </c>
      <c r="C75" s="38" t="s">
        <v>91</v>
      </c>
      <c r="D75" s="42">
        <v>0</v>
      </c>
      <c r="E75" s="63">
        <f t="shared" si="2"/>
        <v>0</v>
      </c>
    </row>
    <row r="76" spans="1:7" x14ac:dyDescent="0.3">
      <c r="A76" s="2">
        <v>8</v>
      </c>
      <c r="C76" s="38" t="s">
        <v>90</v>
      </c>
      <c r="D76" s="42">
        <v>0</v>
      </c>
      <c r="E76" s="63">
        <f t="shared" si="2"/>
        <v>0</v>
      </c>
    </row>
    <row r="77" spans="1:7" x14ac:dyDescent="0.3">
      <c r="A77" s="2">
        <v>9</v>
      </c>
      <c r="C77" s="38" t="s">
        <v>20</v>
      </c>
      <c r="D77" s="42">
        <v>0</v>
      </c>
      <c r="E77" s="63">
        <f t="shared" si="2"/>
        <v>0</v>
      </c>
    </row>
    <row r="78" spans="1:7" x14ac:dyDescent="0.3">
      <c r="A78" s="2">
        <v>10</v>
      </c>
      <c r="C78" s="38" t="s">
        <v>74</v>
      </c>
      <c r="D78" s="42">
        <v>0</v>
      </c>
      <c r="E78" s="63">
        <f t="shared" si="2"/>
        <v>0</v>
      </c>
    </row>
    <row r="79" spans="1:7" x14ac:dyDescent="0.3">
      <c r="A79" s="2">
        <v>11</v>
      </c>
      <c r="C79" s="38" t="s">
        <v>79</v>
      </c>
      <c r="D79" s="42">
        <v>0</v>
      </c>
      <c r="E79" s="63">
        <f t="shared" si="2"/>
        <v>0</v>
      </c>
    </row>
    <row r="80" spans="1:7" x14ac:dyDescent="0.3">
      <c r="A80" s="2">
        <v>12</v>
      </c>
      <c r="C80" s="38" t="s">
        <v>16</v>
      </c>
      <c r="D80" s="42">
        <v>0</v>
      </c>
      <c r="E80" s="63">
        <f t="shared" si="2"/>
        <v>0</v>
      </c>
    </row>
    <row r="81" spans="1:7" x14ac:dyDescent="0.3">
      <c r="A81" s="2">
        <v>13</v>
      </c>
      <c r="C81" s="38" t="s">
        <v>62</v>
      </c>
      <c r="D81" s="42">
        <v>0</v>
      </c>
      <c r="E81" s="63">
        <f t="shared" si="2"/>
        <v>0</v>
      </c>
    </row>
    <row r="82" spans="1:7" x14ac:dyDescent="0.3">
      <c r="A82" s="2">
        <v>14</v>
      </c>
      <c r="C82" s="38" t="s">
        <v>87</v>
      </c>
      <c r="D82" s="42">
        <v>0</v>
      </c>
      <c r="E82" s="63">
        <f t="shared" si="2"/>
        <v>0</v>
      </c>
    </row>
    <row r="83" spans="1:7" x14ac:dyDescent="0.3">
      <c r="A83" s="2">
        <v>15</v>
      </c>
      <c r="C83" s="38" t="s">
        <v>18</v>
      </c>
      <c r="D83" s="42">
        <v>0</v>
      </c>
      <c r="E83" s="63">
        <f t="shared" si="2"/>
        <v>0</v>
      </c>
    </row>
    <row r="84" spans="1:7" x14ac:dyDescent="0.3">
      <c r="A84" s="2">
        <v>16</v>
      </c>
      <c r="C84" s="38" t="s">
        <v>13</v>
      </c>
      <c r="D84" s="42">
        <v>0</v>
      </c>
      <c r="E84" s="63">
        <f t="shared" si="2"/>
        <v>0</v>
      </c>
    </row>
    <row r="85" spans="1:7" x14ac:dyDescent="0.3">
      <c r="A85" s="2">
        <v>17</v>
      </c>
      <c r="C85" s="38" t="s">
        <v>14</v>
      </c>
      <c r="D85" s="42">
        <v>0</v>
      </c>
      <c r="E85" s="63">
        <f t="shared" si="2"/>
        <v>0</v>
      </c>
    </row>
    <row r="86" spans="1:7" x14ac:dyDescent="0.3">
      <c r="A86" s="2">
        <v>18</v>
      </c>
      <c r="C86" s="38" t="s">
        <v>84</v>
      </c>
      <c r="D86" s="42">
        <v>0</v>
      </c>
      <c r="E86" s="63">
        <f t="shared" si="2"/>
        <v>0</v>
      </c>
    </row>
    <row r="87" spans="1:7" x14ac:dyDescent="0.3">
      <c r="A87" s="2">
        <v>19</v>
      </c>
      <c r="C87" s="38" t="s">
        <v>19</v>
      </c>
      <c r="D87" s="42">
        <v>0</v>
      </c>
      <c r="E87" s="63">
        <f t="shared" si="2"/>
        <v>0</v>
      </c>
    </row>
    <row r="88" spans="1:7" x14ac:dyDescent="0.3">
      <c r="A88" s="2">
        <v>20</v>
      </c>
      <c r="C88" s="38" t="s">
        <v>77</v>
      </c>
      <c r="D88" s="42">
        <v>0</v>
      </c>
      <c r="E88" s="63">
        <f t="shared" si="2"/>
        <v>0</v>
      </c>
    </row>
    <row r="89" spans="1:7" x14ac:dyDescent="0.3">
      <c r="A89" s="2">
        <v>21</v>
      </c>
      <c r="C89" s="38" t="s">
        <v>48</v>
      </c>
      <c r="D89" s="42">
        <f>TRUNC(6328,-1)</f>
        <v>6320</v>
      </c>
      <c r="E89" s="63">
        <f t="shared" si="2"/>
        <v>20890</v>
      </c>
    </row>
    <row r="90" spans="1:7" x14ac:dyDescent="0.3">
      <c r="A90" s="2">
        <v>22</v>
      </c>
      <c r="C90" s="38" t="s">
        <v>51</v>
      </c>
      <c r="D90" s="42">
        <v>0</v>
      </c>
      <c r="E90" s="63">
        <f t="shared" si="2"/>
        <v>0</v>
      </c>
    </row>
    <row r="91" spans="1:7" x14ac:dyDescent="0.3">
      <c r="A91" s="2">
        <v>23</v>
      </c>
      <c r="C91" s="38" t="s">
        <v>47</v>
      </c>
      <c r="D91" s="42">
        <f>TRUNC(6788,-1)</f>
        <v>6780</v>
      </c>
      <c r="E91" s="63">
        <f t="shared" si="2"/>
        <v>22410</v>
      </c>
    </row>
    <row r="92" spans="1:7" x14ac:dyDescent="0.3">
      <c r="A92" s="2">
        <v>24</v>
      </c>
      <c r="C92" s="38" t="s">
        <v>52</v>
      </c>
      <c r="D92" s="42">
        <f>TRUNC(4262,-1)</f>
        <v>4260</v>
      </c>
      <c r="E92" s="63">
        <f t="shared" si="2"/>
        <v>14080</v>
      </c>
    </row>
    <row r="93" spans="1:7" x14ac:dyDescent="0.3">
      <c r="A93" s="2">
        <v>25</v>
      </c>
      <c r="C93" s="38" t="s">
        <v>122</v>
      </c>
      <c r="D93" s="42">
        <f>TRUNC(78393,-1)</f>
        <v>78390</v>
      </c>
      <c r="E93" s="63">
        <f t="shared" si="2"/>
        <v>259140</v>
      </c>
    </row>
    <row r="94" spans="1:7" x14ac:dyDescent="0.3">
      <c r="A94" s="2">
        <v>26</v>
      </c>
      <c r="C94" s="38" t="s">
        <v>169</v>
      </c>
      <c r="D94" s="43">
        <f>TRUNC(2263,-1)</f>
        <v>2260</v>
      </c>
      <c r="E94" s="64">
        <f t="shared" si="2"/>
        <v>7470</v>
      </c>
      <c r="F94" s="2" t="s">
        <v>213</v>
      </c>
    </row>
    <row r="95" spans="1:7" x14ac:dyDescent="0.3">
      <c r="A95" s="2">
        <v>27</v>
      </c>
      <c r="C95" s="27" t="s">
        <v>153</v>
      </c>
      <c r="D95" s="39">
        <f>SUM(D69:D94)</f>
        <v>124860</v>
      </c>
      <c r="E95" s="39">
        <f>SUM(E69:E94)</f>
        <v>412720</v>
      </c>
    </row>
    <row r="96" spans="1:7" s="56" customFormat="1" x14ac:dyDescent="0.3">
      <c r="C96" s="57"/>
      <c r="D96" s="57"/>
      <c r="E96" s="57"/>
      <c r="G96" s="55"/>
    </row>
    <row r="97" spans="1:7" s="56" customFormat="1" x14ac:dyDescent="0.3">
      <c r="B97" s="56" t="s">
        <v>100</v>
      </c>
      <c r="C97" s="56" t="s">
        <v>140</v>
      </c>
      <c r="D97" s="57" t="s">
        <v>101</v>
      </c>
      <c r="E97" s="57" t="s">
        <v>85</v>
      </c>
      <c r="G97" s="55"/>
    </row>
    <row r="98" spans="1:7" x14ac:dyDescent="0.3">
      <c r="A98" s="2">
        <v>1</v>
      </c>
      <c r="C98" s="38" t="s">
        <v>53</v>
      </c>
      <c r="D98" s="40">
        <f>TRUNC(5729,-1)</f>
        <v>5720</v>
      </c>
      <c r="E98" s="62">
        <f t="shared" ref="E98:E118" si="3">TRUNC(+D98*3.3058,-1)</f>
        <v>18900</v>
      </c>
    </row>
    <row r="99" spans="1:7" x14ac:dyDescent="0.3">
      <c r="A99" s="2">
        <v>2</v>
      </c>
      <c r="C99" s="38" t="s">
        <v>50</v>
      </c>
      <c r="D99" s="42">
        <f>TRUNC(10732,-1)</f>
        <v>10730</v>
      </c>
      <c r="E99" s="63">
        <f t="shared" si="3"/>
        <v>35470</v>
      </c>
    </row>
    <row r="100" spans="1:7" x14ac:dyDescent="0.3">
      <c r="A100" s="2">
        <v>3</v>
      </c>
      <c r="C100" s="38" t="s">
        <v>54</v>
      </c>
      <c r="D100" s="42">
        <f>TRUNC(21900,-1)</f>
        <v>21900</v>
      </c>
      <c r="E100" s="63">
        <f t="shared" si="3"/>
        <v>72390</v>
      </c>
    </row>
    <row r="101" spans="1:7" x14ac:dyDescent="0.3">
      <c r="A101" s="2">
        <v>4</v>
      </c>
      <c r="C101" s="38" t="s">
        <v>56</v>
      </c>
      <c r="D101" s="42">
        <v>0</v>
      </c>
      <c r="E101" s="63">
        <f t="shared" si="3"/>
        <v>0</v>
      </c>
    </row>
    <row r="102" spans="1:7" x14ac:dyDescent="0.3">
      <c r="A102" s="2">
        <v>5</v>
      </c>
      <c r="C102" s="38" t="s">
        <v>42</v>
      </c>
      <c r="D102" s="42">
        <f>TRUNC(9891,-1)</f>
        <v>9890</v>
      </c>
      <c r="E102" s="63">
        <f t="shared" si="3"/>
        <v>32690</v>
      </c>
    </row>
    <row r="103" spans="1:7" x14ac:dyDescent="0.3">
      <c r="A103" s="2">
        <v>6</v>
      </c>
      <c r="C103" s="38" t="s">
        <v>4</v>
      </c>
      <c r="D103" s="42">
        <v>0</v>
      </c>
      <c r="E103" s="63">
        <f t="shared" si="3"/>
        <v>0</v>
      </c>
    </row>
    <row r="104" spans="1:7" x14ac:dyDescent="0.3">
      <c r="A104" s="2">
        <v>7</v>
      </c>
      <c r="C104" s="38" t="s">
        <v>61</v>
      </c>
      <c r="D104" s="42">
        <f>TRUNC(7357,-1)</f>
        <v>7350</v>
      </c>
      <c r="E104" s="63">
        <f t="shared" si="3"/>
        <v>24290</v>
      </c>
    </row>
    <row r="105" spans="1:7" x14ac:dyDescent="0.3">
      <c r="A105" s="2">
        <v>8</v>
      </c>
      <c r="C105" s="38" t="s">
        <v>5</v>
      </c>
      <c r="D105" s="42">
        <f>TRUNC(4823,-1)</f>
        <v>4820</v>
      </c>
      <c r="E105" s="63">
        <f t="shared" si="3"/>
        <v>15930</v>
      </c>
    </row>
    <row r="106" spans="1:7" x14ac:dyDescent="0.3">
      <c r="A106" s="2">
        <v>9</v>
      </c>
      <c r="C106" s="38" t="s">
        <v>1</v>
      </c>
      <c r="D106" s="42">
        <v>0</v>
      </c>
      <c r="E106" s="63">
        <f t="shared" si="3"/>
        <v>0</v>
      </c>
    </row>
    <row r="107" spans="1:7" x14ac:dyDescent="0.3">
      <c r="A107" s="2">
        <v>10</v>
      </c>
      <c r="C107" s="38" t="s">
        <v>75</v>
      </c>
      <c r="D107" s="42">
        <v>0</v>
      </c>
      <c r="E107" s="63">
        <f t="shared" si="3"/>
        <v>0</v>
      </c>
    </row>
    <row r="108" spans="1:7" x14ac:dyDescent="0.3">
      <c r="A108" s="2">
        <v>11</v>
      </c>
      <c r="C108" s="38" t="s">
        <v>81</v>
      </c>
      <c r="D108" s="42">
        <v>0</v>
      </c>
      <c r="E108" s="63">
        <f t="shared" si="3"/>
        <v>0</v>
      </c>
    </row>
    <row r="109" spans="1:7" x14ac:dyDescent="0.3">
      <c r="A109" s="2">
        <v>12</v>
      </c>
      <c r="C109" s="38" t="s">
        <v>88</v>
      </c>
      <c r="D109" s="42">
        <v>0</v>
      </c>
      <c r="E109" s="63">
        <f t="shared" si="3"/>
        <v>0</v>
      </c>
    </row>
    <row r="110" spans="1:7" x14ac:dyDescent="0.3">
      <c r="A110" s="2">
        <v>13</v>
      </c>
      <c r="C110" s="38" t="s">
        <v>80</v>
      </c>
      <c r="D110" s="42">
        <v>0</v>
      </c>
      <c r="E110" s="63">
        <f t="shared" si="3"/>
        <v>0</v>
      </c>
    </row>
    <row r="111" spans="1:7" x14ac:dyDescent="0.3">
      <c r="A111" s="2">
        <v>14</v>
      </c>
      <c r="C111" s="38" t="s">
        <v>69</v>
      </c>
      <c r="D111" s="42">
        <v>0</v>
      </c>
      <c r="E111" s="63">
        <f t="shared" si="3"/>
        <v>0</v>
      </c>
    </row>
    <row r="112" spans="1:7" x14ac:dyDescent="0.3">
      <c r="A112" s="2">
        <v>15</v>
      </c>
      <c r="C112" s="38" t="s">
        <v>17</v>
      </c>
      <c r="D112" s="42">
        <v>0</v>
      </c>
      <c r="E112" s="63">
        <f t="shared" si="3"/>
        <v>0</v>
      </c>
    </row>
    <row r="113" spans="1:7" x14ac:dyDescent="0.3">
      <c r="A113" s="2">
        <v>16</v>
      </c>
      <c r="C113" s="38" t="s">
        <v>82</v>
      </c>
      <c r="D113" s="42">
        <v>0</v>
      </c>
      <c r="E113" s="63">
        <f t="shared" si="3"/>
        <v>0</v>
      </c>
    </row>
    <row r="114" spans="1:7" x14ac:dyDescent="0.3">
      <c r="A114" s="2">
        <v>17</v>
      </c>
      <c r="C114" s="38" t="s">
        <v>0</v>
      </c>
      <c r="D114" s="42">
        <f>TRUNC(1541,-1)</f>
        <v>1540</v>
      </c>
      <c r="E114" s="63">
        <f t="shared" si="3"/>
        <v>5090</v>
      </c>
      <c r="F114" s="2" t="s">
        <v>217</v>
      </c>
    </row>
    <row r="115" spans="1:7" x14ac:dyDescent="0.3">
      <c r="A115" s="2">
        <v>18</v>
      </c>
      <c r="C115" s="38" t="s">
        <v>12</v>
      </c>
      <c r="D115" s="42">
        <v>0</v>
      </c>
      <c r="E115" s="63">
        <f t="shared" si="3"/>
        <v>0</v>
      </c>
    </row>
    <row r="116" spans="1:7" x14ac:dyDescent="0.3">
      <c r="A116" s="2">
        <v>19</v>
      </c>
      <c r="C116" s="38" t="s">
        <v>70</v>
      </c>
      <c r="D116" s="42">
        <f>TRUNC(19251,-1)</f>
        <v>19250</v>
      </c>
      <c r="E116" s="63">
        <f t="shared" si="3"/>
        <v>63630</v>
      </c>
      <c r="F116" s="2" t="s">
        <v>209</v>
      </c>
    </row>
    <row r="117" spans="1:7" x14ac:dyDescent="0.3">
      <c r="A117" s="2">
        <v>20</v>
      </c>
      <c r="C117" s="38" t="s">
        <v>122</v>
      </c>
      <c r="D117" s="42">
        <f>TRUNC(210905,-1)</f>
        <v>210900</v>
      </c>
      <c r="E117" s="63">
        <f t="shared" si="3"/>
        <v>697190</v>
      </c>
    </row>
    <row r="118" spans="1:7" x14ac:dyDescent="0.3">
      <c r="A118" s="2">
        <v>21</v>
      </c>
      <c r="C118" s="38" t="s">
        <v>169</v>
      </c>
      <c r="D118" s="43">
        <f>TRUNC(4152,-1)</f>
        <v>4150</v>
      </c>
      <c r="E118" s="64">
        <f t="shared" si="3"/>
        <v>13710</v>
      </c>
      <c r="F118" s="2" t="s">
        <v>214</v>
      </c>
    </row>
    <row r="119" spans="1:7" x14ac:dyDescent="0.3">
      <c r="A119" s="2">
        <v>22</v>
      </c>
      <c r="C119" s="27" t="s">
        <v>153</v>
      </c>
      <c r="D119" s="39">
        <f>SUM(D98:D118)</f>
        <v>296250</v>
      </c>
      <c r="E119" s="39">
        <f>SUM(E98:E118)</f>
        <v>979290</v>
      </c>
    </row>
    <row r="120" spans="1:7" s="56" customFormat="1" x14ac:dyDescent="0.3">
      <c r="C120" s="57"/>
      <c r="D120" s="57"/>
      <c r="E120" s="57"/>
      <c r="G120" s="55"/>
    </row>
    <row r="121" spans="1:7" s="56" customFormat="1" x14ac:dyDescent="0.3">
      <c r="B121" s="56" t="s">
        <v>97</v>
      </c>
      <c r="C121" s="56" t="s">
        <v>140</v>
      </c>
      <c r="D121" s="57" t="s">
        <v>101</v>
      </c>
      <c r="E121" s="57" t="s">
        <v>85</v>
      </c>
      <c r="G121" s="55"/>
    </row>
    <row r="122" spans="1:7" x14ac:dyDescent="0.3">
      <c r="A122" s="2">
        <v>1</v>
      </c>
      <c r="C122" s="38" t="s">
        <v>192</v>
      </c>
      <c r="D122" s="40">
        <f>TRUNC(1641,-1)</f>
        <v>1640</v>
      </c>
      <c r="E122" s="62">
        <f t="shared" ref="E122:E132" si="4">TRUNC(+D122*3.3058,-1)</f>
        <v>5420</v>
      </c>
      <c r="F122" s="2" t="s">
        <v>215</v>
      </c>
    </row>
    <row r="123" spans="1:7" x14ac:dyDescent="0.3">
      <c r="A123" s="2">
        <v>2</v>
      </c>
      <c r="C123" s="38" t="s">
        <v>205</v>
      </c>
      <c r="D123" s="42">
        <v>0</v>
      </c>
      <c r="E123" s="63">
        <f t="shared" si="4"/>
        <v>0</v>
      </c>
    </row>
    <row r="124" spans="1:7" x14ac:dyDescent="0.3">
      <c r="A124" s="2">
        <v>3</v>
      </c>
      <c r="C124" s="38" t="s">
        <v>86</v>
      </c>
      <c r="D124" s="42">
        <f>TRUNC(364,-1)</f>
        <v>360</v>
      </c>
      <c r="E124" s="63">
        <f t="shared" si="4"/>
        <v>1190</v>
      </c>
    </row>
    <row r="125" spans="1:7" x14ac:dyDescent="0.3">
      <c r="A125" s="2">
        <v>4</v>
      </c>
      <c r="C125" s="38" t="s">
        <v>151</v>
      </c>
      <c r="D125" s="42">
        <f>TRUNC(6104,-1)</f>
        <v>6100</v>
      </c>
      <c r="E125" s="63">
        <f t="shared" si="4"/>
        <v>20160</v>
      </c>
    </row>
    <row r="126" spans="1:7" x14ac:dyDescent="0.3">
      <c r="A126" s="2">
        <v>5</v>
      </c>
      <c r="C126" s="38" t="s">
        <v>39</v>
      </c>
      <c r="D126" s="42">
        <f>TRUNC(16697,-1)</f>
        <v>16690</v>
      </c>
      <c r="E126" s="63">
        <f t="shared" si="4"/>
        <v>55170</v>
      </c>
    </row>
    <row r="127" spans="1:7" x14ac:dyDescent="0.3">
      <c r="A127" s="2">
        <v>6</v>
      </c>
      <c r="C127" s="38" t="s">
        <v>59</v>
      </c>
      <c r="D127" s="42">
        <v>0</v>
      </c>
      <c r="E127" s="63">
        <f t="shared" si="4"/>
        <v>0</v>
      </c>
    </row>
    <row r="128" spans="1:7" x14ac:dyDescent="0.3">
      <c r="A128" s="2">
        <v>7</v>
      </c>
      <c r="C128" s="38" t="s">
        <v>5</v>
      </c>
      <c r="D128" s="42">
        <f>TRUNC(2428,-1)</f>
        <v>2420</v>
      </c>
      <c r="E128" s="63">
        <f t="shared" si="4"/>
        <v>8000</v>
      </c>
    </row>
    <row r="129" spans="1:7" x14ac:dyDescent="0.3">
      <c r="A129" s="2">
        <v>8</v>
      </c>
      <c r="C129" s="38" t="s">
        <v>15</v>
      </c>
      <c r="D129" s="42">
        <v>0</v>
      </c>
      <c r="E129" s="63">
        <f t="shared" si="4"/>
        <v>0</v>
      </c>
    </row>
    <row r="130" spans="1:7" ht="17.25" customHeight="1" x14ac:dyDescent="0.3">
      <c r="A130" s="2">
        <v>9</v>
      </c>
      <c r="C130" s="38" t="s">
        <v>57</v>
      </c>
      <c r="D130" s="42">
        <f>TRUNC(14131,-1)</f>
        <v>14130</v>
      </c>
      <c r="E130" s="63">
        <f t="shared" si="4"/>
        <v>46710</v>
      </c>
    </row>
    <row r="131" spans="1:7" x14ac:dyDescent="0.3">
      <c r="A131" s="2">
        <v>10</v>
      </c>
      <c r="C131" s="38" t="s">
        <v>122</v>
      </c>
      <c r="D131" s="42">
        <f>TRUNC(19212,-1)</f>
        <v>19210</v>
      </c>
      <c r="E131" s="63">
        <f t="shared" si="4"/>
        <v>63500</v>
      </c>
    </row>
    <row r="132" spans="1:7" ht="17.25" x14ac:dyDescent="0.3">
      <c r="A132" s="2">
        <v>11</v>
      </c>
      <c r="C132" s="38" t="s">
        <v>169</v>
      </c>
      <c r="D132" s="43">
        <f>TRUNC(2370+3899,-1)</f>
        <v>6260</v>
      </c>
      <c r="E132" s="64">
        <f t="shared" si="4"/>
        <v>20690</v>
      </c>
      <c r="F132" s="54" t="s">
        <v>208</v>
      </c>
    </row>
    <row r="133" spans="1:7" x14ac:dyDescent="0.3">
      <c r="A133" s="2">
        <v>12</v>
      </c>
      <c r="C133" s="27" t="s">
        <v>153</v>
      </c>
      <c r="D133" s="39">
        <f>SUM(D122:D132)</f>
        <v>66810</v>
      </c>
      <c r="E133" s="39">
        <f>SUM(E122:E132)</f>
        <v>220840</v>
      </c>
    </row>
    <row r="134" spans="1:7" s="56" customFormat="1" x14ac:dyDescent="0.3">
      <c r="C134" s="57"/>
      <c r="D134" s="57"/>
      <c r="E134" s="57"/>
      <c r="G134" s="55"/>
    </row>
    <row r="135" spans="1:7" s="56" customFormat="1" x14ac:dyDescent="0.3">
      <c r="B135" s="56" t="s">
        <v>96</v>
      </c>
      <c r="C135" s="56" t="s">
        <v>140</v>
      </c>
      <c r="D135" s="57" t="s">
        <v>101</v>
      </c>
      <c r="E135" s="57" t="s">
        <v>85</v>
      </c>
      <c r="G135" s="55"/>
    </row>
    <row r="136" spans="1:7" x14ac:dyDescent="0.3">
      <c r="A136" s="2">
        <v>1</v>
      </c>
      <c r="C136" s="38" t="s">
        <v>78</v>
      </c>
      <c r="D136" s="40">
        <v>0</v>
      </c>
      <c r="E136" s="62">
        <f t="shared" ref="E136:E145" si="5">TRUNC(+D136*3.3058,-1)</f>
        <v>0</v>
      </c>
    </row>
    <row r="137" spans="1:7" x14ac:dyDescent="0.3">
      <c r="A137" s="2">
        <v>2</v>
      </c>
      <c r="C137" s="38" t="s">
        <v>169</v>
      </c>
      <c r="D137" s="42">
        <f>TRUNC(15852+21386+3528,-1)</f>
        <v>40760</v>
      </c>
      <c r="E137" s="63">
        <f t="shared" si="5"/>
        <v>134740</v>
      </c>
      <c r="F137" s="2" t="s">
        <v>32</v>
      </c>
    </row>
    <row r="138" spans="1:7" x14ac:dyDescent="0.3">
      <c r="A138" s="2">
        <v>3</v>
      </c>
      <c r="C138" s="38" t="s">
        <v>66</v>
      </c>
      <c r="D138" s="42">
        <v>0</v>
      </c>
      <c r="E138" s="63">
        <f t="shared" si="5"/>
        <v>0</v>
      </c>
    </row>
    <row r="139" spans="1:7" x14ac:dyDescent="0.3">
      <c r="A139" s="2">
        <v>4</v>
      </c>
      <c r="C139" s="38" t="s">
        <v>67</v>
      </c>
      <c r="D139" s="42">
        <f>TRUNC(3874,-1)</f>
        <v>3870</v>
      </c>
      <c r="E139" s="63">
        <f t="shared" si="5"/>
        <v>12790</v>
      </c>
    </row>
    <row r="140" spans="1:7" x14ac:dyDescent="0.3">
      <c r="A140" s="2">
        <v>5</v>
      </c>
      <c r="C140" s="38" t="s">
        <v>60</v>
      </c>
      <c r="D140" s="42">
        <f>TRUNC(9762,-1)</f>
        <v>9760</v>
      </c>
      <c r="E140" s="63">
        <f t="shared" si="5"/>
        <v>32260</v>
      </c>
    </row>
    <row r="141" spans="1:7" x14ac:dyDescent="0.3">
      <c r="A141" s="2">
        <v>6</v>
      </c>
      <c r="C141" s="38" t="s">
        <v>64</v>
      </c>
      <c r="D141" s="42">
        <v>0</v>
      </c>
      <c r="E141" s="63">
        <f t="shared" si="5"/>
        <v>0</v>
      </c>
    </row>
    <row r="142" spans="1:7" x14ac:dyDescent="0.3">
      <c r="A142" s="2">
        <v>7</v>
      </c>
      <c r="C142" s="38" t="s">
        <v>58</v>
      </c>
      <c r="D142" s="42">
        <f>TRUNC(7613,-1)</f>
        <v>7610</v>
      </c>
      <c r="E142" s="63">
        <f t="shared" si="5"/>
        <v>25150</v>
      </c>
    </row>
    <row r="143" spans="1:7" x14ac:dyDescent="0.3">
      <c r="A143" s="2">
        <v>8</v>
      </c>
      <c r="C143" s="38" t="s">
        <v>180</v>
      </c>
      <c r="D143" s="42">
        <f>TRUNC(2850,-1)</f>
        <v>2850</v>
      </c>
      <c r="E143" s="63">
        <f t="shared" si="5"/>
        <v>9420</v>
      </c>
    </row>
    <row r="144" spans="1:7" x14ac:dyDescent="0.3">
      <c r="A144" s="2">
        <v>9</v>
      </c>
      <c r="C144" s="38" t="s">
        <v>65</v>
      </c>
      <c r="D144" s="42">
        <f>TRUNC(25911,-1)</f>
        <v>25910</v>
      </c>
      <c r="E144" s="63">
        <f t="shared" si="5"/>
        <v>85650</v>
      </c>
    </row>
    <row r="145" spans="1:7" x14ac:dyDescent="0.3">
      <c r="A145" s="2">
        <v>10</v>
      </c>
      <c r="C145" s="38" t="s">
        <v>122</v>
      </c>
      <c r="D145" s="43">
        <v>0</v>
      </c>
      <c r="E145" s="64">
        <f t="shared" si="5"/>
        <v>0</v>
      </c>
    </row>
    <row r="146" spans="1:7" x14ac:dyDescent="0.3">
      <c r="A146" s="2">
        <v>11</v>
      </c>
      <c r="C146" s="27" t="s">
        <v>153</v>
      </c>
      <c r="D146" s="39">
        <f>SUM(D136:D145)</f>
        <v>90760</v>
      </c>
      <c r="E146" s="39">
        <f>SUM(E136:E145)</f>
        <v>300010</v>
      </c>
    </row>
    <row r="147" spans="1:7" s="56" customFormat="1" x14ac:dyDescent="0.3">
      <c r="C147" s="57"/>
      <c r="D147" s="57"/>
      <c r="E147" s="57"/>
      <c r="G147" s="55"/>
    </row>
    <row r="148" spans="1:7" s="56" customFormat="1" x14ac:dyDescent="0.3">
      <c r="B148" s="56" t="s">
        <v>98</v>
      </c>
      <c r="C148" s="56" t="s">
        <v>140</v>
      </c>
      <c r="D148" s="57" t="s">
        <v>101</v>
      </c>
      <c r="E148" s="57" t="s">
        <v>85</v>
      </c>
      <c r="G148" s="55"/>
    </row>
    <row r="149" spans="1:7" x14ac:dyDescent="0.3">
      <c r="A149" s="2">
        <v>1</v>
      </c>
      <c r="C149" s="38" t="s">
        <v>55</v>
      </c>
      <c r="D149" s="40">
        <f>TRUNC(5634+650,-1)</f>
        <v>6280</v>
      </c>
      <c r="E149" s="62">
        <f>TRUNC(+D149*3.3058,-1)</f>
        <v>20760</v>
      </c>
      <c r="F149" s="2" t="s">
        <v>216</v>
      </c>
    </row>
    <row r="150" spans="1:7" x14ac:dyDescent="0.3">
      <c r="A150" s="2">
        <v>2</v>
      </c>
      <c r="C150" s="38" t="s">
        <v>181</v>
      </c>
      <c r="D150" s="42">
        <f>TRUNC(1660,-1)</f>
        <v>1660</v>
      </c>
      <c r="E150" s="63">
        <f>TRUNC(+D150*3.3058,-1)</f>
        <v>5480</v>
      </c>
    </row>
    <row r="151" spans="1:7" x14ac:dyDescent="0.3">
      <c r="A151" s="2">
        <v>3</v>
      </c>
      <c r="C151" s="38" t="s">
        <v>176</v>
      </c>
      <c r="D151" s="42">
        <v>0</v>
      </c>
      <c r="E151" s="63">
        <f>TRUNC(+D151*3.3058,-1)</f>
        <v>0</v>
      </c>
    </row>
    <row r="152" spans="1:7" x14ac:dyDescent="0.3">
      <c r="A152" s="2">
        <v>4</v>
      </c>
      <c r="C152" s="38" t="s">
        <v>169</v>
      </c>
      <c r="D152" s="42">
        <f>TRUNC(45+2583+5+2537,-1)</f>
        <v>5170</v>
      </c>
      <c r="E152" s="63">
        <f>TRUNC(+D152*3.3058,-1)</f>
        <v>17090</v>
      </c>
      <c r="F152" s="2" t="s">
        <v>33</v>
      </c>
    </row>
    <row r="153" spans="1:7" x14ac:dyDescent="0.3">
      <c r="A153" s="2">
        <v>5</v>
      </c>
      <c r="C153" s="38" t="s">
        <v>122</v>
      </c>
      <c r="D153" s="43">
        <f>TRUNC(3700,-1)</f>
        <v>3700</v>
      </c>
      <c r="E153" s="64">
        <f>TRUNC(+D153*3.3058,-1)</f>
        <v>12230</v>
      </c>
    </row>
    <row r="154" spans="1:7" x14ac:dyDescent="0.3">
      <c r="A154" s="2">
        <v>6</v>
      </c>
      <c r="C154" s="27" t="s">
        <v>153</v>
      </c>
      <c r="D154" s="39">
        <f>SUM(D149:D153)</f>
        <v>16810</v>
      </c>
      <c r="E154" s="39">
        <f>SUM(E149:E153)</f>
        <v>55560</v>
      </c>
    </row>
    <row r="155" spans="1:7" s="56" customFormat="1" x14ac:dyDescent="0.3">
      <c r="C155" s="57"/>
      <c r="D155" s="57"/>
      <c r="E155" s="57"/>
      <c r="G155" s="55"/>
    </row>
    <row r="156" spans="1:7" s="56" customFormat="1" x14ac:dyDescent="0.3">
      <c r="B156" s="56" t="s">
        <v>95</v>
      </c>
      <c r="C156" s="56" t="s">
        <v>140</v>
      </c>
      <c r="D156" s="57" t="s">
        <v>101</v>
      </c>
      <c r="E156" s="57" t="s">
        <v>85</v>
      </c>
      <c r="G156" s="55"/>
    </row>
    <row r="157" spans="1:7" x14ac:dyDescent="0.3">
      <c r="A157" s="2">
        <v>1</v>
      </c>
      <c r="C157" s="38" t="s">
        <v>157</v>
      </c>
      <c r="D157" s="40">
        <v>0</v>
      </c>
      <c r="E157" s="62">
        <f>TRUNC(+D157*3.3058,-1)</f>
        <v>0</v>
      </c>
    </row>
    <row r="158" spans="1:7" x14ac:dyDescent="0.3">
      <c r="A158" s="2">
        <v>2</v>
      </c>
      <c r="C158" s="38" t="s">
        <v>184</v>
      </c>
      <c r="D158" s="42">
        <v>0</v>
      </c>
      <c r="E158" s="63">
        <f>TRUNC(+D158*3.3058,-1)</f>
        <v>0</v>
      </c>
    </row>
    <row r="159" spans="1:7" x14ac:dyDescent="0.3">
      <c r="A159" s="2">
        <v>3</v>
      </c>
      <c r="C159" s="38" t="s">
        <v>169</v>
      </c>
      <c r="D159" s="42">
        <v>0</v>
      </c>
      <c r="E159" s="63">
        <f>TRUNC(+D159*3.3058,-1)</f>
        <v>0</v>
      </c>
    </row>
    <row r="160" spans="1:7" x14ac:dyDescent="0.3">
      <c r="A160" s="2">
        <v>4</v>
      </c>
      <c r="C160" s="38" t="s">
        <v>122</v>
      </c>
      <c r="D160" s="43">
        <v>0</v>
      </c>
      <c r="E160" s="64">
        <f>TRUNC(+D160*3.3058,-1)</f>
        <v>0</v>
      </c>
    </row>
    <row r="161" spans="1:5" x14ac:dyDescent="0.3">
      <c r="A161" s="2">
        <v>5</v>
      </c>
      <c r="C161" s="27" t="s">
        <v>153</v>
      </c>
      <c r="D161" s="39">
        <f>SUM(D157:D160)</f>
        <v>0</v>
      </c>
      <c r="E161" s="39">
        <f>SUM(E157:E160)</f>
        <v>0</v>
      </c>
    </row>
  </sheetData>
  <sortState ref="A129:AN171">
    <sortCondition ref="C129:C171"/>
  </sortState>
  <phoneticPr fontId="4" type="noConversion"/>
  <pageMargins left="0.69999998807907104" right="0.69999998807907104" top="0.75" bottom="0.75" header="0.30000001192092896" footer="0.30000001192092896"/>
  <pageSetup paperSize="9" orientation="portrait"/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>
          <x14:formula1>
            <xm:f>검색조건!$M$5:$M$7</xm:f>
          </x14:formula1>
          <xm:sqref>C13</xm:sqref>
        </x14:dataValidation>
        <x14:dataValidation type="list" allowBlank="1" showInputMessage="1" showErrorMessage="1">
          <x14:formula1>
            <xm:f>검색조건!$O$5:$O$7</xm:f>
          </x14:formula1>
          <xm:sqref>C15</xm:sqref>
        </x14:dataValidation>
        <x14:dataValidation type="list" allowBlank="1" showInputMessage="1" showErrorMessage="1">
          <x14:formula1>
            <xm:f>검색조건!$C$5:$C$21</xm:f>
          </x14:formula1>
          <xm:sqref>C4</xm:sqref>
        </x14:dataValidation>
        <x14:dataValidation type="list" allowBlank="1" showInputMessage="1" showErrorMessage="1">
          <x14:formula1>
            <xm:f>검색조건!$I$5:$I$18</xm:f>
          </x14:formula1>
          <xm:sqref>C9</xm:sqref>
        </x14:dataValidation>
        <x14:dataValidation type="list" allowBlank="1" showInputMessage="1" showErrorMessage="1">
          <x14:formula1>
            <xm:f>검색조건!$K$5:$K$26</xm:f>
          </x14:formula1>
          <xm:sqref>C11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/>
  <dimension ref="A1"/>
  <sheetViews>
    <sheetView zoomScaleNormal="100" zoomScaleSheetLayoutView="75" workbookViewId="0"/>
  </sheetViews>
  <sheetFormatPr defaultColWidth="9" defaultRowHeight="16.5" x14ac:dyDescent="0.3"/>
  <sheetData/>
  <phoneticPr fontId="4" type="noConversion"/>
  <pageMargins left="0.69999998807907104" right="0.69999998807907104" top="0.75" bottom="0.75" header="0.30000001192092896" footer="0.30000001192092896"/>
  <pageSetup paperSize="9" fitToWidth="0" fitToHeight="0"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"/>
  <dimension ref="A1"/>
  <sheetViews>
    <sheetView zoomScaleNormal="100" zoomScaleSheetLayoutView="75" workbookViewId="0"/>
  </sheetViews>
  <sheetFormatPr defaultColWidth="9" defaultRowHeight="16.5" x14ac:dyDescent="0.3"/>
  <sheetData/>
  <phoneticPr fontId="4" type="noConversion"/>
  <pageMargins left="0.69999998807907104" right="0.69999998807907104" top="0.75" bottom="0.75" header="0.30000001192092896" footer="0.30000001192092896"/>
  <pageSetup paperSize="9" fitToWidth="0" fitToHeight="0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31</TotalTime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4</vt:i4>
      </vt:variant>
    </vt:vector>
  </HeadingPairs>
  <TitlesOfParts>
    <vt:vector size="4" baseType="lpstr">
      <vt:lpstr>검색조건</vt:lpstr>
      <vt:lpstr>Pro #1</vt:lpstr>
      <vt:lpstr>Sheet2</vt:lpstr>
      <vt:lpstr>Sheet3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대표님003</dc:creator>
  <cp:lastModifiedBy>박준혁</cp:lastModifiedBy>
  <cp:revision>3</cp:revision>
  <dcterms:created xsi:type="dcterms:W3CDTF">2020-03-26T22:13:09Z</dcterms:created>
  <dcterms:modified xsi:type="dcterms:W3CDTF">2020-12-08T02:06:18Z</dcterms:modified>
  <cp:version>1100.0100.01</cp:version>
</cp:coreProperties>
</file>