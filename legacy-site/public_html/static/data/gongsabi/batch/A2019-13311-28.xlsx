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60" i="4" l="1"/>
  <c r="D158" i="4"/>
  <c r="D153" i="4"/>
  <c r="D152" i="4"/>
  <c r="D151" i="4"/>
  <c r="D150" i="4"/>
  <c r="D149" i="4"/>
  <c r="D145" i="4"/>
  <c r="D144" i="4"/>
  <c r="D143" i="4"/>
  <c r="D142" i="4"/>
  <c r="D141" i="4"/>
  <c r="D140" i="4"/>
  <c r="D139" i="4"/>
  <c r="D138" i="4"/>
  <c r="D137" i="4"/>
  <c r="D132" i="4"/>
  <c r="D131" i="4"/>
  <c r="D128" i="4"/>
  <c r="D127" i="4"/>
  <c r="D125" i="4"/>
  <c r="D122" i="4"/>
  <c r="D118" i="4"/>
  <c r="D117" i="4"/>
  <c r="D116" i="4"/>
  <c r="D114" i="4"/>
  <c r="D105" i="4"/>
  <c r="D103" i="4"/>
  <c r="D102" i="4"/>
  <c r="D100" i="4"/>
  <c r="D99" i="4"/>
  <c r="D98" i="4"/>
  <c r="D93" i="4"/>
  <c r="D92" i="4"/>
  <c r="D91" i="4"/>
  <c r="D90" i="4"/>
  <c r="D76" i="4"/>
  <c r="D73" i="4"/>
  <c r="D72" i="4"/>
  <c r="D71" i="4"/>
  <c r="D70" i="4"/>
  <c r="D69" i="4"/>
  <c r="D63" i="4"/>
  <c r="D59" i="4"/>
  <c r="D58" i="4"/>
  <c r="D52" i="4"/>
  <c r="D50" i="4"/>
  <c r="D49" i="4"/>
  <c r="D48" i="4"/>
  <c r="D46" i="4"/>
  <c r="D45" i="4"/>
  <c r="D44" i="4"/>
  <c r="D43" i="4"/>
  <c r="D41" i="4"/>
  <c r="D40" i="4"/>
  <c r="E50" i="4" l="1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<sst xmlns="http://schemas.openxmlformats.org/spreadsheetml/2006/main" count="395" uniqueCount="272">
  <si>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</si>
  <si>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</si>
  <si>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</si>
  <si>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</si>
  <si>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</si>
  <si>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</si>
  <si>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</si>
  <si>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</si>
  <si>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</si>
  <si>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</si>
  <si>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</si>
  <si>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</si>
  <si>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</si>
  <si>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</si>
  <si>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</si>
  <si>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</si>
  <si>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</si>
  <si>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</si>
  <si>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</si>
  <si>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</si>
  <si>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</si>
  <si>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</si>
  <si>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</si>
  <si>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</si>
  <si>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</si>
  <si>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</si>
  <si>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</si>
  <si>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</si>
  <si>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</si>
  <si>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</si>
  <si>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</si>
  <si>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</si>
  <si>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</si>
  <si>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</si>
  <si>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</si>
  <si>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</si>
  <si>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</si>
  <si>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</si>
  <si>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</si>
  <si>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</si>
  <si>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</si>
  <si>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</si>
  <si>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</si>
  <si>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</si>
  <si>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</si>
  <si>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</si>
  <si>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</si>
  <si>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</si>
  <si>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</si>
  <si>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</si>
  <si>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</si>
  <si>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</si>
  <si>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</si>
  <si>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</si>
  <si>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</si>
  <si>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</si>
  <si>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</si>
  <si>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</si>
  <si>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</si>
  <si>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</si>
  <si>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</si>
  <si>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</si>
  <si>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</si>
  <si>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</si>
  <si>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</si>
  <si>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</si>
  <si>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</si>
  <si>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</si>
  <si>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</si>
  <si>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</si>
  <si>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</si>
  <si>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</si>
  <si>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</si>
  <si>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</si>
  <si>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</si>
  <si>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</si>
  <si>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</si>
  <si>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</si>
  <si>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</si>
  <si>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</si>
  <si>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</si>
  <si>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</si>
  <si>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</si>
  <si>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</si>
  <si>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</si>
  <si>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</si>
  <si>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</si>
  <si>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</si>
  <si>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</si>
  <si>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</si>
  <si>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</si>
  <si>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</si>
  <si>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</si>
  <si>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</si>
  <si>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</si>
  <si>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</si>
  <si>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</si>
  <si>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</si>
  <si>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</si>
  <si>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</si>
  <si>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</si>
  <si>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</si>
  <si>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</si>
  <si>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</si>
  <si>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</si>
  <si>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</si>
  <si>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</si>
  <si>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</si>
  <si>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</si>
  <si>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</si>
  <si>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</si>
  <si>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</si>
  <si>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</si>
  <si>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</si>
  <si>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</si>
  <si>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</si>
  <si>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</si>
  <si>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</si>
  <si>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</si>
  <si>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</si>
  <si>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</si>
  <si>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</si>
  <si>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</si>
  <si>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</si>
  <si>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</si>
  <si>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</si>
  <si>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</si>
  <si>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</si>
  <si>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</si>
  <si>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</si>
  <si>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</si>
  <si>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</si>
  <si>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</si>
  <si>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</si>
  <si>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</si>
  <si>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</si>
  <si>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</si>
  <si>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</si>
  <si>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</si>
  <si>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</si>
  <si>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</si>
  <si>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</si>
  <si>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</si>
  <si>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</si>
  <si>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</si>
  <si>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</si>
  <si>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</si>
  <si>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</si>
  <si>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</si>
  <si>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</si>
  <si>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</si>
  <si>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</si>
  <si>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</si>
  <si>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</si>
  <si>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</si>
  <si>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</si>
  <si>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</si>
  <si>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</si>
  <si>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</si>
  <si>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</si>
  <si>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</si>
  <si>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</si>
  <si>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</si>
  <si>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</si>
  <si>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</si>
  <si>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</si>
  <si>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</si>
  <si>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</si>
  <si>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</si>
  <si>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</si>
  <si>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</si>
  <si>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</si>
  <si>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</si>
  <si>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</si>
  <si>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</si>
  <si>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</si>
  <si>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</si>
  <si>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</si>
  <si>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</si>
  <si>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</si>
  <si>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</si>
  <si>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</si>
  <si>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</si>
  <si>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</si>
  <si>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</si>
  <si>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</si>
  <si>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</si>
  <si>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</si>
  <si>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</si>
  <si>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</si>
  <si>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</si>
  <si>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</si>
  <si>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</si>
  <si>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</si>
  <si>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</si>
  <si>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</si>
  <si>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</si>
  <si>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</si>
  <si>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</si>
  <si>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</si>
  <si>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</si>
  <si>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</si>
  <si>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</si>
  <si>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</si>
  <si>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</si>
  <si>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</si>
  <si>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</si>
  <si>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</si>
  <si>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</si>
  <si>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</si>
  <si>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</si>
  <si>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</si>
  <si>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</si>
  <si>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</si>
  <si>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</si>
  <si>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</si>
  <si>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</si>
  <si>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</si>
  <si>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</si>
  <si>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</si>
  <si>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</si>
  <si>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</si>
  <si>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</si>
  <si>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</si>
  <si>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</si>
  <si>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</si>
  <si>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</si>
  <si>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</si>
  <si>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</si>
  <si>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</si>
  <si>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</si>
  <si>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</si>
  <si>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</si>
  <si>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</si>
  <si>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</si>
  <si>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</si>
  <si>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</si>
  <si>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</si>
  <si>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</si>
  <si>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</si>
  <si>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</si>
  <si>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</si>
  <si>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</si>
  <si>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</si>
  <si>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</si>
  <si>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</si>
  <si>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</si>
  <si>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</si>
  <si>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</si>
  <si>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서천군 신청사 건축공사</t>
    <phoneticPr fontId="2" type="noConversion"/>
  </si>
  <si>
    <t>충청도</t>
  </si>
  <si>
    <t xml:space="preserve">(지붕및홈통공사 포함)  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</si>
  <si>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</si>
  <si>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</si>
  <si>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기초공사,골재비및운반비,골재비및운반비,품질시험비,기타공사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</si>
  <si>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</si>
  <si>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</si>
  <si>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</si>
  <si>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CCTV설비공사,주차관제설비공사  ,기타공사</t>
    <phoneticPr fontId="2" type="noConversion"/>
  </si>
  <si>
    <t>옥외소화배관공사,기타공사</t>
    <phoneticPr fontId="2" type="noConversion"/>
  </si>
  <si>
    <t>우수공사</t>
    <phoneticPr fontId="2" type="noConversion"/>
  </si>
  <si>
    <t>기타공사</t>
    <phoneticPr fontId="2" type="noConversion"/>
  </si>
  <si>
    <t>포장공사</t>
    <phoneticPr fontId="2" type="noConversion"/>
  </si>
  <si>
    <t>조경시설물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</si>
  <si>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</si>
  <si>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</si>
  <si>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</si>
  <si>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</si>
  <si>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바닥난방공사, 공조배관공사,난방배관공사,우수처리시설공사,기타공사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</si>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</sst>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15670.33</v>
      </c>
      <c r="D7" s="36">
        <f>+C7/3.3058</f>
        <v>4740.2534938592771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270</v>
      </c>
    </row>
    <row r="19" spans="1:5" x14ac:dyDescent="0.3">
      <c r="A19" s="2">
        <v>9</v>
      </c>
      <c r="B19" s="2" t="s">
        <v>271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879450</v>
      </c>
      <c r="E25" s="59">
        <f t="shared" si="0"/>
        <v>2907280</v>
      </c>
    </row>
    <row r="26" spans="1:5" x14ac:dyDescent="0.3">
      <c r="B26" s="2">
        <v>3</v>
      </c>
      <c r="C26" s="35" t="s">
        <v>95</v>
      </c>
      <c r="D26" s="45">
        <f>+D66</f>
        <v>34040</v>
      </c>
      <c r="E26" s="59">
        <f t="shared" si="0"/>
        <v>112520</v>
      </c>
    </row>
    <row r="27" spans="1:5" x14ac:dyDescent="0.3">
      <c r="B27" s="2">
        <v>4</v>
      </c>
      <c r="C27" s="35" t="s">
        <v>96</v>
      </c>
      <c r="D27" s="45">
        <f>+D95</f>
        <v>276260</v>
      </c>
      <c r="E27" s="59">
        <f t="shared" si="0"/>
        <v>913260</v>
      </c>
    </row>
    <row r="28" spans="1:5" x14ac:dyDescent="0.3">
      <c r="B28" s="2">
        <v>5</v>
      </c>
      <c r="C28" s="35" t="s">
        <v>97</v>
      </c>
      <c r="D28" s="45">
        <f>+D119</f>
        <v>231220</v>
      </c>
      <c r="E28" s="59">
        <f t="shared" si="0"/>
        <v>764360</v>
      </c>
    </row>
    <row r="29" spans="1:5" x14ac:dyDescent="0.3">
      <c r="B29" s="2">
        <v>6</v>
      </c>
      <c r="C29" s="35" t="s">
        <v>98</v>
      </c>
      <c r="D29" s="45">
        <f>+D133</f>
        <v>203670</v>
      </c>
      <c r="E29" s="59">
        <f t="shared" si="0"/>
        <v>673290</v>
      </c>
    </row>
    <row r="30" spans="1:5" x14ac:dyDescent="0.3">
      <c r="B30" s="2">
        <v>7</v>
      </c>
      <c r="C30" s="35" t="s">
        <v>99</v>
      </c>
      <c r="D30" s="45">
        <f>+D146</f>
        <v>74840</v>
      </c>
      <c r="E30" s="59">
        <f t="shared" si="0"/>
        <v>247400</v>
      </c>
    </row>
    <row r="31" spans="1:5" x14ac:dyDescent="0.3">
      <c r="B31" s="2">
        <v>8</v>
      </c>
      <c r="C31" s="35" t="s">
        <v>100</v>
      </c>
      <c r="D31" s="45">
        <f>+D154</f>
        <v>66560</v>
      </c>
      <c r="E31" s="59">
        <f t="shared" si="0"/>
        <v>220030</v>
      </c>
    </row>
    <row r="32" spans="1:5" x14ac:dyDescent="0.3">
      <c r="B32" s="2">
        <v>9</v>
      </c>
      <c r="C32" s="35" t="s">
        <v>101</v>
      </c>
      <c r="D32" s="45">
        <f>+D161</f>
        <v>100580</v>
      </c>
      <c r="E32" s="59">
        <f t="shared" si="0"/>
        <v>332490</v>
      </c>
    </row>
    <row r="33" spans="1:7" x14ac:dyDescent="0.3">
      <c r="B33" s="2">
        <v>10</v>
      </c>
      <c r="C33" s="35" t="s">
        <v>154</v>
      </c>
      <c r="D33" s="53">
        <f>TRUNC(SUM(D24:D32)*0.275,-1)</f>
        <v>513320</v>
      </c>
      <c r="E33" s="60">
        <f t="shared" si="0"/>
        <v>1696930</v>
      </c>
    </row>
    <row r="34" spans="1:7" x14ac:dyDescent="0.3">
      <c r="C34" s="35" t="s">
        <v>112</v>
      </c>
      <c r="D34" s="44">
        <f>SUM(D24:D33)</f>
        <v>2379940</v>
      </c>
      <c r="E34" s="44">
        <f>SUM(E24:E33)</f>
        <v>7867560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264</v>
      </c>
      <c r="C39" s="56" t="s">
        <v>265</v>
      </c>
      <c r="D39" s="57" t="s">
        <v>266</v>
      </c>
      <c r="E39" s="57" t="s">
        <v>267</v>
      </c>
      <c r="G39" s="55"/>
    </row>
    <row r="40" spans="1:7" x14ac:dyDescent="0.3">
      <c r="A40" s="2">
        <v>1</v>
      </c>
      <c r="C40" s="38" t="s">
        <v>15</v>
      </c>
      <c r="D40" s="40">
        <f>TRUNC(62144,-1)</f>
        <v>62140</v>
      </c>
      <c r="E40" s="62">
        <f t="shared" ref="E40:E59" si="1">TRUNC(+D40*3.3058,-1)</f>
        <v>205420</v>
      </c>
    </row>
    <row r="41" spans="1:7" x14ac:dyDescent="0.3">
      <c r="A41" s="2">
        <v>2</v>
      </c>
      <c r="C41" s="38" t="s">
        <v>13</v>
      </c>
      <c r="D41" s="42">
        <f>TRUNC(146202,-1)</f>
        <v>146200</v>
      </c>
      <c r="E41" s="63">
        <f t="shared" si="1"/>
        <v>483300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TRUNC(17326,-1)</f>
        <v>17320</v>
      </c>
      <c r="E43" s="63">
        <f t="shared" si="1"/>
        <v>57250</v>
      </c>
    </row>
    <row r="44" spans="1:7" x14ac:dyDescent="0.3">
      <c r="A44" s="2">
        <v>5</v>
      </c>
      <c r="C44" s="38" t="s">
        <v>17</v>
      </c>
      <c r="D44" s="42">
        <f>TRUNC(20829,-1)</f>
        <v>20820</v>
      </c>
      <c r="E44" s="63">
        <f t="shared" si="1"/>
        <v>68820</v>
      </c>
    </row>
    <row r="45" spans="1:7" x14ac:dyDescent="0.3">
      <c r="A45" s="2">
        <v>6</v>
      </c>
      <c r="C45" s="38" t="s">
        <v>18</v>
      </c>
      <c r="D45" s="42">
        <f>TRUNC(9065,-1)</f>
        <v>9060</v>
      </c>
      <c r="E45" s="63">
        <f t="shared" si="1"/>
        <v>29950</v>
      </c>
    </row>
    <row r="46" spans="1:7" x14ac:dyDescent="0.3">
      <c r="A46" s="2">
        <v>7</v>
      </c>
      <c r="C46" s="38" t="s">
        <v>19</v>
      </c>
      <c r="D46" s="42">
        <f>TRUNC(25096,-1)</f>
        <v>25090</v>
      </c>
      <c r="E46" s="63">
        <f t="shared" si="1"/>
        <v>82940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TRUNC(29184,-1)</f>
        <v>29180</v>
      </c>
      <c r="E48" s="63">
        <f t="shared" si="1"/>
        <v>96460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TRUNC(15496,-1)</f>
        <v>15490</v>
      </c>
      <c r="E49" s="63">
        <f t="shared" si="1"/>
        <v>51200</v>
      </c>
    </row>
    <row r="50" spans="1:7" x14ac:dyDescent="0.3">
      <c r="A50" s="2">
        <v>11</v>
      </c>
      <c r="C50" s="38" t="s">
        <v>155</v>
      </c>
      <c r="D50" s="42">
        <f>TRUNC(46606,-1)</f>
        <v>46600</v>
      </c>
      <c r="E50" s="63">
        <f t="shared" si="1"/>
        <v>154050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TRUNC(14169,-1)</f>
        <v>14160</v>
      </c>
      <c r="E52" s="63">
        <f t="shared" si="1"/>
        <v>46810</v>
      </c>
    </row>
    <row r="53" spans="1:7" x14ac:dyDescent="0.3">
      <c r="A53" s="2">
        <v>14</v>
      </c>
      <c r="C53" s="38" t="s">
        <v>25</v>
      </c>
      <c r="D53" s="42">
        <v>126260</v>
      </c>
      <c r="E53" s="63">
        <f t="shared" si="1"/>
        <v>417390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TRUNC(49950+4347-775+1284+17292,-1)</f>
        <v>72090</v>
      </c>
      <c r="E58" s="63">
        <f t="shared" si="1"/>
        <v>238310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TRUNC(295048,-1)</f>
        <v>295040</v>
      </c>
      <c r="E59" s="64">
        <f t="shared" si="1"/>
        <v>975340</v>
      </c>
    </row>
    <row r="60" spans="1:7" x14ac:dyDescent="0.3">
      <c r="A60" s="2">
        <v>21</v>
      </c>
      <c r="C60" s="27" t="s">
        <v>112</v>
      </c>
      <c r="D60" s="39">
        <f>SUM(D40:D59)</f>
        <v>879450</v>
      </c>
      <c r="E60" s="39">
        <f>SUM(E40:E59)</f>
        <v>2907240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TRUNC(34048,-1)</f>
        <v>34040</v>
      </c>
      <c r="E63" s="62">
        <f>TRUNC(+D63*3.3058,-1)</f>
        <v>112520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34040</v>
      </c>
      <c r="E66" s="65">
        <f>SUM(E63:E65)</f>
        <v>112520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TRUNC(583,-1)</f>
        <v>580</v>
      </c>
      <c r="E69" s="62">
        <f t="shared" ref="E69:E94" si="2">TRUNC(+D69*3.3058,-1)</f>
        <v>1910</v>
      </c>
    </row>
    <row r="70" spans="1:7" ht="16.5" customHeight="1" x14ac:dyDescent="0.3">
      <c r="A70" s="2">
        <v>2</v>
      </c>
      <c r="C70" s="38" t="s">
        <v>31</v>
      </c>
      <c r="D70" s="42">
        <f>TRUNC(1703,-1)</f>
        <v>1700</v>
      </c>
      <c r="E70" s="63">
        <f t="shared" si="2"/>
        <v>5610</v>
      </c>
    </row>
    <row r="71" spans="1:7" x14ac:dyDescent="0.3">
      <c r="A71" s="2">
        <v>3</v>
      </c>
      <c r="C71" s="38" t="s">
        <v>32</v>
      </c>
      <c r="D71" s="42">
        <f>TRUNC(3185,-1)</f>
        <v>3180</v>
      </c>
      <c r="E71" s="63">
        <f t="shared" si="2"/>
        <v>10510</v>
      </c>
    </row>
    <row r="72" spans="1:7" x14ac:dyDescent="0.3">
      <c r="A72" s="2">
        <v>4</v>
      </c>
      <c r="C72" s="38" t="s">
        <v>33</v>
      </c>
      <c r="D72" s="42">
        <f>TRUNC(4116,-1)</f>
        <v>4110</v>
      </c>
      <c r="E72" s="63">
        <f t="shared" si="2"/>
        <v>13580</v>
      </c>
    </row>
    <row r="73" spans="1:7" x14ac:dyDescent="0.3">
      <c r="A73" s="2">
        <v>5</v>
      </c>
      <c r="C73" s="38" t="s">
        <v>34</v>
      </c>
      <c r="D73" s="42">
        <f>TRUNC(6317,-1)</f>
        <v>6310</v>
      </c>
      <c r="E73" s="63">
        <f t="shared" si="2"/>
        <v>20850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TRUNC(60383,-1)</f>
        <v>60380</v>
      </c>
      <c r="E76" s="63">
        <f t="shared" si="2"/>
        <v>199600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4400</v>
      </c>
      <c r="E89" s="63">
        <f t="shared" si="2"/>
        <v>14540</v>
      </c>
    </row>
    <row r="90" spans="1:7" x14ac:dyDescent="0.3">
      <c r="A90" s="2">
        <v>22</v>
      </c>
      <c r="C90" s="38" t="s">
        <v>36</v>
      </c>
      <c r="D90" s="42">
        <f>TRUNC(1199,-1)</f>
        <v>1190</v>
      </c>
      <c r="E90" s="63">
        <f t="shared" si="2"/>
        <v>3930</v>
      </c>
    </row>
    <row r="91" spans="1:7" x14ac:dyDescent="0.3">
      <c r="A91" s="2">
        <v>23</v>
      </c>
      <c r="C91" s="38" t="s">
        <v>37</v>
      </c>
      <c r="D91" s="42">
        <f>TRUNC(18156,-1)</f>
        <v>18150</v>
      </c>
      <c r="E91" s="63">
        <f t="shared" si="2"/>
        <v>60000</v>
      </c>
    </row>
    <row r="92" spans="1:7" x14ac:dyDescent="0.3">
      <c r="A92" s="2">
        <v>24</v>
      </c>
      <c r="C92" s="38" t="s">
        <v>38</v>
      </c>
      <c r="D92" s="42">
        <f>TRUNC(6204,-1)</f>
        <v>6200</v>
      </c>
      <c r="E92" s="63">
        <f t="shared" si="2"/>
        <v>20490</v>
      </c>
    </row>
    <row r="93" spans="1:7" x14ac:dyDescent="0.3">
      <c r="A93" s="2">
        <v>25</v>
      </c>
      <c r="C93" s="38" t="s">
        <v>148</v>
      </c>
      <c r="D93" s="42">
        <f>TRUNC(125074,-1)</f>
        <v>125070</v>
      </c>
      <c r="E93" s="63">
        <f t="shared" si="2"/>
        <v>413450</v>
      </c>
    </row>
    <row r="94" spans="1:7" ht="17.25" thickBot="1" x14ac:dyDescent="0.35">
      <c r="A94" s="2">
        <v>26</v>
      </c>
      <c r="C94" s="38" t="s">
        <v>47</v>
      </c>
      <c r="D94" s="43">
        <f>TRUNC(918+3099+1927+15419+23629,-1)</f>
        <v>44990</v>
      </c>
      <c r="E94" s="64">
        <f t="shared" si="2"/>
        <v>148720</v>
      </c>
      <c r="F94" s="2" t="s">
        <v>268</v>
      </c>
    </row>
    <row r="95" spans="1:7" x14ac:dyDescent="0.3">
      <c r="A95" s="2">
        <v>27</v>
      </c>
      <c r="C95" s="27" t="s">
        <v>112</v>
      </c>
      <c r="D95" s="39">
        <f>SUM(D69:D94)</f>
        <v>276260</v>
      </c>
      <c r="E95" s="39">
        <f>SUM(E69:E94)</f>
        <v>913190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TRUNC(18538,-1)</f>
        <v>18530</v>
      </c>
      <c r="E98" s="62">
        <f t="shared" ref="E98:E118" si="3">TRUNC(+D98*3.3058,-1)</f>
        <v>61250</v>
      </c>
    </row>
    <row r="99" spans="1:7" x14ac:dyDescent="0.3">
      <c r="A99" s="2">
        <v>2</v>
      </c>
      <c r="C99" s="38" t="s">
        <v>40</v>
      </c>
      <c r="D99" s="42">
        <f>TRUNC(11046,-1)</f>
        <v>11040</v>
      </c>
      <c r="E99" s="63">
        <f t="shared" si="3"/>
        <v>36490</v>
      </c>
    </row>
    <row r="100" spans="1:7" x14ac:dyDescent="0.3">
      <c r="A100" s="2">
        <v>3</v>
      </c>
      <c r="C100" s="38" t="s">
        <v>41</v>
      </c>
      <c r="D100" s="42">
        <f>TRUNC(32504,-1)</f>
        <v>32500</v>
      </c>
      <c r="E100" s="63">
        <f t="shared" si="3"/>
        <v>107430</v>
      </c>
    </row>
    <row r="101" spans="1:7" x14ac:dyDescent="0.3">
      <c r="A101" s="2">
        <v>4</v>
      </c>
      <c r="C101" s="38" t="s">
        <v>42</v>
      </c>
      <c r="D101" s="42">
        <v>3560</v>
      </c>
      <c r="E101" s="63">
        <f t="shared" si="3"/>
        <v>11760</v>
      </c>
    </row>
    <row r="102" spans="1:7" x14ac:dyDescent="0.3">
      <c r="A102" s="2">
        <v>5</v>
      </c>
      <c r="C102" s="38" t="s">
        <v>43</v>
      </c>
      <c r="D102" s="42">
        <f>TRUNC(14609,-1)</f>
        <v>14600</v>
      </c>
      <c r="E102" s="63">
        <f t="shared" si="3"/>
        <v>48260</v>
      </c>
    </row>
    <row r="103" spans="1:7" x14ac:dyDescent="0.3">
      <c r="A103" s="2">
        <v>6</v>
      </c>
      <c r="C103" s="38" t="s">
        <v>44</v>
      </c>
      <c r="D103" s="42">
        <f>TRUNC(5161,-1)</f>
        <v>5160</v>
      </c>
      <c r="E103" s="63">
        <f t="shared" si="3"/>
        <v>17050</v>
      </c>
    </row>
    <row r="104" spans="1:7" x14ac:dyDescent="0.3">
      <c r="A104" s="2">
        <v>7</v>
      </c>
      <c r="C104" s="38" t="s">
        <v>45</v>
      </c>
      <c r="D104" s="42">
        <v>3770</v>
      </c>
      <c r="E104" s="63">
        <f t="shared" si="3"/>
        <v>12460</v>
      </c>
    </row>
    <row r="105" spans="1:7" x14ac:dyDescent="0.3">
      <c r="A105" s="2">
        <v>8</v>
      </c>
      <c r="C105" s="38" t="s">
        <v>46</v>
      </c>
      <c r="D105" s="42">
        <f>TRUNC(10523,-1)</f>
        <v>10520</v>
      </c>
      <c r="E105" s="63">
        <f t="shared" si="3"/>
        <v>34770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TRUNC(3261,-1)</f>
        <v>3260</v>
      </c>
      <c r="E114" s="63">
        <f t="shared" si="3"/>
        <v>10770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TRUNC(5575,-1)</f>
        <v>5570</v>
      </c>
      <c r="E116" s="63">
        <f t="shared" si="3"/>
        <v>18410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TRUNC(117137,-1)</f>
        <v>117130</v>
      </c>
      <c r="E117" s="63">
        <f t="shared" si="3"/>
        <v>387200</v>
      </c>
    </row>
    <row r="118" spans="1:7" ht="17.25" thickBot="1" x14ac:dyDescent="0.35">
      <c r="A118" s="2">
        <v>21</v>
      </c>
      <c r="C118" s="38" t="s">
        <v>47</v>
      </c>
      <c r="D118" s="43">
        <f>TRUNC(5581,-1)</f>
        <v>5580</v>
      </c>
      <c r="E118" s="64">
        <f t="shared" si="3"/>
        <v>18440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231220</v>
      </c>
      <c r="E119" s="39">
        <f>SUM(E98:E118)</f>
        <v>764290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TRUNC(15946,-1)</f>
        <v>15940</v>
      </c>
      <c r="E122" s="62">
        <f t="shared" ref="E122:E132" si="4">TRUNC(+D122*3.3058,-1)</f>
        <v>52690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2190</v>
      </c>
      <c r="E124" s="63">
        <f t="shared" si="4"/>
        <v>7230</v>
      </c>
    </row>
    <row r="125" spans="1:7" x14ac:dyDescent="0.3">
      <c r="A125" s="2">
        <v>4</v>
      </c>
      <c r="C125" s="38" t="s">
        <v>138</v>
      </c>
      <c r="D125" s="42">
        <f>TRUNC(8797,-1)</f>
        <v>8790</v>
      </c>
      <c r="E125" s="63">
        <f t="shared" si="4"/>
        <v>29050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TRUNC(11195,-1)</f>
        <v>11190</v>
      </c>
      <c r="E127" s="63">
        <f t="shared" si="4"/>
        <v>36990</v>
      </c>
    </row>
    <row r="128" spans="1:7" x14ac:dyDescent="0.3">
      <c r="A128" s="2">
        <v>7</v>
      </c>
      <c r="C128" s="38" t="s">
        <v>46</v>
      </c>
      <c r="D128" s="42">
        <f>TRUNC(10379,-1)</f>
        <v>10370</v>
      </c>
      <c r="E128" s="63">
        <f t="shared" si="4"/>
        <v>34280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44010</v>
      </c>
      <c r="E130" s="63">
        <f t="shared" si="4"/>
        <v>145480</v>
      </c>
    </row>
    <row r="131" spans="1:7" x14ac:dyDescent="0.3">
      <c r="A131" s="2">
        <v>10</v>
      </c>
      <c r="C131" s="38" t="s">
        <v>148</v>
      </c>
      <c r="D131" s="42">
        <f>TRUNC(96187,-1)</f>
        <v>96180</v>
      </c>
      <c r="E131" s="63">
        <f t="shared" si="4"/>
        <v>317950</v>
      </c>
    </row>
    <row r="132" spans="1:7" ht="18" thickBot="1" x14ac:dyDescent="0.35">
      <c r="A132" s="2">
        <v>11</v>
      </c>
      <c r="C132" s="38" t="s">
        <v>47</v>
      </c>
      <c r="D132" s="43">
        <f>TRUNC(10810+3332+867,-1)</f>
        <v>15000</v>
      </c>
      <c r="E132" s="64">
        <f t="shared" si="4"/>
        <v>49580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203670</v>
      </c>
      <c r="E133" s="39">
        <f>SUM(E122:E132)</f>
        <v>673250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TRUNC(125+2106,-1)</f>
        <v>2230</v>
      </c>
      <c r="E137" s="63">
        <f t="shared" si="5"/>
        <v>7370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f>TRUNC(5994,-1)</f>
        <v>5990</v>
      </c>
      <c r="E138" s="63">
        <f t="shared" si="5"/>
        <v>19800</v>
      </c>
    </row>
    <row r="139" spans="1:7" x14ac:dyDescent="0.3">
      <c r="A139" s="2">
        <v>4</v>
      </c>
      <c r="C139" s="38" t="s">
        <v>61</v>
      </c>
      <c r="D139" s="42">
        <f>TRUNC(3417,-1)</f>
        <v>3410</v>
      </c>
      <c r="E139" s="63">
        <f t="shared" si="5"/>
        <v>11270</v>
      </c>
    </row>
    <row r="140" spans="1:7" x14ac:dyDescent="0.3">
      <c r="A140" s="2">
        <v>5</v>
      </c>
      <c r="C140" s="38" t="s">
        <v>57</v>
      </c>
      <c r="D140" s="42">
        <f>TRUNC(3212,-1)</f>
        <v>3210</v>
      </c>
      <c r="E140" s="63">
        <f t="shared" si="5"/>
        <v>10610</v>
      </c>
    </row>
    <row r="141" spans="1:7" x14ac:dyDescent="0.3">
      <c r="A141" s="2">
        <v>6</v>
      </c>
      <c r="C141" s="38" t="s">
        <v>59</v>
      </c>
      <c r="D141" s="42">
        <f>TRUNC(26811,-1)</f>
        <v>26810</v>
      </c>
      <c r="E141" s="63">
        <f t="shared" si="5"/>
        <v>88620</v>
      </c>
    </row>
    <row r="142" spans="1:7" x14ac:dyDescent="0.3">
      <c r="A142" s="2">
        <v>7</v>
      </c>
      <c r="C142" s="38" t="s">
        <v>58</v>
      </c>
      <c r="D142" s="42">
        <f>TRUNC(5063,-1)</f>
        <v>5060</v>
      </c>
      <c r="E142" s="63">
        <f t="shared" si="5"/>
        <v>16720</v>
      </c>
    </row>
    <row r="143" spans="1:7" x14ac:dyDescent="0.3">
      <c r="A143" s="2">
        <v>8</v>
      </c>
      <c r="C143" s="38" t="s">
        <v>62</v>
      </c>
      <c r="D143" s="42">
        <f>TRUNC(5185,-1)</f>
        <v>5180</v>
      </c>
      <c r="E143" s="63">
        <f t="shared" si="5"/>
        <v>17120</v>
      </c>
    </row>
    <row r="144" spans="1:7" x14ac:dyDescent="0.3">
      <c r="A144" s="2">
        <v>9</v>
      </c>
      <c r="C144" s="38" t="s">
        <v>63</v>
      </c>
      <c r="D144" s="42">
        <f>TRUNC(19297,-1)</f>
        <v>19290</v>
      </c>
      <c r="E144" s="63">
        <f t="shared" si="5"/>
        <v>63760</v>
      </c>
    </row>
    <row r="145" spans="1:7" ht="17.25" thickBot="1" x14ac:dyDescent="0.35">
      <c r="A145" s="2">
        <v>10</v>
      </c>
      <c r="C145" s="38" t="s">
        <v>148</v>
      </c>
      <c r="D145" s="43">
        <f>TRUNC(3669,-1)</f>
        <v>3660</v>
      </c>
      <c r="E145" s="64">
        <f t="shared" si="5"/>
        <v>12090</v>
      </c>
    </row>
    <row r="146" spans="1:7" x14ac:dyDescent="0.3">
      <c r="A146" s="2">
        <v>11</v>
      </c>
      <c r="C146" s="27" t="s">
        <v>112</v>
      </c>
      <c r="D146" s="39">
        <f>SUM(D136:D145)</f>
        <v>74840</v>
      </c>
      <c r="E146" s="39">
        <f>SUM(E136:E145)</f>
        <v>247360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TRUNC(9732,-1)</f>
        <v>9730</v>
      </c>
      <c r="E149" s="62">
        <f>TRUNC(+D149*3.3058,-1)</f>
        <v>32160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TRUNC(19902,-1)</f>
        <v>19900</v>
      </c>
      <c r="E150" s="63">
        <f>TRUNC(+D150*3.3058,-1)</f>
        <v>65780</v>
      </c>
    </row>
    <row r="151" spans="1:7" x14ac:dyDescent="0.3">
      <c r="A151" s="2">
        <v>3</v>
      </c>
      <c r="C151" s="38" t="s">
        <v>50</v>
      </c>
      <c r="D151" s="42">
        <f>TRUNC(1036,-1)</f>
        <v>1030</v>
      </c>
      <c r="E151" s="63">
        <f>TRUNC(+D151*3.3058,-1)</f>
        <v>3400</v>
      </c>
    </row>
    <row r="152" spans="1:7" x14ac:dyDescent="0.3">
      <c r="A152" s="2">
        <v>4</v>
      </c>
      <c r="C152" s="38" t="s">
        <v>47</v>
      </c>
      <c r="D152" s="42">
        <f>TRUNC(2144,-1)</f>
        <v>2140</v>
      </c>
      <c r="E152" s="63">
        <f>TRUNC(+D152*3.3058,-1)</f>
        <v>7070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TRUNC(33767,-1)</f>
        <v>33760</v>
      </c>
      <c r="E153" s="64">
        <f>TRUNC(+D153*3.3058,-1)</f>
        <v>111600</v>
      </c>
    </row>
    <row r="154" spans="1:7" x14ac:dyDescent="0.3">
      <c r="A154" s="2">
        <v>6</v>
      </c>
      <c r="C154" s="27" t="s">
        <v>112</v>
      </c>
      <c r="D154" s="39">
        <f>SUM(D149:D153)</f>
        <v>66560</v>
      </c>
      <c r="E154" s="39">
        <f>SUM(E149:E153)</f>
        <v>220010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62220</v>
      </c>
      <c r="E157" s="62">
        <f>TRUNC(+D157*3.3058,-1)</f>
        <v>205680</v>
      </c>
    </row>
    <row r="158" spans="1:7" x14ac:dyDescent="0.3">
      <c r="A158" s="2">
        <v>2</v>
      </c>
      <c r="C158" s="38" t="s">
        <v>52</v>
      </c>
      <c r="D158" s="42">
        <f>TRUNC(20943,-1)</f>
        <v>20940</v>
      </c>
      <c r="E158" s="63">
        <f>TRUNC(+D158*3.3058,-1)</f>
        <v>69220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v>11960</v>
      </c>
      <c r="E159" s="63">
        <f>TRUNC(+D159*3.3058,-1)</f>
        <v>39530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f>TRUNC(5465,-1)</f>
        <v>5460</v>
      </c>
      <c r="E160" s="64">
        <f>TRUNC(+D160*3.3058,-1)</f>
        <v>18040</v>
      </c>
    </row>
    <row r="161" spans="1:5" x14ac:dyDescent="0.3">
      <c r="A161" s="2">
        <v>5</v>
      </c>
      <c r="C161" s="27" t="s">
        <v>112</v>
      </c>
      <c r="D161" s="39">
        <f>SUM(D157:D160)</f>
        <v>100580</v>
      </c>
      <c r="E161" s="39">
        <f>SUM(E156:E160)</f>
        <v>332470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2020-12-08T04:50:06Z</dcterms:modified>
</cp:coreProperties>
</file>