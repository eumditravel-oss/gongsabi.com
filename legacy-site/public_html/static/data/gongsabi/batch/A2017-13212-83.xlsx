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2" i="4"/>
  <c r="D140" i="4"/>
  <c r="D139" i="4"/>
  <c r="D137" i="4"/>
  <c r="D132" i="4"/>
  <c r="D131" i="4"/>
  <c r="D130" i="4"/>
  <c r="D128" i="4"/>
  <c r="D126" i="4"/>
  <c r="D125" i="4"/>
  <c r="D118" i="4"/>
  <c r="D116" i="4"/>
  <c r="D114" i="4"/>
  <c r="D105" i="4"/>
  <c r="D103" i="4"/>
  <c r="D102" i="4"/>
  <c r="D100" i="4"/>
  <c r="D99" i="4"/>
  <c r="D98" i="4"/>
  <c r="D94" i="4"/>
  <c r="D93" i="4"/>
  <c r="D92" i="4"/>
  <c r="D91" i="4"/>
  <c r="D89" i="4"/>
  <c r="D73" i="4"/>
  <c r="D72" i="4"/>
  <c r="D69" i="4"/>
  <c r="D63" i="4"/>
  <c r="D58" i="4"/>
  <c r="D52" i="4"/>
  <c r="D49" i="4"/>
  <c r="D48" i="4"/>
  <c r="D46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<sst xmlns="http://schemas.openxmlformats.org/spreadsheetml/2006/main" count="390" uniqueCount="267">
  <si>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</si>
  <si>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</si>
  <si>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</si>
  <si>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</si>
  <si>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</si>
  <si>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</si>
  <si>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</si>
  <si>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</si>
  <si>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</si>
  <si>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</si>
  <si>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</si>
  <si>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</si>
  <si>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</si>
  <si>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</si>
  <si>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</si>
  <si>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</si>
  <si>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</si>
  <si>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</si>
  <si>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</si>
  <si>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</si>
  <si>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</si>
  <si>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</si>
  <si>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</si>
  <si>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</si>
  <si>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</si>
  <si>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</si>
  <si>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</si>
  <si>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</si>
  <si>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</si>
  <si>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</si>
  <si>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</si>
  <si>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</si>
  <si>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</si>
  <si>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</si>
  <si>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</si>
  <si>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</si>
  <si>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</si>
  <si>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</si>
  <si>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</si>
  <si>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</si>
  <si>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</si>
  <si>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</si>
  <si>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</si>
  <si>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</si>
  <si>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</si>
  <si>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</si>
  <si>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</si>
  <si>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</si>
  <si>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</si>
  <si>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</si>
  <si>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</si>
  <si>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</si>
  <si>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</si>
  <si>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</si>
  <si>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</si>
  <si>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</si>
  <si>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</si>
  <si>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</si>
  <si>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</si>
  <si>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</si>
  <si>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</si>
  <si>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</si>
  <si>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</si>
  <si>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</si>
  <si>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</si>
  <si>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</si>
  <si>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</si>
  <si>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</si>
  <si>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</si>
  <si>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</si>
  <si>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</si>
  <si>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</si>
  <si>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</si>
  <si>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</si>
  <si>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</si>
  <si>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</si>
  <si>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</si>
  <si>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</si>
  <si>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</si>
  <si>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</si>
  <si>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</si>
  <si>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</si>
  <si>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</si>
  <si>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</si>
  <si>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</si>
  <si>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</si>
  <si>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</si>
  <si>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</si>
  <si>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</si>
  <si>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</si>
  <si>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</si>
  <si>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</si>
  <si>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</si>
  <si>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</si>
  <si>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</si>
  <si>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</si>
  <si>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</si>
  <si>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</si>
  <si>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</si>
  <si>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</si>
  <si>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</si>
  <si>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</si>
  <si>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</si>
  <si>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</si>
  <si>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</si>
  <si>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</si>
  <si>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</si>
  <si>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</si>
  <si>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</si>
  <si>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</si>
  <si>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</si>
  <si>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</si>
  <si>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</si>
  <si>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</si>
  <si>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</si>
  <si>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</si>
  <si>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</si>
  <si>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</si>
  <si>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</si>
  <si>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</si>
  <si>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</si>
  <si>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</si>
  <si>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</si>
  <si>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</si>
  <si>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</si>
  <si>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</si>
  <si>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</si>
  <si>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</si>
  <si>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</si>
  <si>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</si>
  <si>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</si>
  <si>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</si>
  <si>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</si>
  <si>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</si>
  <si>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</si>
  <si>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</si>
  <si>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</si>
  <si>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</si>
  <si>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</si>
  <si>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</si>
  <si>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</si>
  <si>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</si>
  <si>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</si>
  <si>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</si>
  <si>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</si>
  <si>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</si>
  <si>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</si>
  <si>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</si>
  <si>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</si>
  <si>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</si>
  <si>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</si>
  <si>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</si>
  <si>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</si>
  <si>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</si>
  <si>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</si>
  <si>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</si>
  <si>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</si>
  <si>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</si>
  <si>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</si>
  <si>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</si>
  <si>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</si>
  <si>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</si>
  <si>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</si>
  <si>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</si>
  <si>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</si>
  <si>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</si>
  <si>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</si>
  <si>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</si>
  <si>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</si>
  <si>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</si>
  <si>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</si>
  <si>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</si>
  <si>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</si>
  <si>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</si>
  <si>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</si>
  <si>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</si>
  <si>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</si>
  <si>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</si>
  <si>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</si>
  <si>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</si>
  <si>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</si>
  <si>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</si>
  <si>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</si>
  <si>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</si>
  <si>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</si>
  <si>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</si>
  <si>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</si>
  <si>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</si>
  <si>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</si>
  <si>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</si>
  <si>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</si>
  <si>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</si>
  <si>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</si>
  <si>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</si>
  <si>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</si>
  <si>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</si>
  <si>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</si>
  <si>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</si>
  <si>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</si>
  <si>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</si>
  <si>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</si>
  <si>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</si>
  <si>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</si>
  <si>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</si>
  <si>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</si>
  <si>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</si>
  <si>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</si>
  <si>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</si>
  <si>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</si>
  <si>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</si>
  <si>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</si>
  <si>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</si>
  <si>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</si>
  <si>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</si>
  <si>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</si>
  <si>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</si>
  <si>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</si>
  <si>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</si>
  <si>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</si>
  <si>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</si>
  <si>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</si>
  <si>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</si>
  <si>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</si>
  <si>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</si>
  <si>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</si>
  <si>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</si>
  <si>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</si>
  <si>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</si>
  <si>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</si>
  <si>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</si>
  <si>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</si>
  <si>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</si>
  <si>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</si>
  <si>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</si>
  <si>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</si>
  <si>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</si>
  <si>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</si>
  <si>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</si>
  <si>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</si>
  <si>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</si>
  <si>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</si>
  <si>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</si>
  <si>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</si>
  <si>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</si>
  <si>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</si>
  <si>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</si>
  <si>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</si>
  <si>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</si>
  <si>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</si>
  <si>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</si>
  <si>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</si>
  <si>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</si>
  <si>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</si>
  <si>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업무</t>
  </si>
  <si>
    <t>김해세무서 밀양지서 신축공사</t>
    <phoneticPr fontId="2" type="noConversion"/>
  </si>
  <si>
    <t>경상도</t>
  </si>
  <si>
    <t>기초공사, 해체및철거공사, 골재비및운반비, 기타공사</t>
    <phoneticPr fontId="2" type="noConversion"/>
  </si>
  <si>
    <t>바닥난방공사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</si>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</sst>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1768.83</v>
      </c>
      <c r="D7" s="36">
        <f>+C7/3.3058</f>
        <v>535.06866719099764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1058920</v>
      </c>
      <c r="E25" s="59">
        <f t="shared" si="0"/>
        <v>3500570</v>
      </c>
    </row>
    <row r="26" spans="1:5" x14ac:dyDescent="0.3">
      <c r="B26" s="2">
        <v>3</v>
      </c>
      <c r="C26" s="35" t="s">
        <v>95</v>
      </c>
      <c r="D26" s="45">
        <f>+D66</f>
        <v>6580</v>
      </c>
      <c r="E26" s="59">
        <f t="shared" si="0"/>
        <v>21750</v>
      </c>
    </row>
    <row r="27" spans="1:5" x14ac:dyDescent="0.3">
      <c r="B27" s="2">
        <v>4</v>
      </c>
      <c r="C27" s="35" t="s">
        <v>96</v>
      </c>
      <c r="D27" s="45">
        <f>+D95</f>
        <v>138650</v>
      </c>
      <c r="E27" s="59">
        <f t="shared" si="0"/>
        <v>458340</v>
      </c>
    </row>
    <row r="28" spans="1:5" x14ac:dyDescent="0.3">
      <c r="B28" s="2">
        <v>5</v>
      </c>
      <c r="C28" s="35" t="s">
        <v>97</v>
      </c>
      <c r="D28" s="45">
        <f>+D119</f>
        <v>244550</v>
      </c>
      <c r="E28" s="59">
        <f t="shared" si="0"/>
        <v>808430</v>
      </c>
    </row>
    <row r="29" spans="1:5" x14ac:dyDescent="0.3">
      <c r="B29" s="2">
        <v>6</v>
      </c>
      <c r="C29" s="35" t="s">
        <v>98</v>
      </c>
      <c r="D29" s="45">
        <f>+D133</f>
        <v>65210</v>
      </c>
      <c r="E29" s="59">
        <f t="shared" si="0"/>
        <v>215570</v>
      </c>
    </row>
    <row r="30" spans="1:5" x14ac:dyDescent="0.3">
      <c r="B30" s="2">
        <v>7</v>
      </c>
      <c r="C30" s="35" t="s">
        <v>99</v>
      </c>
      <c r="D30" s="45">
        <f>+D146</f>
        <v>42510</v>
      </c>
      <c r="E30" s="59">
        <f t="shared" si="0"/>
        <v>140520</v>
      </c>
    </row>
    <row r="31" spans="1:5" x14ac:dyDescent="0.3">
      <c r="B31" s="2">
        <v>8</v>
      </c>
      <c r="C31" s="35" t="s">
        <v>100</v>
      </c>
      <c r="D31" s="45">
        <f>+D154</f>
        <v>130260</v>
      </c>
      <c r="E31" s="59">
        <f t="shared" si="0"/>
        <v>430610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463830</v>
      </c>
      <c r="E33" s="60">
        <f t="shared" si="0"/>
        <v>1533320</v>
      </c>
    </row>
    <row r="34" spans="1:7" x14ac:dyDescent="0.3">
      <c r="C34" s="35" t="s">
        <v>112</v>
      </c>
      <c r="D34" s="44">
        <f>SUM(D24:D33)</f>
        <v>2150510</v>
      </c>
      <c r="E34" s="44">
        <f>SUM(E24:E33)</f>
        <v>7109110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TRUNC(53013,-1)</f>
        <v>53010</v>
      </c>
      <c r="E40" s="62">
        <f t="shared" ref="E40:E59" si="1">TRUNC(+D40*3.3058,-1)</f>
        <v>175240</v>
      </c>
    </row>
    <row r="41" spans="1:7" x14ac:dyDescent="0.3">
      <c r="A41" s="2">
        <v>2</v>
      </c>
      <c r="C41" s="38" t="s">
        <v>13</v>
      </c>
      <c r="D41" s="42">
        <f>TRUNC(190598,-1)</f>
        <v>190590</v>
      </c>
      <c r="E41" s="63">
        <f t="shared" si="1"/>
        <v>630050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TRUNC(15288,-1)</f>
        <v>15280</v>
      </c>
      <c r="E43" s="63">
        <f t="shared" si="1"/>
        <v>50510</v>
      </c>
    </row>
    <row r="44" spans="1:7" x14ac:dyDescent="0.3">
      <c r="A44" s="2">
        <v>5</v>
      </c>
      <c r="C44" s="38" t="s">
        <v>17</v>
      </c>
      <c r="D44" s="42">
        <f>TRUNC(28425,-1)</f>
        <v>28420</v>
      </c>
      <c r="E44" s="63">
        <f t="shared" si="1"/>
        <v>93950</v>
      </c>
    </row>
    <row r="45" spans="1:7" x14ac:dyDescent="0.3">
      <c r="A45" s="2">
        <v>6</v>
      </c>
      <c r="C45" s="38" t="s">
        <v>18</v>
      </c>
      <c r="D45" s="42">
        <v>26710</v>
      </c>
      <c r="E45" s="63">
        <f t="shared" si="1"/>
        <v>88290</v>
      </c>
    </row>
    <row r="46" spans="1:7" x14ac:dyDescent="0.3">
      <c r="A46" s="2">
        <v>7</v>
      </c>
      <c r="C46" s="38" t="s">
        <v>19</v>
      </c>
      <c r="D46" s="42">
        <f>TRUNC(95025,-1)</f>
        <v>95020</v>
      </c>
      <c r="E46" s="63">
        <f t="shared" si="1"/>
        <v>314110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TRUNC(54398,-1)</f>
        <v>54390</v>
      </c>
      <c r="E48" s="63">
        <f t="shared" si="1"/>
        <v>179800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TRUNC(22698,-1)</f>
        <v>22690</v>
      </c>
      <c r="E49" s="63">
        <f t="shared" si="1"/>
        <v>75000</v>
      </c>
    </row>
    <row r="50" spans="1:7" x14ac:dyDescent="0.3">
      <c r="A50" s="2">
        <v>11</v>
      </c>
      <c r="C50" s="38" t="s">
        <v>155</v>
      </c>
      <c r="D50" s="42">
        <v>61110</v>
      </c>
      <c r="E50" s="63">
        <f t="shared" si="1"/>
        <v>202010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TRUNC(13044,-1)</f>
        <v>13040</v>
      </c>
      <c r="E52" s="63">
        <f t="shared" si="1"/>
        <v>43100</v>
      </c>
    </row>
    <row r="53" spans="1:7" x14ac:dyDescent="0.3">
      <c r="A53" s="2">
        <v>14</v>
      </c>
      <c r="C53" s="38" t="s">
        <v>25</v>
      </c>
      <c r="D53" s="42">
        <v>130190</v>
      </c>
      <c r="E53" s="63">
        <f t="shared" si="1"/>
        <v>430380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TRUNC(11649+23959+7011+8860,-1)</f>
        <v>51470</v>
      </c>
      <c r="E58" s="63">
        <f t="shared" si="1"/>
        <v>170140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317000</v>
      </c>
      <c r="E59" s="64">
        <f t="shared" si="1"/>
        <v>1047930</v>
      </c>
    </row>
    <row r="60" spans="1:7" x14ac:dyDescent="0.3">
      <c r="A60" s="2">
        <v>21</v>
      </c>
      <c r="C60" s="27" t="s">
        <v>112</v>
      </c>
      <c r="D60" s="39">
        <f>SUM(D40:D59)</f>
        <v>1058920</v>
      </c>
      <c r="E60" s="39">
        <f>SUM(E40:E59)</f>
        <v>3500510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TRUNC(6581,-1)</f>
        <v>6580</v>
      </c>
      <c r="E63" s="62">
        <f>TRUNC(+D63*3.3058,-1)</f>
        <v>21750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6580</v>
      </c>
      <c r="E66" s="65">
        <f>SUM(E63:E65)</f>
        <v>21750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TRUNC(11236,-1)</f>
        <v>11230</v>
      </c>
      <c r="E69" s="62">
        <f t="shared" ref="E69:E94" si="2">TRUNC(+D69*3.3058,-1)</f>
        <v>37120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TRUNC(5091,-1)</f>
        <v>5090</v>
      </c>
      <c r="E72" s="63">
        <f t="shared" si="2"/>
        <v>16820</v>
      </c>
    </row>
    <row r="73" spans="1:7" x14ac:dyDescent="0.3">
      <c r="A73" s="2">
        <v>5</v>
      </c>
      <c r="C73" s="38" t="s">
        <v>34</v>
      </c>
      <c r="D73" s="42">
        <f>TRUNC(17191,-1)</f>
        <v>17190</v>
      </c>
      <c r="E73" s="63">
        <f t="shared" si="2"/>
        <v>56820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TRUNC(9728,-1)</f>
        <v>9720</v>
      </c>
      <c r="E89" s="63">
        <f t="shared" si="2"/>
        <v>32130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TRUNC(1517,-1)</f>
        <v>1510</v>
      </c>
      <c r="E91" s="63">
        <f t="shared" si="2"/>
        <v>4990</v>
      </c>
    </row>
    <row r="92" spans="1:7" x14ac:dyDescent="0.3">
      <c r="A92" s="2">
        <v>24</v>
      </c>
      <c r="C92" s="38" t="s">
        <v>38</v>
      </c>
      <c r="D92" s="42">
        <f>TRUNC(11059,-1)</f>
        <v>11050</v>
      </c>
      <c r="E92" s="63">
        <f t="shared" si="2"/>
        <v>36520</v>
      </c>
    </row>
    <row r="93" spans="1:7" x14ac:dyDescent="0.3">
      <c r="A93" s="2">
        <v>25</v>
      </c>
      <c r="C93" s="38" t="s">
        <v>148</v>
      </c>
      <c r="D93" s="42">
        <f>TRUNC(81287,-1)</f>
        <v>81280</v>
      </c>
      <c r="E93" s="63">
        <f t="shared" si="2"/>
        <v>268690</v>
      </c>
    </row>
    <row r="94" spans="1:7" ht="17.25" thickBot="1" x14ac:dyDescent="0.35">
      <c r="A94" s="2">
        <v>26</v>
      </c>
      <c r="C94" s="38" t="s">
        <v>47</v>
      </c>
      <c r="D94" s="43">
        <f>TRUNC(1588,-1)</f>
        <v>1580</v>
      </c>
      <c r="E94" s="64">
        <f t="shared" si="2"/>
        <v>5220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138650</v>
      </c>
      <c r="E95" s="39">
        <f>SUM(E69:E94)</f>
        <v>458310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TRUNC(4831,-1)</f>
        <v>4830</v>
      </c>
      <c r="E98" s="62">
        <f t="shared" ref="E98:E118" si="3">TRUNC(+D98*3.3058,-1)</f>
        <v>15960</v>
      </c>
    </row>
    <row r="99" spans="1:7" x14ac:dyDescent="0.3">
      <c r="A99" s="2">
        <v>2</v>
      </c>
      <c r="C99" s="38" t="s">
        <v>40</v>
      </c>
      <c r="D99" s="42">
        <f>TRUNC(8063,-1)</f>
        <v>8060</v>
      </c>
      <c r="E99" s="63">
        <f t="shared" si="3"/>
        <v>26640</v>
      </c>
    </row>
    <row r="100" spans="1:7" x14ac:dyDescent="0.3">
      <c r="A100" s="2">
        <v>3</v>
      </c>
      <c r="C100" s="38" t="s">
        <v>41</v>
      </c>
      <c r="D100" s="42">
        <f>TRUNC(33651,-1)</f>
        <v>33650</v>
      </c>
      <c r="E100" s="63">
        <f t="shared" si="3"/>
        <v>111240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TRUNC(21429,-1)</f>
        <v>21420</v>
      </c>
      <c r="E102" s="63">
        <f t="shared" si="3"/>
        <v>70810</v>
      </c>
    </row>
    <row r="103" spans="1:7" x14ac:dyDescent="0.3">
      <c r="A103" s="2">
        <v>6</v>
      </c>
      <c r="C103" s="38" t="s">
        <v>44</v>
      </c>
      <c r="D103" s="42">
        <f>TRUNC(4506,-1)</f>
        <v>4500</v>
      </c>
      <c r="E103" s="63">
        <f t="shared" si="3"/>
        <v>14870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TRUNC(977,-1)</f>
        <v>970</v>
      </c>
      <c r="E105" s="63">
        <f t="shared" si="3"/>
        <v>3200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TRUNC(5059,-1)</f>
        <v>5050</v>
      </c>
      <c r="E114" s="63">
        <f t="shared" si="3"/>
        <v>16690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TRUNC(1991,-1)</f>
        <v>1990</v>
      </c>
      <c r="E116" s="63">
        <f t="shared" si="3"/>
        <v>6570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160630</v>
      </c>
      <c r="E117" s="63">
        <f t="shared" si="3"/>
        <v>531010</v>
      </c>
    </row>
    <row r="118" spans="1:7" ht="17.25" thickBot="1" x14ac:dyDescent="0.35">
      <c r="A118" s="2">
        <v>21</v>
      </c>
      <c r="C118" s="38" t="s">
        <v>47</v>
      </c>
      <c r="D118" s="43">
        <f>TRUNC(3459,-1)</f>
        <v>3450</v>
      </c>
      <c r="E118" s="64">
        <f t="shared" si="3"/>
        <v>11400</v>
      </c>
    </row>
    <row r="119" spans="1:7" x14ac:dyDescent="0.3">
      <c r="A119" s="2">
        <v>22</v>
      </c>
      <c r="C119" s="27" t="s">
        <v>112</v>
      </c>
      <c r="D119" s="39">
        <f>SUM(D98:D118)</f>
        <v>244550</v>
      </c>
      <c r="E119" s="39">
        <f>SUM(E98:E118)</f>
        <v>808390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TRUNC(12224,-1)</f>
        <v>12220</v>
      </c>
      <c r="E125" s="63">
        <f t="shared" si="4"/>
        <v>40390</v>
      </c>
    </row>
    <row r="126" spans="1:7" x14ac:dyDescent="0.3">
      <c r="A126" s="2">
        <v>5</v>
      </c>
      <c r="C126" s="38" t="s">
        <v>53</v>
      </c>
      <c r="D126" s="42">
        <f>TRUNC(1978,-1)</f>
        <v>1970</v>
      </c>
      <c r="E126" s="63">
        <f t="shared" si="4"/>
        <v>6510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TRUNC(2008,-1)</f>
        <v>2000</v>
      </c>
      <c r="E128" s="63">
        <f t="shared" si="4"/>
        <v>6610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TRUNC(36073,-1)</f>
        <v>36070</v>
      </c>
      <c r="E130" s="63">
        <f t="shared" si="4"/>
        <v>119240</v>
      </c>
    </row>
    <row r="131" spans="1:7" x14ac:dyDescent="0.3">
      <c r="A131" s="2">
        <v>10</v>
      </c>
      <c r="C131" s="38" t="s">
        <v>148</v>
      </c>
      <c r="D131" s="42">
        <f>TRUNC(8605,-1)</f>
        <v>8600</v>
      </c>
      <c r="E131" s="63">
        <f t="shared" si="4"/>
        <v>28420</v>
      </c>
    </row>
    <row r="132" spans="1:7" ht="18" thickBot="1" x14ac:dyDescent="0.35">
      <c r="A132" s="2">
        <v>11</v>
      </c>
      <c r="C132" s="38" t="s">
        <v>47</v>
      </c>
      <c r="D132" s="43">
        <f>TRUNC(4351,-1)</f>
        <v>4350</v>
      </c>
      <c r="E132" s="64">
        <f t="shared" si="4"/>
        <v>14380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65210</v>
      </c>
      <c r="E133" s="39">
        <f>SUM(E122:E132)</f>
        <v>215550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TRUNC(3562+4625,-1)</f>
        <v>8180</v>
      </c>
      <c r="E137" s="63">
        <f t="shared" si="5"/>
        <v>27040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TRUNC(2831,-1)</f>
        <v>2830</v>
      </c>
      <c r="E139" s="63">
        <f t="shared" si="5"/>
        <v>9350</v>
      </c>
    </row>
    <row r="140" spans="1:7" x14ac:dyDescent="0.3">
      <c r="A140" s="2">
        <v>5</v>
      </c>
      <c r="C140" s="38" t="s">
        <v>57</v>
      </c>
      <c r="D140" s="42">
        <f>TRUNC(9522,-1)</f>
        <v>9520</v>
      </c>
      <c r="E140" s="63">
        <f t="shared" si="5"/>
        <v>31470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TRUNC(4873,-1)</f>
        <v>4870</v>
      </c>
      <c r="E142" s="63">
        <f t="shared" si="5"/>
        <v>16090</v>
      </c>
    </row>
    <row r="143" spans="1:7" x14ac:dyDescent="0.3">
      <c r="A143" s="2">
        <v>8</v>
      </c>
      <c r="C143" s="38" t="s">
        <v>62</v>
      </c>
      <c r="D143" s="42">
        <f>TRUNC(5748,-1)</f>
        <v>5740</v>
      </c>
      <c r="E143" s="63">
        <f t="shared" si="5"/>
        <v>18970</v>
      </c>
    </row>
    <row r="144" spans="1:7" x14ac:dyDescent="0.3">
      <c r="A144" s="2">
        <v>9</v>
      </c>
      <c r="C144" s="38" t="s">
        <v>63</v>
      </c>
      <c r="D144" s="42">
        <f>TRUNC(11376,-1)</f>
        <v>11370</v>
      </c>
      <c r="E144" s="63">
        <f t="shared" si="5"/>
        <v>37580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42510</v>
      </c>
      <c r="E146" s="39">
        <f>SUM(E136:E145)</f>
        <v>140500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TRUNC(7504+5525,-1)</f>
        <v>13020</v>
      </c>
      <c r="E149" s="62">
        <f>TRUNC(+D149*3.3058,-1)</f>
        <v>43040</v>
      </c>
    </row>
    <row r="150" spans="1:7" x14ac:dyDescent="0.3">
      <c r="A150" s="2">
        <v>2</v>
      </c>
      <c r="C150" s="38" t="s">
        <v>49</v>
      </c>
      <c r="D150" s="42">
        <f>TRUNC(18046,-1)</f>
        <v>18040</v>
      </c>
      <c r="E150" s="63">
        <f>TRUNC(+D150*3.3058,-1)</f>
        <v>59630</v>
      </c>
    </row>
    <row r="151" spans="1:7" x14ac:dyDescent="0.3">
      <c r="A151" s="2">
        <v>3</v>
      </c>
      <c r="C151" s="38" t="s">
        <v>50</v>
      </c>
      <c r="D151" s="42">
        <f>TRUNC(30367,-1)</f>
        <v>30360</v>
      </c>
      <c r="E151" s="63">
        <f>TRUNC(+D151*3.3058,-1)</f>
        <v>100360</v>
      </c>
    </row>
    <row r="152" spans="1:7" x14ac:dyDescent="0.3">
      <c r="A152" s="2">
        <v>4</v>
      </c>
      <c r="C152" s="38" t="s">
        <v>47</v>
      </c>
      <c r="D152" s="42">
        <f>TRUNC(21282,-1)</f>
        <v>21280</v>
      </c>
      <c r="E152" s="63">
        <f>TRUNC(+D152*3.3058,-1)</f>
        <v>70340</v>
      </c>
    </row>
    <row r="153" spans="1:7" ht="17.25" thickBot="1" x14ac:dyDescent="0.35">
      <c r="A153" s="2">
        <v>5</v>
      </c>
      <c r="C153" s="38" t="s">
        <v>148</v>
      </c>
      <c r="D153" s="43">
        <f>TRUNC(47569,-1)</f>
        <v>47560</v>
      </c>
      <c r="E153" s="64">
        <f>TRUNC(+D153*3.3058,-1)</f>
        <v>157220</v>
      </c>
    </row>
    <row r="154" spans="1:7" x14ac:dyDescent="0.3">
      <c r="A154" s="2">
        <v>6</v>
      </c>
      <c r="C154" s="27" t="s">
        <v>112</v>
      </c>
      <c r="D154" s="39">
        <f>SUM(D149:D153)</f>
        <v>130260</v>
      </c>
      <c r="E154" s="39">
        <f>SUM(E149:E153)</f>
        <v>430590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2020-12-08T02:09:02Z</dcterms:modified>
</cp:coreProperties>
</file>