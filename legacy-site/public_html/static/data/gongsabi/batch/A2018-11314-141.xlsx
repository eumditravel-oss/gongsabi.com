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44" i="4"/>
  <c r="D143" i="4"/>
  <c r="D139" i="4"/>
  <c r="D141" i="4"/>
  <c r="D142" i="4"/>
  <c r="D132" i="4"/>
  <c r="D127" i="4"/>
  <c r="D128" i="4"/>
  <c r="D124" i="4"/>
  <c r="D125" i="4"/>
  <c r="D122" i="4"/>
  <c r="D130" i="4"/>
  <c r="D118" i="4"/>
  <c r="D105" i="4"/>
  <c r="D104" i="4"/>
  <c r="D103" i="4"/>
  <c r="D102" i="4"/>
  <c r="D101" i="4"/>
  <c r="D100" i="4"/>
  <c r="D98" i="4"/>
  <c r="D116" i="4"/>
  <c r="D94" i="4"/>
  <c r="D92" i="4"/>
  <c r="D91" i="4"/>
  <c r="D89" i="4"/>
  <c r="D73" i="4"/>
  <c r="D72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152" i="4"/>
  <c r="D150" i="4"/>
  <c r="D149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<sst xmlns="http://schemas.openxmlformats.org/spreadsheetml/2006/main" count="393" uniqueCount="268">
  <si>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</si>
  <si>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</si>
  <si>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</si>
  <si>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</si>
  <si>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</si>
  <si>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</si>
  <si>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</si>
  <si>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</si>
  <si>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</si>
  <si>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</si>
  <si>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</si>
  <si>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</si>
  <si>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</si>
  <si>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</si>
  <si>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</si>
  <si>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</si>
  <si>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</si>
  <si>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</si>
  <si>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</si>
  <si>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</si>
  <si>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</si>
  <si>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</si>
  <si>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</si>
  <si>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</si>
  <si>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</si>
  <si>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</si>
  <si>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</si>
  <si>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</si>
  <si>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</si>
  <si>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</si>
  <si>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</si>
  <si>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</si>
  <si>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</si>
  <si>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</si>
  <si>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</si>
  <si>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</si>
  <si>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</si>
  <si>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</si>
  <si>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</si>
  <si>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</si>
  <si>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</si>
  <si>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</si>
  <si>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</si>
  <si>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</si>
  <si>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</si>
  <si>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</si>
  <si>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</si>
  <si>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</si>
  <si>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</si>
  <si>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</si>
  <si>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</si>
  <si>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</si>
  <si>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</si>
  <si>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</si>
  <si>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</si>
  <si>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</si>
  <si>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</si>
  <si>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</si>
  <si>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</si>
  <si>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</si>
  <si>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</si>
  <si>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</si>
  <si>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</si>
  <si>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</si>
  <si>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</si>
  <si>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</si>
  <si>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</si>
  <si>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</si>
  <si>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</si>
  <si>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</si>
  <si>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</si>
  <si>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</si>
  <si>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</si>
  <si>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</si>
  <si>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</si>
  <si>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</si>
  <si>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</si>
  <si>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</si>
  <si>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</si>
  <si>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</si>
  <si>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</si>
  <si>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</si>
  <si>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</si>
  <si>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</si>
  <si>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</si>
  <si>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</si>
  <si>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</si>
  <si>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</si>
  <si>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</si>
  <si>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</si>
  <si>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</si>
  <si>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</si>
  <si>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</si>
  <si>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</si>
  <si>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</si>
  <si>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</si>
  <si>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</si>
  <si>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</si>
  <si>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</si>
  <si>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</si>
  <si>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</si>
  <si>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</si>
  <si>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</si>
  <si>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</si>
  <si>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</si>
  <si>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</si>
  <si>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</si>
  <si>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</si>
  <si>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</si>
  <si>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</si>
  <si>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</si>
  <si>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</si>
  <si>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</si>
  <si>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</si>
  <si>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</si>
  <si>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</si>
  <si>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</si>
  <si>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</si>
  <si>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</si>
  <si>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</si>
  <si>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</si>
  <si>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</si>
  <si>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</si>
  <si>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</si>
  <si>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</si>
  <si>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</si>
  <si>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</si>
  <si>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</si>
  <si>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</si>
  <si>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</si>
  <si>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</si>
  <si>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</si>
  <si>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</si>
  <si>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</si>
  <si>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</si>
  <si>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</si>
  <si>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</si>
  <si>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</si>
  <si>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</si>
  <si>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</si>
  <si>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</si>
  <si>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</si>
  <si>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</si>
  <si>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</si>
  <si>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</si>
  <si>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</si>
  <si>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</si>
  <si>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</si>
  <si>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</si>
  <si>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</si>
  <si>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</si>
  <si>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</si>
  <si>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</si>
  <si>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</si>
  <si>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</si>
  <si>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</si>
  <si>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</si>
  <si>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</si>
  <si>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</si>
  <si>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</si>
  <si>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</si>
  <si>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</si>
  <si>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</si>
  <si>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</si>
  <si>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</si>
  <si>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</si>
  <si>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</si>
  <si>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</si>
  <si>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</si>
  <si>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</si>
  <si>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</si>
  <si>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</si>
  <si>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</si>
  <si>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</si>
  <si>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</si>
  <si>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</si>
  <si>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</si>
  <si>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</si>
  <si>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</si>
  <si>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</si>
  <si>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</si>
  <si>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</si>
  <si>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</si>
  <si>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</si>
  <si>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</si>
  <si>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</si>
  <si>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</si>
  <si>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</si>
  <si>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</si>
  <si>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</si>
  <si>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</si>
  <si>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</si>
  <si>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</si>
  <si>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</si>
  <si>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</si>
  <si>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</si>
  <si>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</si>
  <si>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</si>
  <si>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</si>
  <si>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</si>
  <si>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</si>
  <si>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</si>
  <si>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</si>
  <si>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</si>
  <si>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</si>
  <si>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</si>
  <si>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</si>
  <si>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</si>
  <si>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</si>
  <si>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</si>
  <si>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</si>
  <si>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</si>
  <si>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</si>
  <si>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</si>
  <si>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</si>
  <si>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</si>
  <si>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</si>
  <si>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</si>
  <si>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</si>
  <si>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</si>
  <si>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</si>
  <si>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</si>
  <si>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</si>
  <si>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</si>
  <si>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</si>
  <si>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</si>
  <si>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</si>
  <si>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</si>
  <si>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</si>
  <si>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</si>
  <si>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</si>
  <si>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</si>
  <si>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</si>
  <si>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</si>
  <si>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</si>
  <si>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</si>
  <si>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</si>
  <si>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</si>
  <si>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</si>
  <si>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</si>
  <si>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</si>
  <si>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</si>
  <si>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</si>
  <si>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</si>
  <si>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</si>
  <si>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</si>
  <si>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</si>
  <si>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</si>
  <si>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NLCS Jeju 주니어스쿨 증축공사</t>
    <phoneticPr fontId="2" type="noConversion"/>
  </si>
  <si>
    <t>교육연구</t>
  </si>
  <si>
    <t>제주도</t>
  </si>
  <si>
    <t>우수공사,오수공사</t>
    <phoneticPr fontId="2" type="noConversion"/>
  </si>
  <si>
    <t>사급자재비,기타공사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</si>
  <si>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</si>
  <si>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</si>
  <si>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</si>
  <si>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</si>
  <si>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</si>
  <si>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</si>
  <si>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</si>
  <si>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</si>
  <si>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</si>
  <si>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우수처리시설공사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</si>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</sst>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6270.53</v>
      </c>
      <c r="D7" s="36">
        <f>+C7/3.3058</f>
        <v>1896.8267892794481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1170970</v>
      </c>
      <c r="E25" s="59">
        <f t="shared" si="0"/>
        <v>3870990</v>
      </c>
    </row>
    <row r="26" spans="1:5" x14ac:dyDescent="0.3">
      <c r="B26" s="2">
        <v>3</v>
      </c>
      <c r="C26" s="35" t="s">
        <v>95</v>
      </c>
      <c r="D26" s="45">
        <f>+D66</f>
        <v>820</v>
      </c>
      <c r="E26" s="59">
        <f t="shared" si="0"/>
        <v>2710</v>
      </c>
    </row>
    <row r="27" spans="1:5" x14ac:dyDescent="0.3">
      <c r="B27" s="2">
        <v>4</v>
      </c>
      <c r="C27" s="35" t="s">
        <v>96</v>
      </c>
      <c r="D27" s="45">
        <f>+D95</f>
        <v>64170</v>
      </c>
      <c r="E27" s="59">
        <f t="shared" si="0"/>
        <v>212130</v>
      </c>
    </row>
    <row r="28" spans="1:5" x14ac:dyDescent="0.3">
      <c r="B28" s="2">
        <v>5</v>
      </c>
      <c r="C28" s="35" t="s">
        <v>97</v>
      </c>
      <c r="D28" s="45">
        <f>+D119</f>
        <v>197920</v>
      </c>
      <c r="E28" s="59">
        <f t="shared" si="0"/>
        <v>654280</v>
      </c>
    </row>
    <row r="29" spans="1:5" x14ac:dyDescent="0.3">
      <c r="B29" s="2">
        <v>6</v>
      </c>
      <c r="C29" s="35" t="s">
        <v>98</v>
      </c>
      <c r="D29" s="45">
        <f>+D133</f>
        <v>88270</v>
      </c>
      <c r="E29" s="59">
        <f t="shared" si="0"/>
        <v>291800</v>
      </c>
    </row>
    <row r="30" spans="1:5" x14ac:dyDescent="0.3">
      <c r="B30" s="2">
        <v>7</v>
      </c>
      <c r="C30" s="35" t="s">
        <v>99</v>
      </c>
      <c r="D30" s="45">
        <f>+D146</f>
        <v>61090</v>
      </c>
      <c r="E30" s="59">
        <f t="shared" si="0"/>
        <v>201950</v>
      </c>
    </row>
    <row r="31" spans="1:5" x14ac:dyDescent="0.3">
      <c r="B31" s="2">
        <v>8</v>
      </c>
      <c r="C31" s="35" t="s">
        <v>100</v>
      </c>
      <c r="D31" s="45">
        <f>+D154</f>
        <v>7470</v>
      </c>
      <c r="E31" s="59">
        <f t="shared" si="0"/>
        <v>24690</v>
      </c>
    </row>
    <row r="32" spans="1:5" x14ac:dyDescent="0.3">
      <c r="B32" s="2">
        <v>9</v>
      </c>
      <c r="C32" s="35" t="s">
        <v>101</v>
      </c>
      <c r="D32" s="45">
        <f>+D161</f>
        <v>5840</v>
      </c>
      <c r="E32" s="59">
        <f t="shared" si="0"/>
        <v>19300</v>
      </c>
    </row>
    <row r="33" spans="1:7" x14ac:dyDescent="0.3">
      <c r="B33" s="2">
        <v>10</v>
      </c>
      <c r="C33" s="35" t="s">
        <v>154</v>
      </c>
      <c r="D33" s="53">
        <f>TRUNC(SUM(D24:D32)*0.275,-1)</f>
        <v>439050</v>
      </c>
      <c r="E33" s="60">
        <f t="shared" si="0"/>
        <v>1451410</v>
      </c>
    </row>
    <row r="34" spans="1:7" x14ac:dyDescent="0.3">
      <c r="C34" s="35" t="s">
        <v>112</v>
      </c>
      <c r="D34" s="44">
        <f>SUM(D24:D33)</f>
        <v>2035600</v>
      </c>
      <c r="E34" s="44">
        <f>SUM(E24:E33)</f>
        <v>6729260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TRUNC(103585,-1)</f>
        <v>103580</v>
      </c>
      <c r="E40" s="62">
        <f t="shared" ref="E40:E59" si="1">TRUNC(+D40*3.3058,-1)</f>
        <v>342410</v>
      </c>
    </row>
    <row r="41" spans="1:7" x14ac:dyDescent="0.3">
      <c r="A41" s="2">
        <v>2</v>
      </c>
      <c r="C41" s="38" t="s">
        <v>13</v>
      </c>
      <c r="D41" s="42">
        <f>TRUNC(221403,-1)</f>
        <v>221400</v>
      </c>
      <c r="E41" s="63">
        <f t="shared" si="1"/>
        <v>731900</v>
      </c>
    </row>
    <row r="42" spans="1:7" x14ac:dyDescent="0.3">
      <c r="A42" s="2">
        <v>3</v>
      </c>
      <c r="C42" s="38" t="s">
        <v>14</v>
      </c>
      <c r="D42" s="42">
        <f>TRUNC(958,-1)</f>
        <v>950</v>
      </c>
      <c r="E42" s="63">
        <f t="shared" si="1"/>
        <v>3140</v>
      </c>
    </row>
    <row r="43" spans="1:7" x14ac:dyDescent="0.3">
      <c r="A43" s="2">
        <v>4</v>
      </c>
      <c r="C43" s="38" t="s">
        <v>16</v>
      </c>
      <c r="D43" s="42">
        <f>TRUNC(6223,-1)</f>
        <v>6220</v>
      </c>
      <c r="E43" s="63">
        <f t="shared" si="1"/>
        <v>20560</v>
      </c>
    </row>
    <row r="44" spans="1:7" x14ac:dyDescent="0.3">
      <c r="A44" s="2">
        <v>5</v>
      </c>
      <c r="C44" s="38" t="s">
        <v>17</v>
      </c>
      <c r="D44" s="42">
        <f>TRUNC(36906,-1)</f>
        <v>36900</v>
      </c>
      <c r="E44" s="63">
        <f t="shared" si="1"/>
        <v>121980</v>
      </c>
    </row>
    <row r="45" spans="1:7" x14ac:dyDescent="0.3">
      <c r="A45" s="2">
        <v>6</v>
      </c>
      <c r="C45" s="38" t="s">
        <v>18</v>
      </c>
      <c r="D45" s="42">
        <f>TRUNC(23048,-1)</f>
        <v>23040</v>
      </c>
      <c r="E45" s="63">
        <f t="shared" si="1"/>
        <v>76160</v>
      </c>
    </row>
    <row r="46" spans="1:7" x14ac:dyDescent="0.3">
      <c r="A46" s="2">
        <v>7</v>
      </c>
      <c r="C46" s="38" t="s">
        <v>19</v>
      </c>
      <c r="D46" s="42">
        <f>TRUNC(27954,-1)</f>
        <v>27950</v>
      </c>
      <c r="E46" s="63">
        <f t="shared" si="1"/>
        <v>92390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TRUNC(127015,-1)</f>
        <v>127010</v>
      </c>
      <c r="E48" s="63">
        <f t="shared" si="1"/>
        <v>419860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TRUNC(15051,-1)</f>
        <v>15050</v>
      </c>
      <c r="E49" s="63">
        <f t="shared" si="1"/>
        <v>49750</v>
      </c>
    </row>
    <row r="50" spans="1:7" x14ac:dyDescent="0.3">
      <c r="A50" s="2">
        <v>11</v>
      </c>
      <c r="C50" s="38" t="s">
        <v>155</v>
      </c>
      <c r="D50" s="42">
        <f>TRUNC(66510,-1)</f>
        <v>66510</v>
      </c>
      <c r="E50" s="63">
        <f t="shared" si="1"/>
        <v>219860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TRUNC(16872,-1)</f>
        <v>16870</v>
      </c>
      <c r="E52" s="63">
        <f t="shared" si="1"/>
        <v>55760</v>
      </c>
    </row>
    <row r="53" spans="1:7" x14ac:dyDescent="0.3">
      <c r="A53" s="2">
        <v>14</v>
      </c>
      <c r="C53" s="38" t="s">
        <v>25</v>
      </c>
      <c r="D53" s="42">
        <f>TRUNC(167119,-1)</f>
        <v>167110</v>
      </c>
      <c r="E53" s="63">
        <f t="shared" si="1"/>
        <v>552430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TRUNC(3916+7144+4937,-1)</f>
        <v>15990</v>
      </c>
      <c r="E58" s="63">
        <f t="shared" si="1"/>
        <v>52850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TRUNC(342390,-1)</f>
        <v>342390</v>
      </c>
      <c r="E59" s="64">
        <f t="shared" si="1"/>
        <v>1131870</v>
      </c>
    </row>
    <row r="60" spans="1:7" x14ac:dyDescent="0.3">
      <c r="A60" s="2">
        <v>21</v>
      </c>
      <c r="C60" s="27" t="s">
        <v>112</v>
      </c>
      <c r="D60" s="39">
        <f>SUM(D40:D59)</f>
        <v>1170970</v>
      </c>
      <c r="E60" s="39">
        <f>SUM(E40:E59)</f>
        <v>3870920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TRUNC(827,-1)</f>
        <v>820</v>
      </c>
      <c r="E63" s="62">
        <f>TRUNC(+D63*3.3058,-1)</f>
        <v>2710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820</v>
      </c>
      <c r="E66" s="65">
        <f>SUM(E63:E65)</f>
        <v>2710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TRUNC(2953,-1)</f>
        <v>2950</v>
      </c>
      <c r="E69" s="62">
        <f t="shared" ref="E69:E94" si="2">TRUNC(+D69*3.3058,-1)</f>
        <v>9750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TRUNC(5186,-1)</f>
        <v>5180</v>
      </c>
      <c r="E72" s="63">
        <f t="shared" si="2"/>
        <v>17120</v>
      </c>
    </row>
    <row r="73" spans="1:7" x14ac:dyDescent="0.3">
      <c r="A73" s="2">
        <v>5</v>
      </c>
      <c r="C73" s="38" t="s">
        <v>34</v>
      </c>
      <c r="D73" s="42">
        <f>TRUNC(17509,-1)</f>
        <v>17500</v>
      </c>
      <c r="E73" s="63">
        <f t="shared" si="2"/>
        <v>57850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TRUNC(13729,-1)</f>
        <v>13720</v>
      </c>
      <c r="E89" s="63">
        <f t="shared" si="2"/>
        <v>45350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TRUNC(10179,-1)</f>
        <v>10170</v>
      </c>
      <c r="E91" s="63">
        <f t="shared" si="2"/>
        <v>33610</v>
      </c>
    </row>
    <row r="92" spans="1:7" x14ac:dyDescent="0.3">
      <c r="A92" s="2">
        <v>24</v>
      </c>
      <c r="C92" s="38" t="s">
        <v>38</v>
      </c>
      <c r="D92" s="42">
        <f>TRUNC(5636,-1)</f>
        <v>5630</v>
      </c>
      <c r="E92" s="63">
        <f t="shared" si="2"/>
        <v>18610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TRUNC(9026,-1)</f>
        <v>9020</v>
      </c>
      <c r="E94" s="64">
        <f t="shared" si="2"/>
        <v>29810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64170</v>
      </c>
      <c r="E95" s="39">
        <f>SUM(E69:E94)</f>
        <v>212100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TRUNC(26408,-1)</f>
        <v>26400</v>
      </c>
      <c r="E98" s="62">
        <f t="shared" ref="E98:E118" si="3">TRUNC(+D98*3.3058,-1)</f>
        <v>87270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TRUNC(30848,-1)</f>
        <v>30840</v>
      </c>
      <c r="E100" s="63">
        <f t="shared" si="3"/>
        <v>101950</v>
      </c>
    </row>
    <row r="101" spans="1:7" x14ac:dyDescent="0.3">
      <c r="A101" s="2">
        <v>4</v>
      </c>
      <c r="C101" s="38" t="s">
        <v>42</v>
      </c>
      <c r="D101" s="42">
        <f>TRUNC(2190,-1)</f>
        <v>2190</v>
      </c>
      <c r="E101" s="63">
        <f t="shared" si="3"/>
        <v>7230</v>
      </c>
    </row>
    <row r="102" spans="1:7" x14ac:dyDescent="0.3">
      <c r="A102" s="2">
        <v>5</v>
      </c>
      <c r="C102" s="38" t="s">
        <v>43</v>
      </c>
      <c r="D102" s="42">
        <f>TRUNC(12161,-1)</f>
        <v>12160</v>
      </c>
      <c r="E102" s="63">
        <f t="shared" si="3"/>
        <v>40190</v>
      </c>
    </row>
    <row r="103" spans="1:7" x14ac:dyDescent="0.3">
      <c r="A103" s="2">
        <v>6</v>
      </c>
      <c r="C103" s="38" t="s">
        <v>44</v>
      </c>
      <c r="D103" s="42">
        <f>TRUNC(6353,-1)</f>
        <v>6350</v>
      </c>
      <c r="E103" s="63">
        <f t="shared" si="3"/>
        <v>20990</v>
      </c>
    </row>
    <row r="104" spans="1:7" x14ac:dyDescent="0.3">
      <c r="A104" s="2">
        <v>7</v>
      </c>
      <c r="C104" s="38" t="s">
        <v>45</v>
      </c>
      <c r="D104" s="42">
        <f>TRUNC(3427,-1)</f>
        <v>3420</v>
      </c>
      <c r="E104" s="63">
        <f t="shared" si="3"/>
        <v>11300</v>
      </c>
    </row>
    <row r="105" spans="1:7" x14ac:dyDescent="0.3">
      <c r="A105" s="2">
        <v>8</v>
      </c>
      <c r="C105" s="38" t="s">
        <v>46</v>
      </c>
      <c r="D105" s="42">
        <f>TRUNC(10066,-1)</f>
        <v>10060</v>
      </c>
      <c r="E105" s="63">
        <f t="shared" si="3"/>
        <v>33250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TRUNC(4599,-1)</f>
        <v>4590</v>
      </c>
      <c r="E116" s="63">
        <f t="shared" si="3"/>
        <v>15170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TRUNC(97553,-1)</f>
        <v>97550</v>
      </c>
      <c r="E117" s="63">
        <f t="shared" si="3"/>
        <v>322480</v>
      </c>
    </row>
    <row r="118" spans="1:7" ht="17.25" thickBot="1" x14ac:dyDescent="0.35">
      <c r="A118" s="2">
        <v>21</v>
      </c>
      <c r="C118" s="38" t="s">
        <v>47</v>
      </c>
      <c r="D118" s="43">
        <f>TRUNC(4367,-1)</f>
        <v>4360</v>
      </c>
      <c r="E118" s="64">
        <f t="shared" si="3"/>
        <v>14410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197920</v>
      </c>
      <c r="E119" s="39">
        <f>SUM(E98:E118)</f>
        <v>654240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TRUNC(5154,-1)</f>
        <v>5150</v>
      </c>
      <c r="E122" s="62">
        <f t="shared" ref="E122:E132" si="4">TRUNC(+D122*3.3058,-1)</f>
        <v>17020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TRUNC(2631,-1)</f>
        <v>2630</v>
      </c>
      <c r="E124" s="63">
        <f t="shared" si="4"/>
        <v>8690</v>
      </c>
    </row>
    <row r="125" spans="1:7" x14ac:dyDescent="0.3">
      <c r="A125" s="2">
        <v>4</v>
      </c>
      <c r="C125" s="38" t="s">
        <v>138</v>
      </c>
      <c r="D125" s="42">
        <f>TRUNC(6498,-1)</f>
        <v>6490</v>
      </c>
      <c r="E125" s="63">
        <f t="shared" si="4"/>
        <v>21450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TRUNC(11871,-1)</f>
        <v>11870</v>
      </c>
      <c r="E127" s="63">
        <f t="shared" si="4"/>
        <v>39230</v>
      </c>
    </row>
    <row r="128" spans="1:7" x14ac:dyDescent="0.3">
      <c r="A128" s="2">
        <v>7</v>
      </c>
      <c r="C128" s="38" t="s">
        <v>46</v>
      </c>
      <c r="D128" s="42">
        <f>TRUNC(6923,-1)</f>
        <v>6920</v>
      </c>
      <c r="E128" s="63">
        <f t="shared" si="4"/>
        <v>22870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TRUNC(32584,-1)</f>
        <v>32580</v>
      </c>
      <c r="E130" s="63">
        <f t="shared" si="4"/>
        <v>107700</v>
      </c>
    </row>
    <row r="131" spans="1:7" x14ac:dyDescent="0.3">
      <c r="A131" s="2">
        <v>10</v>
      </c>
      <c r="C131" s="38" t="s">
        <v>148</v>
      </c>
      <c r="D131" s="42">
        <f>TRUNC(21209,-1)</f>
        <v>21200</v>
      </c>
      <c r="E131" s="63">
        <f t="shared" si="4"/>
        <v>70080</v>
      </c>
    </row>
    <row r="132" spans="1:7" ht="18" thickBot="1" x14ac:dyDescent="0.35">
      <c r="A132" s="2">
        <v>11</v>
      </c>
      <c r="C132" s="38" t="s">
        <v>47</v>
      </c>
      <c r="D132" s="43">
        <f>TRUNC(1435,-1)</f>
        <v>1430</v>
      </c>
      <c r="E132" s="64">
        <f t="shared" si="4"/>
        <v>4720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88270</v>
      </c>
      <c r="E133" s="39">
        <f>SUM(E122:E132)</f>
        <v>291760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TRUNC(6496,-1)</f>
        <v>6490</v>
      </c>
      <c r="E137" s="63">
        <f t="shared" si="5"/>
        <v>21450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TRUNC(3792,-1)</f>
        <v>3790</v>
      </c>
      <c r="E139" s="63">
        <f t="shared" si="5"/>
        <v>12520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TRUNC(34217,-1)</f>
        <v>34210</v>
      </c>
      <c r="E141" s="63">
        <f t="shared" si="5"/>
        <v>113090</v>
      </c>
    </row>
    <row r="142" spans="1:7" x14ac:dyDescent="0.3">
      <c r="A142" s="2">
        <v>7</v>
      </c>
      <c r="C142" s="38" t="s">
        <v>58</v>
      </c>
      <c r="D142" s="42">
        <f>TRUNC(6080,-1)</f>
        <v>6080</v>
      </c>
      <c r="E142" s="63">
        <f t="shared" si="5"/>
        <v>20090</v>
      </c>
    </row>
    <row r="143" spans="1:7" x14ac:dyDescent="0.3">
      <c r="A143" s="2">
        <v>8</v>
      </c>
      <c r="C143" s="38" t="s">
        <v>62</v>
      </c>
      <c r="D143" s="42">
        <f>TRUNC(3354,-1)</f>
        <v>3350</v>
      </c>
      <c r="E143" s="63">
        <f t="shared" si="5"/>
        <v>11070</v>
      </c>
    </row>
    <row r="144" spans="1:7" x14ac:dyDescent="0.3">
      <c r="A144" s="2">
        <v>9</v>
      </c>
      <c r="C144" s="38" t="s">
        <v>63</v>
      </c>
      <c r="D144" s="42">
        <f>TRUNC(7175,-1)</f>
        <v>7170</v>
      </c>
      <c r="E144" s="63">
        <f t="shared" si="5"/>
        <v>23700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61090</v>
      </c>
      <c r="E146" s="39">
        <f>SUM(E136:E145)</f>
        <v>201920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TRUNC(2370+1511,-1)</f>
        <v>3880</v>
      </c>
      <c r="E149" s="62">
        <f>TRUNC(+D149*3.3058,-1)</f>
        <v>12820</v>
      </c>
      <c r="F149" s="2" t="s">
        <v>251</v>
      </c>
    </row>
    <row r="150" spans="1:7" x14ac:dyDescent="0.3">
      <c r="A150" s="2">
        <v>2</v>
      </c>
      <c r="C150" s="38" t="s">
        <v>49</v>
      </c>
      <c r="D150" s="42">
        <f>TRUNC(2413,-1)</f>
        <v>2410</v>
      </c>
      <c r="E150" s="63">
        <f>TRUNC(+D150*3.3058,-1)</f>
        <v>7960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TRUNC(739+445,-1)</f>
        <v>1180</v>
      </c>
      <c r="E152" s="63">
        <f>TRUNC(+D152*3.3058,-1)</f>
        <v>3900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7470</v>
      </c>
      <c r="E154" s="39">
        <f>SUM(E149:E153)</f>
        <v>24680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TRUNC(5848,-1)</f>
        <v>5840</v>
      </c>
      <c r="E157" s="62">
        <f>TRUNC(+D157*3.3058,-1)</f>
        <v>19300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5840</v>
      </c>
      <c r="E161" s="39">
        <f>SUM(E157:E160)</f>
        <v>19300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2020-12-08T02:53:26Z</dcterms:modified>
</cp:coreProperties>
</file>