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7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7" i="4"/>
  <c r="D153" i="4"/>
  <c r="D152" i="4"/>
  <c r="D151" i="4"/>
  <c r="D150" i="4"/>
  <c r="D149" i="4"/>
  <c r="D144" i="4"/>
  <c r="D143" i="4"/>
  <c r="D142" i="4"/>
  <c r="D141" i="4"/>
  <c r="D140" i="4"/>
  <c r="D139" i="4"/>
  <c r="D137" i="4"/>
  <c r="D132" i="4"/>
  <c r="D130" i="4"/>
  <c r="D128" i="4"/>
  <c r="D118" i="4"/>
  <c r="D117" i="4"/>
  <c r="D116" i="4"/>
  <c r="D114" i="4"/>
  <c r="D104" i="4"/>
  <c r="D103" i="4"/>
  <c r="D102" i="4"/>
  <c r="D101" i="4"/>
  <c r="D100" i="4"/>
  <c r="D99" i="4"/>
  <c r="D98" i="4"/>
  <c r="D94" i="4"/>
  <c r="D93" i="4"/>
  <c r="D92" i="4"/>
  <c r="D91" i="4"/>
  <c r="D89" i="4"/>
  <c r="D75" i="4"/>
  <c r="D72" i="4"/>
  <c r="D71" i="4"/>
  <c r="D69" i="4"/>
  <c r="D65" i="4"/>
  <c r="D63" i="4"/>
  <c r="D59" i="4"/>
  <c r="D58" i="4"/>
  <c r="D53" i="4"/>
  <c r="D52" i="4"/>
  <c r="D50" i="4"/>
  <c r="D49" i="4"/>
  <c r="D48" i="4"/>
  <c r="D46" i="4"/>
  <c r="D45" i="4"/>
  <c r="D44" i="4"/>
  <c r="D43" i="4"/>
  <c r="D42" i="4"/>
  <c r="D41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61" i="4" l="1"/>
  <c r="E154" i="4"/>
  <c r="E66" i="4"/>
  <c r="E146" i="4"/>
  <c r="E133" i="4"/>
  <c r="E119" i="4"/>
  <c r="E95" i="4"/>
  <c r="E60" i="4"/>
  <c r="D161" i="4"/>
  <c r="D32" i="4" s="1"/>
  <c r="E32" i="4" s="1"/>
  <c r="D154" i="4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31" i="4"/>
  <c r="E31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<sst xmlns="http://schemas.openxmlformats.org/spreadsheetml/2006/main" count="393" uniqueCount="269">
  <si>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</si>
  <si>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</si>
  <si>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</si>
  <si>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</si>
  <si>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</si>
  <si>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</si>
  <si>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</si>
  <si>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</si>
  <si>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</si>
  <si>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</si>
  <si>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</si>
  <si>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</si>
  <si>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</si>
  <si>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</si>
  <si>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</si>
  <si>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</si>
  <si>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</si>
  <si>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</si>
  <si>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</si>
  <si>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</si>
  <si>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</si>
  <si>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</si>
  <si>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</si>
  <si>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</si>
  <si>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</si>
  <si>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</si>
  <si>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</si>
  <si>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</si>
  <si>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</si>
  <si>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</si>
  <si>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</si>
  <si>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</si>
  <si>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</si>
  <si>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</si>
  <si>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</si>
  <si>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</si>
  <si>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</si>
  <si>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</si>
  <si>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</si>
  <si>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</si>
  <si>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</si>
  <si>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</si>
  <si>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</si>
  <si>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</si>
  <si>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</si>
  <si>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</si>
  <si>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</si>
  <si>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</si>
  <si>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</si>
  <si>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</si>
  <si>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</si>
  <si>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</si>
  <si>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</si>
  <si>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</si>
  <si>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</si>
  <si>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</si>
  <si>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</si>
  <si>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</si>
  <si>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</si>
  <si>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</si>
  <si>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</si>
  <si>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</si>
  <si>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</si>
  <si>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</si>
  <si>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</si>
  <si>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</si>
  <si>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</si>
  <si>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</si>
  <si>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</si>
  <si>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</si>
  <si>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</si>
  <si>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</si>
  <si>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</si>
  <si>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</si>
  <si>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</si>
  <si>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</si>
  <si>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</si>
  <si>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</si>
  <si>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</si>
  <si>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</si>
  <si>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</si>
  <si>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</si>
  <si>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</si>
  <si>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</si>
  <si>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</si>
  <si>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</si>
  <si>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</si>
  <si>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</si>
  <si>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</si>
  <si>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</si>
  <si>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</si>
  <si>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</si>
  <si>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</si>
  <si>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</si>
  <si>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</si>
  <si>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</si>
  <si>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</si>
  <si>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</si>
  <si>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</si>
  <si>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</si>
  <si>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</si>
  <si>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</si>
  <si>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</si>
  <si>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</si>
  <si>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</si>
  <si>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</si>
  <si>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</si>
  <si>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</si>
  <si>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</si>
  <si>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</si>
  <si>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</si>
  <si>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</si>
  <si>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</si>
  <si>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</si>
  <si>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</si>
  <si>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</si>
  <si>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</si>
  <si>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</si>
  <si>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</si>
  <si>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</si>
  <si>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</si>
  <si>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</si>
  <si>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</si>
  <si>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</si>
  <si>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</si>
  <si>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</si>
  <si>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</si>
  <si>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</si>
  <si>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</si>
  <si>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</si>
  <si>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</si>
  <si>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</si>
  <si>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</si>
  <si>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</si>
  <si>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</si>
  <si>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</si>
  <si>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</si>
  <si>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</si>
  <si>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</si>
  <si>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</si>
  <si>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</si>
  <si>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</si>
  <si>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</si>
  <si>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</si>
  <si>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</si>
  <si>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</si>
  <si>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</si>
  <si>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</si>
  <si>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</si>
  <si>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</si>
  <si>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</si>
  <si>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</si>
  <si>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</si>
  <si>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</si>
  <si>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</si>
  <si>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</si>
  <si>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</si>
  <si>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</si>
  <si>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</si>
  <si>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</si>
  <si>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</si>
  <si>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</si>
  <si>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</si>
  <si>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</si>
  <si>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</si>
  <si>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</si>
  <si>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</si>
  <si>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</si>
  <si>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</si>
  <si>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</si>
  <si>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</si>
  <si>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</si>
  <si>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</si>
  <si>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</si>
  <si>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</si>
  <si>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</si>
  <si>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</si>
  <si>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</si>
  <si>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</si>
  <si>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</si>
  <si>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</si>
  <si>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</si>
  <si>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</si>
  <si>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</si>
  <si>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</si>
  <si>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</si>
  <si>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</si>
  <si>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</si>
  <si>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</si>
  <si>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</si>
  <si>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</si>
  <si>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</si>
  <si>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</si>
  <si>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</si>
  <si>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</si>
  <si>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</si>
  <si>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</si>
  <si>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</si>
  <si>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</si>
  <si>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</si>
  <si>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</si>
  <si>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</si>
  <si>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</si>
  <si>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</si>
  <si>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</si>
  <si>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</si>
  <si>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</si>
  <si>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</si>
  <si>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</si>
  <si>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</si>
  <si>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</si>
  <si>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</si>
  <si>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</si>
  <si>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</si>
  <si>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</si>
  <si>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</si>
  <si>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</si>
  <si>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</si>
  <si>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</si>
  <si>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</si>
  <si>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</si>
  <si>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</si>
  <si>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</si>
  <si>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</si>
  <si>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</si>
  <si>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</si>
  <si>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</si>
  <si>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</si>
  <si>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</si>
  <si>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</si>
  <si>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</si>
  <si>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</si>
  <si>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</si>
  <si>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</si>
  <si>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</si>
  <si>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</si>
  <si>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</si>
  <si>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</si>
  <si>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</si>
  <si>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</si>
  <si>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</si>
  <si>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</si>
  <si>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</si>
  <si>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</si>
  <si>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</si>
  <si>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</si>
  <si>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</si>
  <si>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</si>
  <si>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</si>
  <si>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</si>
  <si>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</si>
  <si>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옥외보안등설비공사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</si>
  <si>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</si>
  <si>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</si>
  <si>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 xml:space="preserve"> 사급자재비, 운반비, 기타공사</t>
    <phoneticPr fontId="2" type="noConversion"/>
  </si>
  <si>
    <t>포장공사, 기타공사</t>
    <phoneticPr fontId="2" type="noConversion"/>
  </si>
  <si>
    <t>교육연구</t>
  </si>
  <si>
    <t>가칭 서울천이초등학교 교사신축공사</t>
    <phoneticPr fontId="2" type="noConversion"/>
  </si>
  <si>
    <t>서울</t>
  </si>
  <si>
    <t>바닥난방공사, 기타공사</t>
    <phoneticPr fontId="2" type="noConversion"/>
  </si>
  <si>
    <t>CCTV설비공사, 기타공사</t>
    <phoneticPr fontId="2" type="noConversion"/>
  </si>
  <si>
    <t>옥외소화배관공사, 펌프실배관공사, 무선통신보조설비공사</t>
    <phoneticPr fontId="2" type="noConversion"/>
  </si>
  <si>
    <t>기초공사, 골재비및운반비, 작업부산물, 기타공사</t>
    <phoneticPr fontId="2" type="noConversion"/>
  </si>
  <si>
    <t>항 목</t>
    <phoneticPr fontId="2" type="noConversion"/>
  </si>
  <si>
    <t>원/ m2</t>
    <phoneticPr fontId="2" type="noConversion"/>
  </si>
  <si>
    <t>원 /평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</si>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</sst>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266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257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256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12533.61</v>
      </c>
      <c r="D7" s="36">
        <f>+C7/3.3058</f>
        <v>3791.3999637001634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258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207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267</v>
      </c>
    </row>
    <row r="19" spans="1:5" x14ac:dyDescent="0.3">
      <c r="A19" s="2">
        <v>9</v>
      </c>
      <c r="B19" s="2" t="s">
        <v>268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644380</v>
      </c>
      <c r="E25" s="59">
        <f t="shared" si="0"/>
        <v>2130190</v>
      </c>
    </row>
    <row r="26" spans="1:5" x14ac:dyDescent="0.3">
      <c r="B26" s="2">
        <v>3</v>
      </c>
      <c r="C26" s="35" t="s">
        <v>95</v>
      </c>
      <c r="D26" s="45">
        <f>+D66</f>
        <v>109450</v>
      </c>
      <c r="E26" s="59">
        <f t="shared" si="0"/>
        <v>361810</v>
      </c>
    </row>
    <row r="27" spans="1:5" x14ac:dyDescent="0.3">
      <c r="B27" s="2">
        <v>4</v>
      </c>
      <c r="C27" s="35" t="s">
        <v>96</v>
      </c>
      <c r="D27" s="45">
        <f>+D95</f>
        <v>161090</v>
      </c>
      <c r="E27" s="59">
        <f t="shared" si="0"/>
        <v>532530</v>
      </c>
    </row>
    <row r="28" spans="1:5" x14ac:dyDescent="0.3">
      <c r="B28" s="2">
        <v>5</v>
      </c>
      <c r="C28" s="35" t="s">
        <v>97</v>
      </c>
      <c r="D28" s="45">
        <f>+D119</f>
        <v>178330</v>
      </c>
      <c r="E28" s="59">
        <f t="shared" si="0"/>
        <v>589520</v>
      </c>
    </row>
    <row r="29" spans="1:5" x14ac:dyDescent="0.3">
      <c r="B29" s="2">
        <v>6</v>
      </c>
      <c r="C29" s="35" t="s">
        <v>98</v>
      </c>
      <c r="D29" s="45">
        <f>+D133</f>
        <v>73880</v>
      </c>
      <c r="E29" s="59">
        <f t="shared" si="0"/>
        <v>244230</v>
      </c>
    </row>
    <row r="30" spans="1:5" x14ac:dyDescent="0.3">
      <c r="B30" s="2">
        <v>7</v>
      </c>
      <c r="C30" s="35" t="s">
        <v>99</v>
      </c>
      <c r="D30" s="45">
        <f>+D146</f>
        <v>47260</v>
      </c>
      <c r="E30" s="59">
        <f t="shared" si="0"/>
        <v>156230</v>
      </c>
    </row>
    <row r="31" spans="1:5" x14ac:dyDescent="0.3">
      <c r="B31" s="2">
        <v>8</v>
      </c>
      <c r="C31" s="35" t="s">
        <v>100</v>
      </c>
      <c r="D31" s="45">
        <f>+D154</f>
        <v>57640</v>
      </c>
      <c r="E31" s="59">
        <f t="shared" si="0"/>
        <v>190540</v>
      </c>
    </row>
    <row r="32" spans="1:5" x14ac:dyDescent="0.3">
      <c r="B32" s="2">
        <v>9</v>
      </c>
      <c r="C32" s="35" t="s">
        <v>101</v>
      </c>
      <c r="D32" s="45">
        <f>+D161</f>
        <v>11130</v>
      </c>
      <c r="E32" s="59">
        <f t="shared" si="0"/>
        <v>36790</v>
      </c>
    </row>
    <row r="33" spans="1:7" x14ac:dyDescent="0.3">
      <c r="B33" s="2">
        <v>10</v>
      </c>
      <c r="C33" s="35" t="s">
        <v>154</v>
      </c>
      <c r="D33" s="53">
        <f>TRUNC(SUM(D24:D32)*0.275,-1)</f>
        <v>352860</v>
      </c>
      <c r="E33" s="60">
        <f t="shared" si="0"/>
        <v>1166480</v>
      </c>
    </row>
    <row r="34" spans="1:7" x14ac:dyDescent="0.3">
      <c r="C34" s="35" t="s">
        <v>112</v>
      </c>
      <c r="D34" s="44">
        <f>SUM(D24:D33)</f>
        <v>1636020</v>
      </c>
      <c r="E34" s="44">
        <f>SUM(E24:E33)</f>
        <v>5408320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6</v>
      </c>
      <c r="C39" s="56" t="s">
        <v>263</v>
      </c>
      <c r="D39" s="57" t="s">
        <v>264</v>
      </c>
      <c r="E39" s="57" t="s">
        <v>265</v>
      </c>
      <c r="G39" s="55"/>
    </row>
    <row r="40" spans="1:7" x14ac:dyDescent="0.3">
      <c r="A40" s="2">
        <v>1</v>
      </c>
      <c r="C40" s="38" t="s">
        <v>15</v>
      </c>
      <c r="D40" s="40">
        <v>51470</v>
      </c>
      <c r="E40" s="62">
        <f t="shared" ref="E40:E59" si="1">TRUNC(+D40*3.3058,-1)</f>
        <v>170140</v>
      </c>
    </row>
    <row r="41" spans="1:7" x14ac:dyDescent="0.3">
      <c r="A41" s="2">
        <v>2</v>
      </c>
      <c r="C41" s="38" t="s">
        <v>13</v>
      </c>
      <c r="D41" s="42">
        <f>TRUNC(115881,-1)</f>
        <v>115880</v>
      </c>
      <c r="E41" s="63">
        <f t="shared" si="1"/>
        <v>383070</v>
      </c>
    </row>
    <row r="42" spans="1:7" x14ac:dyDescent="0.3">
      <c r="A42" s="2">
        <v>3</v>
      </c>
      <c r="C42" s="38" t="s">
        <v>14</v>
      </c>
      <c r="D42" s="42">
        <f>TRUNC(7232,-1)</f>
        <v>7230</v>
      </c>
      <c r="E42" s="63">
        <f t="shared" si="1"/>
        <v>23900</v>
      </c>
    </row>
    <row r="43" spans="1:7" x14ac:dyDescent="0.3">
      <c r="A43" s="2">
        <v>4</v>
      </c>
      <c r="C43" s="38" t="s">
        <v>16</v>
      </c>
      <c r="D43" s="42">
        <f>TRUNC(29047,-1)</f>
        <v>29040</v>
      </c>
      <c r="E43" s="63">
        <f t="shared" si="1"/>
        <v>96000</v>
      </c>
    </row>
    <row r="44" spans="1:7" x14ac:dyDescent="0.3">
      <c r="A44" s="2">
        <v>5</v>
      </c>
      <c r="C44" s="38" t="s">
        <v>17</v>
      </c>
      <c r="D44" s="42">
        <f>TRUNC(26062,-1)</f>
        <v>26060</v>
      </c>
      <c r="E44" s="63">
        <f t="shared" si="1"/>
        <v>86140</v>
      </c>
    </row>
    <row r="45" spans="1:7" x14ac:dyDescent="0.3">
      <c r="A45" s="2">
        <v>6</v>
      </c>
      <c r="C45" s="38" t="s">
        <v>18</v>
      </c>
      <c r="D45" s="42">
        <f>TRUNC(9657,-1)</f>
        <v>9650</v>
      </c>
      <c r="E45" s="63">
        <f t="shared" si="1"/>
        <v>31900</v>
      </c>
    </row>
    <row r="46" spans="1:7" x14ac:dyDescent="0.3">
      <c r="A46" s="2">
        <v>7</v>
      </c>
      <c r="C46" s="38" t="s">
        <v>19</v>
      </c>
      <c r="D46" s="42">
        <f>TRUNC(19544,-1)</f>
        <v>19540</v>
      </c>
      <c r="E46" s="63">
        <f t="shared" si="1"/>
        <v>64590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TRUNC(55041,-1)</f>
        <v>55040</v>
      </c>
      <c r="E48" s="63">
        <f t="shared" si="1"/>
        <v>181950</v>
      </c>
      <c r="F48" s="2" t="s">
        <v>248</v>
      </c>
    </row>
    <row r="49" spans="1:7" x14ac:dyDescent="0.3">
      <c r="A49" s="2">
        <v>10</v>
      </c>
      <c r="C49" s="38" t="s">
        <v>22</v>
      </c>
      <c r="D49" s="42">
        <f>TRUNC(19382,-1)</f>
        <v>19380</v>
      </c>
      <c r="E49" s="63">
        <f t="shared" si="1"/>
        <v>64060</v>
      </c>
    </row>
    <row r="50" spans="1:7" x14ac:dyDescent="0.3">
      <c r="A50" s="2">
        <v>11</v>
      </c>
      <c r="C50" s="38" t="s">
        <v>155</v>
      </c>
      <c r="D50" s="42">
        <f>TRUNC(40446,-1)</f>
        <v>40440</v>
      </c>
      <c r="E50" s="63">
        <f t="shared" si="1"/>
        <v>133680</v>
      </c>
      <c r="F50" s="2" t="s">
        <v>249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TRUNC(8487,-1)</f>
        <v>8480</v>
      </c>
      <c r="E52" s="63">
        <f t="shared" si="1"/>
        <v>28030</v>
      </c>
    </row>
    <row r="53" spans="1:7" x14ac:dyDescent="0.3">
      <c r="A53" s="2">
        <v>14</v>
      </c>
      <c r="C53" s="38" t="s">
        <v>25</v>
      </c>
      <c r="D53" s="42">
        <f>TRUNC(72264,-1)</f>
        <v>72260</v>
      </c>
      <c r="E53" s="63">
        <f t="shared" si="1"/>
        <v>238870</v>
      </c>
      <c r="F53" s="2" t="s">
        <v>250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TRUNC(1734+6316-587+11773,-1)</f>
        <v>19230</v>
      </c>
      <c r="E58" s="63">
        <f t="shared" si="1"/>
        <v>63570</v>
      </c>
      <c r="F58" s="2" t="s">
        <v>262</v>
      </c>
    </row>
    <row r="59" spans="1:7" ht="17.25" thickBot="1" x14ac:dyDescent="0.35">
      <c r="A59" s="2">
        <v>20</v>
      </c>
      <c r="C59" s="38" t="s">
        <v>148</v>
      </c>
      <c r="D59" s="43">
        <f>TRUNC(170683,-1)</f>
        <v>170680</v>
      </c>
      <c r="E59" s="64">
        <f t="shared" si="1"/>
        <v>564230</v>
      </c>
    </row>
    <row r="60" spans="1:7" x14ac:dyDescent="0.3">
      <c r="A60" s="2">
        <v>21</v>
      </c>
      <c r="C60" s="27" t="s">
        <v>112</v>
      </c>
      <c r="D60" s="39">
        <f>SUM(D40:D59)</f>
        <v>644380</v>
      </c>
      <c r="E60" s="39">
        <f>SUM(E40:E59)</f>
        <v>2130130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TRUNC(68406,-1)</f>
        <v>68400</v>
      </c>
      <c r="E63" s="62">
        <f>TRUNC(+D63*3.3058,-1)</f>
        <v>226110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TRUNC(41054,-1)</f>
        <v>41050</v>
      </c>
      <c r="E65" s="64">
        <f>TRUNC(+D65*3.3058,-1)</f>
        <v>135700</v>
      </c>
    </row>
    <row r="66" spans="1:7" x14ac:dyDescent="0.3">
      <c r="A66" s="2">
        <v>4</v>
      </c>
      <c r="C66" s="27" t="s">
        <v>112</v>
      </c>
      <c r="D66" s="39">
        <f>SUM(D63:D65)</f>
        <v>109450</v>
      </c>
      <c r="E66" s="65">
        <f>SUM(E63:E65)</f>
        <v>361810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TRUNC(4544,-1)</f>
        <v>4540</v>
      </c>
      <c r="E69" s="62">
        <f t="shared" ref="E69:E94" si="2">TRUNC(+D69*3.3058,-1)</f>
        <v>15000</v>
      </c>
    </row>
    <row r="70" spans="1:7" ht="16.5" customHeight="1" x14ac:dyDescent="0.3">
      <c r="A70" s="2">
        <v>2</v>
      </c>
      <c r="C70" s="38" t="s">
        <v>31</v>
      </c>
      <c r="D70" s="42">
        <v>1970</v>
      </c>
      <c r="E70" s="63">
        <f t="shared" si="2"/>
        <v>6510</v>
      </c>
    </row>
    <row r="71" spans="1:7" x14ac:dyDescent="0.3">
      <c r="A71" s="2">
        <v>3</v>
      </c>
      <c r="C71" s="38" t="s">
        <v>32</v>
      </c>
      <c r="D71" s="42">
        <f>TRUNC(5894,-1)</f>
        <v>5890</v>
      </c>
      <c r="E71" s="63">
        <f t="shared" si="2"/>
        <v>19470</v>
      </c>
    </row>
    <row r="72" spans="1:7" x14ac:dyDescent="0.3">
      <c r="A72" s="2">
        <v>4</v>
      </c>
      <c r="C72" s="38" t="s">
        <v>33</v>
      </c>
      <c r="D72" s="42">
        <f>TRUNC(4504,-1)</f>
        <v>4500</v>
      </c>
      <c r="E72" s="63">
        <f t="shared" si="2"/>
        <v>14870</v>
      </c>
    </row>
    <row r="73" spans="1:7" x14ac:dyDescent="0.3">
      <c r="A73" s="2">
        <v>5</v>
      </c>
      <c r="C73" s="38" t="s">
        <v>34</v>
      </c>
      <c r="D73" s="42">
        <v>14870</v>
      </c>
      <c r="E73" s="63">
        <f t="shared" si="2"/>
        <v>49150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TRUNC(126,-1)</f>
        <v>120</v>
      </c>
      <c r="E75" s="63">
        <f t="shared" si="2"/>
        <v>390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TRUNC(8365,-1)</f>
        <v>8360</v>
      </c>
      <c r="E89" s="63">
        <f t="shared" si="2"/>
        <v>27630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TRUNC(8928,-1)</f>
        <v>8920</v>
      </c>
      <c r="E91" s="63">
        <f t="shared" si="2"/>
        <v>29480</v>
      </c>
    </row>
    <row r="92" spans="1:7" x14ac:dyDescent="0.3">
      <c r="A92" s="2">
        <v>24</v>
      </c>
      <c r="C92" s="38" t="s">
        <v>38</v>
      </c>
      <c r="D92" s="42">
        <f>TRUNC(6384,-1)</f>
        <v>6380</v>
      </c>
      <c r="E92" s="63">
        <f t="shared" si="2"/>
        <v>21090</v>
      </c>
    </row>
    <row r="93" spans="1:7" x14ac:dyDescent="0.3">
      <c r="A93" s="2">
        <v>25</v>
      </c>
      <c r="C93" s="38" t="s">
        <v>148</v>
      </c>
      <c r="D93" s="42">
        <f>TRUNC(101388,-1)</f>
        <v>101380</v>
      </c>
      <c r="E93" s="63">
        <f t="shared" si="2"/>
        <v>335140</v>
      </c>
    </row>
    <row r="94" spans="1:7" ht="17.25" thickBot="1" x14ac:dyDescent="0.35">
      <c r="A94" s="2">
        <v>26</v>
      </c>
      <c r="C94" s="38" t="s">
        <v>47</v>
      </c>
      <c r="D94" s="43">
        <f>TRUNC(2975+1188,-1)</f>
        <v>4160</v>
      </c>
      <c r="E94" s="64">
        <f t="shared" si="2"/>
        <v>13750</v>
      </c>
      <c r="F94" s="2" t="s">
        <v>259</v>
      </c>
    </row>
    <row r="95" spans="1:7" x14ac:dyDescent="0.3">
      <c r="A95" s="2">
        <v>27</v>
      </c>
      <c r="C95" s="27" t="s">
        <v>112</v>
      </c>
      <c r="D95" s="39">
        <f>SUM(D69:D94)</f>
        <v>161090</v>
      </c>
      <c r="E95" s="39">
        <f>SUM(E69:E94)</f>
        <v>532480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TRUNC(13916,-1)</f>
        <v>13910</v>
      </c>
      <c r="E98" s="62">
        <f t="shared" ref="E98:E118" si="3">TRUNC(+D98*3.3058,-1)</f>
        <v>45980</v>
      </c>
    </row>
    <row r="99" spans="1:7" x14ac:dyDescent="0.3">
      <c r="A99" s="2">
        <v>2</v>
      </c>
      <c r="C99" s="38" t="s">
        <v>40</v>
      </c>
      <c r="D99" s="42">
        <f>TRUNC(5074,-1)</f>
        <v>5070</v>
      </c>
      <c r="E99" s="63">
        <f t="shared" si="3"/>
        <v>16760</v>
      </c>
    </row>
    <row r="100" spans="1:7" x14ac:dyDescent="0.3">
      <c r="A100" s="2">
        <v>3</v>
      </c>
      <c r="C100" s="38" t="s">
        <v>41</v>
      </c>
      <c r="D100" s="42">
        <f>TRUNC(24989,-1)</f>
        <v>24980</v>
      </c>
      <c r="E100" s="63">
        <f t="shared" si="3"/>
        <v>82570</v>
      </c>
    </row>
    <row r="101" spans="1:7" x14ac:dyDescent="0.3">
      <c r="A101" s="2">
        <v>4</v>
      </c>
      <c r="C101" s="38" t="s">
        <v>42</v>
      </c>
      <c r="D101" s="42">
        <f>TRUNC(381,-1)</f>
        <v>380</v>
      </c>
      <c r="E101" s="63">
        <f t="shared" si="3"/>
        <v>1250</v>
      </c>
    </row>
    <row r="102" spans="1:7" x14ac:dyDescent="0.3">
      <c r="A102" s="2">
        <v>5</v>
      </c>
      <c r="C102" s="38" t="s">
        <v>43</v>
      </c>
      <c r="D102" s="42">
        <f>TRUNC(14997,-1)</f>
        <v>14990</v>
      </c>
      <c r="E102" s="63">
        <f t="shared" si="3"/>
        <v>49550</v>
      </c>
    </row>
    <row r="103" spans="1:7" x14ac:dyDescent="0.3">
      <c r="A103" s="2">
        <v>6</v>
      </c>
      <c r="C103" s="38" t="s">
        <v>44</v>
      </c>
      <c r="D103" s="42">
        <f>TRUNC(6352,-1)</f>
        <v>6350</v>
      </c>
      <c r="E103" s="63">
        <f t="shared" si="3"/>
        <v>20990</v>
      </c>
    </row>
    <row r="104" spans="1:7" x14ac:dyDescent="0.3">
      <c r="A104" s="2">
        <v>7</v>
      </c>
      <c r="C104" s="38" t="s">
        <v>45</v>
      </c>
      <c r="D104" s="42">
        <f>TRUNC(2776,-1)</f>
        <v>2770</v>
      </c>
      <c r="E104" s="63">
        <f t="shared" si="3"/>
        <v>9150</v>
      </c>
    </row>
    <row r="105" spans="1:7" x14ac:dyDescent="0.3">
      <c r="A105" s="2">
        <v>8</v>
      </c>
      <c r="C105" s="38" t="s">
        <v>46</v>
      </c>
      <c r="D105" s="42">
        <v>7030</v>
      </c>
      <c r="E105" s="63">
        <f t="shared" si="3"/>
        <v>23230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TRUNC(1751,-1)</f>
        <v>1750</v>
      </c>
      <c r="E114" s="63">
        <f t="shared" si="3"/>
        <v>5780</v>
      </c>
      <c r="F114" s="2" t="s">
        <v>251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TRUNC(1626,-1)</f>
        <v>1620</v>
      </c>
      <c r="E116" s="63">
        <f t="shared" si="3"/>
        <v>5350</v>
      </c>
      <c r="F116" s="2" t="s">
        <v>252</v>
      </c>
    </row>
    <row r="117" spans="1:7" x14ac:dyDescent="0.3">
      <c r="A117" s="2">
        <v>20</v>
      </c>
      <c r="C117" s="38" t="s">
        <v>148</v>
      </c>
      <c r="D117" s="42">
        <f>TRUNC(94553,-1)</f>
        <v>94550</v>
      </c>
      <c r="E117" s="63">
        <f t="shared" si="3"/>
        <v>312560</v>
      </c>
    </row>
    <row r="118" spans="1:7" ht="17.25" thickBot="1" x14ac:dyDescent="0.35">
      <c r="A118" s="2">
        <v>21</v>
      </c>
      <c r="C118" s="38" t="s">
        <v>47</v>
      </c>
      <c r="D118" s="43">
        <f>TRUNC(4931,-1)</f>
        <v>4930</v>
      </c>
      <c r="E118" s="64">
        <f t="shared" si="3"/>
        <v>16290</v>
      </c>
    </row>
    <row r="119" spans="1:7" x14ac:dyDescent="0.3">
      <c r="A119" s="2">
        <v>22</v>
      </c>
      <c r="C119" s="27" t="s">
        <v>112</v>
      </c>
      <c r="D119" s="39">
        <f>SUM(D98:D118)</f>
        <v>178330</v>
      </c>
      <c r="E119" s="39">
        <f>SUM(E98:E118)</f>
        <v>589460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v>5420</v>
      </c>
      <c r="E122" s="62">
        <f t="shared" ref="E122:E132" si="4">TRUNC(+D122*3.3058,-1)</f>
        <v>17910</v>
      </c>
      <c r="F122" s="2" t="s">
        <v>253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1210</v>
      </c>
      <c r="E124" s="63">
        <f t="shared" si="4"/>
        <v>4000</v>
      </c>
    </row>
    <row r="125" spans="1:7" x14ac:dyDescent="0.3">
      <c r="A125" s="2">
        <v>4</v>
      </c>
      <c r="C125" s="38" t="s">
        <v>138</v>
      </c>
      <c r="D125" s="42">
        <v>11250</v>
      </c>
      <c r="E125" s="63">
        <f t="shared" si="4"/>
        <v>37190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TRUNC(4269,-1)</f>
        <v>4260</v>
      </c>
      <c r="E128" s="63">
        <f t="shared" si="4"/>
        <v>14080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TRUNC(10152,-1)</f>
        <v>10150</v>
      </c>
      <c r="E130" s="63">
        <f t="shared" si="4"/>
        <v>33550</v>
      </c>
    </row>
    <row r="131" spans="1:7" x14ac:dyDescent="0.3">
      <c r="A131" s="2">
        <v>10</v>
      </c>
      <c r="C131" s="38" t="s">
        <v>148</v>
      </c>
      <c r="D131" s="42">
        <v>39050</v>
      </c>
      <c r="E131" s="63">
        <f t="shared" si="4"/>
        <v>129090</v>
      </c>
    </row>
    <row r="132" spans="1:7" ht="18" thickBot="1" x14ac:dyDescent="0.35">
      <c r="A132" s="2">
        <v>11</v>
      </c>
      <c r="C132" s="38" t="s">
        <v>47</v>
      </c>
      <c r="D132" s="43">
        <f>TRUNC(1739+807,-1)</f>
        <v>2540</v>
      </c>
      <c r="E132" s="64">
        <f t="shared" si="4"/>
        <v>8390</v>
      </c>
      <c r="F132" s="54" t="s">
        <v>260</v>
      </c>
    </row>
    <row r="133" spans="1:7" x14ac:dyDescent="0.3">
      <c r="A133" s="2">
        <v>12</v>
      </c>
      <c r="C133" s="27" t="s">
        <v>112</v>
      </c>
      <c r="D133" s="39">
        <f>SUM(D122:D132)</f>
        <v>73880</v>
      </c>
      <c r="E133" s="39">
        <f>SUM(E122:E132)</f>
        <v>244210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TRUNC(127+3120+1929,-1)</f>
        <v>5170</v>
      </c>
      <c r="E137" s="63">
        <f t="shared" si="5"/>
        <v>17090</v>
      </c>
      <c r="F137" s="2" t="s">
        <v>261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TRUNC(2266,-1)</f>
        <v>2260</v>
      </c>
      <c r="E139" s="63">
        <f t="shared" si="5"/>
        <v>7470</v>
      </c>
    </row>
    <row r="140" spans="1:7" x14ac:dyDescent="0.3">
      <c r="A140" s="2">
        <v>5</v>
      </c>
      <c r="C140" s="38" t="s">
        <v>57</v>
      </c>
      <c r="D140" s="42">
        <f>TRUNC(1809,-1)</f>
        <v>1800</v>
      </c>
      <c r="E140" s="63">
        <f t="shared" si="5"/>
        <v>5950</v>
      </c>
    </row>
    <row r="141" spans="1:7" x14ac:dyDescent="0.3">
      <c r="A141" s="2">
        <v>6</v>
      </c>
      <c r="C141" s="38" t="s">
        <v>59</v>
      </c>
      <c r="D141" s="42">
        <f>TRUNC(10353,-1)</f>
        <v>10350</v>
      </c>
      <c r="E141" s="63">
        <f t="shared" si="5"/>
        <v>34210</v>
      </c>
    </row>
    <row r="142" spans="1:7" x14ac:dyDescent="0.3">
      <c r="A142" s="2">
        <v>7</v>
      </c>
      <c r="C142" s="38" t="s">
        <v>58</v>
      </c>
      <c r="D142" s="42">
        <f>TRUNC(5781,-1)</f>
        <v>5780</v>
      </c>
      <c r="E142" s="63">
        <f t="shared" si="5"/>
        <v>19100</v>
      </c>
    </row>
    <row r="143" spans="1:7" x14ac:dyDescent="0.3">
      <c r="A143" s="2">
        <v>8</v>
      </c>
      <c r="C143" s="38" t="s">
        <v>62</v>
      </c>
      <c r="D143" s="42">
        <f>TRUNC(4258,-1)</f>
        <v>4250</v>
      </c>
      <c r="E143" s="63">
        <f t="shared" si="5"/>
        <v>14040</v>
      </c>
    </row>
    <row r="144" spans="1:7" x14ac:dyDescent="0.3">
      <c r="A144" s="2">
        <v>9</v>
      </c>
      <c r="C144" s="38" t="s">
        <v>63</v>
      </c>
      <c r="D144" s="42">
        <f>TRUNC(17656,-1)</f>
        <v>17650</v>
      </c>
      <c r="E144" s="63">
        <f t="shared" si="5"/>
        <v>58340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47260</v>
      </c>
      <c r="E146" s="39">
        <f>SUM(E136:E145)</f>
        <v>156200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TRUNC(7531+1821,-1)</f>
        <v>9350</v>
      </c>
      <c r="E149" s="62">
        <f>TRUNC(+D149*3.3058,-1)</f>
        <v>30900</v>
      </c>
    </row>
    <row r="150" spans="1:7" x14ac:dyDescent="0.3">
      <c r="A150" s="2">
        <v>2</v>
      </c>
      <c r="C150" s="38" t="s">
        <v>49</v>
      </c>
      <c r="D150" s="42">
        <f>TRUNC(5541,-1)</f>
        <v>5540</v>
      </c>
      <c r="E150" s="63">
        <f>TRUNC(+D150*3.3058,-1)</f>
        <v>18310</v>
      </c>
    </row>
    <row r="151" spans="1:7" x14ac:dyDescent="0.3">
      <c r="A151" s="2">
        <v>3</v>
      </c>
      <c r="C151" s="38" t="s">
        <v>50</v>
      </c>
      <c r="D151" s="42">
        <f>TRUNC(8203,-1)</f>
        <v>8200</v>
      </c>
      <c r="E151" s="63">
        <f>TRUNC(+D151*3.3058,-1)</f>
        <v>27100</v>
      </c>
    </row>
    <row r="152" spans="1:7" x14ac:dyDescent="0.3">
      <c r="A152" s="2">
        <v>4</v>
      </c>
      <c r="C152" s="38" t="s">
        <v>47</v>
      </c>
      <c r="D152" s="42">
        <f>TRUNC(13076+715-27,-1)</f>
        <v>13760</v>
      </c>
      <c r="E152" s="63">
        <f>TRUNC(+D152*3.3058,-1)</f>
        <v>45480</v>
      </c>
      <c r="F152" s="2" t="s">
        <v>254</v>
      </c>
    </row>
    <row r="153" spans="1:7" ht="17.25" thickBot="1" x14ac:dyDescent="0.35">
      <c r="A153" s="2">
        <v>5</v>
      </c>
      <c r="C153" s="38" t="s">
        <v>148</v>
      </c>
      <c r="D153" s="43">
        <f>TRUNC(20793,-1)</f>
        <v>20790</v>
      </c>
      <c r="E153" s="64">
        <f>TRUNC(+D153*3.3058,-1)</f>
        <v>68720</v>
      </c>
    </row>
    <row r="154" spans="1:7" x14ac:dyDescent="0.3">
      <c r="A154" s="2">
        <v>6</v>
      </c>
      <c r="C154" s="27" t="s">
        <v>112</v>
      </c>
      <c r="D154" s="39">
        <f>SUM(D149:D153)</f>
        <v>57640</v>
      </c>
      <c r="E154" s="39">
        <f>SUM(E149:E153)</f>
        <v>190510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TRUNC(5976,-1)</f>
        <v>5970</v>
      </c>
      <c r="E157" s="62">
        <f>TRUNC(+D157*3.3058,-1)</f>
        <v>19730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f>TRUNC(3822+1342,-1)</f>
        <v>5160</v>
      </c>
      <c r="E159" s="63">
        <f>TRUNC(+D159*3.3058,-1)</f>
        <v>17050</v>
      </c>
      <c r="F159" s="2" t="s">
        <v>255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11130</v>
      </c>
      <c r="E161" s="39">
        <f>SUM(E157:E160)</f>
        <v>36780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2020-12-08T01:38:30Z</dcterms:modified>
</cp:coreProperties>
</file>