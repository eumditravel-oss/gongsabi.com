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2" i="4" l="1"/>
  <c r="D100" i="4"/>
  <c r="D69" i="4"/>
  <c r="D59" i="4"/>
  <c r="D58" i="4"/>
  <c r="D53" i="4"/>
  <c r="D52" i="4"/>
  <c r="D50" i="4"/>
  <c r="D49" i="4"/>
  <c r="D48" i="4"/>
  <c r="D44" i="4"/>
  <c r="D42" i="4"/>
  <c r="D40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95" i="4"/>
  <c r="E154" i="4"/>
  <c r="E119" i="4"/>
  <c r="E60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<sst xmlns="http://schemas.openxmlformats.org/spreadsheetml/2006/main" count="387" uniqueCount="262">
  <si>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</si>
  <si>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</si>
  <si>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</si>
  <si>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</si>
  <si>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</si>
  <si>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</si>
  <si>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</si>
  <si>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</si>
  <si>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</si>
  <si>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</si>
  <si>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</si>
  <si>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</si>
  <si>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</si>
  <si>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</si>
  <si>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</si>
  <si>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</si>
  <si>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</si>
  <si>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</si>
  <si>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</si>
  <si>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</si>
  <si>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</si>
  <si>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</si>
  <si>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</si>
  <si>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</si>
  <si>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</si>
  <si>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</si>
  <si>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</si>
  <si>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</si>
  <si>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</si>
  <si>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</si>
  <si>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</si>
  <si>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</si>
  <si>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</si>
  <si>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</si>
  <si>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</si>
  <si>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</si>
  <si>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</si>
  <si>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</si>
  <si>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</si>
  <si>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</si>
  <si>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</si>
  <si>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</si>
  <si>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</si>
  <si>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</si>
  <si>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</si>
  <si>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</si>
  <si>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</si>
  <si>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</si>
  <si>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</si>
  <si>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</si>
  <si>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</si>
  <si>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</si>
  <si>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</si>
  <si>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</si>
  <si>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</si>
  <si>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</si>
  <si>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</si>
  <si>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</si>
  <si>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</si>
  <si>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</si>
  <si>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</si>
  <si>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</si>
  <si>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</si>
  <si>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</si>
  <si>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</si>
  <si>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</si>
  <si>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</si>
  <si>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</si>
  <si>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</si>
  <si>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</si>
  <si>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</si>
  <si>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</si>
  <si>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</si>
  <si>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</si>
  <si>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</si>
  <si>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</si>
  <si>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</si>
  <si>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</si>
  <si>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</si>
  <si>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</si>
  <si>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</si>
  <si>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</si>
  <si>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</si>
  <si>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</si>
  <si>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</si>
  <si>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</si>
  <si>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</si>
  <si>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</si>
  <si>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</si>
  <si>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</si>
  <si>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</si>
  <si>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</si>
  <si>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</si>
  <si>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</si>
  <si>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</si>
  <si>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</si>
  <si>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</si>
  <si>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</si>
  <si>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</si>
  <si>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</si>
  <si>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</si>
  <si>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</si>
  <si>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</si>
  <si>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</si>
  <si>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</si>
  <si>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</si>
  <si>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</si>
  <si>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</si>
  <si>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</si>
  <si>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</si>
  <si>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</si>
  <si>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</si>
  <si>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</si>
  <si>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</si>
  <si>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</si>
  <si>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</si>
  <si>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</si>
  <si>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</si>
  <si>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</si>
  <si>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</si>
  <si>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</si>
  <si>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</si>
  <si>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</si>
  <si>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</si>
  <si>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</si>
  <si>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</si>
  <si>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</si>
  <si>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</si>
  <si>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</si>
  <si>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</si>
  <si>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</si>
  <si>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</si>
  <si>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</si>
  <si>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</si>
  <si>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</si>
  <si>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</si>
  <si>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</si>
  <si>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</si>
  <si>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</si>
  <si>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</si>
  <si>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</si>
  <si>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</si>
  <si>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</si>
  <si>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</si>
  <si>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</si>
  <si>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</si>
  <si>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</si>
  <si>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</si>
  <si>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</si>
  <si>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</si>
  <si>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</si>
  <si>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</si>
  <si>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</si>
  <si>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</si>
  <si>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</si>
  <si>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</si>
  <si>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</si>
  <si>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</si>
  <si>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</si>
  <si>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</si>
  <si>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</si>
  <si>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</si>
  <si>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</si>
  <si>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</si>
  <si>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</si>
  <si>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</si>
  <si>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</si>
  <si>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</si>
  <si>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</si>
  <si>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</si>
  <si>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</si>
  <si>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</si>
  <si>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</si>
  <si>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</si>
  <si>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</si>
  <si>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</si>
  <si>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</si>
  <si>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</si>
  <si>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</si>
  <si>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</si>
  <si>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</si>
  <si>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</si>
  <si>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</si>
  <si>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</si>
  <si>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</si>
  <si>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</si>
  <si>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</si>
  <si>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</si>
  <si>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</si>
  <si>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</si>
  <si>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</si>
  <si>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</si>
  <si>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</si>
  <si>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</si>
  <si>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</si>
  <si>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</si>
  <si>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</si>
  <si>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</si>
  <si>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</si>
  <si>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</si>
  <si>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</si>
  <si>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</si>
  <si>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</si>
  <si>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</si>
  <si>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</si>
  <si>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</si>
  <si>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</si>
  <si>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</si>
  <si>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</si>
  <si>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</si>
  <si>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</si>
  <si>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</si>
  <si>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</si>
  <si>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</si>
  <si>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</si>
  <si>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</si>
  <si>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</si>
  <si>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</si>
  <si>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</si>
  <si>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</si>
  <si>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</si>
  <si>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</si>
  <si>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</si>
  <si>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</si>
  <si>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</si>
  <si>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</si>
  <si>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</si>
  <si>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</si>
  <si>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</si>
  <si>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</si>
  <si>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</si>
  <si>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</si>
  <si>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</si>
  <si>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</si>
  <si>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</si>
  <si>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</si>
  <si>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</si>
  <si>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</si>
  <si>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</si>
  <si>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</si>
  <si>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</si>
  <si>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</si>
  <si>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</si>
  <si>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</si>
  <si>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</si>
  <si>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</si>
  <si>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</si>
  <si>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</si>
  <si>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</si>
  <si>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</si>
  <si>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</si>
  <si>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</si>
  <si>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</si>
  <si>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곡물저장고 증축</t>
    <phoneticPr fontId="2" type="noConversion"/>
  </si>
  <si>
    <t>창고</t>
  </si>
  <si>
    <t>전라도</t>
  </si>
  <si>
    <t>기초공사, 해체및철거공사, 폐기물처리비, 골재비및운반비, 작업부산물,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</si>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</sst>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3" xfId="1" applyFont="1" applyFill="1" applyBorder="1" applyAlignment="1">
      <alignment vertical="center" wrapText="1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6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399.61</v>
      </c>
      <c r="D7" s="36">
        <f>+C7/3.3058</f>
        <v>120.88148103333535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448390</v>
      </c>
      <c r="E25" s="59">
        <f t="shared" si="0"/>
        <v>1482280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2380</v>
      </c>
      <c r="E27" s="59">
        <f t="shared" si="0"/>
        <v>7860</v>
      </c>
    </row>
    <row r="28" spans="1:5" x14ac:dyDescent="0.3">
      <c r="B28" s="2">
        <v>5</v>
      </c>
      <c r="C28" s="35" t="s">
        <v>97</v>
      </c>
      <c r="D28" s="45">
        <f>+D119</f>
        <v>80230</v>
      </c>
      <c r="E28" s="59">
        <f t="shared" si="0"/>
        <v>265220</v>
      </c>
    </row>
    <row r="29" spans="1:5" x14ac:dyDescent="0.3">
      <c r="B29" s="2">
        <v>6</v>
      </c>
      <c r="C29" s="35" t="s">
        <v>98</v>
      </c>
      <c r="D29" s="45">
        <f>+D133</f>
        <v>0</v>
      </c>
      <c r="E29" s="59">
        <f t="shared" si="0"/>
        <v>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146020</v>
      </c>
      <c r="E33" s="60">
        <f t="shared" si="0"/>
        <v>482710</v>
      </c>
    </row>
    <row r="34" spans="1:7" x14ac:dyDescent="0.3">
      <c r="C34" s="35" t="s">
        <v>112</v>
      </c>
      <c r="D34" s="44">
        <f>SUM(D24:D33)</f>
        <v>677020</v>
      </c>
      <c r="E34" s="44">
        <f>SUM(E24:E33)</f>
        <v>2238070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242</v>
      </c>
      <c r="D39" s="68" t="s">
        <v>257</v>
      </c>
      <c r="E39" s="68" t="s">
        <v>258</v>
      </c>
      <c r="G39" s="69"/>
    </row>
    <row r="40" spans="1:7" x14ac:dyDescent="0.3">
      <c r="A40" s="2">
        <v>1</v>
      </c>
      <c r="C40" s="38" t="s">
        <v>15</v>
      </c>
      <c r="D40" s="40">
        <f>TRUNC(12968,-1)</f>
        <v>12960</v>
      </c>
      <c r="E40" s="62">
        <f t="shared" ref="E40:E59" si="1">TRUNC(+D40*3.3058,-1)</f>
        <v>42840</v>
      </c>
    </row>
    <row r="41" spans="1:7" x14ac:dyDescent="0.3">
      <c r="A41" s="2">
        <v>2</v>
      </c>
      <c r="C41" s="38" t="s">
        <v>13</v>
      </c>
      <c r="D41" s="42">
        <f>TRUNC(25011,-1)</f>
        <v>25010</v>
      </c>
      <c r="E41" s="63">
        <f t="shared" si="1"/>
        <v>82670</v>
      </c>
    </row>
    <row r="42" spans="1:7" x14ac:dyDescent="0.3">
      <c r="A42" s="2">
        <v>3</v>
      </c>
      <c r="C42" s="38" t="s">
        <v>14</v>
      </c>
      <c r="D42" s="42">
        <f>TRUNC(88190,-1)</f>
        <v>88190</v>
      </c>
      <c r="E42" s="63">
        <f t="shared" si="1"/>
        <v>291530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f>TRUNC(4152,-1)</f>
        <v>4150</v>
      </c>
      <c r="E44" s="63">
        <f t="shared" si="1"/>
        <v>13710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TRUNC(125766,-1)</f>
        <v>125760</v>
      </c>
      <c r="E48" s="63">
        <f t="shared" si="1"/>
        <v>415730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TRUNC(17492,-1)</f>
        <v>17490</v>
      </c>
      <c r="E49" s="63">
        <f t="shared" si="1"/>
        <v>57810</v>
      </c>
    </row>
    <row r="50" spans="1:7" x14ac:dyDescent="0.3">
      <c r="A50" s="2">
        <v>11</v>
      </c>
      <c r="C50" s="38" t="s">
        <v>155</v>
      </c>
      <c r="D50" s="42">
        <f>TRUNC(68523,-1)</f>
        <v>68520</v>
      </c>
      <c r="E50" s="63">
        <f t="shared" si="1"/>
        <v>226510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TRUNC(9127,-1)</f>
        <v>9120</v>
      </c>
      <c r="E52" s="63">
        <f t="shared" si="1"/>
        <v>30140</v>
      </c>
    </row>
    <row r="53" spans="1:7" x14ac:dyDescent="0.3">
      <c r="A53" s="2">
        <v>14</v>
      </c>
      <c r="C53" s="38" t="s">
        <v>25</v>
      </c>
      <c r="D53" s="42">
        <f>TRUNC(8805,-1)</f>
        <v>8800</v>
      </c>
      <c r="E53" s="63">
        <f t="shared" si="1"/>
        <v>29090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TRUNC(6463+2940+8938+3034-469+13042,-1)</f>
        <v>33940</v>
      </c>
      <c r="E58" s="63">
        <f t="shared" si="1"/>
        <v>112190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TRUNC(54456,-1)</f>
        <v>54450</v>
      </c>
      <c r="E59" s="64">
        <f t="shared" si="1"/>
        <v>180000</v>
      </c>
    </row>
    <row r="60" spans="1:7" x14ac:dyDescent="0.3">
      <c r="A60" s="2">
        <v>21</v>
      </c>
      <c r="C60" s="27" t="s">
        <v>112</v>
      </c>
      <c r="D60" s="39">
        <f>SUM(D40:D59)</f>
        <v>448390</v>
      </c>
      <c r="E60" s="39">
        <f>SUM(E40:E59)</f>
        <v>1482220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TRUNC(2388,-1)</f>
        <v>2380</v>
      </c>
      <c r="E69" s="62">
        <f t="shared" ref="E69:E94" si="2">TRUNC(+D69*3.3058,-1)</f>
        <v>7860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2380</v>
      </c>
      <c r="E95" s="39">
        <f>SUM(E69:E94)</f>
        <v>7860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TRUNC(65386,-1)</f>
        <v>65380</v>
      </c>
      <c r="E100" s="63">
        <f t="shared" si="3"/>
        <v>216130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TRUNC(14855,-1)</f>
        <v>14850</v>
      </c>
      <c r="E102" s="63">
        <f t="shared" si="3"/>
        <v>49090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80230</v>
      </c>
      <c r="E119" s="39">
        <f>SUM(E98:E118)</f>
        <v>265220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0</v>
      </c>
      <c r="E133" s="39">
        <f>SUM(E122:E132)</f>
        <v>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2020-12-08T01:27:45Z</dcterms:modified>
</cp:coreProperties>
</file>