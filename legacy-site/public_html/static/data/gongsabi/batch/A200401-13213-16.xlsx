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60" i="4" s="1"/>
  <c r="E37" i="4"/>
  <c r="E33" i="4"/>
  <c r="E133" i="4" l="1"/>
  <c r="E146" i="4"/>
  <c r="E119" i="4"/>
  <c r="E154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94" i="4"/>
  <c r="E94" i="4" s="1"/>
  <c r="E95" i="4" s="1"/>
  <c r="D66" i="4"/>
  <c r="D60" i="4"/>
  <c r="D25" i="4" s="1"/>
  <c r="E25" i="4" s="1"/>
  <c r="E34" i="4" s="1"/>
  <c r="D30" i="4"/>
  <c r="E30" i="4" s="1"/>
  <c r="D26" i="4"/>
  <c r="E26" i="4" s="1"/>
  <c r="D24" i="4"/>
  <c r="E24" i="4" s="1"/>
  <c r="D7" i="4"/>
  <c r="D34" i="4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<sst xmlns="http://schemas.openxmlformats.org/spreadsheetml/2006/main" count="386" uniqueCount="263">
  <si>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</si>
  <si>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</si>
  <si>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</si>
  <si>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</si>
  <si>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</si>
  <si>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</si>
  <si>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</si>
  <si>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</si>
  <si>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</si>
  <si>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</si>
  <si>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</si>
  <si>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</si>
  <si>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</si>
  <si>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</si>
  <si>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</si>
  <si>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</si>
  <si>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</si>
  <si>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</si>
  <si>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</si>
  <si>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</si>
  <si>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</si>
  <si>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</si>
  <si>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</si>
  <si>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</si>
  <si>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</si>
  <si>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</si>
  <si>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</si>
  <si>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</si>
  <si>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</si>
  <si>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</si>
  <si>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</si>
  <si>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</si>
  <si>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</si>
  <si>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</si>
  <si>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</si>
  <si>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</si>
  <si>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</si>
  <si>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</si>
  <si>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</si>
  <si>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</si>
  <si>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</si>
  <si>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</si>
  <si>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</si>
  <si>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</si>
  <si>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</si>
  <si>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</si>
  <si>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</si>
  <si>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</si>
  <si>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</si>
  <si>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</si>
  <si>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</si>
  <si>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</si>
  <si>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</si>
  <si>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</si>
  <si>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</si>
  <si>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</si>
  <si>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</si>
  <si>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</si>
  <si>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</si>
  <si>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</si>
  <si>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</si>
  <si>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</si>
  <si>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</si>
  <si>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</si>
  <si>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</si>
  <si>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</si>
  <si>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</si>
  <si>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</si>
  <si>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</si>
  <si>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</si>
  <si>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</si>
  <si>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</si>
  <si>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</si>
  <si>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</si>
  <si>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</si>
  <si>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</si>
  <si>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</si>
  <si>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</si>
  <si>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</si>
  <si>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</si>
  <si>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</si>
  <si>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</si>
  <si>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</si>
  <si>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</si>
  <si>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</si>
  <si>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</si>
  <si>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</si>
  <si>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</si>
  <si>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</si>
  <si>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</si>
  <si>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</si>
  <si>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</si>
  <si>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</si>
  <si>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</si>
  <si>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</si>
  <si>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</si>
  <si>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</si>
  <si>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</si>
  <si>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</si>
  <si>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</si>
  <si>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</si>
  <si>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</si>
  <si>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</si>
  <si>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</si>
  <si>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</si>
  <si>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</si>
  <si>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</si>
  <si>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</si>
  <si>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</si>
  <si>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</si>
  <si>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</si>
  <si>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</si>
  <si>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</si>
  <si>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</si>
  <si>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</si>
  <si>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</si>
  <si>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</si>
  <si>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</si>
  <si>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</si>
  <si>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</si>
  <si>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</si>
  <si>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</si>
  <si>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</si>
  <si>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</si>
  <si>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</si>
  <si>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</si>
  <si>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</si>
  <si>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</si>
  <si>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</si>
  <si>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</si>
  <si>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</si>
  <si>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</si>
  <si>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</si>
  <si>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</si>
  <si>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</si>
  <si>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</si>
  <si>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</si>
  <si>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</si>
  <si>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</si>
  <si>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</si>
  <si>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</si>
  <si>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</si>
  <si>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</si>
  <si>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</si>
  <si>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</si>
  <si>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</si>
  <si>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</si>
  <si>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</si>
  <si>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</si>
  <si>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</si>
  <si>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</si>
  <si>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</si>
  <si>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</si>
  <si>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</si>
  <si>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</si>
  <si>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</si>
  <si>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</si>
  <si>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</si>
  <si>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</si>
  <si>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</si>
  <si>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</si>
  <si>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</si>
  <si>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</si>
  <si>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</si>
  <si>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</si>
  <si>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</si>
  <si>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</si>
  <si>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</si>
  <si>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</si>
  <si>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</si>
  <si>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</si>
  <si>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</si>
  <si>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</si>
  <si>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</si>
  <si>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</si>
  <si>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</si>
  <si>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</si>
  <si>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</si>
  <si>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</si>
  <si>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</si>
  <si>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</si>
  <si>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</si>
  <si>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</si>
  <si>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</si>
  <si>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</si>
  <si>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</si>
  <si>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</si>
  <si>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</si>
  <si>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</si>
  <si>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</si>
  <si>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</si>
  <si>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</si>
  <si>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</si>
  <si>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</si>
  <si>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</si>
  <si>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</si>
  <si>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</si>
  <si>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</si>
  <si>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</si>
  <si>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</si>
  <si>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</si>
  <si>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</si>
  <si>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</si>
  <si>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</si>
  <si>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</si>
  <si>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</si>
  <si>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</si>
  <si>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</si>
  <si>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</si>
  <si>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</si>
  <si>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</si>
  <si>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</si>
  <si>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</si>
  <si>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</si>
  <si>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</si>
  <si>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</si>
  <si>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</si>
  <si>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</si>
  <si>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</si>
  <si>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</si>
  <si>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</si>
  <si>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</si>
  <si>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</si>
  <si>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</si>
  <si>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</si>
  <si>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</si>
  <si>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</si>
  <si>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</si>
  <si>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</si>
  <si>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</si>
  <si>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</si>
  <si>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</si>
  <si>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</si>
  <si>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</si>
  <si>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</si>
  <si>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</si>
  <si>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</si>
  <si>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</si>
  <si>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</si>
  <si>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</si>
  <si>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</si>
  <si>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</si>
  <si>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</si>
  <si>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</si>
  <si>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</si>
  <si>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</si>
  <si>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</si>
  <si>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</si>
  <si>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전라도</t>
  </si>
  <si>
    <t>평</t>
    <phoneticPr fontId="2" type="noConversion"/>
  </si>
  <si>
    <t>마감공사</t>
    <phoneticPr fontId="2" type="noConversion"/>
  </si>
  <si>
    <t>배관공사,기타설비</t>
    <phoneticPr fontId="2" type="noConversion"/>
  </si>
  <si>
    <t>전등전열설비</t>
    <phoneticPr fontId="2" type="noConversion"/>
  </si>
  <si>
    <t>외선인입설비</t>
    <phoneticPr fontId="2" type="noConversion"/>
  </si>
  <si>
    <t>전기소방</t>
  </si>
  <si>
    <t>원/ m2</t>
    <phoneticPr fontId="2" type="noConversion"/>
  </si>
  <si>
    <t>원/ m2</t>
    <phoneticPr fontId="2" type="noConversion"/>
  </si>
  <si>
    <t>전라도 소재 00청사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</si>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</sst>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3015</v>
      </c>
      <c r="D7" s="36">
        <f>+C7/3.3058</f>
        <v>912.03339584971866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540160</v>
      </c>
      <c r="E25" s="59">
        <f t="shared" si="0"/>
        <v>1785660</v>
      </c>
    </row>
    <row r="26" spans="1:5" x14ac:dyDescent="0.3">
      <c r="B26" s="2">
        <v>3</v>
      </c>
      <c r="C26" s="35" t="s">
        <v>95</v>
      </c>
      <c r="D26" s="45">
        <f>+D66</f>
        <v>14090</v>
      </c>
      <c r="E26" s="59">
        <f t="shared" si="0"/>
        <v>46570</v>
      </c>
    </row>
    <row r="27" spans="1:5" x14ac:dyDescent="0.3">
      <c r="B27" s="2">
        <v>4</v>
      </c>
      <c r="C27" s="35" t="s">
        <v>96</v>
      </c>
      <c r="D27" s="45">
        <f>+D95</f>
        <v>121610</v>
      </c>
      <c r="E27" s="59">
        <f t="shared" si="0"/>
        <v>402010</v>
      </c>
    </row>
    <row r="28" spans="1:5" x14ac:dyDescent="0.3">
      <c r="B28" s="2">
        <v>5</v>
      </c>
      <c r="C28" s="35" t="s">
        <v>97</v>
      </c>
      <c r="D28" s="45">
        <f>+D119</f>
        <v>81920</v>
      </c>
      <c r="E28" s="59">
        <f t="shared" si="0"/>
        <v>270810</v>
      </c>
    </row>
    <row r="29" spans="1:5" x14ac:dyDescent="0.3">
      <c r="B29" s="2">
        <v>6</v>
      </c>
      <c r="C29" s="35" t="s">
        <v>98</v>
      </c>
      <c r="D29" s="45">
        <f>+D133</f>
        <v>50050</v>
      </c>
      <c r="E29" s="59">
        <f t="shared" si="0"/>
        <v>165450</v>
      </c>
    </row>
    <row r="30" spans="1:5" x14ac:dyDescent="0.3">
      <c r="B30" s="2">
        <v>7</v>
      </c>
      <c r="C30" s="35" t="s">
        <v>99</v>
      </c>
      <c r="D30" s="45">
        <f>+D146</f>
        <v>15210</v>
      </c>
      <c r="E30" s="59">
        <f t="shared" si="0"/>
        <v>50280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v>246580</v>
      </c>
      <c r="E33" s="60">
        <f t="shared" si="0"/>
        <v>815140</v>
      </c>
    </row>
    <row r="34" spans="1:7" x14ac:dyDescent="0.3">
      <c r="C34" s="35" t="s">
        <v>112</v>
      </c>
      <c r="D34" s="44">
        <f>SUM(D24:D33)</f>
        <v>1069620</v>
      </c>
      <c r="E34" s="44">
        <f>SUM(E24:E33)</f>
        <v>3535920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255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241</v>
      </c>
      <c r="D39" s="66" t="s">
        <v>258</v>
      </c>
      <c r="E39" s="66" t="s">
        <v>259</v>
      </c>
      <c r="G39" s="67"/>
    </row>
    <row r="40" spans="1:7" x14ac:dyDescent="0.3">
      <c r="A40" s="2">
        <v>1</v>
      </c>
      <c r="C40" s="38" t="s">
        <v>15</v>
      </c>
      <c r="D40" s="40">
        <v>30730</v>
      </c>
      <c r="E40" s="62">
        <f t="shared" ref="E40:E59" si="1">TRUNC(+D40*3.3058,-1)</f>
        <v>101580</v>
      </c>
    </row>
    <row r="41" spans="1:7" x14ac:dyDescent="0.3">
      <c r="A41" s="2">
        <v>2</v>
      </c>
      <c r="C41" s="38" t="s">
        <v>13</v>
      </c>
      <c r="D41" s="42">
        <v>244310</v>
      </c>
      <c r="E41" s="63">
        <f t="shared" si="1"/>
        <v>807630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265120</v>
      </c>
      <c r="E58" s="63">
        <f t="shared" si="1"/>
        <v>876430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540160</v>
      </c>
      <c r="E60" s="39">
        <f>SUM(E40:E59)</f>
        <v>1785640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236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14090</v>
      </c>
      <c r="E63" s="62">
        <f>TRUNC(+D63*3.3058,-1)</f>
        <v>46570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14090</v>
      </c>
      <c r="E66" s="57">
        <f>SUM(E63:E65)</f>
        <v>46570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240</v>
      </c>
      <c r="C68" s="55" t="s">
        <v>241</v>
      </c>
      <c r="D68" s="56" t="s">
        <v>236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0</v>
      </c>
      <c r="E69" s="62">
        <f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5640</v>
      </c>
      <c r="E74" s="63">
        <f>TRUNC(+D74*3.3058,-1)</f>
        <v>18640</v>
      </c>
    </row>
    <row r="75" spans="1:7" x14ac:dyDescent="0.3">
      <c r="A75" s="2">
        <v>7</v>
      </c>
      <c r="C75" s="38" t="s">
        <v>140</v>
      </c>
      <c r="D75" s="42">
        <v>470</v>
      </c>
      <c r="E75" s="63">
        <f>TRUNC(+D75*3.3058,-1)</f>
        <v>1550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1310</v>
      </c>
      <c r="E90" s="63">
        <f>TRUNC(+D90*3.3058,-1)</f>
        <v>4330</v>
      </c>
    </row>
    <row r="91" spans="1:7" x14ac:dyDescent="0.3">
      <c r="A91" s="2">
        <v>23</v>
      </c>
      <c r="C91" s="38" t="s">
        <v>37</v>
      </c>
      <c r="D91" s="42">
        <v>4030</v>
      </c>
      <c r="E91" s="63">
        <f>TRUNC(+D91*3.3058,-1)</f>
        <v>13320</v>
      </c>
    </row>
    <row r="92" spans="1:7" x14ac:dyDescent="0.3">
      <c r="A92" s="2">
        <v>24</v>
      </c>
      <c r="C92" s="38" t="s">
        <v>38</v>
      </c>
      <c r="D92" s="42">
        <v>10510</v>
      </c>
      <c r="E92" s="63">
        <f>TRUNC(+D92*3.3058,-1)</f>
        <v>34740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f>46080+53570</f>
        <v>99650</v>
      </c>
      <c r="E94" s="64">
        <f>TRUNC(+D94*3.3058,-1)</f>
        <v>329420</v>
      </c>
      <c r="F94" s="2" t="s">
        <v>251</v>
      </c>
    </row>
    <row r="95" spans="1:7" x14ac:dyDescent="0.3">
      <c r="A95" s="2">
        <v>27</v>
      </c>
      <c r="C95" s="27" t="s">
        <v>112</v>
      </c>
      <c r="D95" s="39">
        <f>SUM(D69:D94)</f>
        <v>121610</v>
      </c>
      <c r="E95" s="39">
        <f>SUM(E69:E94)</f>
        <v>402000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242</v>
      </c>
      <c r="C97" s="55" t="s">
        <v>241</v>
      </c>
      <c r="D97" s="56" t="s">
        <v>236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25860</v>
      </c>
      <c r="E100" s="63">
        <f t="shared" si="4"/>
        <v>85480</v>
      </c>
      <c r="F100" s="2" t="s">
        <v>252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22160</v>
      </c>
      <c r="E116" s="63">
        <f t="shared" si="4"/>
        <v>73250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v>30070</v>
      </c>
      <c r="E117" s="63">
        <f t="shared" si="4"/>
        <v>99400</v>
      </c>
    </row>
    <row r="118" spans="1:7" ht="17.25" thickBot="1" x14ac:dyDescent="0.35">
      <c r="A118" s="2">
        <v>21</v>
      </c>
      <c r="C118" s="38" t="s">
        <v>47</v>
      </c>
      <c r="D118" s="43">
        <v>3830</v>
      </c>
      <c r="E118" s="64">
        <f t="shared" si="4"/>
        <v>12660</v>
      </c>
    </row>
    <row r="119" spans="1:7" x14ac:dyDescent="0.3">
      <c r="A119" s="2">
        <v>22</v>
      </c>
      <c r="C119" s="27" t="s">
        <v>112</v>
      </c>
      <c r="D119" s="39">
        <f>SUM(D98:D118)</f>
        <v>81920</v>
      </c>
      <c r="E119" s="39">
        <f>SUM(E98:E118)</f>
        <v>270790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243</v>
      </c>
      <c r="C121" s="55" t="s">
        <v>241</v>
      </c>
      <c r="D121" s="56" t="s">
        <v>236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2100</v>
      </c>
      <c r="E125" s="63">
        <f t="shared" si="5"/>
        <v>6940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3110</v>
      </c>
      <c r="E128" s="63">
        <f t="shared" si="5"/>
        <v>10280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26780</v>
      </c>
      <c r="E130" s="63">
        <f t="shared" si="5"/>
        <v>88520</v>
      </c>
    </row>
    <row r="131" spans="1:7" x14ac:dyDescent="0.3">
      <c r="A131" s="2">
        <v>10</v>
      </c>
      <c r="C131" s="38" t="s">
        <v>148</v>
      </c>
      <c r="D131" s="42">
        <v>18060</v>
      </c>
      <c r="E131" s="63">
        <f t="shared" si="5"/>
        <v>59700</v>
      </c>
    </row>
    <row r="132" spans="1:7" ht="17.25" thickBot="1" x14ac:dyDescent="0.35">
      <c r="A132" s="2">
        <v>11</v>
      </c>
      <c r="C132" s="38" t="s">
        <v>47</v>
      </c>
      <c r="D132" s="43">
        <v>0</v>
      </c>
      <c r="E132" s="64">
        <f t="shared" si="5"/>
        <v>0</v>
      </c>
    </row>
    <row r="133" spans="1:7" x14ac:dyDescent="0.3">
      <c r="A133" s="2">
        <v>12</v>
      </c>
      <c r="C133" s="27" t="s">
        <v>112</v>
      </c>
      <c r="D133" s="39">
        <f>SUM(D122:D132)</f>
        <v>50050</v>
      </c>
      <c r="E133" s="39">
        <f>SUM(E122:E132)</f>
        <v>165440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244</v>
      </c>
      <c r="C135" s="55" t="s">
        <v>241</v>
      </c>
      <c r="D135" s="56" t="s">
        <v>256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v>15210</v>
      </c>
      <c r="E137" s="63">
        <f t="shared" si="6"/>
        <v>50280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15210</v>
      </c>
      <c r="E146" s="39">
        <f>SUM(E136:E145)</f>
        <v>50280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245</v>
      </c>
      <c r="C148" s="55" t="s">
        <v>241</v>
      </c>
      <c r="D148" s="56" t="s">
        <v>256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246</v>
      </c>
      <c r="C156" s="55" t="s">
        <v>241</v>
      </c>
      <c r="D156" s="56" t="s">
        <v>236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6" x14ac:dyDescent="0.3">
      <c r="A161" s="2">
        <v>5</v>
      </c>
      <c r="C161" s="27" t="s">
        <v>112</v>
      </c>
      <c r="D161" s="39">
        <f>SUM(D157:D160)</f>
        <v>0</v>
      </c>
      <c r="E161" s="39">
        <f t="shared" ref="E161" si="7">SUM(E157:E160)</f>
        <v>0</v>
      </c>
      <c r="F161" s="39"/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2020-12-07T08:51:32Z</dcterms:modified>
</cp:coreProperties>
</file>