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3" i="4"/>
  <c r="D152" i="4"/>
  <c r="D151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6" i="4"/>
  <c r="D125" i="4"/>
  <c r="D124" i="4"/>
  <c r="D122" i="4"/>
  <c r="D118" i="4"/>
  <c r="D117" i="4"/>
  <c r="D116" i="4"/>
  <c r="D114" i="4"/>
  <c r="D103" i="4"/>
  <c r="D100" i="4"/>
  <c r="D99" i="4"/>
  <c r="D98" i="4"/>
  <c r="D94" i="4"/>
  <c r="D93" i="4"/>
  <c r="D92" i="4"/>
  <c r="D91" i="4"/>
  <c r="D89" i="4"/>
  <c r="D73" i="4"/>
  <c r="D70" i="4"/>
  <c r="D69" i="4"/>
  <c r="D63" i="4"/>
  <c r="D59" i="4"/>
  <c r="D53" i="4"/>
  <c r="D52" i="4"/>
  <c r="D50" i="4"/>
  <c r="D49" i="4"/>
  <c r="D48" i="4"/>
  <c r="D46" i="4"/>
  <c r="D45" i="4"/>
  <c r="D44" i="4"/>
  <c r="D43" i="4"/>
  <c r="D42" i="4"/>
  <c r="D41" i="4"/>
  <c r="D40" i="4"/>
  <c r="D58" i="4" l="1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<sst xmlns="http://schemas.openxmlformats.org/spreadsheetml/2006/main" count="391" uniqueCount="266">
  <si>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</si>
  <si>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</si>
  <si>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</si>
  <si>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</si>
  <si>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</si>
  <si>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</si>
  <si>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</si>
  <si>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</si>
  <si>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</si>
  <si>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</si>
  <si>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</si>
  <si>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</si>
  <si>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</si>
  <si>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</si>
  <si>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</si>
  <si>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</si>
  <si>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</si>
  <si>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</si>
  <si>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</si>
  <si>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</si>
  <si>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</si>
  <si>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</si>
  <si>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</si>
  <si>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</si>
  <si>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</si>
  <si>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</si>
  <si>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</si>
  <si>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</si>
  <si>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</si>
  <si>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</si>
  <si>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</si>
  <si>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</si>
  <si>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</si>
  <si>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</si>
  <si>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</si>
  <si>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</si>
  <si>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</si>
  <si>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</si>
  <si>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</si>
  <si>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</si>
  <si>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</si>
  <si>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</si>
  <si>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</si>
  <si>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</si>
  <si>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</si>
  <si>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</si>
  <si>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</si>
  <si>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</si>
  <si>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</si>
  <si>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</si>
  <si>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</si>
  <si>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</si>
  <si>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</si>
  <si>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</si>
  <si>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</si>
  <si>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</si>
  <si>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</si>
  <si>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</si>
  <si>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</si>
  <si>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</si>
  <si>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</si>
  <si>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</si>
  <si>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</si>
  <si>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</si>
  <si>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</si>
  <si>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</si>
  <si>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</si>
  <si>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</si>
  <si>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</si>
  <si>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</si>
  <si>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</si>
  <si>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</si>
  <si>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</si>
  <si>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</si>
  <si>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</si>
  <si>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</si>
  <si>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</si>
  <si>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</si>
  <si>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</si>
  <si>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</si>
  <si>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</si>
  <si>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</si>
  <si>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</si>
  <si>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</si>
  <si>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</si>
  <si>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</si>
  <si>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</si>
  <si>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</si>
  <si>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</si>
  <si>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</si>
  <si>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</si>
  <si>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</si>
  <si>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</si>
  <si>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</si>
  <si>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</si>
  <si>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</si>
  <si>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</si>
  <si>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</si>
  <si>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</si>
  <si>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</si>
  <si>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</si>
  <si>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</si>
  <si>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</si>
  <si>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</si>
  <si>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</si>
  <si>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</si>
  <si>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</si>
  <si>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</si>
  <si>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</si>
  <si>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</si>
  <si>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</si>
  <si>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</si>
  <si>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</si>
  <si>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</si>
  <si>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</si>
  <si>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</si>
  <si>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</si>
  <si>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</si>
  <si>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</si>
  <si>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</si>
  <si>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</si>
  <si>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</si>
  <si>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</si>
  <si>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</si>
  <si>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</si>
  <si>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</si>
  <si>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</si>
  <si>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</si>
  <si>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</si>
  <si>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</si>
  <si>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</si>
  <si>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</si>
  <si>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</si>
  <si>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</si>
  <si>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</si>
  <si>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</si>
  <si>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</si>
  <si>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</si>
  <si>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</si>
  <si>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</si>
  <si>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</si>
  <si>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</si>
  <si>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</si>
  <si>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</si>
  <si>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</si>
  <si>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</si>
  <si>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</si>
  <si>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</si>
  <si>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</si>
  <si>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</si>
  <si>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</si>
  <si>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</si>
  <si>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</si>
  <si>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</si>
  <si>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</si>
  <si>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</si>
  <si>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</si>
  <si>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</si>
  <si>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</si>
  <si>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</si>
  <si>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</si>
  <si>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</si>
  <si>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</si>
  <si>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</si>
  <si>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</si>
  <si>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</si>
  <si>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</si>
  <si>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</si>
  <si>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</si>
  <si>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</si>
  <si>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</si>
  <si>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</si>
  <si>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</si>
  <si>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</si>
  <si>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</si>
  <si>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</si>
  <si>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</si>
  <si>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</si>
  <si>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</si>
  <si>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</si>
  <si>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</si>
  <si>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</si>
  <si>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</si>
  <si>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</si>
  <si>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</si>
  <si>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</si>
  <si>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</si>
  <si>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</si>
  <si>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</si>
  <si>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</si>
  <si>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</si>
  <si>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</si>
  <si>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</si>
  <si>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</si>
  <si>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</si>
  <si>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</si>
  <si>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</si>
  <si>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</si>
  <si>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</si>
  <si>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</si>
  <si>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</si>
  <si>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</si>
  <si>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</si>
  <si>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</si>
  <si>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</si>
  <si>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</si>
  <si>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</si>
  <si>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</si>
  <si>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</si>
  <si>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</si>
  <si>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</si>
  <si>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</si>
  <si>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</si>
  <si>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</si>
  <si>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</si>
  <si>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</si>
  <si>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</si>
  <si>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</si>
  <si>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</si>
  <si>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</si>
  <si>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</si>
  <si>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</si>
  <si>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</si>
  <si>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</si>
  <si>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</si>
  <si>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</si>
  <si>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</si>
  <si>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</si>
  <si>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</si>
  <si>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</si>
  <si>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</si>
  <si>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</si>
  <si>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</si>
  <si>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</si>
  <si>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</si>
  <si>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</si>
  <si>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</si>
  <si>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</si>
  <si>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</si>
  <si>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</si>
  <si>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</si>
  <si>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</si>
  <si>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</si>
  <si>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</si>
  <si>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</si>
  <si>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</si>
  <si>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</si>
  <si>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</si>
  <si>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</si>
  <si>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진주시 농업기술센터 신축공사(건축)</t>
    <phoneticPr fontId="2" type="noConversion"/>
  </si>
  <si>
    <t>경상도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</si>
  <si>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</si>
  <si>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</si>
  <si>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</si>
  <si>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폐기물처리비, 골재비및운반비,작업부산물, 품질시험비, 기타공사</t>
    <phoneticPr fontId="2" type="noConversion"/>
  </si>
  <si>
    <t>난방배관공사, 우수처리시설공사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</si>
  <si>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</si>
  <si>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</si>
  <si>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</si>
  <si>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 펌프실배관공사, 기타공사</t>
    <phoneticPr fontId="2" type="noConversion"/>
  </si>
  <si>
    <t>상수도공사, 사급자재비,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</si>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</sst>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9562.77</v>
      </c>
      <c r="D7" s="36">
        <f>+C7/3.3058</f>
        <v>2892.7249077379151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936550</v>
      </c>
      <c r="E25" s="59">
        <f t="shared" si="0"/>
        <v>3096040</v>
      </c>
    </row>
    <row r="26" spans="1:5" x14ac:dyDescent="0.3">
      <c r="B26" s="2">
        <v>3</v>
      </c>
      <c r="C26" s="35" t="s">
        <v>95</v>
      </c>
      <c r="D26" s="45">
        <f>+D66</f>
        <v>38050</v>
      </c>
      <c r="E26" s="59">
        <f t="shared" si="0"/>
        <v>125780</v>
      </c>
    </row>
    <row r="27" spans="1:5" x14ac:dyDescent="0.3">
      <c r="B27" s="2">
        <v>4</v>
      </c>
      <c r="C27" s="35" t="s">
        <v>96</v>
      </c>
      <c r="D27" s="45">
        <f>+D95</f>
        <v>206810</v>
      </c>
      <c r="E27" s="59">
        <f t="shared" si="0"/>
        <v>683670</v>
      </c>
    </row>
    <row r="28" spans="1:5" x14ac:dyDescent="0.3">
      <c r="B28" s="2">
        <v>5</v>
      </c>
      <c r="C28" s="35" t="s">
        <v>97</v>
      </c>
      <c r="D28" s="45">
        <f>+D119</f>
        <v>254950</v>
      </c>
      <c r="E28" s="59">
        <f t="shared" si="0"/>
        <v>842810</v>
      </c>
    </row>
    <row r="29" spans="1:5" x14ac:dyDescent="0.3">
      <c r="B29" s="2">
        <v>6</v>
      </c>
      <c r="C29" s="35" t="s">
        <v>98</v>
      </c>
      <c r="D29" s="45">
        <f>+D133</f>
        <v>128550</v>
      </c>
      <c r="E29" s="59">
        <f t="shared" si="0"/>
        <v>424960</v>
      </c>
    </row>
    <row r="30" spans="1:5" x14ac:dyDescent="0.3">
      <c r="B30" s="2">
        <v>7</v>
      </c>
      <c r="C30" s="35" t="s">
        <v>99</v>
      </c>
      <c r="D30" s="45">
        <f>+D146</f>
        <v>40670</v>
      </c>
      <c r="E30" s="59">
        <f t="shared" si="0"/>
        <v>134440</v>
      </c>
    </row>
    <row r="31" spans="1:5" x14ac:dyDescent="0.3">
      <c r="B31" s="2">
        <v>8</v>
      </c>
      <c r="C31" s="35" t="s">
        <v>100</v>
      </c>
      <c r="D31" s="45">
        <f>+D154</f>
        <v>269200</v>
      </c>
      <c r="E31" s="59">
        <f t="shared" si="0"/>
        <v>889920</v>
      </c>
    </row>
    <row r="32" spans="1:5" x14ac:dyDescent="0.3">
      <c r="B32" s="2">
        <v>9</v>
      </c>
      <c r="C32" s="35" t="s">
        <v>101</v>
      </c>
      <c r="D32" s="45">
        <f>+D161</f>
        <v>301960</v>
      </c>
      <c r="E32" s="59">
        <f t="shared" si="0"/>
        <v>998210</v>
      </c>
    </row>
    <row r="33" spans="1:7" x14ac:dyDescent="0.3">
      <c r="B33" s="2">
        <v>10</v>
      </c>
      <c r="C33" s="35" t="s">
        <v>154</v>
      </c>
      <c r="D33" s="53">
        <f>TRUNC(SUM(D24:D32)*0.275,-1)</f>
        <v>598600</v>
      </c>
      <c r="E33" s="60">
        <f t="shared" si="0"/>
        <v>1978850</v>
      </c>
    </row>
    <row r="34" spans="1:7" x14ac:dyDescent="0.3">
      <c r="C34" s="35" t="s">
        <v>112</v>
      </c>
      <c r="D34" s="44">
        <f>SUM(D24:D33)</f>
        <v>2775340</v>
      </c>
      <c r="E34" s="44">
        <f>SUM(E24:E33)</f>
        <v>9174680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TRUNC(60172,-1)</f>
        <v>60170</v>
      </c>
      <c r="E40" s="62">
        <f t="shared" ref="E40:E59" si="1">TRUNC(+D40*3.3058,-1)</f>
        <v>198900</v>
      </c>
    </row>
    <row r="41" spans="1:7" x14ac:dyDescent="0.3">
      <c r="A41" s="2">
        <v>2</v>
      </c>
      <c r="C41" s="38" t="s">
        <v>13</v>
      </c>
      <c r="D41" s="42">
        <f>TRUNC(153747,-1)</f>
        <v>153740</v>
      </c>
      <c r="E41" s="63">
        <f t="shared" si="1"/>
        <v>508230</v>
      </c>
    </row>
    <row r="42" spans="1:7" x14ac:dyDescent="0.3">
      <c r="A42" s="2">
        <v>3</v>
      </c>
      <c r="C42" s="38" t="s">
        <v>14</v>
      </c>
      <c r="D42" s="42">
        <f>TRUNC(32799,-1)</f>
        <v>32790</v>
      </c>
      <c r="E42" s="63">
        <f t="shared" si="1"/>
        <v>108390</v>
      </c>
    </row>
    <row r="43" spans="1:7" x14ac:dyDescent="0.3">
      <c r="A43" s="2">
        <v>4</v>
      </c>
      <c r="C43" s="38" t="s">
        <v>16</v>
      </c>
      <c r="D43" s="42">
        <f>TRUNC(14504,-1)</f>
        <v>14500</v>
      </c>
      <c r="E43" s="63">
        <f t="shared" si="1"/>
        <v>47930</v>
      </c>
    </row>
    <row r="44" spans="1:7" x14ac:dyDescent="0.3">
      <c r="A44" s="2">
        <v>5</v>
      </c>
      <c r="C44" s="38" t="s">
        <v>17</v>
      </c>
      <c r="D44" s="42">
        <f>TRUNC(33011,-1)</f>
        <v>33010</v>
      </c>
      <c r="E44" s="63">
        <f t="shared" si="1"/>
        <v>109120</v>
      </c>
    </row>
    <row r="45" spans="1:7" x14ac:dyDescent="0.3">
      <c r="A45" s="2">
        <v>6</v>
      </c>
      <c r="C45" s="38" t="s">
        <v>18</v>
      </c>
      <c r="D45" s="42">
        <f>TRUNC(9487,-1)</f>
        <v>9480</v>
      </c>
      <c r="E45" s="63">
        <f t="shared" si="1"/>
        <v>31330</v>
      </c>
    </row>
    <row r="46" spans="1:7" x14ac:dyDescent="0.3">
      <c r="A46" s="2">
        <v>7</v>
      </c>
      <c r="C46" s="38" t="s">
        <v>19</v>
      </c>
      <c r="D46" s="42">
        <f>TRUNC(61883,-1)</f>
        <v>61880</v>
      </c>
      <c r="E46" s="63">
        <f t="shared" si="1"/>
        <v>204560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TRUNC(55292,-1)</f>
        <v>55290</v>
      </c>
      <c r="E48" s="63">
        <f t="shared" si="1"/>
        <v>182770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TRUNC(9342,-1)</f>
        <v>9340</v>
      </c>
      <c r="E49" s="63">
        <f t="shared" si="1"/>
        <v>30870</v>
      </c>
    </row>
    <row r="50" spans="1:7" x14ac:dyDescent="0.3">
      <c r="A50" s="2">
        <v>11</v>
      </c>
      <c r="C50" s="38" t="s">
        <v>155</v>
      </c>
      <c r="D50" s="42">
        <f>TRUNC(79378,-1)</f>
        <v>79370</v>
      </c>
      <c r="E50" s="63">
        <f t="shared" si="1"/>
        <v>262380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TRUNC(18097,-1)</f>
        <v>18090</v>
      </c>
      <c r="E52" s="63">
        <f t="shared" si="1"/>
        <v>59800</v>
      </c>
    </row>
    <row r="53" spans="1:7" x14ac:dyDescent="0.3">
      <c r="A53" s="2">
        <v>14</v>
      </c>
      <c r="C53" s="38" t="s">
        <v>25</v>
      </c>
      <c r="D53" s="42">
        <f>TRUNC(44952,-1)</f>
        <v>44950</v>
      </c>
      <c r="E53" s="63">
        <f t="shared" si="1"/>
        <v>148590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9676+1501+4819-981+1060+18725</f>
        <v>34800</v>
      </c>
      <c r="E58" s="63">
        <f t="shared" si="1"/>
        <v>115040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TRUNC(329141,-1)</f>
        <v>329140</v>
      </c>
      <c r="E59" s="64">
        <f t="shared" si="1"/>
        <v>1088070</v>
      </c>
    </row>
    <row r="60" spans="1:7" x14ac:dyDescent="0.3">
      <c r="A60" s="2">
        <v>21</v>
      </c>
      <c r="C60" s="27" t="s">
        <v>112</v>
      </c>
      <c r="D60" s="39">
        <f>SUM(D40:D59)</f>
        <v>936550</v>
      </c>
      <c r="E60" s="39">
        <f>SUM(E40:E59)</f>
        <v>3095980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TRUNC(38058,-1)</f>
        <v>38050</v>
      </c>
      <c r="E63" s="62">
        <f>TRUNC(+D63*3.3058,-1)</f>
        <v>125780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38050</v>
      </c>
      <c r="E66" s="65">
        <f>SUM(E63:E65)</f>
        <v>125780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TRUNC(14783,-1)</f>
        <v>14780</v>
      </c>
      <c r="E69" s="62">
        <f t="shared" ref="E69:E94" si="2">TRUNC(+D69*3.3058,-1)</f>
        <v>48850</v>
      </c>
    </row>
    <row r="70" spans="1:7" ht="16.5" customHeight="1" x14ac:dyDescent="0.3">
      <c r="A70" s="2">
        <v>2</v>
      </c>
      <c r="C70" s="38" t="s">
        <v>31</v>
      </c>
      <c r="D70" s="42">
        <f>TRUNC(1466,-1)</f>
        <v>1460</v>
      </c>
      <c r="E70" s="63">
        <f t="shared" si="2"/>
        <v>4820</v>
      </c>
    </row>
    <row r="71" spans="1:7" x14ac:dyDescent="0.3">
      <c r="A71" s="2">
        <v>3</v>
      </c>
      <c r="C71" s="38" t="s">
        <v>32</v>
      </c>
      <c r="D71" s="42">
        <v>1610</v>
      </c>
      <c r="E71" s="63">
        <f t="shared" si="2"/>
        <v>5320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TRUNC(8056,-1)</f>
        <v>8050</v>
      </c>
      <c r="E73" s="63">
        <f t="shared" si="2"/>
        <v>26610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TRUNC(12428,-1)</f>
        <v>12420</v>
      </c>
      <c r="E89" s="63">
        <f t="shared" si="2"/>
        <v>41050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TRUNC(13578,-1)</f>
        <v>13570</v>
      </c>
      <c r="E91" s="63">
        <f t="shared" si="2"/>
        <v>44850</v>
      </c>
    </row>
    <row r="92" spans="1:7" x14ac:dyDescent="0.3">
      <c r="A92" s="2">
        <v>24</v>
      </c>
      <c r="C92" s="38" t="s">
        <v>38</v>
      </c>
      <c r="D92" s="42">
        <f>TRUNC(6074,-1)</f>
        <v>6070</v>
      </c>
      <c r="E92" s="63">
        <f t="shared" si="2"/>
        <v>20060</v>
      </c>
    </row>
    <row r="93" spans="1:7" x14ac:dyDescent="0.3">
      <c r="A93" s="2">
        <v>25</v>
      </c>
      <c r="C93" s="38" t="s">
        <v>148</v>
      </c>
      <c r="D93" s="42">
        <f>TRUNC(141473,-1)</f>
        <v>141470</v>
      </c>
      <c r="E93" s="63">
        <f t="shared" si="2"/>
        <v>467670</v>
      </c>
    </row>
    <row r="94" spans="1:7" ht="17.25" thickBot="1" x14ac:dyDescent="0.35">
      <c r="A94" s="2">
        <v>26</v>
      </c>
      <c r="C94" s="38" t="s">
        <v>47</v>
      </c>
      <c r="D94" s="43">
        <f>TRUNC(1568+5813,-1)</f>
        <v>7380</v>
      </c>
      <c r="E94" s="64">
        <f t="shared" si="2"/>
        <v>24390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206810</v>
      </c>
      <c r="E95" s="39">
        <f>SUM(E69:E94)</f>
        <v>683620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TRUNC(25382,-1)</f>
        <v>25380</v>
      </c>
      <c r="E98" s="62">
        <f t="shared" ref="E98:E118" si="3">TRUNC(+D98*3.3058,-1)</f>
        <v>83900</v>
      </c>
    </row>
    <row r="99" spans="1:7" x14ac:dyDescent="0.3">
      <c r="A99" s="2">
        <v>2</v>
      </c>
      <c r="C99" s="38" t="s">
        <v>40</v>
      </c>
      <c r="D99" s="42">
        <f>TRUNC(15521,-1)</f>
        <v>15520</v>
      </c>
      <c r="E99" s="63">
        <f t="shared" si="3"/>
        <v>51300</v>
      </c>
    </row>
    <row r="100" spans="1:7" x14ac:dyDescent="0.3">
      <c r="A100" s="2">
        <v>3</v>
      </c>
      <c r="C100" s="38" t="s">
        <v>41</v>
      </c>
      <c r="D100" s="42">
        <f>TRUNC(37021,-1)</f>
        <v>37020</v>
      </c>
      <c r="E100" s="63">
        <f t="shared" si="3"/>
        <v>122380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16860</v>
      </c>
      <c r="E102" s="63">
        <f t="shared" si="3"/>
        <v>55730</v>
      </c>
    </row>
    <row r="103" spans="1:7" x14ac:dyDescent="0.3">
      <c r="A103" s="2">
        <v>6</v>
      </c>
      <c r="C103" s="38" t="s">
        <v>44</v>
      </c>
      <c r="D103" s="42">
        <f>TRUNC(7311,-1)</f>
        <v>7310</v>
      </c>
      <c r="E103" s="63">
        <f t="shared" si="3"/>
        <v>24160</v>
      </c>
    </row>
    <row r="104" spans="1:7" x14ac:dyDescent="0.3">
      <c r="A104" s="2">
        <v>7</v>
      </c>
      <c r="C104" s="38" t="s">
        <v>45</v>
      </c>
      <c r="D104" s="42">
        <v>6790</v>
      </c>
      <c r="E104" s="63">
        <f t="shared" si="3"/>
        <v>22440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TRUNC(33529,-1)</f>
        <v>33520</v>
      </c>
      <c r="E114" s="63">
        <f t="shared" si="3"/>
        <v>110810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TRUNC(9878,-1)</f>
        <v>9870</v>
      </c>
      <c r="E116" s="63">
        <f t="shared" si="3"/>
        <v>32620</v>
      </c>
    </row>
    <row r="117" spans="1:7" x14ac:dyDescent="0.3">
      <c r="A117" s="2">
        <v>20</v>
      </c>
      <c r="C117" s="38" t="s">
        <v>148</v>
      </c>
      <c r="D117" s="42">
        <f>TRUNC(100589,-1)</f>
        <v>100580</v>
      </c>
      <c r="E117" s="63">
        <f t="shared" si="3"/>
        <v>332490</v>
      </c>
    </row>
    <row r="118" spans="1:7" ht="17.25" thickBot="1" x14ac:dyDescent="0.35">
      <c r="A118" s="2">
        <v>21</v>
      </c>
      <c r="C118" s="38" t="s">
        <v>47</v>
      </c>
      <c r="D118" s="43">
        <f>TRUNC(2101,-1)</f>
        <v>2100</v>
      </c>
      <c r="E118" s="64">
        <f t="shared" si="3"/>
        <v>6940</v>
      </c>
    </row>
    <row r="119" spans="1:7" x14ac:dyDescent="0.3">
      <c r="A119" s="2">
        <v>22</v>
      </c>
      <c r="C119" s="27" t="s">
        <v>112</v>
      </c>
      <c r="D119" s="39">
        <f>SUM(D98:D118)</f>
        <v>254950</v>
      </c>
      <c r="E119" s="39">
        <f>SUM(E98:E118)</f>
        <v>842770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TRUNC(4333,-1)</f>
        <v>4330</v>
      </c>
      <c r="E122" s="62">
        <f t="shared" ref="E122:E132" si="4">TRUNC(+D122*3.3058,-1)</f>
        <v>14310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TRUNC(3481,-1)</f>
        <v>3480</v>
      </c>
      <c r="E124" s="63">
        <f t="shared" si="4"/>
        <v>11500</v>
      </c>
    </row>
    <row r="125" spans="1:7" x14ac:dyDescent="0.3">
      <c r="A125" s="2">
        <v>4</v>
      </c>
      <c r="C125" s="38" t="s">
        <v>138</v>
      </c>
      <c r="D125" s="42">
        <f>TRUNC(7869,-1)</f>
        <v>7860</v>
      </c>
      <c r="E125" s="63">
        <f t="shared" si="4"/>
        <v>25980</v>
      </c>
    </row>
    <row r="126" spans="1:7" x14ac:dyDescent="0.3">
      <c r="A126" s="2">
        <v>5</v>
      </c>
      <c r="C126" s="38" t="s">
        <v>53</v>
      </c>
      <c r="D126" s="42">
        <f>TRUNC(37791,-1)</f>
        <v>37790</v>
      </c>
      <c r="E126" s="63">
        <f t="shared" si="4"/>
        <v>124920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TRUNC(21575,-1)</f>
        <v>21570</v>
      </c>
      <c r="E130" s="63">
        <f t="shared" si="4"/>
        <v>71300</v>
      </c>
    </row>
    <row r="131" spans="1:7" x14ac:dyDescent="0.3">
      <c r="A131" s="2">
        <v>10</v>
      </c>
      <c r="C131" s="38" t="s">
        <v>148</v>
      </c>
      <c r="D131" s="42">
        <f>TRUNC(51066,-1)</f>
        <v>51060</v>
      </c>
      <c r="E131" s="63">
        <f t="shared" si="4"/>
        <v>168790</v>
      </c>
    </row>
    <row r="132" spans="1:7" ht="18" thickBot="1" x14ac:dyDescent="0.35">
      <c r="A132" s="2">
        <v>11</v>
      </c>
      <c r="C132" s="38" t="s">
        <v>47</v>
      </c>
      <c r="D132" s="43">
        <f>TRUNC(2465,-1)</f>
        <v>2460</v>
      </c>
      <c r="E132" s="64">
        <f t="shared" si="4"/>
        <v>8130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128550</v>
      </c>
      <c r="E133" s="39">
        <f>SUM(E122:E132)</f>
        <v>424930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TRUNC(4056+1466+951,-1)</f>
        <v>6470</v>
      </c>
      <c r="E137" s="63">
        <f t="shared" si="5"/>
        <v>21380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TRUNC(1126,-1)</f>
        <v>1120</v>
      </c>
      <c r="E139" s="63">
        <f t="shared" si="5"/>
        <v>3700</v>
      </c>
    </row>
    <row r="140" spans="1:7" x14ac:dyDescent="0.3">
      <c r="A140" s="2">
        <v>5</v>
      </c>
      <c r="C140" s="38" t="s">
        <v>57</v>
      </c>
      <c r="D140" s="42">
        <f>TRUNC(1369,-1)</f>
        <v>1360</v>
      </c>
      <c r="E140" s="63">
        <f t="shared" si="5"/>
        <v>4490</v>
      </c>
    </row>
    <row r="141" spans="1:7" x14ac:dyDescent="0.3">
      <c r="A141" s="2">
        <v>6</v>
      </c>
      <c r="C141" s="38" t="s">
        <v>59</v>
      </c>
      <c r="D141" s="42">
        <f>TRUNC(3255,-1)</f>
        <v>3250</v>
      </c>
      <c r="E141" s="63">
        <f t="shared" si="5"/>
        <v>10740</v>
      </c>
    </row>
    <row r="142" spans="1:7" x14ac:dyDescent="0.3">
      <c r="A142" s="2">
        <v>7</v>
      </c>
      <c r="C142" s="38" t="s">
        <v>58</v>
      </c>
      <c r="D142" s="42">
        <f>TRUNC(3379,-1)</f>
        <v>3370</v>
      </c>
      <c r="E142" s="63">
        <f t="shared" si="5"/>
        <v>11140</v>
      </c>
    </row>
    <row r="143" spans="1:7" x14ac:dyDescent="0.3">
      <c r="A143" s="2">
        <v>8</v>
      </c>
      <c r="C143" s="38" t="s">
        <v>62</v>
      </c>
      <c r="D143" s="42">
        <f>TRUNC(6464,-1)</f>
        <v>6460</v>
      </c>
      <c r="E143" s="63">
        <f t="shared" si="5"/>
        <v>21350</v>
      </c>
    </row>
    <row r="144" spans="1:7" x14ac:dyDescent="0.3">
      <c r="A144" s="2">
        <v>9</v>
      </c>
      <c r="C144" s="38" t="s">
        <v>63</v>
      </c>
      <c r="D144" s="42">
        <f>TRUNC(18648,-1)</f>
        <v>18640</v>
      </c>
      <c r="E144" s="63">
        <f t="shared" si="5"/>
        <v>61620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40670</v>
      </c>
      <c r="E146" s="39">
        <f>SUM(E136:E145)</f>
        <v>134420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TRUNC(32369+2980,-1)</f>
        <v>35340</v>
      </c>
      <c r="E149" s="62">
        <f>TRUNC(+D149*3.3058,-1)</f>
        <v>116820</v>
      </c>
    </row>
    <row r="150" spans="1:7" x14ac:dyDescent="0.3">
      <c r="A150" s="2">
        <v>2</v>
      </c>
      <c r="C150" s="38" t="s">
        <v>49</v>
      </c>
      <c r="D150" s="42">
        <f>TRUNC(16587,-1)</f>
        <v>16580</v>
      </c>
      <c r="E150" s="63">
        <f>TRUNC(+D150*3.3058,-1)</f>
        <v>54810</v>
      </c>
    </row>
    <row r="151" spans="1:7" x14ac:dyDescent="0.3">
      <c r="A151" s="2">
        <v>3</v>
      </c>
      <c r="C151" s="38" t="s">
        <v>50</v>
      </c>
      <c r="D151" s="42">
        <f>TRUNC(28295,-1)</f>
        <v>28290</v>
      </c>
      <c r="E151" s="63">
        <f>TRUNC(+D151*3.3058,-1)</f>
        <v>93520</v>
      </c>
    </row>
    <row r="152" spans="1:7" x14ac:dyDescent="0.3">
      <c r="A152" s="2">
        <v>4</v>
      </c>
      <c r="C152" s="38" t="s">
        <v>47</v>
      </c>
      <c r="D152" s="42">
        <f>TRUNC(7151+19161+430+3453,-1)</f>
        <v>30190</v>
      </c>
      <c r="E152" s="63">
        <f>TRUNC(+D152*3.3058,-1)</f>
        <v>99800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TRUNC(158803,-1)</f>
        <v>158800</v>
      </c>
      <c r="E153" s="64">
        <f>TRUNC(+D153*3.3058,-1)</f>
        <v>524960</v>
      </c>
    </row>
    <row r="154" spans="1:7" x14ac:dyDescent="0.3">
      <c r="A154" s="2">
        <v>6</v>
      </c>
      <c r="C154" s="27" t="s">
        <v>112</v>
      </c>
      <c r="D154" s="39">
        <f>SUM(D149:D153)</f>
        <v>269200</v>
      </c>
      <c r="E154" s="39">
        <f>SUM(E149:E153)</f>
        <v>889910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TRUNC(206846,-1)</f>
        <v>206840</v>
      </c>
      <c r="E157" s="62">
        <f>TRUNC(+D157*3.3058,-1)</f>
        <v>683770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TRUNC(95128,-1)</f>
        <v>95120</v>
      </c>
      <c r="E159" s="63">
        <f>TRUNC(+D159*3.3058,-1)</f>
        <v>314440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301960</v>
      </c>
      <c r="E161" s="39">
        <f>SUM(E157:E160)</f>
        <v>998210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2020-12-08T02:51:50Z</dcterms:modified>
</cp:coreProperties>
</file>