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2" i="4"/>
  <c r="D151" i="4"/>
  <c r="D150" i="4"/>
  <c r="D149" i="4"/>
  <c r="D144" i="4"/>
  <c r="D143" i="4"/>
  <c r="D139" i="4"/>
  <c r="D138" i="4"/>
  <c r="D141" i="4"/>
  <c r="D142" i="4"/>
  <c r="D140" i="4"/>
  <c r="D137" i="4"/>
  <c r="D128" i="4"/>
  <c r="D132" i="4"/>
  <c r="D124" i="4"/>
  <c r="D125" i="4"/>
  <c r="D122" i="4"/>
  <c r="D130" i="4"/>
  <c r="D102" i="4"/>
  <c r="D100" i="4"/>
  <c r="D99" i="4"/>
  <c r="D114" i="4"/>
  <c r="D98" i="4"/>
  <c r="D116" i="4"/>
  <c r="D92" i="4"/>
  <c r="D91" i="4"/>
  <c r="D89" i="4"/>
  <c r="D73" i="4"/>
  <c r="D72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D160" i="4"/>
  <c r="D153" i="4"/>
  <c r="D145" i="4"/>
  <c r="D131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19" i="4"/>
  <c r="E95" i="4"/>
  <c r="E66" i="4"/>
  <c r="E60" i="4"/>
  <c r="E133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<sst xmlns="http://schemas.openxmlformats.org/spreadsheetml/2006/main" count="392" uniqueCount="267">
  <si>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</si>
  <si>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</si>
  <si>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</si>
  <si>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</si>
  <si>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</si>
  <si>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</si>
  <si>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</si>
  <si>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</si>
  <si>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</si>
  <si>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</si>
  <si>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</si>
  <si>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</si>
  <si>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</si>
  <si>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</si>
  <si>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</si>
  <si>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</si>
  <si>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</si>
  <si>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</si>
  <si>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</si>
  <si>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</si>
  <si>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</si>
  <si>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</si>
  <si>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</si>
  <si>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</si>
  <si>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</si>
  <si>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</si>
  <si>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</si>
  <si>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</si>
  <si>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</si>
  <si>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</si>
  <si>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</si>
  <si>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</si>
  <si>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</si>
  <si>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</si>
  <si>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</si>
  <si>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</si>
  <si>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</si>
  <si>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</si>
  <si>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</si>
  <si>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</si>
  <si>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</si>
  <si>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</si>
  <si>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</si>
  <si>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</si>
  <si>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</si>
  <si>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</si>
  <si>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</si>
  <si>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</si>
  <si>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</si>
  <si>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</si>
  <si>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</si>
  <si>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</si>
  <si>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</si>
  <si>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</si>
  <si>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</si>
  <si>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</si>
  <si>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</si>
  <si>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</si>
  <si>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</si>
  <si>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</si>
  <si>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</si>
  <si>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</si>
  <si>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</si>
  <si>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</si>
  <si>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</si>
  <si>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</si>
  <si>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</si>
  <si>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</si>
  <si>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</si>
  <si>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</si>
  <si>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</si>
  <si>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</si>
  <si>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</si>
  <si>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</si>
  <si>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</si>
  <si>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</si>
  <si>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</si>
  <si>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</si>
  <si>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</si>
  <si>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</si>
  <si>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</si>
  <si>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</si>
  <si>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</si>
  <si>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</si>
  <si>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</si>
  <si>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</si>
  <si>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</si>
  <si>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</si>
  <si>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</si>
  <si>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</si>
  <si>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</si>
  <si>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</si>
  <si>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</si>
  <si>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</si>
  <si>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</si>
  <si>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</si>
  <si>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</si>
  <si>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</si>
  <si>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</si>
  <si>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</si>
  <si>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</si>
  <si>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</si>
  <si>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</si>
  <si>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</si>
  <si>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</si>
  <si>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</si>
  <si>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</si>
  <si>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</si>
  <si>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</si>
  <si>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</si>
  <si>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</si>
  <si>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</si>
  <si>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</si>
  <si>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</si>
  <si>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</si>
  <si>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</si>
  <si>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</si>
  <si>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</si>
  <si>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</si>
  <si>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</si>
  <si>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</si>
  <si>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</si>
  <si>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</si>
  <si>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</si>
  <si>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</si>
  <si>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</si>
  <si>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</si>
  <si>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</si>
  <si>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</si>
  <si>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</si>
  <si>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</si>
  <si>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</si>
  <si>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</si>
  <si>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</si>
  <si>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</si>
  <si>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</si>
  <si>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</si>
  <si>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</si>
  <si>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</si>
  <si>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</si>
  <si>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</si>
  <si>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</si>
  <si>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</si>
  <si>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</si>
  <si>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</si>
  <si>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</si>
  <si>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</si>
  <si>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</si>
  <si>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</si>
  <si>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</si>
  <si>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</si>
  <si>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</si>
  <si>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</si>
  <si>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</si>
  <si>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</si>
  <si>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</si>
  <si>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</si>
  <si>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</si>
  <si>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</si>
  <si>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</si>
  <si>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</si>
  <si>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</si>
  <si>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</si>
  <si>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</si>
  <si>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</si>
  <si>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</si>
  <si>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</si>
  <si>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</si>
  <si>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</si>
  <si>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</si>
  <si>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</si>
  <si>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</si>
  <si>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</si>
  <si>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</si>
  <si>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</si>
  <si>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</si>
  <si>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</si>
  <si>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</si>
  <si>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</si>
  <si>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</si>
  <si>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</si>
  <si>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</si>
  <si>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</si>
  <si>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</si>
  <si>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</si>
  <si>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</si>
  <si>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</si>
  <si>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</si>
  <si>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</si>
  <si>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</si>
  <si>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</si>
  <si>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</si>
  <si>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</si>
  <si>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</si>
  <si>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</si>
  <si>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</si>
  <si>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</si>
  <si>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</si>
  <si>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</si>
  <si>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</si>
  <si>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</si>
  <si>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</si>
  <si>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</si>
  <si>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</si>
  <si>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</si>
  <si>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</si>
  <si>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</si>
  <si>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</si>
  <si>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</si>
  <si>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</si>
  <si>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</si>
  <si>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</si>
  <si>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</si>
  <si>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</si>
  <si>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</si>
  <si>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</si>
  <si>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</si>
  <si>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</si>
  <si>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</si>
  <si>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</si>
  <si>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</si>
  <si>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</si>
  <si>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</si>
  <si>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</si>
  <si>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</si>
  <si>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</si>
  <si>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</si>
  <si>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</si>
  <si>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</si>
  <si>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</si>
  <si>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</si>
  <si>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</si>
  <si>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</si>
  <si>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</si>
  <si>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</si>
  <si>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</si>
  <si>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</si>
  <si>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</si>
  <si>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</si>
  <si>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</si>
  <si>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</si>
  <si>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</si>
  <si>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</si>
  <si>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</si>
  <si>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</si>
  <si>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</si>
  <si>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</si>
  <si>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</si>
  <si>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국립제주박물관 복합문화관 건립 건축공사</t>
    <phoneticPr fontId="2" type="noConversion"/>
  </si>
  <si>
    <t>문화및집회</t>
  </si>
  <si>
    <t>제주도</t>
  </si>
  <si>
    <t>기초공사,골재비및운반비,기타공사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</si>
  <si>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</si>
  <si>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</si>
  <si>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</si>
  <si>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</si>
  <si>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</si>
  <si>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</si>
  <si>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옥외소화배관공사,펌프실배관공사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</si>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</sst>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4494.03</v>
      </c>
      <c r="D7" s="36">
        <f>+C7/3.3058</f>
        <v>1359.437957529191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1256040</v>
      </c>
      <c r="E25" s="59">
        <f t="shared" si="0"/>
        <v>4152210</v>
      </c>
    </row>
    <row r="26" spans="1:5" x14ac:dyDescent="0.3">
      <c r="B26" s="2">
        <v>3</v>
      </c>
      <c r="C26" s="35" t="s">
        <v>95</v>
      </c>
      <c r="D26" s="45">
        <f>+D66</f>
        <v>77550</v>
      </c>
      <c r="E26" s="59">
        <f t="shared" si="0"/>
        <v>256360</v>
      </c>
    </row>
    <row r="27" spans="1:5" x14ac:dyDescent="0.3">
      <c r="B27" s="2">
        <v>4</v>
      </c>
      <c r="C27" s="35" t="s">
        <v>96</v>
      </c>
      <c r="D27" s="45">
        <f>+D95</f>
        <v>188030</v>
      </c>
      <c r="E27" s="59">
        <f t="shared" si="0"/>
        <v>621580</v>
      </c>
    </row>
    <row r="28" spans="1:5" x14ac:dyDescent="0.3">
      <c r="B28" s="2">
        <v>5</v>
      </c>
      <c r="C28" s="35" t="s">
        <v>97</v>
      </c>
      <c r="D28" s="45">
        <f>+D119</f>
        <v>237640</v>
      </c>
      <c r="E28" s="59">
        <f t="shared" si="0"/>
        <v>785590</v>
      </c>
    </row>
    <row r="29" spans="1:5" x14ac:dyDescent="0.3">
      <c r="B29" s="2">
        <v>6</v>
      </c>
      <c r="C29" s="35" t="s">
        <v>98</v>
      </c>
      <c r="D29" s="45">
        <f>+D133</f>
        <v>54200</v>
      </c>
      <c r="E29" s="59">
        <f t="shared" si="0"/>
        <v>179170</v>
      </c>
    </row>
    <row r="30" spans="1:5" x14ac:dyDescent="0.3">
      <c r="B30" s="2">
        <v>7</v>
      </c>
      <c r="C30" s="35" t="s">
        <v>99</v>
      </c>
      <c r="D30" s="45">
        <f>+D146</f>
        <v>106310</v>
      </c>
      <c r="E30" s="59">
        <f t="shared" si="0"/>
        <v>351430</v>
      </c>
    </row>
    <row r="31" spans="1:5" x14ac:dyDescent="0.3">
      <c r="B31" s="2">
        <v>8</v>
      </c>
      <c r="C31" s="35" t="s">
        <v>100</v>
      </c>
      <c r="D31" s="45">
        <f>+D154</f>
        <v>72200</v>
      </c>
      <c r="E31" s="59">
        <f t="shared" si="0"/>
        <v>238670</v>
      </c>
    </row>
    <row r="32" spans="1:5" x14ac:dyDescent="0.3">
      <c r="B32" s="2">
        <v>9</v>
      </c>
      <c r="C32" s="35" t="s">
        <v>101</v>
      </c>
      <c r="D32" s="45">
        <f>+D161</f>
        <v>50030</v>
      </c>
      <c r="E32" s="59">
        <f t="shared" si="0"/>
        <v>165380</v>
      </c>
    </row>
    <row r="33" spans="1:7" x14ac:dyDescent="0.3">
      <c r="B33" s="2">
        <v>10</v>
      </c>
      <c r="C33" s="35" t="s">
        <v>154</v>
      </c>
      <c r="D33" s="53">
        <f>TRUNC(SUM(D24:D32)*0.275,-1)</f>
        <v>561550</v>
      </c>
      <c r="E33" s="60">
        <f t="shared" si="0"/>
        <v>1856370</v>
      </c>
    </row>
    <row r="34" spans="1:7" x14ac:dyDescent="0.3">
      <c r="C34" s="35" t="s">
        <v>112</v>
      </c>
      <c r="D34" s="44">
        <f>SUM(D24:D33)</f>
        <v>2603550</v>
      </c>
      <c r="E34" s="44">
        <f>SUM(E24:E33)</f>
        <v>8606760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TRUNC(80131,-1)</f>
        <v>80130</v>
      </c>
      <c r="E40" s="62">
        <f t="shared" ref="E40:E59" si="1">TRUNC(+D40*3.3058,-1)</f>
        <v>264890</v>
      </c>
    </row>
    <row r="41" spans="1:7" x14ac:dyDescent="0.3">
      <c r="A41" s="2">
        <v>2</v>
      </c>
      <c r="C41" s="38" t="s">
        <v>13</v>
      </c>
      <c r="D41" s="42">
        <f>TRUNC(258473,-1)</f>
        <v>258470</v>
      </c>
      <c r="E41" s="63">
        <f t="shared" si="1"/>
        <v>854450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TRUNC(87263,-1)</f>
        <v>87260</v>
      </c>
      <c r="E43" s="63">
        <f t="shared" si="1"/>
        <v>288460</v>
      </c>
    </row>
    <row r="44" spans="1:7" x14ac:dyDescent="0.3">
      <c r="A44" s="2">
        <v>5</v>
      </c>
      <c r="C44" s="38" t="s">
        <v>17</v>
      </c>
      <c r="D44" s="42">
        <f>TRUNC(23320,-1)</f>
        <v>23320</v>
      </c>
      <c r="E44" s="63">
        <f t="shared" si="1"/>
        <v>77090</v>
      </c>
    </row>
    <row r="45" spans="1:7" x14ac:dyDescent="0.3">
      <c r="A45" s="2">
        <v>6</v>
      </c>
      <c r="C45" s="38" t="s">
        <v>18</v>
      </c>
      <c r="D45" s="42">
        <f>TRUNC(63836,-1)</f>
        <v>63830</v>
      </c>
      <c r="E45" s="63">
        <f t="shared" si="1"/>
        <v>211000</v>
      </c>
    </row>
    <row r="46" spans="1:7" x14ac:dyDescent="0.3">
      <c r="A46" s="2">
        <v>7</v>
      </c>
      <c r="C46" s="38" t="s">
        <v>19</v>
      </c>
      <c r="D46" s="42">
        <f>TRUNC(52941,-1)</f>
        <v>52940</v>
      </c>
      <c r="E46" s="63">
        <f t="shared" si="1"/>
        <v>175000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TRUNC(71463,-1)</f>
        <v>71460</v>
      </c>
      <c r="E48" s="63">
        <f t="shared" si="1"/>
        <v>236230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TRUNC(15200,-1)</f>
        <v>15200</v>
      </c>
      <c r="E49" s="63">
        <f t="shared" si="1"/>
        <v>50240</v>
      </c>
    </row>
    <row r="50" spans="1:7" x14ac:dyDescent="0.3">
      <c r="A50" s="2">
        <v>11</v>
      </c>
      <c r="C50" s="38" t="s">
        <v>155</v>
      </c>
      <c r="D50" s="42">
        <f>TRUNC(39740,-1)</f>
        <v>39740</v>
      </c>
      <c r="E50" s="63">
        <f t="shared" si="1"/>
        <v>131370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TRUNC(10691,-1)</f>
        <v>10690</v>
      </c>
      <c r="E52" s="63">
        <f t="shared" si="1"/>
        <v>35330</v>
      </c>
    </row>
    <row r="53" spans="1:7" x14ac:dyDescent="0.3">
      <c r="A53" s="2">
        <v>14</v>
      </c>
      <c r="C53" s="38" t="s">
        <v>25</v>
      </c>
      <c r="D53" s="42">
        <f>TRUNC(51727,-1)</f>
        <v>51720</v>
      </c>
      <c r="E53" s="63">
        <f t="shared" si="1"/>
        <v>170970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TRUNC(42148+9685+2470,-1)</f>
        <v>54300</v>
      </c>
      <c r="E58" s="63">
        <f t="shared" si="1"/>
        <v>179500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TRUNC(446989,-1)</f>
        <v>446980</v>
      </c>
      <c r="E59" s="64">
        <f t="shared" si="1"/>
        <v>1477620</v>
      </c>
    </row>
    <row r="60" spans="1:7" x14ac:dyDescent="0.3">
      <c r="A60" s="2">
        <v>21</v>
      </c>
      <c r="C60" s="27" t="s">
        <v>112</v>
      </c>
      <c r="D60" s="39">
        <f>SUM(D40:D59)</f>
        <v>1256040</v>
      </c>
      <c r="E60" s="39">
        <f>SUM(E40:E59)</f>
        <v>4152150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TRUNC(19295,-1)</f>
        <v>19290</v>
      </c>
      <c r="E63" s="62">
        <f>TRUNC(+D63*3.3058,-1)</f>
        <v>63760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TRUNC(58267,-1)</f>
        <v>58260</v>
      </c>
      <c r="E65" s="64">
        <f>TRUNC(+D65*3.3058,-1)</f>
        <v>192590</v>
      </c>
    </row>
    <row r="66" spans="1:7" x14ac:dyDescent="0.3">
      <c r="A66" s="2">
        <v>4</v>
      </c>
      <c r="C66" s="27" t="s">
        <v>112</v>
      </c>
      <c r="D66" s="39">
        <f>SUM(D63:D65)</f>
        <v>77550</v>
      </c>
      <c r="E66" s="65">
        <f>SUM(E63:E65)</f>
        <v>256350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TRUNC(9077,-1)</f>
        <v>9070</v>
      </c>
      <c r="E69" s="62">
        <f t="shared" ref="E69:E94" si="2">TRUNC(+D69*3.3058,-1)</f>
        <v>29980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TRUNC(7710,-1)</f>
        <v>7710</v>
      </c>
      <c r="E72" s="63">
        <f t="shared" si="2"/>
        <v>25480</v>
      </c>
    </row>
    <row r="73" spans="1:7" x14ac:dyDescent="0.3">
      <c r="A73" s="2">
        <v>5</v>
      </c>
      <c r="C73" s="38" t="s">
        <v>34</v>
      </c>
      <c r="D73" s="42">
        <f>TRUNC(4199,-1)</f>
        <v>4190</v>
      </c>
      <c r="E73" s="63">
        <f t="shared" si="2"/>
        <v>13850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TRUNC(5943,-1)</f>
        <v>5940</v>
      </c>
      <c r="E89" s="63">
        <f t="shared" si="2"/>
        <v>19630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TRUNC(10886,-1)</f>
        <v>10880</v>
      </c>
      <c r="E91" s="63">
        <f t="shared" si="2"/>
        <v>35960</v>
      </c>
    </row>
    <row r="92" spans="1:7" x14ac:dyDescent="0.3">
      <c r="A92" s="2">
        <v>24</v>
      </c>
      <c r="C92" s="38" t="s">
        <v>38</v>
      </c>
      <c r="D92" s="42">
        <f>TRUNC(6170,-1)</f>
        <v>6170</v>
      </c>
      <c r="E92" s="63">
        <f t="shared" si="2"/>
        <v>20390</v>
      </c>
    </row>
    <row r="93" spans="1:7" x14ac:dyDescent="0.3">
      <c r="A93" s="2">
        <v>25</v>
      </c>
      <c r="C93" s="38" t="s">
        <v>148</v>
      </c>
      <c r="D93" s="42">
        <f>TRUNC(144078,-1)</f>
        <v>144070</v>
      </c>
      <c r="E93" s="63">
        <f t="shared" si="2"/>
        <v>476260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188030</v>
      </c>
      <c r="E95" s="39">
        <f>SUM(E69:E94)</f>
        <v>621550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TRUNC(30023,-1)</f>
        <v>30020</v>
      </c>
      <c r="E98" s="62">
        <f t="shared" ref="E98:E118" si="3">TRUNC(+D98*3.3058,-1)</f>
        <v>99240</v>
      </c>
    </row>
    <row r="99" spans="1:7" x14ac:dyDescent="0.3">
      <c r="A99" s="2">
        <v>2</v>
      </c>
      <c r="C99" s="38" t="s">
        <v>40</v>
      </c>
      <c r="D99" s="42">
        <f>TRUNC(13730,-1)</f>
        <v>13730</v>
      </c>
      <c r="E99" s="63">
        <f t="shared" si="3"/>
        <v>45380</v>
      </c>
    </row>
    <row r="100" spans="1:7" x14ac:dyDescent="0.3">
      <c r="A100" s="2">
        <v>3</v>
      </c>
      <c r="C100" s="38" t="s">
        <v>41</v>
      </c>
      <c r="D100" s="42">
        <f>TRUNC(20359,-1)</f>
        <v>20350</v>
      </c>
      <c r="E100" s="63">
        <f t="shared" si="3"/>
        <v>67270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TRUNC(7280,-1)</f>
        <v>7280</v>
      </c>
      <c r="E102" s="63">
        <f t="shared" si="3"/>
        <v>24060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TRUNC(2583,-1)</f>
        <v>2580</v>
      </c>
      <c r="E114" s="63">
        <f t="shared" si="3"/>
        <v>8520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TRUNC(9129,-1)</f>
        <v>9120</v>
      </c>
      <c r="E116" s="63">
        <f t="shared" si="3"/>
        <v>30140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TRUNC(154567,-1)</f>
        <v>154560</v>
      </c>
      <c r="E117" s="63">
        <f t="shared" si="3"/>
        <v>510940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237640</v>
      </c>
      <c r="E119" s="39">
        <f>SUM(E98:E118)</f>
        <v>785550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TRUNC(3079,-1)</f>
        <v>3070</v>
      </c>
      <c r="E122" s="62">
        <f t="shared" ref="E122:E132" si="4">TRUNC(+D122*3.3058,-1)</f>
        <v>10140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TRUNC(2528,-1)</f>
        <v>2520</v>
      </c>
      <c r="E124" s="63">
        <f t="shared" si="4"/>
        <v>8330</v>
      </c>
    </row>
    <row r="125" spans="1:7" x14ac:dyDescent="0.3">
      <c r="A125" s="2">
        <v>4</v>
      </c>
      <c r="C125" s="38" t="s">
        <v>138</v>
      </c>
      <c r="D125" s="42">
        <f>TRUNC(5038,-1)</f>
        <v>5030</v>
      </c>
      <c r="E125" s="63">
        <f t="shared" si="4"/>
        <v>16620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TRUNC(2117,-1)</f>
        <v>2110</v>
      </c>
      <c r="E128" s="63">
        <f t="shared" si="4"/>
        <v>6970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TRUNC(17914,-1)</f>
        <v>17910</v>
      </c>
      <c r="E130" s="63">
        <f t="shared" si="4"/>
        <v>59200</v>
      </c>
    </row>
    <row r="131" spans="1:7" x14ac:dyDescent="0.3">
      <c r="A131" s="2">
        <v>10</v>
      </c>
      <c r="C131" s="38" t="s">
        <v>148</v>
      </c>
      <c r="D131" s="42">
        <f>TRUNC(20841,-1)</f>
        <v>20840</v>
      </c>
      <c r="E131" s="63">
        <f t="shared" si="4"/>
        <v>68890</v>
      </c>
    </row>
    <row r="132" spans="1:7" ht="18" thickBot="1" x14ac:dyDescent="0.35">
      <c r="A132" s="2">
        <v>11</v>
      </c>
      <c r="C132" s="38" t="s">
        <v>47</v>
      </c>
      <c r="D132" s="43">
        <f>TRUNC(2728,-1)</f>
        <v>2720</v>
      </c>
      <c r="E132" s="64">
        <f t="shared" si="4"/>
        <v>8990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54200</v>
      </c>
      <c r="E133" s="39">
        <f>SUM(E122:E132)</f>
        <v>179140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TRUNC(2115+7386,-1)</f>
        <v>9500</v>
      </c>
      <c r="E137" s="63">
        <f t="shared" si="5"/>
        <v>31400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f>TRUNC(27394,-1)</f>
        <v>27390</v>
      </c>
      <c r="E138" s="63">
        <f t="shared" si="5"/>
        <v>90540</v>
      </c>
    </row>
    <row r="139" spans="1:7" x14ac:dyDescent="0.3">
      <c r="A139" s="2">
        <v>4</v>
      </c>
      <c r="C139" s="38" t="s">
        <v>61</v>
      </c>
      <c r="D139" s="42">
        <f>TRUNC(3600,-1)</f>
        <v>3600</v>
      </c>
      <c r="E139" s="63">
        <f t="shared" si="5"/>
        <v>11900</v>
      </c>
    </row>
    <row r="140" spans="1:7" x14ac:dyDescent="0.3">
      <c r="A140" s="2">
        <v>5</v>
      </c>
      <c r="C140" s="38" t="s">
        <v>57</v>
      </c>
      <c r="D140" s="42">
        <f>TRUNC(5220,-1)</f>
        <v>5220</v>
      </c>
      <c r="E140" s="63">
        <f t="shared" si="5"/>
        <v>17250</v>
      </c>
    </row>
    <row r="141" spans="1:7" x14ac:dyDescent="0.3">
      <c r="A141" s="2">
        <v>6</v>
      </c>
      <c r="C141" s="38" t="s">
        <v>59</v>
      </c>
      <c r="D141" s="42">
        <f>TRUNC(26442,-1)</f>
        <v>26440</v>
      </c>
      <c r="E141" s="63">
        <f t="shared" si="5"/>
        <v>87400</v>
      </c>
    </row>
    <row r="142" spans="1:7" x14ac:dyDescent="0.3">
      <c r="A142" s="2">
        <v>7</v>
      </c>
      <c r="C142" s="38" t="s">
        <v>58</v>
      </c>
      <c r="D142" s="42">
        <f>TRUNC(5029,-1)</f>
        <v>5020</v>
      </c>
      <c r="E142" s="63">
        <f t="shared" si="5"/>
        <v>16590</v>
      </c>
    </row>
    <row r="143" spans="1:7" x14ac:dyDescent="0.3">
      <c r="A143" s="2">
        <v>8</v>
      </c>
      <c r="C143" s="38" t="s">
        <v>62</v>
      </c>
      <c r="D143" s="42">
        <f>TRUNC(3752,-1)</f>
        <v>3750</v>
      </c>
      <c r="E143" s="63">
        <f t="shared" si="5"/>
        <v>12390</v>
      </c>
    </row>
    <row r="144" spans="1:7" x14ac:dyDescent="0.3">
      <c r="A144" s="2">
        <v>9</v>
      </c>
      <c r="C144" s="38" t="s">
        <v>63</v>
      </c>
      <c r="D144" s="42">
        <f>TRUNC(23283,-1)</f>
        <v>23280</v>
      </c>
      <c r="E144" s="63">
        <f t="shared" si="5"/>
        <v>76950</v>
      </c>
    </row>
    <row r="145" spans="1:7" ht="17.25" thickBot="1" x14ac:dyDescent="0.35">
      <c r="A145" s="2">
        <v>10</v>
      </c>
      <c r="C145" s="38" t="s">
        <v>148</v>
      </c>
      <c r="D145" s="43">
        <f>TRUNC(2119,-1)</f>
        <v>2110</v>
      </c>
      <c r="E145" s="64">
        <f t="shared" si="5"/>
        <v>6970</v>
      </c>
    </row>
    <row r="146" spans="1:7" x14ac:dyDescent="0.3">
      <c r="A146" s="2">
        <v>11</v>
      </c>
      <c r="C146" s="27" t="s">
        <v>112</v>
      </c>
      <c r="D146" s="39">
        <f>SUM(D136:D145)</f>
        <v>106310</v>
      </c>
      <c r="E146" s="39">
        <f>SUM(E136:E145)</f>
        <v>351390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TRUNC(19609+2793,-1)</f>
        <v>22400</v>
      </c>
      <c r="E149" s="62">
        <f>TRUNC(+D149*3.3058,-1)</f>
        <v>74040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TRUNC(8300,-1)</f>
        <v>8300</v>
      </c>
      <c r="E150" s="63">
        <f>TRUNC(+D150*3.3058,-1)</f>
        <v>27430</v>
      </c>
    </row>
    <row r="151" spans="1:7" x14ac:dyDescent="0.3">
      <c r="A151" s="2">
        <v>3</v>
      </c>
      <c r="C151" s="38" t="s">
        <v>50</v>
      </c>
      <c r="D151" s="42">
        <f>TRUNC(8990,-1)</f>
        <v>8990</v>
      </c>
      <c r="E151" s="63">
        <f>TRUNC(+D151*3.3058,-1)</f>
        <v>29710</v>
      </c>
    </row>
    <row r="152" spans="1:7" x14ac:dyDescent="0.3">
      <c r="A152" s="2">
        <v>4</v>
      </c>
      <c r="C152" s="38" t="s">
        <v>47</v>
      </c>
      <c r="D152" s="42">
        <f>TRUNC(541+8227,-1)</f>
        <v>8760</v>
      </c>
      <c r="E152" s="63">
        <f>TRUNC(+D152*3.3058,-1)</f>
        <v>28950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TRUNC(23754,-1)</f>
        <v>23750</v>
      </c>
      <c r="E153" s="64">
        <f>TRUNC(+D153*3.3058,-1)</f>
        <v>78510</v>
      </c>
    </row>
    <row r="154" spans="1:7" x14ac:dyDescent="0.3">
      <c r="A154" s="2">
        <v>6</v>
      </c>
      <c r="C154" s="27" t="s">
        <v>112</v>
      </c>
      <c r="D154" s="39">
        <f>SUM(D149:D153)</f>
        <v>72200</v>
      </c>
      <c r="E154" s="39">
        <f>SUM(E149:E153)</f>
        <v>238640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TRUNC(14569,-1)</f>
        <v>14560</v>
      </c>
      <c r="E157" s="62">
        <f>TRUNC(+D157*3.3058,-1)</f>
        <v>48130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TRUNC(24937,-1)</f>
        <v>24930</v>
      </c>
      <c r="E159" s="63">
        <f>TRUNC(+D159*3.3058,-1)</f>
        <v>82410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f>TRUNC(10542,-1)</f>
        <v>10540</v>
      </c>
      <c r="E160" s="64">
        <f>TRUNC(+D160*3.3058,-1)</f>
        <v>34840</v>
      </c>
    </row>
    <row r="161" spans="1:5" x14ac:dyDescent="0.3">
      <c r="A161" s="2">
        <v>5</v>
      </c>
      <c r="C161" s="27" t="s">
        <v>112</v>
      </c>
      <c r="D161" s="39">
        <f>SUM(D157:D160)</f>
        <v>50030</v>
      </c>
      <c r="E161" s="39">
        <f>SUM(E157:E160)</f>
        <v>165380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2020-12-08T02:34:18Z</dcterms:modified>
</cp:coreProperties>
</file>