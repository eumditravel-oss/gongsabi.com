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45" i="4"/>
  <c r="D153" i="4"/>
  <c r="D160" i="4"/>
  <c r="D159" i="4"/>
  <c r="D158" i="4"/>
  <c r="D157" i="4"/>
  <c r="D152" i="4"/>
  <c r="D151" i="4"/>
  <c r="D150" i="4"/>
  <c r="D149" i="4"/>
  <c r="D137" i="4"/>
  <c r="D144" i="4"/>
  <c r="D143" i="4"/>
  <c r="D139" i="4"/>
  <c r="D141" i="4"/>
  <c r="D142" i="4"/>
  <c r="D140" i="4"/>
  <c r="D132" i="4"/>
  <c r="D128" i="4"/>
  <c r="D124" i="4"/>
  <c r="D125" i="4"/>
  <c r="D122" i="4"/>
  <c r="D130" i="4"/>
  <c r="D126" i="4"/>
  <c r="D118" i="4"/>
  <c r="D105" i="4"/>
  <c r="D104" i="4"/>
  <c r="D102" i="4"/>
  <c r="D101" i="4"/>
  <c r="D100" i="4"/>
  <c r="D99" i="4"/>
  <c r="D114" i="4"/>
  <c r="D98" i="4"/>
  <c r="D116" i="4"/>
  <c r="D94" i="4"/>
  <c r="D75" i="4"/>
  <c r="D92" i="4"/>
  <c r="D91" i="4"/>
  <c r="D90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<sst xmlns="http://schemas.openxmlformats.org/spreadsheetml/2006/main" count="395" uniqueCount="269">
  <si>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</si>
  <si>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</si>
  <si>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</si>
  <si>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</si>
  <si>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</si>
  <si>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</si>
  <si>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</si>
  <si>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</si>
  <si>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</si>
  <si>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</si>
  <si>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</si>
  <si>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</si>
  <si>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</si>
  <si>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</si>
  <si>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</si>
  <si>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</si>
  <si>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</si>
  <si>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</si>
  <si>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</si>
  <si>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</si>
  <si>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</si>
  <si>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</si>
  <si>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</si>
  <si>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</si>
  <si>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</si>
  <si>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</si>
  <si>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</si>
  <si>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</si>
  <si>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</si>
  <si>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</si>
  <si>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</si>
  <si>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</si>
  <si>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</si>
  <si>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</si>
  <si>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</si>
  <si>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</si>
  <si>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</si>
  <si>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</si>
  <si>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</si>
  <si>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</si>
  <si>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</si>
  <si>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</si>
  <si>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</si>
  <si>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</si>
  <si>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</si>
  <si>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</si>
  <si>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</si>
  <si>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</si>
  <si>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</si>
  <si>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</si>
  <si>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</si>
  <si>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</si>
  <si>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</si>
  <si>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</si>
  <si>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</si>
  <si>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</si>
  <si>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</si>
  <si>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</si>
  <si>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</si>
  <si>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</si>
  <si>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</si>
  <si>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</si>
  <si>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</si>
  <si>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</si>
  <si>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</si>
  <si>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</si>
  <si>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</si>
  <si>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</si>
  <si>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</si>
  <si>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</si>
  <si>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</si>
  <si>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</si>
  <si>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</si>
  <si>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</si>
  <si>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</si>
  <si>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</si>
  <si>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</si>
  <si>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</si>
  <si>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</si>
  <si>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</si>
  <si>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</si>
  <si>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</si>
  <si>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</si>
  <si>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</si>
  <si>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</si>
  <si>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</si>
  <si>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</si>
  <si>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</si>
  <si>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</si>
  <si>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</si>
  <si>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</si>
  <si>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</si>
  <si>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</si>
  <si>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</si>
  <si>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</si>
  <si>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</si>
  <si>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</si>
  <si>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</si>
  <si>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</si>
  <si>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</si>
  <si>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</si>
  <si>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</si>
  <si>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</si>
  <si>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</si>
  <si>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</si>
  <si>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</si>
  <si>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</si>
  <si>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</si>
  <si>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</si>
  <si>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</si>
  <si>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</si>
  <si>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</si>
  <si>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</si>
  <si>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</si>
  <si>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</si>
  <si>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</si>
  <si>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</si>
  <si>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</si>
  <si>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</si>
  <si>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</si>
  <si>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</si>
  <si>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</si>
  <si>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</si>
  <si>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</si>
  <si>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</si>
  <si>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</si>
  <si>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</si>
  <si>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</si>
  <si>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</si>
  <si>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</si>
  <si>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</si>
  <si>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</si>
  <si>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</si>
  <si>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</si>
  <si>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</si>
  <si>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</si>
  <si>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</si>
  <si>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</si>
  <si>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</si>
  <si>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</si>
  <si>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</si>
  <si>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</si>
  <si>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</si>
  <si>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</si>
  <si>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</si>
  <si>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</si>
  <si>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</si>
  <si>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</si>
  <si>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</si>
  <si>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</si>
  <si>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</si>
  <si>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</si>
  <si>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</si>
  <si>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</si>
  <si>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</si>
  <si>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</si>
  <si>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</si>
  <si>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</si>
  <si>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</si>
  <si>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</si>
  <si>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</si>
  <si>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</si>
  <si>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</si>
  <si>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</si>
  <si>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</si>
  <si>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</si>
  <si>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</si>
  <si>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</si>
  <si>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</si>
  <si>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</si>
  <si>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</si>
  <si>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</si>
  <si>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</si>
  <si>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</si>
  <si>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</si>
  <si>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</si>
  <si>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</si>
  <si>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</si>
  <si>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</si>
  <si>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</si>
  <si>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</si>
  <si>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</si>
  <si>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</si>
  <si>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</si>
  <si>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</si>
  <si>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</si>
  <si>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</si>
  <si>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</si>
  <si>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</si>
  <si>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</si>
  <si>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</si>
  <si>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</si>
  <si>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</si>
  <si>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</si>
  <si>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</si>
  <si>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</si>
  <si>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</si>
  <si>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</si>
  <si>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</si>
  <si>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</si>
  <si>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</si>
  <si>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</si>
  <si>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</si>
  <si>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</si>
  <si>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</si>
  <si>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</si>
  <si>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</si>
  <si>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</si>
  <si>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</si>
  <si>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</si>
  <si>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</si>
  <si>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</si>
  <si>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</si>
  <si>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</si>
  <si>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</si>
  <si>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</si>
  <si>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</si>
  <si>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</si>
  <si>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</si>
  <si>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</si>
  <si>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</si>
  <si>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</si>
  <si>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</si>
  <si>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</si>
  <si>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</si>
  <si>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</si>
  <si>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</si>
  <si>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</si>
  <si>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</si>
  <si>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</si>
  <si>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</si>
  <si>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</si>
  <si>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</si>
  <si>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</si>
  <si>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</si>
  <si>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</si>
  <si>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</si>
  <si>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</si>
  <si>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</si>
  <si>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</si>
  <si>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</si>
  <si>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</si>
  <si>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</si>
  <si>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</si>
  <si>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</si>
  <si>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</si>
  <si>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</si>
  <si>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</si>
  <si>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</si>
  <si>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서안성 체육센터 건립사업(건축,토목,기계)</t>
    <phoneticPr fontId="2" type="noConversion"/>
  </si>
  <si>
    <t>운동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</si>
  <si>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</si>
  <si>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</si>
  <si>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</si>
  <si>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기초공사,해체및철거공사,골재비및운반비,작업부산물,기타공사</t>
    <phoneticPr fontId="2" type="noConversion"/>
  </si>
  <si>
    <t>난방배관공사,기타공사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</si>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</sst>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7083.9</v>
      </c>
      <c r="D7" s="36">
        <f>+C7/3.3058</f>
        <v>2142.8701070845182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1305200</v>
      </c>
      <c r="E25" s="59">
        <f t="shared" si="0"/>
        <v>4314730</v>
      </c>
    </row>
    <row r="26" spans="1:5" x14ac:dyDescent="0.3">
      <c r="B26" s="2">
        <v>3</v>
      </c>
      <c r="C26" s="35" t="s">
        <v>95</v>
      </c>
      <c r="D26" s="45">
        <f>+D66</f>
        <v>47420</v>
      </c>
      <c r="E26" s="59">
        <f t="shared" si="0"/>
        <v>156760</v>
      </c>
    </row>
    <row r="27" spans="1:5" x14ac:dyDescent="0.3">
      <c r="B27" s="2">
        <v>4</v>
      </c>
      <c r="C27" s="35" t="s">
        <v>96</v>
      </c>
      <c r="D27" s="45">
        <f>+D95</f>
        <v>327110</v>
      </c>
      <c r="E27" s="59">
        <f t="shared" si="0"/>
        <v>1081360</v>
      </c>
    </row>
    <row r="28" spans="1:5" x14ac:dyDescent="0.3">
      <c r="B28" s="2">
        <v>5</v>
      </c>
      <c r="C28" s="35" t="s">
        <v>97</v>
      </c>
      <c r="D28" s="45">
        <f>+D119</f>
        <v>218720</v>
      </c>
      <c r="E28" s="59">
        <f t="shared" si="0"/>
        <v>723040</v>
      </c>
    </row>
    <row r="29" spans="1:5" x14ac:dyDescent="0.3">
      <c r="B29" s="2">
        <v>6</v>
      </c>
      <c r="C29" s="35" t="s">
        <v>98</v>
      </c>
      <c r="D29" s="45">
        <f>+D133</f>
        <v>86180</v>
      </c>
      <c r="E29" s="59">
        <f t="shared" si="0"/>
        <v>284890</v>
      </c>
    </row>
    <row r="30" spans="1:5" x14ac:dyDescent="0.3">
      <c r="B30" s="2">
        <v>7</v>
      </c>
      <c r="C30" s="35" t="s">
        <v>99</v>
      </c>
      <c r="D30" s="45">
        <f>+D146</f>
        <v>60740</v>
      </c>
      <c r="E30" s="59">
        <f t="shared" si="0"/>
        <v>200790</v>
      </c>
    </row>
    <row r="31" spans="1:5" x14ac:dyDescent="0.3">
      <c r="B31" s="2">
        <v>8</v>
      </c>
      <c r="C31" s="35" t="s">
        <v>100</v>
      </c>
      <c r="D31" s="45">
        <f>+D154</f>
        <v>79430</v>
      </c>
      <c r="E31" s="59">
        <f t="shared" si="0"/>
        <v>262570</v>
      </c>
    </row>
    <row r="32" spans="1:5" x14ac:dyDescent="0.3">
      <c r="B32" s="2">
        <v>9</v>
      </c>
      <c r="C32" s="35" t="s">
        <v>101</v>
      </c>
      <c r="D32" s="45">
        <f>+D161</f>
        <v>96330</v>
      </c>
      <c r="E32" s="59">
        <f t="shared" si="0"/>
        <v>318440</v>
      </c>
    </row>
    <row r="33" spans="1:7" x14ac:dyDescent="0.3">
      <c r="B33" s="2">
        <v>10</v>
      </c>
      <c r="C33" s="35" t="s">
        <v>154</v>
      </c>
      <c r="D33" s="53">
        <f>TRUNC(SUM(D24:D32)*0.275,-1)</f>
        <v>610810</v>
      </c>
      <c r="E33" s="60">
        <f t="shared" si="0"/>
        <v>2019210</v>
      </c>
    </row>
    <row r="34" spans="1:7" x14ac:dyDescent="0.3">
      <c r="C34" s="35" t="s">
        <v>112</v>
      </c>
      <c r="D34" s="44">
        <f>SUM(D24:D33)</f>
        <v>2831940</v>
      </c>
      <c r="E34" s="44">
        <f>SUM(E24:E33)</f>
        <v>9361790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238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TRUNC(79856,-1)</f>
        <v>79850</v>
      </c>
      <c r="E40" s="62">
        <f t="shared" ref="E40:E59" si="1">TRUNC(+D40*3.3058,-1)</f>
        <v>263960</v>
      </c>
    </row>
    <row r="41" spans="1:7" x14ac:dyDescent="0.3">
      <c r="A41" s="2">
        <v>2</v>
      </c>
      <c r="C41" s="38" t="s">
        <v>13</v>
      </c>
      <c r="D41" s="42">
        <f>TRUNC(186535,-1)</f>
        <v>186530</v>
      </c>
      <c r="E41" s="63">
        <f t="shared" si="1"/>
        <v>616630</v>
      </c>
    </row>
    <row r="42" spans="1:7" x14ac:dyDescent="0.3">
      <c r="A42" s="2">
        <v>3</v>
      </c>
      <c r="C42" s="38" t="s">
        <v>14</v>
      </c>
      <c r="D42" s="42">
        <f>TRUNC(75124,-1)</f>
        <v>75120</v>
      </c>
      <c r="E42" s="63">
        <f t="shared" si="1"/>
        <v>248330</v>
      </c>
    </row>
    <row r="43" spans="1:7" x14ac:dyDescent="0.3">
      <c r="A43" s="2">
        <v>4</v>
      </c>
      <c r="C43" s="38" t="s">
        <v>16</v>
      </c>
      <c r="D43" s="42">
        <f>TRUNC(12575,-1)</f>
        <v>12570</v>
      </c>
      <c r="E43" s="63">
        <f t="shared" si="1"/>
        <v>41550</v>
      </c>
    </row>
    <row r="44" spans="1:7" x14ac:dyDescent="0.3">
      <c r="A44" s="2">
        <v>5</v>
      </c>
      <c r="C44" s="38" t="s">
        <v>17</v>
      </c>
      <c r="D44" s="42">
        <f>TRUNC(24084,-1)</f>
        <v>24080</v>
      </c>
      <c r="E44" s="63">
        <f t="shared" si="1"/>
        <v>79600</v>
      </c>
    </row>
    <row r="45" spans="1:7" x14ac:dyDescent="0.3">
      <c r="A45" s="2">
        <v>6</v>
      </c>
      <c r="C45" s="38" t="s">
        <v>18</v>
      </c>
      <c r="D45" s="42">
        <f>TRUNC(11137,-1)</f>
        <v>11130</v>
      </c>
      <c r="E45" s="63">
        <f t="shared" si="1"/>
        <v>36790</v>
      </c>
    </row>
    <row r="46" spans="1:7" x14ac:dyDescent="0.3">
      <c r="A46" s="2">
        <v>7</v>
      </c>
      <c r="C46" s="38" t="s">
        <v>19</v>
      </c>
      <c r="D46" s="42">
        <f>TRUNC(78887,-1)</f>
        <v>78880</v>
      </c>
      <c r="E46" s="63">
        <f t="shared" si="1"/>
        <v>260760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TRUNC(109586,-1)</f>
        <v>109580</v>
      </c>
      <c r="E48" s="63">
        <f t="shared" si="1"/>
        <v>362240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TRUNC(14115,-1)</f>
        <v>14110</v>
      </c>
      <c r="E49" s="63">
        <f t="shared" si="1"/>
        <v>46640</v>
      </c>
    </row>
    <row r="50" spans="1:7" x14ac:dyDescent="0.3">
      <c r="A50" s="2">
        <v>11</v>
      </c>
      <c r="C50" s="38" t="s">
        <v>155</v>
      </c>
      <c r="D50" s="42">
        <f>TRUNC(31034,-1)</f>
        <v>31030</v>
      </c>
      <c r="E50" s="63">
        <f t="shared" si="1"/>
        <v>102570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TRUNC(20211,-1)</f>
        <v>20210</v>
      </c>
      <c r="E52" s="63">
        <f t="shared" si="1"/>
        <v>66810</v>
      </c>
    </row>
    <row r="53" spans="1:7" x14ac:dyDescent="0.3">
      <c r="A53" s="2">
        <v>14</v>
      </c>
      <c r="C53" s="38" t="s">
        <v>25</v>
      </c>
      <c r="D53" s="42">
        <f>TRUNC(95907,-1)</f>
        <v>95900</v>
      </c>
      <c r="E53" s="63">
        <f t="shared" si="1"/>
        <v>317020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TRUNC(50+1851+4791-1821+268713,-1)</f>
        <v>273580</v>
      </c>
      <c r="E58" s="63">
        <f t="shared" si="1"/>
        <v>904400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TRUNC(292639,-1)</f>
        <v>292630</v>
      </c>
      <c r="E59" s="64">
        <f t="shared" si="1"/>
        <v>967370</v>
      </c>
    </row>
    <row r="60" spans="1:7" x14ac:dyDescent="0.3">
      <c r="A60" s="2">
        <v>21</v>
      </c>
      <c r="C60" s="27" t="s">
        <v>112</v>
      </c>
      <c r="D60" s="39">
        <f>SUM(D40:D59)</f>
        <v>1305200</v>
      </c>
      <c r="E60" s="39">
        <f>SUM(E40:E59)</f>
        <v>4314670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TRUNC(47421,-1)</f>
        <v>47420</v>
      </c>
      <c r="E63" s="62">
        <f>TRUNC(+D63*3.3058,-1)</f>
        <v>156760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47420</v>
      </c>
      <c r="E66" s="65">
        <f>SUM(E63:E65)</f>
        <v>156760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TRUNC(9189,-1)</f>
        <v>9180</v>
      </c>
      <c r="E69" s="62">
        <f t="shared" ref="E69:E94" si="2">TRUNC(+D69*3.3058,-1)</f>
        <v>30340</v>
      </c>
    </row>
    <row r="70" spans="1:7" ht="16.5" customHeight="1" x14ac:dyDescent="0.3">
      <c r="A70" s="2">
        <v>2</v>
      </c>
      <c r="C70" s="38" t="s">
        <v>31</v>
      </c>
      <c r="D70" s="42">
        <f>TRUNC(735,-1)</f>
        <v>730</v>
      </c>
      <c r="E70" s="63">
        <f t="shared" si="2"/>
        <v>2410</v>
      </c>
    </row>
    <row r="71" spans="1:7" x14ac:dyDescent="0.3">
      <c r="A71" s="2">
        <v>3</v>
      </c>
      <c r="C71" s="38" t="s">
        <v>32</v>
      </c>
      <c r="D71" s="42">
        <f>TRUNC(29685,-1)</f>
        <v>29680</v>
      </c>
      <c r="E71" s="63">
        <f t="shared" si="2"/>
        <v>98110</v>
      </c>
    </row>
    <row r="72" spans="1:7" x14ac:dyDescent="0.3">
      <c r="A72" s="2">
        <v>4</v>
      </c>
      <c r="C72" s="38" t="s">
        <v>33</v>
      </c>
      <c r="D72" s="42">
        <f>TRUNC(7355,-1)</f>
        <v>7350</v>
      </c>
      <c r="E72" s="63">
        <f t="shared" si="2"/>
        <v>24290</v>
      </c>
    </row>
    <row r="73" spans="1:7" x14ac:dyDescent="0.3">
      <c r="A73" s="2">
        <v>5</v>
      </c>
      <c r="C73" s="38" t="s">
        <v>34</v>
      </c>
      <c r="D73" s="42">
        <f>TRUNC(6902,-1)</f>
        <v>6900</v>
      </c>
      <c r="E73" s="63">
        <f t="shared" si="2"/>
        <v>22810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TRUNC(209,-1)</f>
        <v>200</v>
      </c>
      <c r="E75" s="63">
        <f t="shared" si="2"/>
        <v>660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TRUNC(14267,-1)</f>
        <v>14260</v>
      </c>
      <c r="E89" s="63">
        <f t="shared" si="2"/>
        <v>47140</v>
      </c>
    </row>
    <row r="90" spans="1:7" x14ac:dyDescent="0.3">
      <c r="A90" s="2">
        <v>22</v>
      </c>
      <c r="C90" s="38" t="s">
        <v>36</v>
      </c>
      <c r="D90" s="42">
        <f>TRUNC(3997,-1)</f>
        <v>3990</v>
      </c>
      <c r="E90" s="63">
        <f t="shared" si="2"/>
        <v>13190</v>
      </c>
    </row>
    <row r="91" spans="1:7" x14ac:dyDescent="0.3">
      <c r="A91" s="2">
        <v>23</v>
      </c>
      <c r="C91" s="38" t="s">
        <v>37</v>
      </c>
      <c r="D91" s="42">
        <f>TRUNC(44387,-1)</f>
        <v>44380</v>
      </c>
      <c r="E91" s="63">
        <f t="shared" si="2"/>
        <v>146710</v>
      </c>
    </row>
    <row r="92" spans="1:7" x14ac:dyDescent="0.3">
      <c r="A92" s="2">
        <v>24</v>
      </c>
      <c r="C92" s="38" t="s">
        <v>38</v>
      </c>
      <c r="D92" s="42">
        <f>TRUNC(8175,-1)</f>
        <v>8170</v>
      </c>
      <c r="E92" s="63">
        <f t="shared" si="2"/>
        <v>27000</v>
      </c>
    </row>
    <row r="93" spans="1:7" x14ac:dyDescent="0.3">
      <c r="A93" s="2">
        <v>25</v>
      </c>
      <c r="C93" s="38" t="s">
        <v>148</v>
      </c>
      <c r="D93" s="42">
        <f>TRUNC(148782,-1)</f>
        <v>148780</v>
      </c>
      <c r="E93" s="63">
        <f t="shared" si="2"/>
        <v>491830</v>
      </c>
    </row>
    <row r="94" spans="1:7" ht="17.25" thickBot="1" x14ac:dyDescent="0.35">
      <c r="A94" s="2">
        <v>26</v>
      </c>
      <c r="C94" s="38" t="s">
        <v>47</v>
      </c>
      <c r="D94" s="43">
        <f>TRUNC(6544+46949,-1)</f>
        <v>53490</v>
      </c>
      <c r="E94" s="64">
        <f t="shared" si="2"/>
        <v>176820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327110</v>
      </c>
      <c r="E95" s="39">
        <f>SUM(E69:E94)</f>
        <v>1081310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TRUNC(20512,-1)</f>
        <v>20510</v>
      </c>
      <c r="E98" s="62">
        <f t="shared" ref="E98:E118" si="3">TRUNC(+D98*3.3058,-1)</f>
        <v>67800</v>
      </c>
    </row>
    <row r="99" spans="1:7" x14ac:dyDescent="0.3">
      <c r="A99" s="2">
        <v>2</v>
      </c>
      <c r="C99" s="38" t="s">
        <v>40</v>
      </c>
      <c r="D99" s="42">
        <f>TRUNC(19795,-1)</f>
        <v>19790</v>
      </c>
      <c r="E99" s="63">
        <f t="shared" si="3"/>
        <v>65420</v>
      </c>
    </row>
    <row r="100" spans="1:7" x14ac:dyDescent="0.3">
      <c r="A100" s="2">
        <v>3</v>
      </c>
      <c r="C100" s="38" t="s">
        <v>41</v>
      </c>
      <c r="D100" s="42">
        <f>TRUNC(40557,-1)</f>
        <v>40550</v>
      </c>
      <c r="E100" s="63">
        <f t="shared" si="3"/>
        <v>134050</v>
      </c>
    </row>
    <row r="101" spans="1:7" x14ac:dyDescent="0.3">
      <c r="A101" s="2">
        <v>4</v>
      </c>
      <c r="C101" s="38" t="s">
        <v>42</v>
      </c>
      <c r="D101" s="42">
        <f>TRUNC(2874,-1)</f>
        <v>2870</v>
      </c>
      <c r="E101" s="63">
        <f t="shared" si="3"/>
        <v>9480</v>
      </c>
    </row>
    <row r="102" spans="1:7" x14ac:dyDescent="0.3">
      <c r="A102" s="2">
        <v>5</v>
      </c>
      <c r="C102" s="38" t="s">
        <v>43</v>
      </c>
      <c r="D102" s="42">
        <f>TRUNC(6642,-1)</f>
        <v>6640</v>
      </c>
      <c r="E102" s="63">
        <f t="shared" si="3"/>
        <v>21950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TRUNC(4275,-1)</f>
        <v>4270</v>
      </c>
      <c r="E104" s="63">
        <f t="shared" si="3"/>
        <v>14110</v>
      </c>
    </row>
    <row r="105" spans="1:7" x14ac:dyDescent="0.3">
      <c r="A105" s="2">
        <v>8</v>
      </c>
      <c r="C105" s="38" t="s">
        <v>46</v>
      </c>
      <c r="D105" s="42">
        <f>TRUNC(8118,-1)</f>
        <v>8110</v>
      </c>
      <c r="E105" s="63">
        <f t="shared" si="3"/>
        <v>26810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TRUNC(12329,-1)</f>
        <v>12320</v>
      </c>
      <c r="E114" s="63">
        <f t="shared" si="3"/>
        <v>40720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TRUNC(3496,-1)</f>
        <v>3490</v>
      </c>
      <c r="E116" s="63">
        <f t="shared" si="3"/>
        <v>11530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TRUNC(97787,-1)</f>
        <v>97780</v>
      </c>
      <c r="E117" s="63">
        <f t="shared" si="3"/>
        <v>323240</v>
      </c>
    </row>
    <row r="118" spans="1:7" ht="17.25" thickBot="1" x14ac:dyDescent="0.35">
      <c r="A118" s="2">
        <v>21</v>
      </c>
      <c r="C118" s="38" t="s">
        <v>47</v>
      </c>
      <c r="D118" s="43">
        <f>TRUNC(2397,-1)</f>
        <v>2390</v>
      </c>
      <c r="E118" s="64">
        <f t="shared" si="3"/>
        <v>7900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218720</v>
      </c>
      <c r="E119" s="39">
        <f>SUM(E98:E118)</f>
        <v>723010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TRUNC(2129,-1)</f>
        <v>2120</v>
      </c>
      <c r="E122" s="62">
        <f t="shared" ref="E122:E132" si="4">TRUNC(+D122*3.3058,-1)</f>
        <v>7000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TRUNC(3801,-1)</f>
        <v>3800</v>
      </c>
      <c r="E124" s="63">
        <f t="shared" si="4"/>
        <v>12560</v>
      </c>
    </row>
    <row r="125" spans="1:7" x14ac:dyDescent="0.3">
      <c r="A125" s="2">
        <v>4</v>
      </c>
      <c r="C125" s="38" t="s">
        <v>138</v>
      </c>
      <c r="D125" s="42">
        <f>TRUNC(9599,-1)</f>
        <v>9590</v>
      </c>
      <c r="E125" s="63">
        <f t="shared" si="4"/>
        <v>31700</v>
      </c>
    </row>
    <row r="126" spans="1:7" x14ac:dyDescent="0.3">
      <c r="A126" s="2">
        <v>5</v>
      </c>
      <c r="C126" s="38" t="s">
        <v>53</v>
      </c>
      <c r="D126" s="42">
        <f>TRUNC(7950,-1)</f>
        <v>7950</v>
      </c>
      <c r="E126" s="63">
        <f t="shared" si="4"/>
        <v>26280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TRUNC(2079,-1)</f>
        <v>2070</v>
      </c>
      <c r="E128" s="63">
        <f t="shared" si="4"/>
        <v>6840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TRUNC(9708,-1)</f>
        <v>9700</v>
      </c>
      <c r="E130" s="63">
        <f t="shared" si="4"/>
        <v>32060</v>
      </c>
    </row>
    <row r="131" spans="1:7" x14ac:dyDescent="0.3">
      <c r="A131" s="2">
        <v>10</v>
      </c>
      <c r="C131" s="38" t="s">
        <v>148</v>
      </c>
      <c r="D131" s="42">
        <f>TRUNC(44428,-1)</f>
        <v>44420</v>
      </c>
      <c r="E131" s="63">
        <f t="shared" si="4"/>
        <v>146840</v>
      </c>
    </row>
    <row r="132" spans="1:7" ht="18" thickBot="1" x14ac:dyDescent="0.35">
      <c r="A132" s="2">
        <v>11</v>
      </c>
      <c r="C132" s="38" t="s">
        <v>47</v>
      </c>
      <c r="D132" s="43">
        <f>TRUNC(2937+869+2729,-1)</f>
        <v>6530</v>
      </c>
      <c r="E132" s="64">
        <f t="shared" si="4"/>
        <v>21580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86180</v>
      </c>
      <c r="E133" s="39">
        <f>SUM(E122:E132)</f>
        <v>284860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TRUNC(217+3714+538,-1)</f>
        <v>4460</v>
      </c>
      <c r="E137" s="63">
        <f t="shared" si="5"/>
        <v>14740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TRUNC(2792,-1)</f>
        <v>2790</v>
      </c>
      <c r="E139" s="63">
        <f t="shared" si="5"/>
        <v>9220</v>
      </c>
    </row>
    <row r="140" spans="1:7" x14ac:dyDescent="0.3">
      <c r="A140" s="2">
        <v>5</v>
      </c>
      <c r="C140" s="38" t="s">
        <v>57</v>
      </c>
      <c r="D140" s="42">
        <f>TRUNC(3147,-1)</f>
        <v>3140</v>
      </c>
      <c r="E140" s="63">
        <f t="shared" si="5"/>
        <v>10380</v>
      </c>
    </row>
    <row r="141" spans="1:7" x14ac:dyDescent="0.3">
      <c r="A141" s="2">
        <v>6</v>
      </c>
      <c r="C141" s="38" t="s">
        <v>59</v>
      </c>
      <c r="D141" s="42">
        <f>TRUNC(20380,-1)</f>
        <v>20380</v>
      </c>
      <c r="E141" s="63">
        <f t="shared" si="5"/>
        <v>67370</v>
      </c>
    </row>
    <row r="142" spans="1:7" x14ac:dyDescent="0.3">
      <c r="A142" s="2">
        <v>7</v>
      </c>
      <c r="C142" s="38" t="s">
        <v>58</v>
      </c>
      <c r="D142" s="42">
        <f>TRUNC(3526,-1)</f>
        <v>3520</v>
      </c>
      <c r="E142" s="63">
        <f t="shared" si="5"/>
        <v>11630</v>
      </c>
    </row>
    <row r="143" spans="1:7" x14ac:dyDescent="0.3">
      <c r="A143" s="2">
        <v>8</v>
      </c>
      <c r="C143" s="38" t="s">
        <v>62</v>
      </c>
      <c r="D143" s="42">
        <f>TRUNC(5643,-1)</f>
        <v>5640</v>
      </c>
      <c r="E143" s="63">
        <f t="shared" si="5"/>
        <v>18640</v>
      </c>
    </row>
    <row r="144" spans="1:7" x14ac:dyDescent="0.3">
      <c r="A144" s="2">
        <v>9</v>
      </c>
      <c r="C144" s="38" t="s">
        <v>63</v>
      </c>
      <c r="D144" s="42">
        <f>TRUNC(16996,-1)</f>
        <v>16990</v>
      </c>
      <c r="E144" s="63">
        <f t="shared" si="5"/>
        <v>56160</v>
      </c>
    </row>
    <row r="145" spans="1:7" ht="17.25" thickBot="1" x14ac:dyDescent="0.35">
      <c r="A145" s="2">
        <v>10</v>
      </c>
      <c r="C145" s="38" t="s">
        <v>148</v>
      </c>
      <c r="D145" s="43">
        <f>TRUNC(3825,-1)</f>
        <v>3820</v>
      </c>
      <c r="E145" s="64">
        <f t="shared" si="5"/>
        <v>12620</v>
      </c>
    </row>
    <row r="146" spans="1:7" x14ac:dyDescent="0.3">
      <c r="A146" s="2">
        <v>11</v>
      </c>
      <c r="C146" s="27" t="s">
        <v>112</v>
      </c>
      <c r="D146" s="39">
        <f>SUM(D136:D145)</f>
        <v>60740</v>
      </c>
      <c r="E146" s="39">
        <f>SUM(E136:E145)</f>
        <v>200760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TRUNC(23737+1773,-1)</f>
        <v>25510</v>
      </c>
      <c r="E149" s="62">
        <f>TRUNC(+D149*3.3058,-1)</f>
        <v>84330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TRUNC(17533,-1)</f>
        <v>17530</v>
      </c>
      <c r="E150" s="63">
        <f>TRUNC(+D150*3.3058,-1)</f>
        <v>57950</v>
      </c>
    </row>
    <row r="151" spans="1:7" x14ac:dyDescent="0.3">
      <c r="A151" s="2">
        <v>3</v>
      </c>
      <c r="C151" s="38" t="s">
        <v>50</v>
      </c>
      <c r="D151" s="42">
        <f>TRUNC(1050,-1)</f>
        <v>1050</v>
      </c>
      <c r="E151" s="63">
        <f>TRUNC(+D151*3.3058,-1)</f>
        <v>3470</v>
      </c>
    </row>
    <row r="152" spans="1:7" x14ac:dyDescent="0.3">
      <c r="A152" s="2">
        <v>4</v>
      </c>
      <c r="C152" s="38" t="s">
        <v>47</v>
      </c>
      <c r="D152" s="42">
        <f>TRUNC(1292+4433+4683+347,-1)</f>
        <v>10750</v>
      </c>
      <c r="E152" s="63">
        <f>TRUNC(+D152*3.3058,-1)</f>
        <v>35530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TRUNC(24592,-1)</f>
        <v>24590</v>
      </c>
      <c r="E153" s="64">
        <f>TRUNC(+D153*3.3058,-1)</f>
        <v>81280</v>
      </c>
    </row>
    <row r="154" spans="1:7" x14ac:dyDescent="0.3">
      <c r="A154" s="2">
        <v>6</v>
      </c>
      <c r="C154" s="27" t="s">
        <v>112</v>
      </c>
      <c r="D154" s="39">
        <f>SUM(D149:D153)</f>
        <v>79430</v>
      </c>
      <c r="E154" s="39">
        <f>SUM(E149:E153)</f>
        <v>262560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TRUNC(37545,-1)</f>
        <v>37540</v>
      </c>
      <c r="E157" s="62">
        <f>TRUNC(+D157*3.3058,-1)</f>
        <v>124090</v>
      </c>
    </row>
    <row r="158" spans="1:7" x14ac:dyDescent="0.3">
      <c r="A158" s="2">
        <v>2</v>
      </c>
      <c r="C158" s="38" t="s">
        <v>52</v>
      </c>
      <c r="D158" s="42">
        <f>TRUNC(18653,-1)</f>
        <v>18650</v>
      </c>
      <c r="E158" s="63">
        <f>TRUNC(+D158*3.3058,-1)</f>
        <v>61650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TRUNC(15842+754,-1)</f>
        <v>16590</v>
      </c>
      <c r="E159" s="63">
        <f>TRUNC(+D159*3.3058,-1)</f>
        <v>54840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TRUNC(23553,-1)</f>
        <v>23550</v>
      </c>
      <c r="E160" s="64">
        <f>TRUNC(+D160*3.3058,-1)</f>
        <v>77850</v>
      </c>
    </row>
    <row r="161" spans="1:5" x14ac:dyDescent="0.3">
      <c r="A161" s="2">
        <v>5</v>
      </c>
      <c r="C161" s="27" t="s">
        <v>112</v>
      </c>
      <c r="D161" s="39">
        <f>SUM(D157:D160)</f>
        <v>96330</v>
      </c>
      <c r="E161" s="39">
        <f>SUM(E157:E160)</f>
        <v>318430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2020-12-08T04:34:58Z</dcterms:modified>
</cp:coreProperties>
</file>