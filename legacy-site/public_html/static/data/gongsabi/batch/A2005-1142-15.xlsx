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95" i="4"/>
  <c r="D117" i="4"/>
  <c r="E117" i="4" s="1"/>
  <c r="D59" i="4" l="1"/>
  <c r="E59" i="4" s="1"/>
  <c r="D159" i="4" l="1"/>
  <c r="D152" i="4"/>
  <c r="E152" i="4" s="1"/>
  <c r="E154" i="4" s="1"/>
  <c r="D146" i="4"/>
  <c r="D30" i="4" s="1"/>
  <c r="E30" i="4" s="1"/>
  <c r="D132" i="4"/>
  <c r="D131" i="4"/>
  <c r="E131" i="4" s="1"/>
  <c r="D118" i="4"/>
  <c r="E118" i="4" s="1"/>
  <c r="E119" i="4" s="1"/>
  <c r="D119" i="4"/>
  <c r="D28" i="4" s="1"/>
  <c r="E28" i="4" s="1"/>
  <c r="D95" i="4"/>
  <c r="D27" i="4" s="1"/>
  <c r="E27" i="4" s="1"/>
  <c r="D66" i="4"/>
  <c r="D26" i="4" s="1"/>
  <c r="E26" i="4" s="1"/>
  <c r="D58" i="4"/>
  <c r="E58" i="4" s="1"/>
  <c r="E60" i="4" s="1"/>
  <c r="D24" i="4"/>
  <c r="E24" i="4" s="1"/>
  <c r="D7" i="4"/>
  <c r="E133" i="4" l="1"/>
  <c r="D154" i="4"/>
  <c r="D31" i="4" s="1"/>
  <c r="E31" i="4" s="1"/>
  <c r="D60" i="4"/>
  <c r="D25" i="4" s="1"/>
  <c r="E25" i="4" s="1"/>
  <c r="D133" i="4"/>
  <c r="D29" i="4" s="1"/>
  <c r="E29" i="4" s="1"/>
  <c r="E132" i="4"/>
  <c r="D161" i="4"/>
  <c r="D32" i="4" s="1"/>
  <c r="E32" i="4" s="1"/>
  <c r="E159" i="4"/>
  <c r="E161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s="1"/>
  <c r="E33" i="4" l="1"/>
  <c r="E34" i="4" s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<sst xmlns="http://schemas.openxmlformats.org/spreadsheetml/2006/main" count="391" uniqueCount="266">
  <si>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</si>
  <si>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</si>
  <si>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</si>
  <si>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</si>
  <si>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</si>
  <si>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</si>
  <si>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</si>
  <si>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</si>
  <si>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</si>
  <si>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</si>
  <si>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</si>
  <si>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</si>
  <si>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</si>
  <si>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</si>
  <si>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</si>
  <si>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</si>
  <si>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</si>
  <si>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</si>
  <si>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</si>
  <si>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</si>
  <si>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</si>
  <si>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</si>
  <si>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</si>
  <si>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</si>
  <si>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</si>
  <si>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</si>
  <si>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</si>
  <si>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</si>
  <si>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</si>
  <si>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</si>
  <si>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</si>
  <si>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</si>
  <si>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</si>
  <si>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</si>
  <si>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</si>
  <si>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</si>
  <si>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</si>
  <si>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</si>
  <si>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</si>
  <si>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</si>
  <si>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</si>
  <si>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</si>
  <si>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</si>
  <si>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</si>
  <si>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</si>
  <si>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</si>
  <si>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</si>
  <si>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</si>
  <si>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</si>
  <si>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</si>
  <si>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</si>
  <si>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</si>
  <si>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</si>
  <si>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</si>
  <si>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</si>
  <si>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</si>
  <si>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</si>
  <si>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</si>
  <si>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</si>
  <si>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</si>
  <si>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</si>
  <si>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</si>
  <si>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</si>
  <si>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</si>
  <si>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</si>
  <si>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</si>
  <si>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</si>
  <si>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</si>
  <si>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</si>
  <si>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</si>
  <si>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</si>
  <si>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</si>
  <si>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</si>
  <si>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</si>
  <si>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</si>
  <si>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</si>
  <si>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</si>
  <si>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</si>
  <si>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</si>
  <si>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</si>
  <si>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</si>
  <si>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</si>
  <si>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</si>
  <si>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</si>
  <si>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</si>
  <si>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</si>
  <si>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</si>
  <si>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</si>
  <si>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</si>
  <si>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</si>
  <si>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</si>
  <si>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</si>
  <si>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</si>
  <si>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</si>
  <si>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</si>
  <si>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</si>
  <si>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</si>
  <si>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</si>
  <si>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</si>
  <si>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</si>
  <si>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</si>
  <si>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</si>
  <si>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</si>
  <si>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</si>
  <si>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</si>
  <si>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</si>
  <si>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</si>
  <si>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</si>
  <si>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</si>
  <si>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</si>
  <si>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</si>
  <si>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</si>
  <si>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</si>
  <si>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</si>
  <si>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</si>
  <si>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</si>
  <si>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</si>
  <si>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</si>
  <si>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</si>
  <si>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</si>
  <si>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</si>
  <si>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</si>
  <si>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</si>
  <si>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</si>
  <si>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</si>
  <si>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</si>
  <si>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</si>
  <si>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</si>
  <si>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</si>
  <si>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</si>
  <si>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</si>
  <si>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</si>
  <si>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</si>
  <si>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</si>
  <si>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</si>
  <si>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</si>
  <si>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</si>
  <si>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</si>
  <si>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</si>
  <si>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</si>
  <si>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</si>
  <si>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</si>
  <si>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</si>
  <si>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</si>
  <si>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</si>
  <si>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</si>
  <si>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</si>
  <si>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</si>
  <si>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</si>
  <si>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</si>
  <si>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</si>
  <si>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</si>
  <si>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</si>
  <si>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</si>
  <si>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</si>
  <si>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</si>
  <si>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</si>
  <si>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</si>
  <si>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</si>
  <si>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</si>
  <si>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</si>
  <si>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</si>
  <si>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</si>
  <si>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</si>
  <si>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</si>
  <si>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</si>
  <si>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</si>
  <si>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</si>
  <si>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</si>
  <si>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</si>
  <si>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</si>
  <si>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</si>
  <si>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</si>
  <si>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</si>
  <si>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</si>
  <si>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</si>
  <si>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</si>
  <si>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</si>
  <si>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</si>
  <si>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</si>
  <si>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</si>
  <si>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</si>
  <si>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</si>
  <si>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</si>
  <si>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</si>
  <si>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</si>
  <si>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</si>
  <si>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</si>
  <si>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</si>
  <si>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</si>
  <si>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</si>
  <si>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</si>
  <si>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</si>
  <si>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</si>
  <si>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</si>
  <si>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</si>
  <si>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</si>
  <si>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</si>
  <si>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</si>
  <si>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</si>
  <si>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</si>
  <si>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</si>
  <si>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</si>
  <si>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</si>
  <si>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</si>
  <si>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</si>
  <si>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</si>
  <si>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</si>
  <si>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</si>
  <si>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</si>
  <si>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</si>
  <si>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</si>
  <si>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</si>
  <si>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</si>
  <si>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</si>
  <si>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</si>
  <si>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</si>
  <si>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</si>
  <si>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</si>
  <si>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</si>
  <si>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</si>
  <si>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</si>
  <si>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</si>
  <si>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</si>
  <si>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</si>
  <si>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</si>
  <si>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</si>
  <si>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</si>
  <si>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</si>
  <si>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</si>
  <si>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</si>
  <si>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</si>
  <si>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</si>
  <si>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</si>
  <si>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</si>
  <si>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</si>
  <si>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</si>
  <si>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</si>
  <si>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</si>
  <si>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</si>
  <si>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</si>
  <si>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</si>
  <si>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</si>
  <si>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</si>
  <si>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</si>
  <si>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</si>
  <si>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</si>
  <si>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00중앙도서관 신축공사</t>
  </si>
  <si>
    <t>평</t>
    <phoneticPr fontId="2" type="noConversion"/>
  </si>
  <si>
    <t>원/ m2</t>
    <phoneticPr fontId="2" type="noConversion"/>
  </si>
  <si>
    <t>홈통 및 외벽공사</t>
    <phoneticPr fontId="2" type="noConversion"/>
  </si>
  <si>
    <t>골재및운반대,국기게양대,기타공사,장식물공사,주요자재비,철거공사,토및지정공사,작업부산물</t>
    <phoneticPr fontId="2" type="noConversion"/>
  </si>
  <si>
    <t>방진설치공사</t>
    <phoneticPr fontId="2" type="noConversion"/>
  </si>
  <si>
    <t>경관조명설비공사,스노우멜팅설비공사,전동롤스크린 및 전동창설비공사,콘테이너가설사무소</t>
    <phoneticPr fontId="2" type="noConversion"/>
  </si>
  <si>
    <t>CCTV설비공사,방범설비공사,주차관제설비공사,콘테이너가설사무소</t>
    <phoneticPr fontId="2" type="noConversion"/>
  </si>
  <si>
    <t>배수공,옹벽공,부대공,운반비,사급자재대</t>
    <phoneticPr fontId="2" type="noConversion"/>
  </si>
  <si>
    <t>포장공사(일반),포장공사(슬라브),수공간공사</t>
    <phoneticPr fontId="2" type="noConversion"/>
  </si>
  <si>
    <t>도급자설치, 관급자설치</t>
    <phoneticPr fontId="2" type="noConversion"/>
  </si>
  <si>
    <t>원 /평</t>
    <phoneticPr fontId="2" type="noConversion"/>
  </si>
  <si>
    <t>공조배관공사,히팅케이블설치공사</t>
    <phoneticPr fontId="2" type="noConversion"/>
  </si>
  <si>
    <t>위생설비공사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</si>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</sst>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11704</v>
      </c>
      <c r="D7" s="36">
        <f>+C7/3.3058</f>
        <v>3540.4440680016937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6" x14ac:dyDescent="0.3">
      <c r="A17" s="2">
        <v>8</v>
      </c>
      <c r="B17" s="2" t="s">
        <v>264</v>
      </c>
    </row>
    <row r="19" spans="1:6" x14ac:dyDescent="0.3">
      <c r="A19" s="2">
        <v>9</v>
      </c>
      <c r="B19" s="2" t="s">
        <v>265</v>
      </c>
    </row>
    <row r="23" spans="1:6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258</v>
      </c>
    </row>
    <row r="24" spans="1:6" x14ac:dyDescent="0.3">
      <c r="B24" s="2">
        <v>1</v>
      </c>
      <c r="C24" s="35" t="s">
        <v>110</v>
      </c>
      <c r="D24" s="41">
        <f>D37</f>
        <v>3910</v>
      </c>
      <c r="E24" s="59">
        <f t="shared" ref="E24:E33" si="0">TRUNC(+D24*3.3058,-1)</f>
        <v>12920</v>
      </c>
      <c r="F24" s="44"/>
    </row>
    <row r="25" spans="1:6" x14ac:dyDescent="0.3">
      <c r="B25" s="2">
        <v>2</v>
      </c>
      <c r="C25" s="35" t="s">
        <v>111</v>
      </c>
      <c r="D25" s="45">
        <f>+D60</f>
        <v>683310</v>
      </c>
      <c r="E25" s="60">
        <f t="shared" si="0"/>
        <v>2258880</v>
      </c>
      <c r="F25" s="44"/>
    </row>
    <row r="26" spans="1:6" x14ac:dyDescent="0.3">
      <c r="B26" s="2">
        <v>3</v>
      </c>
      <c r="C26" s="35" t="s">
        <v>95</v>
      </c>
      <c r="D26" s="45">
        <f>+D66</f>
        <v>5800</v>
      </c>
      <c r="E26" s="60">
        <f t="shared" si="0"/>
        <v>19170</v>
      </c>
      <c r="F26" s="44"/>
    </row>
    <row r="27" spans="1:6" x14ac:dyDescent="0.3">
      <c r="B27" s="2">
        <v>4</v>
      </c>
      <c r="C27" s="35" t="s">
        <v>96</v>
      </c>
      <c r="D27" s="45">
        <f>+D95</f>
        <v>118380</v>
      </c>
      <c r="E27" s="60">
        <f t="shared" si="0"/>
        <v>391340</v>
      </c>
      <c r="F27" s="44"/>
    </row>
    <row r="28" spans="1:6" x14ac:dyDescent="0.3">
      <c r="B28" s="2">
        <v>5</v>
      </c>
      <c r="C28" s="35" t="s">
        <v>97</v>
      </c>
      <c r="D28" s="45">
        <f>+D119</f>
        <v>125200</v>
      </c>
      <c r="E28" s="60">
        <f t="shared" si="0"/>
        <v>413880</v>
      </c>
      <c r="F28" s="44"/>
    </row>
    <row r="29" spans="1:6" x14ac:dyDescent="0.3">
      <c r="B29" s="2">
        <v>6</v>
      </c>
      <c r="C29" s="35" t="s">
        <v>98</v>
      </c>
      <c r="D29" s="45">
        <f>+D133</f>
        <v>65600</v>
      </c>
      <c r="E29" s="60">
        <f t="shared" si="0"/>
        <v>216860</v>
      </c>
      <c r="F29" s="44"/>
    </row>
    <row r="30" spans="1:6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  <c r="F30" s="44"/>
    </row>
    <row r="31" spans="1:6" x14ac:dyDescent="0.3">
      <c r="B31" s="2">
        <v>8</v>
      </c>
      <c r="C31" s="35" t="s">
        <v>100</v>
      </c>
      <c r="D31" s="45">
        <f>+D154</f>
        <v>28660</v>
      </c>
      <c r="E31" s="60">
        <f t="shared" si="0"/>
        <v>94740</v>
      </c>
      <c r="F31" s="44"/>
    </row>
    <row r="32" spans="1:6" x14ac:dyDescent="0.3">
      <c r="B32" s="2">
        <v>9</v>
      </c>
      <c r="C32" s="35" t="s">
        <v>101</v>
      </c>
      <c r="D32" s="45">
        <f>+D161</f>
        <v>35770</v>
      </c>
      <c r="E32" s="60">
        <f t="shared" si="0"/>
        <v>118240</v>
      </c>
      <c r="F32" s="44"/>
    </row>
    <row r="33" spans="1:7" x14ac:dyDescent="0.3">
      <c r="B33" s="2">
        <v>10</v>
      </c>
      <c r="C33" s="35" t="s">
        <v>153</v>
      </c>
      <c r="D33" s="53">
        <f>TRUNC(SUM(D24:D32)*0.275,-1)</f>
        <v>293320</v>
      </c>
      <c r="E33" s="61">
        <f t="shared" si="0"/>
        <v>969650</v>
      </c>
      <c r="F33" s="44"/>
    </row>
    <row r="34" spans="1:7" x14ac:dyDescent="0.3">
      <c r="C34" s="35" t="s">
        <v>112</v>
      </c>
      <c r="D34" s="44">
        <f>SUM(D24:D33)</f>
        <v>1359950</v>
      </c>
      <c r="E34" s="44">
        <f>SUM(E24:E33)</f>
        <v>4495680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258</v>
      </c>
      <c r="F36" s="54"/>
      <c r="G36" s="54"/>
    </row>
    <row r="37" spans="1:7" ht="17.25" thickBot="1" x14ac:dyDescent="0.35">
      <c r="C37" s="38" t="s">
        <v>143</v>
      </c>
      <c r="D37" s="52">
        <v>3910</v>
      </c>
      <c r="E37" s="62">
        <f>TRUNC(+D37*3.3058,-1)</f>
        <v>12920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v>36850</v>
      </c>
      <c r="E40" s="63">
        <f t="shared" ref="E40:E59" si="1">TRUNC(+D40*3.3058,-1)</f>
        <v>121810</v>
      </c>
    </row>
    <row r="41" spans="1:7" x14ac:dyDescent="0.3">
      <c r="A41" s="2">
        <v>2</v>
      </c>
      <c r="C41" s="38" t="s">
        <v>13</v>
      </c>
      <c r="D41" s="42">
        <v>129790</v>
      </c>
      <c r="E41" s="64">
        <f t="shared" si="1"/>
        <v>429050</v>
      </c>
    </row>
    <row r="42" spans="1:7" x14ac:dyDescent="0.3">
      <c r="A42" s="2">
        <v>3</v>
      </c>
      <c r="C42" s="38" t="s">
        <v>14</v>
      </c>
      <c r="D42" s="42">
        <v>16810</v>
      </c>
      <c r="E42" s="64">
        <f t="shared" si="1"/>
        <v>55570</v>
      </c>
    </row>
    <row r="43" spans="1:7" x14ac:dyDescent="0.3">
      <c r="A43" s="2">
        <v>4</v>
      </c>
      <c r="C43" s="38" t="s">
        <v>16</v>
      </c>
      <c r="D43" s="42">
        <v>4060</v>
      </c>
      <c r="E43" s="64">
        <f t="shared" si="1"/>
        <v>13420</v>
      </c>
    </row>
    <row r="44" spans="1:7" x14ac:dyDescent="0.3">
      <c r="A44" s="2">
        <v>5</v>
      </c>
      <c r="C44" s="38" t="s">
        <v>17</v>
      </c>
      <c r="D44" s="42">
        <v>14680</v>
      </c>
      <c r="E44" s="64">
        <f t="shared" si="1"/>
        <v>48520</v>
      </c>
    </row>
    <row r="45" spans="1:7" x14ac:dyDescent="0.3">
      <c r="A45" s="2">
        <v>6</v>
      </c>
      <c r="C45" s="38" t="s">
        <v>18</v>
      </c>
      <c r="D45" s="42">
        <v>5710</v>
      </c>
      <c r="E45" s="64">
        <f t="shared" si="1"/>
        <v>18870</v>
      </c>
    </row>
    <row r="46" spans="1:7" x14ac:dyDescent="0.3">
      <c r="A46" s="2">
        <v>7</v>
      </c>
      <c r="C46" s="38" t="s">
        <v>19</v>
      </c>
      <c r="D46" s="42">
        <v>56310</v>
      </c>
      <c r="E46" s="64">
        <f t="shared" si="1"/>
        <v>186140</v>
      </c>
    </row>
    <row r="47" spans="1:7" x14ac:dyDescent="0.3">
      <c r="A47" s="2">
        <v>8</v>
      </c>
      <c r="C47" s="38" t="s">
        <v>20</v>
      </c>
      <c r="D47" s="42">
        <v>4400</v>
      </c>
      <c r="E47" s="64">
        <f t="shared" si="1"/>
        <v>14540</v>
      </c>
    </row>
    <row r="48" spans="1:7" x14ac:dyDescent="0.3">
      <c r="A48" s="2">
        <v>9</v>
      </c>
      <c r="C48" s="38" t="s">
        <v>21</v>
      </c>
      <c r="D48" s="42">
        <v>48790</v>
      </c>
      <c r="E48" s="64">
        <f t="shared" si="1"/>
        <v>161280</v>
      </c>
    </row>
    <row r="49" spans="1:7" x14ac:dyDescent="0.3">
      <c r="A49" s="2">
        <v>10</v>
      </c>
      <c r="C49" s="38" t="s">
        <v>22</v>
      </c>
      <c r="D49" s="42">
        <v>11760</v>
      </c>
      <c r="E49" s="64">
        <f t="shared" si="1"/>
        <v>38870</v>
      </c>
    </row>
    <row r="50" spans="1:7" x14ac:dyDescent="0.3">
      <c r="A50" s="2">
        <v>11</v>
      </c>
      <c r="C50" s="38" t="s">
        <v>154</v>
      </c>
      <c r="D50" s="42">
        <v>44760</v>
      </c>
      <c r="E50" s="64">
        <f t="shared" si="1"/>
        <v>147960</v>
      </c>
    </row>
    <row r="51" spans="1:7" x14ac:dyDescent="0.3">
      <c r="A51" s="2">
        <v>12</v>
      </c>
      <c r="C51" s="38" t="s">
        <v>23</v>
      </c>
      <c r="D51" s="42">
        <v>21030</v>
      </c>
      <c r="E51" s="64">
        <f t="shared" si="1"/>
        <v>69520</v>
      </c>
    </row>
    <row r="52" spans="1:7" x14ac:dyDescent="0.3">
      <c r="A52" s="2">
        <v>13</v>
      </c>
      <c r="C52" s="38" t="s">
        <v>24</v>
      </c>
      <c r="D52" s="42">
        <v>10580</v>
      </c>
      <c r="E52" s="64">
        <f t="shared" si="1"/>
        <v>34970</v>
      </c>
    </row>
    <row r="53" spans="1:7" x14ac:dyDescent="0.3">
      <c r="A53" s="2">
        <v>14</v>
      </c>
      <c r="C53" s="38" t="s">
        <v>25</v>
      </c>
      <c r="D53" s="42">
        <v>40730</v>
      </c>
      <c r="E53" s="64">
        <f t="shared" si="1"/>
        <v>134640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60890</v>
      </c>
      <c r="E55" s="64">
        <f t="shared" si="1"/>
        <v>201290</v>
      </c>
      <c r="F55" s="2" t="s">
        <v>250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2710+650+1490+7920+13710+3640+7570-510</f>
        <v>37180</v>
      </c>
      <c r="E58" s="64">
        <f t="shared" si="1"/>
        <v>122900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TRUNC(133248.547505126+5739.40533151059,-1)</f>
        <v>138980</v>
      </c>
      <c r="E59" s="65">
        <f t="shared" si="1"/>
        <v>459440</v>
      </c>
      <c r="F59" s="2" t="s">
        <v>257</v>
      </c>
    </row>
    <row r="60" spans="1:7" x14ac:dyDescent="0.3">
      <c r="A60" s="2">
        <v>21</v>
      </c>
      <c r="C60" s="27" t="s">
        <v>112</v>
      </c>
      <c r="D60" s="39">
        <f>SUM(D40:D59)</f>
        <v>683310</v>
      </c>
      <c r="E60" s="39">
        <f>SUM(E40:E59)</f>
        <v>2258790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249</v>
      </c>
      <c r="E62" s="56" t="s">
        <v>258</v>
      </c>
      <c r="F62" s="54"/>
      <c r="G62" s="54"/>
    </row>
    <row r="63" spans="1:7" x14ac:dyDescent="0.3">
      <c r="A63" s="2">
        <v>1</v>
      </c>
      <c r="C63" s="38" t="s">
        <v>27</v>
      </c>
      <c r="D63" s="40">
        <v>5800</v>
      </c>
      <c r="E63" s="63">
        <f>TRUNC(+D63*3.3058,-1)</f>
        <v>19170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5800</v>
      </c>
      <c r="E66" s="57">
        <f>SUM(E63:E65)</f>
        <v>19170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249</v>
      </c>
      <c r="E68" s="56" t="s">
        <v>258</v>
      </c>
      <c r="F68" s="54"/>
      <c r="G68" s="54"/>
    </row>
    <row r="69" spans="1:7" x14ac:dyDescent="0.3">
      <c r="A69" s="2">
        <v>1</v>
      </c>
      <c r="C69" s="38" t="s">
        <v>30</v>
      </c>
      <c r="D69" s="40">
        <v>11790</v>
      </c>
      <c r="E69" s="63">
        <f>TRUNC(+D69*3.3058,-1)</f>
        <v>38970</v>
      </c>
    </row>
    <row r="70" spans="1:7" ht="16.5" customHeight="1" x14ac:dyDescent="0.3">
      <c r="A70" s="2">
        <v>2</v>
      </c>
      <c r="C70" s="38" t="s">
        <v>31</v>
      </c>
      <c r="D70" s="42">
        <v>850</v>
      </c>
      <c r="E70" s="64">
        <f>TRUNC(+D70*3.3058,-1)</f>
        <v>2800</v>
      </c>
    </row>
    <row r="71" spans="1:7" x14ac:dyDescent="0.3">
      <c r="A71" s="2">
        <v>3</v>
      </c>
      <c r="C71" s="38" t="s">
        <v>32</v>
      </c>
      <c r="D71" s="42">
        <v>14150</v>
      </c>
      <c r="E71" s="64">
        <f t="shared" ref="E71:E73" si="2">TRUNC(+D71*3.3058,-1)</f>
        <v>46770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3150</v>
      </c>
      <c r="E74" s="64">
        <f>TRUNC(+D74*3.3058,-1)</f>
        <v>10410</v>
      </c>
    </row>
    <row r="75" spans="1:7" x14ac:dyDescent="0.3">
      <c r="A75" s="2">
        <v>7</v>
      </c>
      <c r="C75" s="38" t="s">
        <v>140</v>
      </c>
      <c r="D75" s="42">
        <v>8000</v>
      </c>
      <c r="E75" s="64">
        <f>TRUNC(+D75*3.3058,-1)</f>
        <v>26440</v>
      </c>
      <c r="F75" s="2" t="s">
        <v>252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2200</v>
      </c>
      <c r="E84" s="64">
        <f>TRUNC(+D84*3.3058,-1)</f>
        <v>7270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1120</v>
      </c>
      <c r="E90" s="64">
        <f>TRUNC(+D90*3.3058,-1)</f>
        <v>3700</v>
      </c>
    </row>
    <row r="91" spans="1:7" x14ac:dyDescent="0.3">
      <c r="A91" s="2">
        <v>23</v>
      </c>
      <c r="C91" s="38" t="s">
        <v>37</v>
      </c>
      <c r="D91" s="42">
        <v>28710</v>
      </c>
      <c r="E91" s="64">
        <f>TRUNC(+D91*3.3058,-1)</f>
        <v>94900</v>
      </c>
    </row>
    <row r="92" spans="1:7" x14ac:dyDescent="0.3">
      <c r="A92" s="2">
        <v>24</v>
      </c>
      <c r="C92" s="38" t="s">
        <v>38</v>
      </c>
      <c r="D92" s="42">
        <v>20950</v>
      </c>
      <c r="E92" s="64">
        <f>TRUNC(+D92*3.3058,-1)</f>
        <v>69250</v>
      </c>
      <c r="F92" s="2" t="s">
        <v>260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25370+2090</f>
        <v>27460</v>
      </c>
      <c r="E94" s="65">
        <f>TRUNC(+D94*3.3058,-1)</f>
        <v>90770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118380</v>
      </c>
      <c r="E95" s="39">
        <f>SUM(E69:E94)</f>
        <v>391280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249</v>
      </c>
      <c r="E97" s="56" t="s">
        <v>258</v>
      </c>
      <c r="F97" s="54"/>
      <c r="G97" s="54"/>
    </row>
    <row r="98" spans="1:7" x14ac:dyDescent="0.3">
      <c r="A98" s="2">
        <v>1</v>
      </c>
      <c r="C98" s="38" t="s">
        <v>39</v>
      </c>
      <c r="D98" s="40">
        <v>4120</v>
      </c>
      <c r="E98" s="63">
        <f t="shared" ref="E98:E118" si="4">TRUNC(+D98*3.3058,-1)</f>
        <v>13610</v>
      </c>
    </row>
    <row r="99" spans="1:7" x14ac:dyDescent="0.3">
      <c r="A99" s="2">
        <v>2</v>
      </c>
      <c r="C99" s="38" t="s">
        <v>40</v>
      </c>
      <c r="D99" s="42">
        <v>2520</v>
      </c>
      <c r="E99" s="64">
        <f t="shared" si="4"/>
        <v>8330</v>
      </c>
    </row>
    <row r="100" spans="1:7" x14ac:dyDescent="0.3">
      <c r="A100" s="2">
        <v>3</v>
      </c>
      <c r="C100" s="38" t="s">
        <v>41</v>
      </c>
      <c r="D100" s="42">
        <v>15750</v>
      </c>
      <c r="E100" s="64">
        <f t="shared" si="4"/>
        <v>52060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4330</v>
      </c>
      <c r="E102" s="64">
        <f t="shared" si="4"/>
        <v>14310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420</v>
      </c>
      <c r="E104" s="64">
        <f t="shared" si="4"/>
        <v>1380</v>
      </c>
    </row>
    <row r="105" spans="1:7" x14ac:dyDescent="0.3">
      <c r="A105" s="2">
        <v>8</v>
      </c>
      <c r="C105" s="38" t="s">
        <v>46</v>
      </c>
      <c r="D105" s="42">
        <v>930</v>
      </c>
      <c r="E105" s="64">
        <f t="shared" si="4"/>
        <v>3070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1020</v>
      </c>
      <c r="E114" s="64">
        <f t="shared" si="4"/>
        <v>3370</v>
      </c>
    </row>
    <row r="115" spans="1:7" x14ac:dyDescent="0.3">
      <c r="A115" s="2">
        <v>18</v>
      </c>
      <c r="C115" s="38" t="s">
        <v>116</v>
      </c>
      <c r="D115" s="42">
        <v>2590</v>
      </c>
      <c r="E115" s="64">
        <f t="shared" si="4"/>
        <v>8560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TRUNC(41748.974709501+44363.892686261,-1)</f>
        <v>86110</v>
      </c>
      <c r="E117" s="64">
        <f t="shared" si="4"/>
        <v>284660</v>
      </c>
    </row>
    <row r="118" spans="1:7" ht="17.25" thickBot="1" x14ac:dyDescent="0.35">
      <c r="A118" s="2">
        <v>21</v>
      </c>
      <c r="C118" s="38" t="s">
        <v>47</v>
      </c>
      <c r="D118" s="43">
        <f>2810+1040+3440+120</f>
        <v>7410</v>
      </c>
      <c r="E118" s="65">
        <f t="shared" si="4"/>
        <v>24490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125200</v>
      </c>
      <c r="E119" s="39">
        <f>SUM(E98:E118)</f>
        <v>413840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249</v>
      </c>
      <c r="E121" s="56" t="s">
        <v>258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830</v>
      </c>
      <c r="E122" s="63">
        <f t="shared" ref="E122:E132" si="5">TRUNC(+D122*3.3058,-1)</f>
        <v>2740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5030</v>
      </c>
      <c r="E125" s="64">
        <f t="shared" si="5"/>
        <v>16620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1500</v>
      </c>
      <c r="E128" s="64">
        <f t="shared" si="5"/>
        <v>4950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8160</v>
      </c>
      <c r="E130" s="64">
        <f t="shared" si="5"/>
        <v>26970</v>
      </c>
    </row>
    <row r="131" spans="1:7" x14ac:dyDescent="0.3">
      <c r="A131" s="2">
        <v>10</v>
      </c>
      <c r="C131" s="38" t="s">
        <v>148</v>
      </c>
      <c r="D131" s="42">
        <f>TRUNC(40554.7676008202,-1)</f>
        <v>40550</v>
      </c>
      <c r="E131" s="64">
        <f t="shared" si="5"/>
        <v>134050</v>
      </c>
    </row>
    <row r="132" spans="1:7" ht="17.25" thickBot="1" x14ac:dyDescent="0.35">
      <c r="A132" s="2">
        <v>11</v>
      </c>
      <c r="C132" s="38" t="s">
        <v>47</v>
      </c>
      <c r="D132" s="43">
        <f>1750+1230+6430+120</f>
        <v>9530</v>
      </c>
      <c r="E132" s="65">
        <f t="shared" si="5"/>
        <v>31500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65600</v>
      </c>
      <c r="E133" s="39">
        <f>SUM(E122:E132)</f>
        <v>216830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249</v>
      </c>
      <c r="E135" s="56" t="s">
        <v>258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249</v>
      </c>
      <c r="E148" s="56" t="s">
        <v>258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9500</v>
      </c>
      <c r="E150" s="64">
        <f>TRUNC(+D150*3.3058,-1)</f>
        <v>31400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9500+1950+2970+20+4720</f>
        <v>19160</v>
      </c>
      <c r="E152" s="64">
        <f>TRUNC(+D152*3.3058,-1)</f>
        <v>63330</v>
      </c>
      <c r="F152" s="58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28660</v>
      </c>
      <c r="E154" s="39">
        <f>SUM(E149:E153)</f>
        <v>94730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249</v>
      </c>
      <c r="E156" s="56" t="s">
        <v>258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11770</v>
      </c>
      <c r="E157" s="63">
        <f>TRUNC(+D157*3.3058,-1)</f>
        <v>38900</v>
      </c>
    </row>
    <row r="158" spans="1:7" x14ac:dyDescent="0.3">
      <c r="A158" s="2">
        <v>2</v>
      </c>
      <c r="C158" s="38" t="s">
        <v>52</v>
      </c>
      <c r="D158" s="42">
        <v>9260</v>
      </c>
      <c r="E158" s="64">
        <f>TRUNC(+D158*3.3058,-1)</f>
        <v>30610</v>
      </c>
    </row>
    <row r="159" spans="1:7" x14ac:dyDescent="0.3">
      <c r="A159" s="2">
        <v>3</v>
      </c>
      <c r="C159" s="38" t="s">
        <v>47</v>
      </c>
      <c r="D159" s="42">
        <f>2960+9340+2440</f>
        <v>14740</v>
      </c>
      <c r="E159" s="64">
        <f>TRUNC(+D159*3.3058,-1)</f>
        <v>48720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35770</v>
      </c>
      <c r="E161" s="39">
        <f>SUM(E157:E160)</f>
        <v>118230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2020-12-07T09:01:26Z</dcterms:modified>
</cp:coreProperties>
</file>