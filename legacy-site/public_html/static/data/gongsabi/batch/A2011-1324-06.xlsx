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7" i="4"/>
  <c r="E45" i="4"/>
  <c r="E37" i="4"/>
  <c r="E133" i="4" l="1"/>
  <c r="E146" i="4"/>
  <c r="E95" i="4"/>
  <c r="D152" i="4"/>
  <c r="E152" i="4" s="1"/>
  <c r="E154" i="4" s="1"/>
  <c r="D132" i="4"/>
  <c r="E132" i="4" s="1"/>
  <c r="D118" i="4"/>
  <c r="E118" i="4" s="1"/>
  <c r="E119" i="4" s="1"/>
  <c r="D94" i="4"/>
  <c r="E94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<sst xmlns="http://schemas.openxmlformats.org/spreadsheetml/2006/main" count="384" uniqueCount="319">
  <si>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</si>
  <si>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</si>
  <si>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</si>
  <si>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</si>
  <si>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</si>
  <si>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</si>
  <si>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</si>
  <si>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</si>
  <si>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</si>
  <si>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</si>
  <si>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</si>
  <si>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</si>
  <si>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</si>
  <si>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</si>
  <si>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</si>
  <si>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</si>
  <si>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</si>
  <si>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</si>
  <si>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</si>
  <si>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</si>
  <si>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</si>
  <si>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</si>
  <si>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</si>
  <si>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</si>
  <si>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</si>
  <si>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</si>
  <si>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</si>
  <si>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</si>
  <si>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</si>
  <si>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</si>
  <si>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</si>
  <si>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</si>
  <si>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</si>
  <si>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</si>
  <si>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</si>
  <si>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</si>
  <si>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</si>
  <si>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</si>
  <si>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</si>
  <si>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</si>
  <si>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</si>
  <si>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</si>
  <si>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</si>
  <si>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</si>
  <si>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</si>
  <si>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</si>
  <si>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</si>
  <si>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</si>
  <si>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</si>
  <si>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</si>
  <si>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</si>
  <si>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</si>
  <si>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</si>
  <si>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</si>
  <si>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</si>
  <si>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</si>
  <si>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</si>
  <si>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</si>
  <si>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</si>
  <si>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</si>
  <si>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</si>
  <si>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</si>
  <si>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</si>
  <si>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</si>
  <si>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</si>
  <si>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</si>
  <si>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</si>
  <si>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</si>
  <si>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</si>
  <si>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</si>
  <si>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</si>
  <si>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</si>
  <si>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</si>
  <si>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</si>
  <si>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</si>
  <si>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</si>
  <si>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</si>
  <si>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</si>
  <si>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</si>
  <si>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</si>
  <si>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</si>
  <si>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</si>
  <si>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</si>
  <si>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</si>
  <si>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</si>
  <si>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</si>
  <si>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</si>
  <si>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</si>
  <si>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</si>
  <si>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</si>
  <si>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</si>
  <si>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</si>
  <si>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</si>
  <si>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</si>
  <si>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</si>
  <si>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</si>
  <si>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</si>
  <si>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</si>
  <si>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</si>
  <si>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</si>
  <si>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</si>
  <si>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</si>
  <si>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</si>
  <si>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</si>
  <si>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</si>
  <si>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</si>
  <si>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</si>
  <si>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</si>
  <si>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</si>
  <si>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</si>
  <si>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</si>
  <si>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</si>
  <si>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</si>
  <si>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</si>
  <si>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</si>
  <si>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</si>
  <si>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</si>
  <si>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</si>
  <si>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</si>
  <si>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</si>
  <si>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</si>
  <si>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</si>
  <si>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</si>
  <si>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</si>
  <si>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</si>
  <si>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</si>
  <si>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</si>
  <si>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</si>
  <si>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</si>
  <si>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</si>
  <si>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</si>
  <si>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</si>
  <si>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</si>
  <si>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</si>
  <si>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</si>
  <si>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</si>
  <si>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</si>
  <si>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</si>
  <si>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</si>
  <si>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</si>
  <si>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</si>
  <si>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</si>
  <si>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</si>
  <si>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</si>
  <si>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</si>
  <si>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</si>
  <si>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</si>
  <si>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</si>
  <si>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</si>
  <si>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</si>
  <si>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</si>
  <si>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</si>
  <si>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</si>
  <si>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</si>
  <si>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</si>
  <si>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</si>
  <si>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</si>
  <si>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</si>
  <si>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</si>
  <si>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</si>
  <si>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</si>
  <si>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</si>
  <si>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</si>
  <si>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</si>
  <si>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</si>
  <si>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</si>
  <si>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</si>
  <si>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</si>
  <si>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</si>
  <si>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</si>
  <si>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</si>
  <si>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</si>
  <si>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</si>
  <si>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</si>
  <si>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</si>
  <si>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</si>
  <si>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</si>
  <si>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</si>
  <si>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</si>
  <si>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</si>
  <si>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</si>
  <si>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</si>
  <si>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</si>
  <si>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</si>
  <si>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</si>
  <si>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</si>
  <si>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</si>
  <si>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</si>
  <si>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</si>
  <si>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</si>
  <si>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</si>
  <si>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</si>
  <si>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</si>
  <si>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</si>
  <si>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</si>
  <si>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</si>
  <si>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</si>
  <si>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</si>
  <si>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</si>
  <si>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</si>
  <si>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</si>
  <si>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</si>
  <si>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</si>
  <si>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</si>
  <si>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</si>
  <si>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</si>
  <si>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</si>
  <si>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</si>
  <si>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</si>
  <si>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</si>
  <si>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</si>
  <si>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</si>
  <si>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</si>
  <si>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</si>
  <si>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</si>
  <si>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</si>
  <si>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</si>
  <si>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</si>
  <si>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</si>
  <si>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</si>
  <si>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</si>
  <si>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</si>
  <si>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</si>
  <si>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</si>
  <si>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</si>
  <si>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</si>
  <si>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</si>
  <si>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</si>
  <si>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</si>
  <si>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</si>
  <si>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</si>
  <si>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</si>
  <si>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</si>
  <si>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</si>
  <si>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</si>
  <si>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</si>
  <si>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</si>
  <si>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</si>
  <si>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</si>
  <si>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</si>
  <si>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</si>
  <si>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</si>
  <si>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</si>
  <si>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</si>
  <si>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</si>
  <si>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</si>
  <si>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</si>
  <si>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</si>
  <si>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</si>
  <si>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</si>
  <si>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</si>
  <si>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</si>
  <si>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</si>
  <si>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</si>
  <si>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</si>
  <si>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</si>
  <si>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</si>
  <si>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</si>
  <si>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</si>
  <si>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</si>
  <si>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</si>
  <si>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</si>
  <si>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</si>
  <si>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</si>
  <si>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</si>
  <si>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</si>
  <si>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</si>
  <si>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</si>
  <si>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</si>
  <si>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</si>
  <si>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</si>
  <si>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</si>
  <si>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</si>
  <si>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</si>
  <si>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</si>
  <si>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</si>
  <si>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</si>
  <si>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</si>
  <si>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</si>
  <si>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</si>
  <si>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</si>
  <si>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</si>
  <si>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</si>
  <si>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</si>
  <si>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</si>
  <si>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</si>
  <si>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</si>
  <si>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</si>
  <si>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</si>
  <si>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</si>
  <si>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</si>
  <si>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</si>
  <si>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</si>
  <si>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</si>
  <si>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</si>
  <si>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</si>
  <si>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</si>
  <si>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</si>
  <si>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</si>
  <si>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</si>
  <si>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</si>
  <si>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</si>
  <si>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</si>
  <si>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</si>
  <si>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</si>
  <si>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</si>
  <si>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</si>
  <si>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</si>
  <si>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00공단 00지사 사옥 신축공사</t>
  </si>
  <si>
    <t>업무</t>
  </si>
  <si>
    <t>부산시</t>
  </si>
  <si>
    <t>토공사 및 지정공사</t>
  </si>
  <si>
    <t>기타공사,골재대 및 운반비</t>
  </si>
  <si>
    <t>작업부산물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</si>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</sst>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1983</v>
      </c>
      <c r="D7" s="36">
        <f>+C7/3.3058</f>
        <v>599.85480065339709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1144500</v>
      </c>
      <c r="E25" s="60">
        <f t="shared" si="0"/>
        <v>3783480</v>
      </c>
    </row>
    <row r="26" spans="1:5" x14ac:dyDescent="0.3">
      <c r="B26" s="2">
        <v>3</v>
      </c>
      <c r="C26" s="35" t="s">
        <v>29</v>
      </c>
      <c r="D26" s="47">
        <f>+D66</f>
        <v>23980</v>
      </c>
      <c r="E26" s="60">
        <f t="shared" si="0"/>
        <v>79270</v>
      </c>
    </row>
    <row r="27" spans="1:5" x14ac:dyDescent="0.3">
      <c r="B27" s="2">
        <v>4</v>
      </c>
      <c r="C27" s="35" t="s">
        <v>30</v>
      </c>
      <c r="D27" s="47">
        <f>+D95</f>
        <v>88600</v>
      </c>
      <c r="E27" s="60">
        <f t="shared" si="0"/>
        <v>292890</v>
      </c>
    </row>
    <row r="28" spans="1:5" x14ac:dyDescent="0.3">
      <c r="B28" s="2">
        <v>5</v>
      </c>
      <c r="C28" s="35" t="s">
        <v>31</v>
      </c>
      <c r="D28" s="47">
        <f>+D119</f>
        <v>238380</v>
      </c>
      <c r="E28" s="60">
        <f t="shared" si="0"/>
        <v>788030</v>
      </c>
    </row>
    <row r="29" spans="1:5" x14ac:dyDescent="0.3">
      <c r="B29" s="2">
        <v>6</v>
      </c>
      <c r="C29" s="35" t="s">
        <v>32</v>
      </c>
      <c r="D29" s="47">
        <f>+D133</f>
        <v>76110</v>
      </c>
      <c r="E29" s="60">
        <f t="shared" si="0"/>
        <v>251600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-1170</v>
      </c>
      <c r="E31" s="60">
        <f t="shared" si="0"/>
        <v>-3860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431860</v>
      </c>
      <c r="E33" s="61">
        <f t="shared" si="0"/>
        <v>1427640</v>
      </c>
    </row>
    <row r="34" spans="1:5" x14ac:dyDescent="0.3">
      <c r="C34" s="35" t="s">
        <v>46</v>
      </c>
      <c r="D34" s="46">
        <f>SUM(D24:D33)</f>
        <v>2002260</v>
      </c>
      <c r="E34" s="46">
        <f>SUM(E24:E33)</f>
        <v>6619050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TRUNC(38276,-1)</f>
        <v>38270</v>
      </c>
      <c r="E40" s="63">
        <f t="shared" ref="E40:E59" si="1">TRUNC(+D40*3.3058,-1)</f>
        <v>126510</v>
      </c>
    </row>
    <row r="41" spans="1:5" x14ac:dyDescent="0.3">
      <c r="A41" s="2">
        <v>2</v>
      </c>
      <c r="C41" s="39" t="s">
        <v>6</v>
      </c>
      <c r="D41" s="44">
        <f>TRUNC(221743,-1)</f>
        <v>221740</v>
      </c>
      <c r="E41" s="64">
        <f t="shared" si="1"/>
        <v>733020</v>
      </c>
    </row>
    <row r="42" spans="1:5" x14ac:dyDescent="0.3">
      <c r="A42" s="2">
        <v>3</v>
      </c>
      <c r="C42" s="39" t="s">
        <v>7</v>
      </c>
      <c r="D42" s="44">
        <f>TRUNC(14040,-1)</f>
        <v>14040</v>
      </c>
      <c r="E42" s="64">
        <f t="shared" si="1"/>
        <v>46410</v>
      </c>
    </row>
    <row r="43" spans="1:5" x14ac:dyDescent="0.3">
      <c r="A43" s="2">
        <v>4</v>
      </c>
      <c r="C43" s="39" t="s">
        <v>8</v>
      </c>
      <c r="D43" s="44">
        <f>TRUNC(10973,-1)</f>
        <v>10970</v>
      </c>
      <c r="E43" s="64">
        <f t="shared" si="1"/>
        <v>36260</v>
      </c>
    </row>
    <row r="44" spans="1:5" x14ac:dyDescent="0.3">
      <c r="A44" s="2">
        <v>5</v>
      </c>
      <c r="C44" s="39" t="s">
        <v>9</v>
      </c>
      <c r="D44" s="44">
        <f>TRUNC(26527,-1)</f>
        <v>26520</v>
      </c>
      <c r="E44" s="64">
        <f t="shared" si="1"/>
        <v>87660</v>
      </c>
    </row>
    <row r="45" spans="1:5" x14ac:dyDescent="0.3">
      <c r="A45" s="2">
        <v>6</v>
      </c>
      <c r="C45" s="39" t="s">
        <v>10</v>
      </c>
      <c r="D45" s="44">
        <v>0</v>
      </c>
      <c r="E45" s="64">
        <f t="shared" si="1"/>
        <v>0</v>
      </c>
    </row>
    <row r="46" spans="1:5" x14ac:dyDescent="0.3">
      <c r="A46" s="2">
        <v>7</v>
      </c>
      <c r="C46" s="39" t="s">
        <v>11</v>
      </c>
      <c r="D46" s="44">
        <f>TRUNC(110813,-1)</f>
        <v>110810</v>
      </c>
      <c r="E46" s="64">
        <f t="shared" si="1"/>
        <v>366310</v>
      </c>
    </row>
    <row r="47" spans="1:5" x14ac:dyDescent="0.3">
      <c r="A47" s="2">
        <v>8</v>
      </c>
      <c r="C47" s="39" t="s">
        <v>12</v>
      </c>
      <c r="D47" s="44">
        <v>0</v>
      </c>
      <c r="E47" s="64">
        <f t="shared" si="1"/>
        <v>0</v>
      </c>
    </row>
    <row r="48" spans="1:5" x14ac:dyDescent="0.3">
      <c r="A48" s="2">
        <v>9</v>
      </c>
      <c r="C48" s="39" t="s">
        <v>13</v>
      </c>
      <c r="D48" s="44">
        <f>TRUNC(84734,-1)</f>
        <v>84730</v>
      </c>
      <c r="E48" s="64">
        <f t="shared" si="1"/>
        <v>280100</v>
      </c>
    </row>
    <row r="49" spans="1:6" x14ac:dyDescent="0.3">
      <c r="A49" s="2">
        <v>10</v>
      </c>
      <c r="C49" s="39" t="s">
        <v>14</v>
      </c>
      <c r="D49" s="44">
        <f>TRUNC(31484,-1)</f>
        <v>31480</v>
      </c>
      <c r="E49" s="64">
        <f t="shared" si="1"/>
        <v>104060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TRUNC(96606,-1)</f>
        <v>96600</v>
      </c>
      <c r="E50" s="64">
        <f t="shared" si="1"/>
        <v>319340</v>
      </c>
      <c r="F50" s="2"/>
    </row>
    <row r="51" spans="1:6" x14ac:dyDescent="0.3">
      <c r="A51" s="2">
        <v>12</v>
      </c>
      <c r="C51" s="39" t="s">
        <v>16</v>
      </c>
      <c r="D51" s="44">
        <f>TRUNC(23229,-1)</f>
        <v>23220</v>
      </c>
      <c r="E51" s="64">
        <f t="shared" si="1"/>
        <v>76760</v>
      </c>
    </row>
    <row r="52" spans="1:6" x14ac:dyDescent="0.3">
      <c r="A52" s="2">
        <v>13</v>
      </c>
      <c r="C52" s="39" t="s">
        <v>17</v>
      </c>
      <c r="D52" s="44">
        <f>TRUNC(16874,-1)</f>
        <v>16870</v>
      </c>
      <c r="E52" s="64">
        <f t="shared" si="1"/>
        <v>55760</v>
      </c>
    </row>
    <row r="53" spans="1:6" x14ac:dyDescent="0.3">
      <c r="A53" s="2">
        <v>14</v>
      </c>
      <c r="C53" s="39" t="s">
        <v>18</v>
      </c>
      <c r="D53" s="44">
        <f>TRUNC(31074,-1)</f>
        <v>31070</v>
      </c>
      <c r="E53" s="64">
        <f t="shared" si="1"/>
        <v>102710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TRUNC(2388,-1)</f>
        <v>2380</v>
      </c>
      <c r="E55" s="64">
        <f t="shared" si="1"/>
        <v>7860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TRUNC(237197+6145,-1)</f>
        <v>243340</v>
      </c>
      <c r="E58" s="64">
        <f t="shared" si="1"/>
        <v>804430</v>
      </c>
      <c r="F58" s="2" t="s">
        <v>312</v>
      </c>
    </row>
    <row r="59" spans="1:6" ht="17.25" thickBot="1" x14ac:dyDescent="0.35">
      <c r="A59" s="2">
        <v>20</v>
      </c>
      <c r="C59" s="39" t="s">
        <v>56</v>
      </c>
      <c r="D59" s="45">
        <f>TRUNC(192463.19515885,-1)</f>
        <v>192460</v>
      </c>
      <c r="E59" s="65">
        <f t="shared" si="1"/>
        <v>636230</v>
      </c>
    </row>
    <row r="60" spans="1:6" x14ac:dyDescent="0.3">
      <c r="A60" s="2">
        <v>21</v>
      </c>
      <c r="C60" s="27" t="s">
        <v>46</v>
      </c>
      <c r="D60" s="40">
        <f>SUM(D40:D59)</f>
        <v>1144500</v>
      </c>
      <c r="E60" s="40">
        <f>SUM(E40:E59)</f>
        <v>3783420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TRUNC(23987,-1)</f>
        <v>23980</v>
      </c>
      <c r="E63" s="63">
        <f>TRUNC(+D63*3.3058,-1)</f>
        <v>79270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23980</v>
      </c>
      <c r="E66" s="66">
        <f>SUM(E63:E65)</f>
        <v>79270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TRUNC(48958.2450832072,-1)</f>
        <v>48950</v>
      </c>
      <c r="E93" s="64">
        <f t="shared" si="2"/>
        <v>161810</v>
      </c>
    </row>
    <row r="94" spans="1:5" ht="17.25" thickBot="1" x14ac:dyDescent="0.35">
      <c r="A94" s="2">
        <v>26</v>
      </c>
      <c r="C94" s="39" t="s">
        <v>103</v>
      </c>
      <c r="D94" s="45">
        <f>TRUNC(39659,-1)</f>
        <v>39650</v>
      </c>
      <c r="E94" s="65">
        <f t="shared" si="2"/>
        <v>131070</v>
      </c>
    </row>
    <row r="95" spans="1:5" x14ac:dyDescent="0.3">
      <c r="A95" s="2">
        <v>27</v>
      </c>
      <c r="C95" s="27" t="s">
        <v>104</v>
      </c>
      <c r="D95" s="40">
        <f>SUM(D69:D94)</f>
        <v>88600</v>
      </c>
      <c r="E95" s="40">
        <f>SUM(E69:E94)</f>
        <v>292880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TRUNC(82990.4185577408,-1)</f>
        <v>82990</v>
      </c>
      <c r="E117" s="64">
        <f t="shared" si="3"/>
        <v>274340</v>
      </c>
    </row>
    <row r="118" spans="1:5" ht="17.25" thickBot="1" x14ac:dyDescent="0.35">
      <c r="A118" s="2">
        <v>21</v>
      </c>
      <c r="C118" s="29" t="s">
        <v>103</v>
      </c>
      <c r="D118" s="45">
        <f>TRUNC(155398,-1)</f>
        <v>155390</v>
      </c>
      <c r="E118" s="65">
        <f t="shared" si="3"/>
        <v>513680</v>
      </c>
    </row>
    <row r="119" spans="1:5" x14ac:dyDescent="0.3">
      <c r="A119" s="2">
        <v>22</v>
      </c>
      <c r="C119" s="27" t="s">
        <v>104</v>
      </c>
      <c r="D119" s="40">
        <f>SUM(D98:D118)</f>
        <v>238380</v>
      </c>
      <c r="E119" s="40">
        <f>SUM(E98:E118)</f>
        <v>788020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TRUNC(29183.0559757943,-1)</f>
        <v>29180</v>
      </c>
      <c r="E131" s="64">
        <f t="shared" si="4"/>
        <v>96460</v>
      </c>
    </row>
    <row r="132" spans="1:5" ht="17.25" thickBot="1" x14ac:dyDescent="0.35">
      <c r="A132" s="2">
        <v>11</v>
      </c>
      <c r="C132" s="29" t="s">
        <v>103</v>
      </c>
      <c r="D132" s="45">
        <f>TRUNC(46930,-1)</f>
        <v>46930</v>
      </c>
      <c r="E132" s="65">
        <f t="shared" si="4"/>
        <v>155140</v>
      </c>
    </row>
    <row r="133" spans="1:5" x14ac:dyDescent="0.3">
      <c r="A133" s="2">
        <v>12</v>
      </c>
      <c r="C133" s="41" t="s">
        <v>104</v>
      </c>
      <c r="D133" s="40">
        <f>SUM(D122:D132)</f>
        <v>76110</v>
      </c>
      <c r="E133" s="40">
        <f>SUM(E122:E132)</f>
        <v>251600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TRUNC(-1172,-1)</f>
        <v>-1170</v>
      </c>
      <c r="E152" s="64">
        <f>TRUNC(+D152*3.3058,-1)</f>
        <v>-3860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-1170</v>
      </c>
      <c r="E154" s="40">
        <f>SUM(E149:E153)</f>
        <v>-3860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2020-12-07T09:30:11Z</dcterms:modified>
</cp:coreProperties>
</file>