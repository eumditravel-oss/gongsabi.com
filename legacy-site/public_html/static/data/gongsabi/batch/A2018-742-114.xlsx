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44" i="4"/>
  <c r="D143" i="4"/>
  <c r="D139" i="4"/>
  <c r="D138" i="4"/>
  <c r="D141" i="4"/>
  <c r="D142" i="4"/>
  <c r="D140" i="4"/>
  <c r="D137" i="4"/>
  <c r="D132" i="4"/>
  <c r="D128" i="4"/>
  <c r="D127" i="4"/>
  <c r="D124" i="4"/>
  <c r="D125" i="4"/>
  <c r="D122" i="4"/>
  <c r="D130" i="4"/>
  <c r="D105" i="4"/>
  <c r="D104" i="4"/>
  <c r="D103" i="4"/>
  <c r="D102" i="4"/>
  <c r="D118" i="4"/>
  <c r="D101" i="4"/>
  <c r="D100" i="4"/>
  <c r="D99" i="4"/>
  <c r="D114" i="4"/>
  <c r="D98" i="4"/>
  <c r="D116" i="4"/>
  <c r="D75" i="4"/>
  <c r="D76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5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<sst xmlns="http://schemas.openxmlformats.org/spreadsheetml/2006/main" count="395" uniqueCount="270">
  <si>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</si>
  <si>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</si>
  <si>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</si>
  <si>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</si>
  <si>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</si>
  <si>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</si>
  <si>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</si>
  <si>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</si>
  <si>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</si>
  <si>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</si>
  <si>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</si>
  <si>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</si>
  <si>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</si>
  <si>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</si>
  <si>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</si>
  <si>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</si>
  <si>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</si>
  <si>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</si>
  <si>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</si>
  <si>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</si>
  <si>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</si>
  <si>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</si>
  <si>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</si>
  <si>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</si>
  <si>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</si>
  <si>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</si>
  <si>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</si>
  <si>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</si>
  <si>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</si>
  <si>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</si>
  <si>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</si>
  <si>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</si>
  <si>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</si>
  <si>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</si>
  <si>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</si>
  <si>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</si>
  <si>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</si>
  <si>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</si>
  <si>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</si>
  <si>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</si>
  <si>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</si>
  <si>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</si>
  <si>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</si>
  <si>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</si>
  <si>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</si>
  <si>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</si>
  <si>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</si>
  <si>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</si>
  <si>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</si>
  <si>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</si>
  <si>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</si>
  <si>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</si>
  <si>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</si>
  <si>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</si>
  <si>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</si>
  <si>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</si>
  <si>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</si>
  <si>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</si>
  <si>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</si>
  <si>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</si>
  <si>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</si>
  <si>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</si>
  <si>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</si>
  <si>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</si>
  <si>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</si>
  <si>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</si>
  <si>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</si>
  <si>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</si>
  <si>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</si>
  <si>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</si>
  <si>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</si>
  <si>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</si>
  <si>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</si>
  <si>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</si>
  <si>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</si>
  <si>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</si>
  <si>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</si>
  <si>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</si>
  <si>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</si>
  <si>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</si>
  <si>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</si>
  <si>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</si>
  <si>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</si>
  <si>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</si>
  <si>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</si>
  <si>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</si>
  <si>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</si>
  <si>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</si>
  <si>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</si>
  <si>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</si>
  <si>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</si>
  <si>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</si>
  <si>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</si>
  <si>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</si>
  <si>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</si>
  <si>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</si>
  <si>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</si>
  <si>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</si>
  <si>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</si>
  <si>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</si>
  <si>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</si>
  <si>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</si>
  <si>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</si>
  <si>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</si>
  <si>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</si>
  <si>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</si>
  <si>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</si>
  <si>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</si>
  <si>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</si>
  <si>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</si>
  <si>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</si>
  <si>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</si>
  <si>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</si>
  <si>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</si>
  <si>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</si>
  <si>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</si>
  <si>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</si>
  <si>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</si>
  <si>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</si>
  <si>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</si>
  <si>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</si>
  <si>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</si>
  <si>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</si>
  <si>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</si>
  <si>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</si>
  <si>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</si>
  <si>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</si>
  <si>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</si>
  <si>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</si>
  <si>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</si>
  <si>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</si>
  <si>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</si>
  <si>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</si>
  <si>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</si>
  <si>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</si>
  <si>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</si>
  <si>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</si>
  <si>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</si>
  <si>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</si>
  <si>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</si>
  <si>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</si>
  <si>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</si>
  <si>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</si>
  <si>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</si>
  <si>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</si>
  <si>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</si>
  <si>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</si>
  <si>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</si>
  <si>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</si>
  <si>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</si>
  <si>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</si>
  <si>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</si>
  <si>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</si>
  <si>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</si>
  <si>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</si>
  <si>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</si>
  <si>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</si>
  <si>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</si>
  <si>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</si>
  <si>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</si>
  <si>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</si>
  <si>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</si>
  <si>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</si>
  <si>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</si>
  <si>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</si>
  <si>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</si>
  <si>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</si>
  <si>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</si>
  <si>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</si>
  <si>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</si>
  <si>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</si>
  <si>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</si>
  <si>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</si>
  <si>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</si>
  <si>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</si>
  <si>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</si>
  <si>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</si>
  <si>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</si>
  <si>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</si>
  <si>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</si>
  <si>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</si>
  <si>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</si>
  <si>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</si>
  <si>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</si>
  <si>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</si>
  <si>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</si>
  <si>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</si>
  <si>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</si>
  <si>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</si>
  <si>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</si>
  <si>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</si>
  <si>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</si>
  <si>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</si>
  <si>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</si>
  <si>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</si>
  <si>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</si>
  <si>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</si>
  <si>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</si>
  <si>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</si>
  <si>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</si>
  <si>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</si>
  <si>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</si>
  <si>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</si>
  <si>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</si>
  <si>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</si>
  <si>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</si>
  <si>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</si>
  <si>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</si>
  <si>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</si>
  <si>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</si>
  <si>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</si>
  <si>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</si>
  <si>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</si>
  <si>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</si>
  <si>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</si>
  <si>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</si>
  <si>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</si>
  <si>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</si>
  <si>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</si>
  <si>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</si>
  <si>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</si>
  <si>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</si>
  <si>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</si>
  <si>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</si>
  <si>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</si>
  <si>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</si>
  <si>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</si>
  <si>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</si>
  <si>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</si>
  <si>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</si>
  <si>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</si>
  <si>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</si>
  <si>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</si>
  <si>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</si>
  <si>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</si>
  <si>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</si>
  <si>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</si>
  <si>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</si>
  <si>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</si>
  <si>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</si>
  <si>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</si>
  <si>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</si>
  <si>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</si>
  <si>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</si>
  <si>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</si>
  <si>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</si>
  <si>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</si>
  <si>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</si>
  <si>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</si>
  <si>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국립민속박물관 개방형 수장고 및 정보센터 건립 공사</t>
    <phoneticPr fontId="2" type="noConversion"/>
  </si>
  <si>
    <t>문화및집회</t>
  </si>
  <si>
    <t>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</si>
  <si>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</si>
  <si>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</si>
  <si>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</si>
  <si>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</si>
  <si>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</si>
  <si>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</si>
  <si>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</si>
  <si>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</si>
  <si>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</si>
  <si>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</si>
  <si>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</si>
  <si>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</si>
  <si>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공조배관공사,난방배관공사,우수처리시설공사,기타공사,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</si>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</sst>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10268.290000000001</v>
      </c>
      <c r="D7" s="36">
        <f>+C7/3.3058</f>
        <v>3106.1437473531373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1671220</v>
      </c>
      <c r="E25" s="59">
        <f t="shared" si="0"/>
        <v>5524710</v>
      </c>
    </row>
    <row r="26" spans="1:5" x14ac:dyDescent="0.3">
      <c r="B26" s="2">
        <v>3</v>
      </c>
      <c r="C26" s="35" t="s">
        <v>95</v>
      </c>
      <c r="D26" s="45">
        <f>+D66</f>
        <v>34670</v>
      </c>
      <c r="E26" s="59">
        <f t="shared" si="0"/>
        <v>114610</v>
      </c>
    </row>
    <row r="27" spans="1:5" x14ac:dyDescent="0.3">
      <c r="B27" s="2">
        <v>4</v>
      </c>
      <c r="C27" s="35" t="s">
        <v>96</v>
      </c>
      <c r="D27" s="45">
        <f>+D95</f>
        <v>204000</v>
      </c>
      <c r="E27" s="59">
        <f t="shared" si="0"/>
        <v>674380</v>
      </c>
    </row>
    <row r="28" spans="1:5" x14ac:dyDescent="0.3">
      <c r="B28" s="2">
        <v>5</v>
      </c>
      <c r="C28" s="35" t="s">
        <v>97</v>
      </c>
      <c r="D28" s="45">
        <f>+D119</f>
        <v>378230</v>
      </c>
      <c r="E28" s="59">
        <f t="shared" si="0"/>
        <v>1250350</v>
      </c>
    </row>
    <row r="29" spans="1:5" x14ac:dyDescent="0.3">
      <c r="B29" s="2">
        <v>6</v>
      </c>
      <c r="C29" s="35" t="s">
        <v>98</v>
      </c>
      <c r="D29" s="45">
        <f>+D133</f>
        <v>158200</v>
      </c>
      <c r="E29" s="59">
        <f t="shared" si="0"/>
        <v>522970</v>
      </c>
    </row>
    <row r="30" spans="1:5" x14ac:dyDescent="0.3">
      <c r="B30" s="2">
        <v>7</v>
      </c>
      <c r="C30" s="35" t="s">
        <v>99</v>
      </c>
      <c r="D30" s="45">
        <f>+D146</f>
        <v>168380</v>
      </c>
      <c r="E30" s="59">
        <f t="shared" si="0"/>
        <v>556630</v>
      </c>
    </row>
    <row r="31" spans="1:5" x14ac:dyDescent="0.3">
      <c r="B31" s="2">
        <v>8</v>
      </c>
      <c r="C31" s="35" t="s">
        <v>100</v>
      </c>
      <c r="D31" s="45">
        <f>+D154</f>
        <v>43270</v>
      </c>
      <c r="E31" s="59">
        <f t="shared" si="0"/>
        <v>143040</v>
      </c>
    </row>
    <row r="32" spans="1:5" x14ac:dyDescent="0.3">
      <c r="B32" s="2">
        <v>9</v>
      </c>
      <c r="C32" s="35" t="s">
        <v>101</v>
      </c>
      <c r="D32" s="45">
        <f>+D161</f>
        <v>159930</v>
      </c>
      <c r="E32" s="59">
        <f t="shared" si="0"/>
        <v>528690</v>
      </c>
    </row>
    <row r="33" spans="1:7" x14ac:dyDescent="0.3">
      <c r="B33" s="2">
        <v>10</v>
      </c>
      <c r="C33" s="35" t="s">
        <v>154</v>
      </c>
      <c r="D33" s="53">
        <f>TRUNC(SUM(D24:D32)*0.275,-1)</f>
        <v>774920</v>
      </c>
      <c r="E33" s="60">
        <f t="shared" si="0"/>
        <v>2561730</v>
      </c>
    </row>
    <row r="34" spans="1:7" x14ac:dyDescent="0.3">
      <c r="C34" s="35" t="s">
        <v>112</v>
      </c>
      <c r="D34" s="44">
        <f>SUM(D24:D33)</f>
        <v>3592820</v>
      </c>
      <c r="E34" s="44">
        <f>SUM(E24:E33)</f>
        <v>11877110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TRUNC(75287,-1)</f>
        <v>75280</v>
      </c>
      <c r="E40" s="62">
        <f t="shared" ref="E40:E59" si="1">TRUNC(+D40*3.3058,-1)</f>
        <v>248860</v>
      </c>
    </row>
    <row r="41" spans="1:7" x14ac:dyDescent="0.3">
      <c r="A41" s="2">
        <v>2</v>
      </c>
      <c r="C41" s="38" t="s">
        <v>13</v>
      </c>
      <c r="D41" s="42">
        <f>TRUNC(164517,-1)</f>
        <v>164510</v>
      </c>
      <c r="E41" s="63">
        <f t="shared" si="1"/>
        <v>543830</v>
      </c>
    </row>
    <row r="42" spans="1:7" x14ac:dyDescent="0.3">
      <c r="A42" s="2">
        <v>3</v>
      </c>
      <c r="C42" s="38" t="s">
        <v>14</v>
      </c>
      <c r="D42" s="42">
        <f>TRUNC(11581,-1)</f>
        <v>11580</v>
      </c>
      <c r="E42" s="63">
        <f t="shared" si="1"/>
        <v>38280</v>
      </c>
    </row>
    <row r="43" spans="1:7" x14ac:dyDescent="0.3">
      <c r="A43" s="2">
        <v>4</v>
      </c>
      <c r="C43" s="38" t="s">
        <v>16</v>
      </c>
      <c r="D43" s="42">
        <f>TRUNC(29774,-1)</f>
        <v>29770</v>
      </c>
      <c r="E43" s="63">
        <f t="shared" si="1"/>
        <v>98410</v>
      </c>
    </row>
    <row r="44" spans="1:7" x14ac:dyDescent="0.3">
      <c r="A44" s="2">
        <v>5</v>
      </c>
      <c r="C44" s="38" t="s">
        <v>17</v>
      </c>
      <c r="D44" s="42">
        <f>TRUNC(30463,-1)</f>
        <v>30460</v>
      </c>
      <c r="E44" s="63">
        <f t="shared" si="1"/>
        <v>100690</v>
      </c>
    </row>
    <row r="45" spans="1:7" x14ac:dyDescent="0.3">
      <c r="A45" s="2">
        <v>6</v>
      </c>
      <c r="C45" s="38" t="s">
        <v>18</v>
      </c>
      <c r="D45" s="42">
        <f>TRUNC(1400,-1)</f>
        <v>1400</v>
      </c>
      <c r="E45" s="63">
        <f t="shared" si="1"/>
        <v>4620</v>
      </c>
    </row>
    <row r="46" spans="1:7" x14ac:dyDescent="0.3">
      <c r="A46" s="2">
        <v>7</v>
      </c>
      <c r="C46" s="38" t="s">
        <v>19</v>
      </c>
      <c r="D46" s="42">
        <f>TRUNC(6278,-1)</f>
        <v>6270</v>
      </c>
      <c r="E46" s="63">
        <f t="shared" si="1"/>
        <v>20720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TRUNC(33203,-1)</f>
        <v>33200</v>
      </c>
      <c r="E48" s="63">
        <f t="shared" si="1"/>
        <v>109750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TRUNC(13627,-1)</f>
        <v>13620</v>
      </c>
      <c r="E49" s="63">
        <f t="shared" si="1"/>
        <v>45020</v>
      </c>
    </row>
    <row r="50" spans="1:7" x14ac:dyDescent="0.3">
      <c r="A50" s="2">
        <v>11</v>
      </c>
      <c r="C50" s="38" t="s">
        <v>155</v>
      </c>
      <c r="D50" s="42">
        <f>TRUNC(86893,-1)</f>
        <v>86890</v>
      </c>
      <c r="E50" s="63">
        <f t="shared" si="1"/>
        <v>287240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TRUNC(10157,-1)</f>
        <v>10150</v>
      </c>
      <c r="E52" s="63">
        <f t="shared" si="1"/>
        <v>33550</v>
      </c>
    </row>
    <row r="53" spans="1:7" x14ac:dyDescent="0.3">
      <c r="A53" s="2">
        <v>14</v>
      </c>
      <c r="C53" s="38" t="s">
        <v>25</v>
      </c>
      <c r="D53" s="42">
        <f>TRUNC(378348,-1)</f>
        <v>378340</v>
      </c>
      <c r="E53" s="63">
        <f t="shared" si="1"/>
        <v>1250710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TRUNC(3232-1246+3327+18958,-1)</f>
        <v>24270</v>
      </c>
      <c r="E58" s="63">
        <f t="shared" si="1"/>
        <v>80230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TRUNC(805486,-1)</f>
        <v>805480</v>
      </c>
      <c r="E59" s="64">
        <f t="shared" si="1"/>
        <v>2662750</v>
      </c>
    </row>
    <row r="60" spans="1:7" x14ac:dyDescent="0.3">
      <c r="A60" s="2">
        <v>21</v>
      </c>
      <c r="C60" s="27" t="s">
        <v>112</v>
      </c>
      <c r="D60" s="39">
        <f>SUM(D40:D59)</f>
        <v>1671220</v>
      </c>
      <c r="E60" s="39">
        <f>SUM(E40:E59)</f>
        <v>5524660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TRUNC(34674,-1)</f>
        <v>34670</v>
      </c>
      <c r="E63" s="62">
        <f>TRUNC(+D63*3.3058,-1)</f>
        <v>114610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34670</v>
      </c>
      <c r="E66" s="65">
        <f>SUM(E63:E65)</f>
        <v>114610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TRUNC(8407,-1)</f>
        <v>8400</v>
      </c>
      <c r="E69" s="62">
        <f t="shared" ref="E69:E94" si="2">TRUNC(+D69*3.3058,-1)</f>
        <v>27760</v>
      </c>
    </row>
    <row r="70" spans="1:7" ht="16.5" customHeight="1" x14ac:dyDescent="0.3">
      <c r="A70" s="2">
        <v>2</v>
      </c>
      <c r="C70" s="38" t="s">
        <v>31</v>
      </c>
      <c r="D70" s="42">
        <f>TRUNC(491,-1)</f>
        <v>490</v>
      </c>
      <c r="E70" s="63">
        <f t="shared" si="2"/>
        <v>1610</v>
      </c>
    </row>
    <row r="71" spans="1:7" x14ac:dyDescent="0.3">
      <c r="A71" s="2">
        <v>3</v>
      </c>
      <c r="C71" s="38" t="s">
        <v>32</v>
      </c>
      <c r="D71" s="42">
        <f>TRUNC(5219,-1)</f>
        <v>5210</v>
      </c>
      <c r="E71" s="63">
        <f t="shared" si="2"/>
        <v>17220</v>
      </c>
    </row>
    <row r="72" spans="1:7" x14ac:dyDescent="0.3">
      <c r="A72" s="2">
        <v>4</v>
      </c>
      <c r="C72" s="38" t="s">
        <v>33</v>
      </c>
      <c r="D72" s="42">
        <f>TRUNC(522,-1)</f>
        <v>520</v>
      </c>
      <c r="E72" s="63">
        <f t="shared" si="2"/>
        <v>1710</v>
      </c>
    </row>
    <row r="73" spans="1:7" x14ac:dyDescent="0.3">
      <c r="A73" s="2">
        <v>5</v>
      </c>
      <c r="C73" s="38" t="s">
        <v>34</v>
      </c>
      <c r="D73" s="42">
        <f>TRUNC(7051,-1)</f>
        <v>7050</v>
      </c>
      <c r="E73" s="63">
        <f t="shared" si="2"/>
        <v>23300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TRUNC(3299,-1)</f>
        <v>3290</v>
      </c>
      <c r="E75" s="63">
        <f t="shared" si="2"/>
        <v>10870</v>
      </c>
    </row>
    <row r="76" spans="1:7" x14ac:dyDescent="0.3">
      <c r="A76" s="2">
        <v>8</v>
      </c>
      <c r="C76" s="38" t="s">
        <v>119</v>
      </c>
      <c r="D76" s="42">
        <f>TRUNC(17808,-1)</f>
        <v>17800</v>
      </c>
      <c r="E76" s="63">
        <f t="shared" si="2"/>
        <v>58840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TRUNC(10540,-1)</f>
        <v>10540</v>
      </c>
      <c r="E89" s="63">
        <f t="shared" si="2"/>
        <v>34840</v>
      </c>
    </row>
    <row r="90" spans="1:7" x14ac:dyDescent="0.3">
      <c r="A90" s="2">
        <v>22</v>
      </c>
      <c r="C90" s="38" t="s">
        <v>36</v>
      </c>
      <c r="D90" s="42">
        <f>TRUNC(2126,-1)</f>
        <v>2120</v>
      </c>
      <c r="E90" s="63">
        <f t="shared" si="2"/>
        <v>7000</v>
      </c>
    </row>
    <row r="91" spans="1:7" x14ac:dyDescent="0.3">
      <c r="A91" s="2">
        <v>23</v>
      </c>
      <c r="C91" s="38" t="s">
        <v>37</v>
      </c>
      <c r="D91" s="42">
        <f>TRUNC(86132,-1)</f>
        <v>86130</v>
      </c>
      <c r="E91" s="63">
        <f t="shared" si="2"/>
        <v>284720</v>
      </c>
    </row>
    <row r="92" spans="1:7" x14ac:dyDescent="0.3">
      <c r="A92" s="2">
        <v>24</v>
      </c>
      <c r="C92" s="38" t="s">
        <v>38</v>
      </c>
      <c r="D92" s="42">
        <f>TRUNC(2987,-1)</f>
        <v>2980</v>
      </c>
      <c r="E92" s="63">
        <f t="shared" si="2"/>
        <v>9850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TRUNC(12017+3584+4434+38560+875,-1)</f>
        <v>59470</v>
      </c>
      <c r="E94" s="64">
        <f t="shared" si="2"/>
        <v>196590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204000</v>
      </c>
      <c r="E95" s="39">
        <f>SUM(E69:E94)</f>
        <v>674310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TRUNC(26757,-1)</f>
        <v>26750</v>
      </c>
      <c r="E98" s="62">
        <f t="shared" ref="E98:E118" si="3">TRUNC(+D98*3.3058,-1)</f>
        <v>88430</v>
      </c>
    </row>
    <row r="99" spans="1:7" x14ac:dyDescent="0.3">
      <c r="A99" s="2">
        <v>2</v>
      </c>
      <c r="C99" s="38" t="s">
        <v>40</v>
      </c>
      <c r="D99" s="42">
        <f>TRUNC(17915,-1)</f>
        <v>17910</v>
      </c>
      <c r="E99" s="63">
        <f t="shared" si="3"/>
        <v>59200</v>
      </c>
    </row>
    <row r="100" spans="1:7" x14ac:dyDescent="0.3">
      <c r="A100" s="2">
        <v>3</v>
      </c>
      <c r="C100" s="38" t="s">
        <v>41</v>
      </c>
      <c r="D100" s="42">
        <f>TRUNC(43274,-1)</f>
        <v>43270</v>
      </c>
      <c r="E100" s="63">
        <f t="shared" si="3"/>
        <v>143040</v>
      </c>
    </row>
    <row r="101" spans="1:7" x14ac:dyDescent="0.3">
      <c r="A101" s="2">
        <v>4</v>
      </c>
      <c r="C101" s="38" t="s">
        <v>42</v>
      </c>
      <c r="D101" s="42">
        <f>TRUNC(11666,-1)</f>
        <v>11660</v>
      </c>
      <c r="E101" s="63">
        <f t="shared" si="3"/>
        <v>38540</v>
      </c>
    </row>
    <row r="102" spans="1:7" x14ac:dyDescent="0.3">
      <c r="A102" s="2">
        <v>5</v>
      </c>
      <c r="C102" s="38" t="s">
        <v>43</v>
      </c>
      <c r="D102" s="42">
        <f>TRUNC(12387,-1)</f>
        <v>12380</v>
      </c>
      <c r="E102" s="63">
        <f t="shared" si="3"/>
        <v>40920</v>
      </c>
    </row>
    <row r="103" spans="1:7" x14ac:dyDescent="0.3">
      <c r="A103" s="2">
        <v>6</v>
      </c>
      <c r="C103" s="38" t="s">
        <v>44</v>
      </c>
      <c r="D103" s="42">
        <f>TRUNC(3470,-1)</f>
        <v>3470</v>
      </c>
      <c r="E103" s="63">
        <f t="shared" si="3"/>
        <v>11470</v>
      </c>
    </row>
    <row r="104" spans="1:7" x14ac:dyDescent="0.3">
      <c r="A104" s="2">
        <v>7</v>
      </c>
      <c r="C104" s="38" t="s">
        <v>45</v>
      </c>
      <c r="D104" s="42">
        <f>TRUNC(3491,-1)</f>
        <v>3490</v>
      </c>
      <c r="E104" s="63">
        <f t="shared" si="3"/>
        <v>11530</v>
      </c>
    </row>
    <row r="105" spans="1:7" x14ac:dyDescent="0.3">
      <c r="A105" s="2">
        <v>8</v>
      </c>
      <c r="C105" s="38" t="s">
        <v>46</v>
      </c>
      <c r="D105" s="42">
        <f>TRUNC(13013,-1)</f>
        <v>13010</v>
      </c>
      <c r="E105" s="63">
        <f t="shared" si="3"/>
        <v>43000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TRUNC(10841,-1)</f>
        <v>10840</v>
      </c>
      <c r="E114" s="63">
        <f t="shared" si="3"/>
        <v>35830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TRUNC(17455,-1)</f>
        <v>17450</v>
      </c>
      <c r="E116" s="63">
        <f t="shared" si="3"/>
        <v>57680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TRUNC(215003,-1)</f>
        <v>215000</v>
      </c>
      <c r="E117" s="63">
        <f t="shared" si="3"/>
        <v>710740</v>
      </c>
    </row>
    <row r="118" spans="1:7" ht="17.25" thickBot="1" x14ac:dyDescent="0.35">
      <c r="A118" s="2">
        <v>21</v>
      </c>
      <c r="C118" s="38" t="s">
        <v>47</v>
      </c>
      <c r="D118" s="43">
        <f>TRUNC(2631+369,-1)</f>
        <v>3000</v>
      </c>
      <c r="E118" s="64">
        <f t="shared" si="3"/>
        <v>9910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378230</v>
      </c>
      <c r="E119" s="39">
        <f>SUM(E98:E118)</f>
        <v>1250290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TRUNC(2085,-1)</f>
        <v>2080</v>
      </c>
      <c r="E122" s="62">
        <f t="shared" ref="E122:E132" si="4">TRUNC(+D122*3.3058,-1)</f>
        <v>6870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TRUNC(2174,-1)</f>
        <v>2170</v>
      </c>
      <c r="E124" s="63">
        <f t="shared" si="4"/>
        <v>7170</v>
      </c>
    </row>
    <row r="125" spans="1:7" x14ac:dyDescent="0.3">
      <c r="A125" s="2">
        <v>4</v>
      </c>
      <c r="C125" s="38" t="s">
        <v>138</v>
      </c>
      <c r="D125" s="42">
        <f>TRUNC(7802,-1)</f>
        <v>7800</v>
      </c>
      <c r="E125" s="63">
        <f t="shared" si="4"/>
        <v>25780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TRUNC(8601,-1)</f>
        <v>8600</v>
      </c>
      <c r="E127" s="63">
        <f t="shared" si="4"/>
        <v>28420</v>
      </c>
    </row>
    <row r="128" spans="1:7" x14ac:dyDescent="0.3">
      <c r="A128" s="2">
        <v>7</v>
      </c>
      <c r="C128" s="38" t="s">
        <v>46</v>
      </c>
      <c r="D128" s="42">
        <f>TRUNC(4000,-1)</f>
        <v>4000</v>
      </c>
      <c r="E128" s="63">
        <f t="shared" si="4"/>
        <v>13220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TRUNC(18435,-1)</f>
        <v>18430</v>
      </c>
      <c r="E130" s="63">
        <f t="shared" si="4"/>
        <v>60920</v>
      </c>
    </row>
    <row r="131" spans="1:7" x14ac:dyDescent="0.3">
      <c r="A131" s="2">
        <v>10</v>
      </c>
      <c r="C131" s="38" t="s">
        <v>148</v>
      </c>
      <c r="D131" s="42">
        <f>TRUNC(108698,-1)</f>
        <v>108690</v>
      </c>
      <c r="E131" s="63">
        <f t="shared" si="4"/>
        <v>359300</v>
      </c>
    </row>
    <row r="132" spans="1:7" ht="18" thickBot="1" x14ac:dyDescent="0.35">
      <c r="A132" s="2">
        <v>11</v>
      </c>
      <c r="C132" s="38" t="s">
        <v>47</v>
      </c>
      <c r="D132" s="43">
        <f>TRUNC(5241+1013+176,-1)</f>
        <v>6430</v>
      </c>
      <c r="E132" s="64">
        <f t="shared" si="4"/>
        <v>21250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158200</v>
      </c>
      <c r="E133" s="39">
        <f>SUM(E122:E132)</f>
        <v>522930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TRUNC(1324+4116+2652+177,-1)</f>
        <v>8260</v>
      </c>
      <c r="E137" s="63">
        <f t="shared" si="5"/>
        <v>27300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TRUNC(50491,-1)</f>
        <v>50490</v>
      </c>
      <c r="E138" s="63">
        <f t="shared" si="5"/>
        <v>166900</v>
      </c>
    </row>
    <row r="139" spans="1:7" x14ac:dyDescent="0.3">
      <c r="A139" s="2">
        <v>4</v>
      </c>
      <c r="C139" s="38" t="s">
        <v>61</v>
      </c>
      <c r="D139" s="42">
        <f>TRUNC(2339,-1)</f>
        <v>2330</v>
      </c>
      <c r="E139" s="63">
        <f t="shared" si="5"/>
        <v>7700</v>
      </c>
    </row>
    <row r="140" spans="1:7" x14ac:dyDescent="0.3">
      <c r="A140" s="2">
        <v>5</v>
      </c>
      <c r="C140" s="38" t="s">
        <v>57</v>
      </c>
      <c r="D140" s="42">
        <f>TRUNC(2327,-1)</f>
        <v>2320</v>
      </c>
      <c r="E140" s="63">
        <f t="shared" si="5"/>
        <v>7660</v>
      </c>
    </row>
    <row r="141" spans="1:7" x14ac:dyDescent="0.3">
      <c r="A141" s="2">
        <v>6</v>
      </c>
      <c r="C141" s="38" t="s">
        <v>59</v>
      </c>
      <c r="D141" s="42">
        <f>TRUNC(24407,-1)</f>
        <v>24400</v>
      </c>
      <c r="E141" s="63">
        <f t="shared" si="5"/>
        <v>80660</v>
      </c>
    </row>
    <row r="142" spans="1:7" x14ac:dyDescent="0.3">
      <c r="A142" s="2">
        <v>7</v>
      </c>
      <c r="C142" s="38" t="s">
        <v>58</v>
      </c>
      <c r="D142" s="42">
        <f>TRUNC(6842,-1)</f>
        <v>6840</v>
      </c>
      <c r="E142" s="63">
        <f t="shared" si="5"/>
        <v>22610</v>
      </c>
    </row>
    <row r="143" spans="1:7" x14ac:dyDescent="0.3">
      <c r="A143" s="2">
        <v>8</v>
      </c>
      <c r="C143" s="38" t="s">
        <v>62</v>
      </c>
      <c r="D143" s="42">
        <f>TRUNC(9514,-1)</f>
        <v>9510</v>
      </c>
      <c r="E143" s="63">
        <f t="shared" si="5"/>
        <v>31430</v>
      </c>
    </row>
    <row r="144" spans="1:7" x14ac:dyDescent="0.3">
      <c r="A144" s="2">
        <v>9</v>
      </c>
      <c r="C144" s="38" t="s">
        <v>63</v>
      </c>
      <c r="D144" s="42">
        <f>TRUNC(40408,-1)</f>
        <v>40400</v>
      </c>
      <c r="E144" s="63">
        <f t="shared" si="5"/>
        <v>133550</v>
      </c>
    </row>
    <row r="145" spans="1:7" ht="17.25" thickBot="1" x14ac:dyDescent="0.35">
      <c r="A145" s="2">
        <v>10</v>
      </c>
      <c r="C145" s="38" t="s">
        <v>148</v>
      </c>
      <c r="D145" s="43">
        <f>TRUNC(23831,-1)</f>
        <v>23830</v>
      </c>
      <c r="E145" s="64">
        <f t="shared" si="5"/>
        <v>78770</v>
      </c>
    </row>
    <row r="146" spans="1:7" x14ac:dyDescent="0.3">
      <c r="A146" s="2">
        <v>11</v>
      </c>
      <c r="C146" s="27" t="s">
        <v>112</v>
      </c>
      <c r="D146" s="39">
        <f>SUM(D136:D145)</f>
        <v>168380</v>
      </c>
      <c r="E146" s="39">
        <f>SUM(E136:E145)</f>
        <v>556580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TRUNC(24662+3191,-1)</f>
        <v>27850</v>
      </c>
      <c r="E149" s="62">
        <f>TRUNC(+D149*3.3058,-1)</f>
        <v>92060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TRUNC(6535,-1)</f>
        <v>6530</v>
      </c>
      <c r="E150" s="63">
        <f>TRUNC(+D150*3.3058,-1)</f>
        <v>21580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TRUNC(1109+2425+5360,-1)</f>
        <v>8890</v>
      </c>
      <c r="E152" s="63">
        <f>TRUNC(+D152*3.3058,-1)</f>
        <v>29380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43270</v>
      </c>
      <c r="E154" s="39">
        <f>SUM(E149:E153)</f>
        <v>143020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TRUNC(69712,-1)</f>
        <v>69710</v>
      </c>
      <c r="E157" s="62">
        <f>TRUNC(+D157*3.3058,-1)</f>
        <v>230440</v>
      </c>
    </row>
    <row r="158" spans="1:7" x14ac:dyDescent="0.3">
      <c r="A158" s="2">
        <v>2</v>
      </c>
      <c r="C158" s="38" t="s">
        <v>52</v>
      </c>
      <c r="D158" s="42">
        <f>TRUNC(50042,-1)</f>
        <v>50040</v>
      </c>
      <c r="E158" s="63">
        <f>TRUNC(+D158*3.3058,-1)</f>
        <v>165420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TRUNC(30669+9513,-1)</f>
        <v>40180</v>
      </c>
      <c r="E159" s="63">
        <f>TRUNC(+D159*3.3058,-1)</f>
        <v>132820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159930</v>
      </c>
      <c r="E161" s="39">
        <f>SUM(E157:E160)</f>
        <v>528680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2020-12-08T02:17:56Z</dcterms:modified>
</cp:coreProperties>
</file>