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75" i="4"/>
  <c r="D92" i="4"/>
  <c r="D91" i="4"/>
  <c r="D89" i="4"/>
  <c r="D73" i="4"/>
  <c r="D72" i="4"/>
  <c r="D71" i="4"/>
  <c r="D70" i="4"/>
  <c r="D69" i="4"/>
  <c r="D100" i="4"/>
  <c r="D99" i="4"/>
  <c r="D98" i="4"/>
  <c r="D114" i="4"/>
  <c r="D116" i="4"/>
  <c r="D118" i="4"/>
  <c r="D105" i="4"/>
  <c r="D104" i="4"/>
  <c r="D102" i="4"/>
  <c r="D128" i="4"/>
  <c r="D132" i="4"/>
  <c r="D124" i="4"/>
  <c r="D125" i="4"/>
  <c r="D122" i="4"/>
  <c r="D130" i="4"/>
  <c r="D144" i="4"/>
  <c r="D143" i="4"/>
  <c r="D139" i="4"/>
  <c r="D141" i="4"/>
  <c r="D137" i="4"/>
  <c r="D142" i="4"/>
  <c r="D140" i="4"/>
  <c r="D63" i="4"/>
  <c r="D152" i="4"/>
  <c r="D151" i="4"/>
  <c r="D15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60" i="4"/>
  <c r="E95" i="4"/>
  <c r="E119" i="4"/>
  <c r="E146" i="4"/>
  <c r="E154" i="4"/>
  <c r="D161" i="4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<sst xmlns="http://schemas.openxmlformats.org/spreadsheetml/2006/main" count="392" uniqueCount="267">
  <si>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</si>
  <si>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</si>
  <si>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</si>
  <si>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</si>
  <si>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</si>
  <si>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</si>
  <si>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</si>
  <si>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</si>
  <si>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</si>
  <si>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</si>
  <si>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</si>
  <si>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</si>
  <si>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</si>
  <si>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</si>
  <si>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</si>
  <si>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</si>
  <si>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</si>
  <si>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</si>
  <si>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</si>
  <si>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</si>
  <si>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</si>
  <si>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</si>
  <si>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</si>
  <si>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</si>
  <si>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</si>
  <si>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</si>
  <si>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</si>
  <si>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</si>
  <si>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</si>
  <si>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</si>
  <si>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</si>
  <si>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</si>
  <si>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</si>
  <si>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</si>
  <si>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</si>
  <si>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</si>
  <si>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</si>
  <si>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</si>
  <si>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</si>
  <si>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</si>
  <si>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</si>
  <si>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</si>
  <si>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</si>
  <si>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</si>
  <si>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</si>
  <si>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</si>
  <si>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</si>
  <si>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</si>
  <si>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</si>
  <si>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</si>
  <si>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</si>
  <si>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</si>
  <si>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</si>
  <si>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</si>
  <si>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</si>
  <si>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</si>
  <si>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</si>
  <si>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</si>
  <si>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</si>
  <si>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</si>
  <si>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</si>
  <si>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</si>
  <si>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</si>
  <si>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</si>
  <si>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</si>
  <si>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</si>
  <si>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</si>
  <si>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</si>
  <si>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</si>
  <si>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</si>
  <si>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</si>
  <si>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</si>
  <si>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</si>
  <si>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</si>
  <si>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</si>
  <si>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</si>
  <si>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</si>
  <si>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</si>
  <si>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</si>
  <si>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</si>
  <si>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</si>
  <si>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</si>
  <si>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</si>
  <si>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</si>
  <si>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</si>
  <si>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</si>
  <si>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</si>
  <si>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</si>
  <si>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</si>
  <si>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</si>
  <si>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</si>
  <si>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</si>
  <si>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</si>
  <si>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</si>
  <si>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</si>
  <si>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</si>
  <si>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</si>
  <si>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</si>
  <si>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</si>
  <si>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</si>
  <si>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</si>
  <si>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</si>
  <si>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</si>
  <si>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</si>
  <si>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</si>
  <si>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</si>
  <si>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</si>
  <si>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</si>
  <si>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</si>
  <si>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</si>
  <si>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</si>
  <si>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</si>
  <si>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</si>
  <si>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</si>
  <si>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</si>
  <si>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</si>
  <si>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</si>
  <si>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</si>
  <si>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</si>
  <si>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</si>
  <si>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</si>
  <si>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</si>
  <si>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</si>
  <si>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</si>
  <si>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</si>
  <si>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</si>
  <si>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</si>
  <si>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</si>
  <si>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</si>
  <si>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</si>
  <si>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</si>
  <si>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</si>
  <si>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</si>
  <si>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</si>
  <si>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</si>
  <si>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</si>
  <si>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</si>
  <si>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</si>
  <si>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</si>
  <si>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</si>
  <si>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</si>
  <si>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</si>
  <si>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</si>
  <si>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</si>
  <si>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</si>
  <si>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</si>
  <si>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</si>
  <si>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</si>
  <si>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</si>
  <si>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</si>
  <si>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</si>
  <si>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</si>
  <si>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</si>
  <si>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</si>
  <si>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</si>
  <si>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</si>
  <si>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</si>
  <si>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</si>
  <si>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</si>
  <si>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</si>
  <si>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</si>
  <si>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</si>
  <si>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</si>
  <si>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</si>
  <si>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</si>
  <si>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</si>
  <si>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</si>
  <si>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</si>
  <si>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</si>
  <si>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</si>
  <si>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</si>
  <si>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</si>
  <si>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</si>
  <si>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</si>
  <si>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</si>
  <si>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</si>
  <si>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</si>
  <si>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</si>
  <si>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</si>
  <si>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</si>
  <si>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</si>
  <si>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</si>
  <si>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</si>
  <si>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</si>
  <si>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</si>
  <si>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</si>
  <si>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</si>
  <si>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</si>
  <si>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</si>
  <si>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</si>
  <si>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</si>
  <si>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</si>
  <si>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</si>
  <si>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</si>
  <si>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</si>
  <si>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</si>
  <si>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</si>
  <si>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</si>
  <si>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</si>
  <si>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</si>
  <si>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</si>
  <si>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</si>
  <si>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</si>
  <si>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</si>
  <si>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</si>
  <si>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</si>
  <si>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</si>
  <si>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</si>
  <si>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</si>
  <si>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</si>
  <si>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</si>
  <si>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</si>
  <si>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</si>
  <si>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</si>
  <si>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</si>
  <si>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</si>
  <si>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</si>
  <si>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</si>
  <si>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</si>
  <si>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</si>
  <si>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</si>
  <si>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</si>
  <si>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</si>
  <si>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</si>
  <si>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</si>
  <si>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</si>
  <si>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</si>
  <si>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</si>
  <si>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</si>
  <si>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</si>
  <si>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</si>
  <si>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</si>
  <si>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</si>
  <si>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</si>
  <si>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</si>
  <si>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</si>
  <si>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</si>
  <si>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</si>
  <si>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</si>
  <si>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</si>
  <si>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</si>
  <si>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</si>
  <si>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</si>
  <si>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</si>
  <si>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</si>
  <si>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</si>
  <si>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</si>
  <si>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</si>
  <si>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밀양아리랑 우주천문대 신축공사</t>
    <phoneticPr fontId="2" type="noConversion"/>
  </si>
  <si>
    <t>문화및집회</t>
  </si>
  <si>
    <t>경상도</t>
  </si>
  <si>
    <t>기초공사,골재비및운반비,품질시험비,기타공사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</si>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</sst>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2856.82</v>
      </c>
      <c r="D7" s="36">
        <f>+C7/3.3058</f>
        <v>864.18416117127481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1488340</v>
      </c>
      <c r="E25" s="59">
        <f t="shared" si="0"/>
        <v>4920150</v>
      </c>
    </row>
    <row r="26" spans="1:5" x14ac:dyDescent="0.3">
      <c r="B26" s="2">
        <v>3</v>
      </c>
      <c r="C26" s="35" t="s">
        <v>95</v>
      </c>
      <c r="D26" s="45">
        <f>+D66</f>
        <v>18950</v>
      </c>
      <c r="E26" s="59">
        <f t="shared" si="0"/>
        <v>62640</v>
      </c>
    </row>
    <row r="27" spans="1:5" x14ac:dyDescent="0.3">
      <c r="B27" s="2">
        <v>4</v>
      </c>
      <c r="C27" s="35" t="s">
        <v>96</v>
      </c>
      <c r="D27" s="45">
        <f>+D95</f>
        <v>61830</v>
      </c>
      <c r="E27" s="59">
        <f t="shared" si="0"/>
        <v>204390</v>
      </c>
    </row>
    <row r="28" spans="1:5" x14ac:dyDescent="0.3">
      <c r="B28" s="2">
        <v>5</v>
      </c>
      <c r="C28" s="35" t="s">
        <v>97</v>
      </c>
      <c r="D28" s="45">
        <f>+D119</f>
        <v>363040</v>
      </c>
      <c r="E28" s="59">
        <f t="shared" si="0"/>
        <v>1200130</v>
      </c>
    </row>
    <row r="29" spans="1:5" x14ac:dyDescent="0.3">
      <c r="B29" s="2">
        <v>6</v>
      </c>
      <c r="C29" s="35" t="s">
        <v>98</v>
      </c>
      <c r="D29" s="45">
        <f>+D133</f>
        <v>126460</v>
      </c>
      <c r="E29" s="59">
        <f t="shared" si="0"/>
        <v>418050</v>
      </c>
    </row>
    <row r="30" spans="1:5" x14ac:dyDescent="0.3">
      <c r="B30" s="2">
        <v>7</v>
      </c>
      <c r="C30" s="35" t="s">
        <v>99</v>
      </c>
      <c r="D30" s="45">
        <f>+D146</f>
        <v>75920</v>
      </c>
      <c r="E30" s="59">
        <f t="shared" si="0"/>
        <v>250970</v>
      </c>
    </row>
    <row r="31" spans="1:5" x14ac:dyDescent="0.3">
      <c r="B31" s="2">
        <v>8</v>
      </c>
      <c r="C31" s="35" t="s">
        <v>100</v>
      </c>
      <c r="D31" s="45">
        <f>+D154</f>
        <v>45250</v>
      </c>
      <c r="E31" s="59">
        <f t="shared" si="0"/>
        <v>149580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599440</v>
      </c>
      <c r="E33" s="60">
        <f t="shared" si="0"/>
        <v>1981620</v>
      </c>
    </row>
    <row r="34" spans="1:7" x14ac:dyDescent="0.3">
      <c r="C34" s="35" t="s">
        <v>112</v>
      </c>
      <c r="D34" s="44">
        <f>SUM(D24:D33)</f>
        <v>2779230</v>
      </c>
      <c r="E34" s="44">
        <f>SUM(E24:E33)</f>
        <v>9187530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TRUNC(106399,-1)</f>
        <v>106390</v>
      </c>
      <c r="E40" s="62">
        <f t="shared" ref="E40:E59" si="1">TRUNC(+D40*3.3058,-1)</f>
        <v>351700</v>
      </c>
    </row>
    <row r="41" spans="1:7" x14ac:dyDescent="0.3">
      <c r="A41" s="2">
        <v>2</v>
      </c>
      <c r="C41" s="38" t="s">
        <v>13</v>
      </c>
      <c r="D41" s="42">
        <f>TRUNC(246485,-1)</f>
        <v>246480</v>
      </c>
      <c r="E41" s="63">
        <f t="shared" si="1"/>
        <v>814810</v>
      </c>
    </row>
    <row r="42" spans="1:7" x14ac:dyDescent="0.3">
      <c r="A42" s="2">
        <v>3</v>
      </c>
      <c r="C42" s="38" t="s">
        <v>14</v>
      </c>
      <c r="D42" s="42">
        <f>TRUNC(95797,-1)</f>
        <v>95790</v>
      </c>
      <c r="E42" s="63">
        <f t="shared" si="1"/>
        <v>316660</v>
      </c>
    </row>
    <row r="43" spans="1:7" x14ac:dyDescent="0.3">
      <c r="A43" s="2">
        <v>4</v>
      </c>
      <c r="C43" s="38" t="s">
        <v>16</v>
      </c>
      <c r="D43" s="42">
        <f>TRUNC(22772,-1)</f>
        <v>22770</v>
      </c>
      <c r="E43" s="63">
        <f t="shared" si="1"/>
        <v>75270</v>
      </c>
    </row>
    <row r="44" spans="1:7" x14ac:dyDescent="0.3">
      <c r="A44" s="2">
        <v>5</v>
      </c>
      <c r="C44" s="38" t="s">
        <v>17</v>
      </c>
      <c r="D44" s="42">
        <f>TRUNC(23752,-1)</f>
        <v>23750</v>
      </c>
      <c r="E44" s="63">
        <f t="shared" si="1"/>
        <v>78510</v>
      </c>
    </row>
    <row r="45" spans="1:7" x14ac:dyDescent="0.3">
      <c r="A45" s="2">
        <v>6</v>
      </c>
      <c r="C45" s="38" t="s">
        <v>18</v>
      </c>
      <c r="D45" s="42">
        <f>TRUNC(9949,-1)</f>
        <v>9940</v>
      </c>
      <c r="E45" s="63">
        <f t="shared" si="1"/>
        <v>32850</v>
      </c>
    </row>
    <row r="46" spans="1:7" x14ac:dyDescent="0.3">
      <c r="A46" s="2">
        <v>7</v>
      </c>
      <c r="C46" s="38" t="s">
        <v>19</v>
      </c>
      <c r="D46" s="42">
        <f>TRUNC(16570,-1)</f>
        <v>16570</v>
      </c>
      <c r="E46" s="63">
        <f t="shared" si="1"/>
        <v>54770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TRUNC(337347,-1)</f>
        <v>337340</v>
      </c>
      <c r="E48" s="63">
        <f t="shared" si="1"/>
        <v>1115170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TRUNC(15828,-1)</f>
        <v>15820</v>
      </c>
      <c r="E49" s="63">
        <f t="shared" si="1"/>
        <v>52290</v>
      </c>
    </row>
    <row r="50" spans="1:7" x14ac:dyDescent="0.3">
      <c r="A50" s="2">
        <v>11</v>
      </c>
      <c r="C50" s="38" t="s">
        <v>155</v>
      </c>
      <c r="D50" s="42">
        <f>TRUNC(85072,-1)</f>
        <v>85070</v>
      </c>
      <c r="E50" s="63">
        <f t="shared" si="1"/>
        <v>281220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TRUNC(12746,-1)</f>
        <v>12740</v>
      </c>
      <c r="E52" s="63">
        <f t="shared" si="1"/>
        <v>42110</v>
      </c>
    </row>
    <row r="53" spans="1:7" x14ac:dyDescent="0.3">
      <c r="A53" s="2">
        <v>14</v>
      </c>
      <c r="C53" s="38" t="s">
        <v>25</v>
      </c>
      <c r="D53" s="42">
        <f>TRUNC(91165,-1)</f>
        <v>91160</v>
      </c>
      <c r="E53" s="63">
        <f t="shared" si="1"/>
        <v>301350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TRUNC(1056+7516+1137+52133,-1)</f>
        <v>61840</v>
      </c>
      <c r="E58" s="63">
        <f t="shared" si="1"/>
        <v>204430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TRUNC(362682,-1)</f>
        <v>362680</v>
      </c>
      <c r="E59" s="64">
        <f t="shared" si="1"/>
        <v>1198940</v>
      </c>
    </row>
    <row r="60" spans="1:7" x14ac:dyDescent="0.3">
      <c r="A60" s="2">
        <v>21</v>
      </c>
      <c r="C60" s="27" t="s">
        <v>112</v>
      </c>
      <c r="D60" s="39">
        <f>SUM(D40:D59)</f>
        <v>1488340</v>
      </c>
      <c r="E60" s="39">
        <f>SUM(E40:E59)</f>
        <v>4920080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TRUNC(18952,-1)</f>
        <v>18950</v>
      </c>
      <c r="E63" s="62">
        <f>TRUNC(+D63*3.3058,-1)</f>
        <v>62640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18950</v>
      </c>
      <c r="E66" s="65">
        <f>SUM(E63:E65)</f>
        <v>62640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TRUNC(5047,-1)</f>
        <v>5040</v>
      </c>
      <c r="E69" s="62">
        <f t="shared" ref="E69:E94" si="2">TRUNC(+D69*3.3058,-1)</f>
        <v>16660</v>
      </c>
    </row>
    <row r="70" spans="1:7" ht="16.5" customHeight="1" x14ac:dyDescent="0.3">
      <c r="A70" s="2">
        <v>2</v>
      </c>
      <c r="C70" s="38" t="s">
        <v>31</v>
      </c>
      <c r="D70" s="42">
        <f>TRUNC(258,-1)</f>
        <v>250</v>
      </c>
      <c r="E70" s="63">
        <f t="shared" si="2"/>
        <v>820</v>
      </c>
    </row>
    <row r="71" spans="1:7" x14ac:dyDescent="0.3">
      <c r="A71" s="2">
        <v>3</v>
      </c>
      <c r="C71" s="38" t="s">
        <v>32</v>
      </c>
      <c r="D71" s="42">
        <f>TRUNC(8559,-1)</f>
        <v>8550</v>
      </c>
      <c r="E71" s="63">
        <f t="shared" si="2"/>
        <v>28260</v>
      </c>
    </row>
    <row r="72" spans="1:7" x14ac:dyDescent="0.3">
      <c r="A72" s="2">
        <v>4</v>
      </c>
      <c r="C72" s="38" t="s">
        <v>33</v>
      </c>
      <c r="D72" s="42">
        <f>TRUNC(11252,-1)</f>
        <v>11250</v>
      </c>
      <c r="E72" s="63">
        <f t="shared" si="2"/>
        <v>37190</v>
      </c>
    </row>
    <row r="73" spans="1:7" x14ac:dyDescent="0.3">
      <c r="A73" s="2">
        <v>5</v>
      </c>
      <c r="C73" s="38" t="s">
        <v>34</v>
      </c>
      <c r="D73" s="42">
        <f>TRUNC(7680,-1)</f>
        <v>7680</v>
      </c>
      <c r="E73" s="63">
        <f t="shared" si="2"/>
        <v>25380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TRUNC(1561,-1)</f>
        <v>1560</v>
      </c>
      <c r="E75" s="63">
        <f t="shared" si="2"/>
        <v>5150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TRUNC(5874,-1)</f>
        <v>5870</v>
      </c>
      <c r="E89" s="63">
        <f t="shared" si="2"/>
        <v>19400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TRUNC(15314,-1)</f>
        <v>15310</v>
      </c>
      <c r="E91" s="63">
        <f t="shared" si="2"/>
        <v>50610</v>
      </c>
    </row>
    <row r="92" spans="1:7" x14ac:dyDescent="0.3">
      <c r="A92" s="2">
        <v>24</v>
      </c>
      <c r="C92" s="38" t="s">
        <v>38</v>
      </c>
      <c r="D92" s="42">
        <f>TRUNC(6321,-1)</f>
        <v>6320</v>
      </c>
      <c r="E92" s="63">
        <f t="shared" si="2"/>
        <v>20890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61830</v>
      </c>
      <c r="E95" s="39">
        <f>SUM(E69:E94)</f>
        <v>204360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TRUNC(25640,-1)</f>
        <v>25640</v>
      </c>
      <c r="E98" s="62">
        <f t="shared" ref="E98:E118" si="3">TRUNC(+D98*3.3058,-1)</f>
        <v>84760</v>
      </c>
    </row>
    <row r="99" spans="1:7" x14ac:dyDescent="0.3">
      <c r="A99" s="2">
        <v>2</v>
      </c>
      <c r="C99" s="38" t="s">
        <v>40</v>
      </c>
      <c r="D99" s="42">
        <f>TRUNC(14948,-1)</f>
        <v>14940</v>
      </c>
      <c r="E99" s="63">
        <f t="shared" si="3"/>
        <v>49380</v>
      </c>
    </row>
    <row r="100" spans="1:7" x14ac:dyDescent="0.3">
      <c r="A100" s="2">
        <v>3</v>
      </c>
      <c r="C100" s="38" t="s">
        <v>41</v>
      </c>
      <c r="D100" s="42">
        <f>TRUNC(33191,-1)</f>
        <v>33190</v>
      </c>
      <c r="E100" s="63">
        <f t="shared" si="3"/>
        <v>109710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TRUNC(14704,-1)</f>
        <v>14700</v>
      </c>
      <c r="E102" s="63">
        <f t="shared" si="3"/>
        <v>48590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TRUNC(5519,-1)</f>
        <v>5510</v>
      </c>
      <c r="E104" s="63">
        <f t="shared" si="3"/>
        <v>18210</v>
      </c>
    </row>
    <row r="105" spans="1:7" x14ac:dyDescent="0.3">
      <c r="A105" s="2">
        <v>8</v>
      </c>
      <c r="C105" s="38" t="s">
        <v>46</v>
      </c>
      <c r="D105" s="42">
        <f>TRUNC(6945,-1)</f>
        <v>6940</v>
      </c>
      <c r="E105" s="63">
        <f t="shared" si="3"/>
        <v>22940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TRUNC(18221,-1)</f>
        <v>18220</v>
      </c>
      <c r="E114" s="63">
        <f t="shared" si="3"/>
        <v>60230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TRUNC(33745,-1)</f>
        <v>33740</v>
      </c>
      <c r="E116" s="63">
        <f t="shared" si="3"/>
        <v>111530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TRUNC(195010,-1)</f>
        <v>195010</v>
      </c>
      <c r="E117" s="63">
        <f t="shared" si="3"/>
        <v>644660</v>
      </c>
    </row>
    <row r="118" spans="1:7" ht="17.25" thickBot="1" x14ac:dyDescent="0.35">
      <c r="A118" s="2">
        <v>21</v>
      </c>
      <c r="C118" s="38" t="s">
        <v>47</v>
      </c>
      <c r="D118" s="43">
        <f>TRUNC(15154,-1)</f>
        <v>15150</v>
      </c>
      <c r="E118" s="64">
        <f t="shared" si="3"/>
        <v>50080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363040</v>
      </c>
      <c r="E119" s="39">
        <f>SUM(E98:E118)</f>
        <v>1200090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TRUNC(10995,-1)</f>
        <v>10990</v>
      </c>
      <c r="E122" s="62">
        <f t="shared" ref="E122:E132" si="4">TRUNC(+D122*3.3058,-1)</f>
        <v>36330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TRUNC(5403,-1)</f>
        <v>5400</v>
      </c>
      <c r="E124" s="63">
        <f t="shared" si="4"/>
        <v>17850</v>
      </c>
    </row>
    <row r="125" spans="1:7" x14ac:dyDescent="0.3">
      <c r="A125" s="2">
        <v>4</v>
      </c>
      <c r="C125" s="38" t="s">
        <v>138</v>
      </c>
      <c r="D125" s="42">
        <f>TRUNC(7206,-1)</f>
        <v>7200</v>
      </c>
      <c r="E125" s="63">
        <f t="shared" si="4"/>
        <v>23800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TRUNC(5382,-1)</f>
        <v>5380</v>
      </c>
      <c r="E128" s="63">
        <f t="shared" si="4"/>
        <v>17780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TRUNC(48994,-1)</f>
        <v>48990</v>
      </c>
      <c r="E130" s="63">
        <f t="shared" si="4"/>
        <v>161950</v>
      </c>
    </row>
    <row r="131" spans="1:7" x14ac:dyDescent="0.3">
      <c r="A131" s="2">
        <v>10</v>
      </c>
      <c r="C131" s="38" t="s">
        <v>148</v>
      </c>
      <c r="D131" s="42">
        <f>TRUNC(43537,-1)</f>
        <v>43530</v>
      </c>
      <c r="E131" s="63">
        <f t="shared" si="4"/>
        <v>143900</v>
      </c>
    </row>
    <row r="132" spans="1:7" ht="18" thickBot="1" x14ac:dyDescent="0.35">
      <c r="A132" s="2">
        <v>11</v>
      </c>
      <c r="C132" s="38" t="s">
        <v>47</v>
      </c>
      <c r="D132" s="43">
        <f>TRUNC(4354+622,-1)</f>
        <v>4970</v>
      </c>
      <c r="E132" s="64">
        <f t="shared" si="4"/>
        <v>16420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126460</v>
      </c>
      <c r="E133" s="39">
        <f>SUM(E122:E132)</f>
        <v>418030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TRUNC(9369,-1)</f>
        <v>9360</v>
      </c>
      <c r="E137" s="63">
        <f t="shared" si="5"/>
        <v>30940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TRUNC(3641,-1)</f>
        <v>3640</v>
      </c>
      <c r="E139" s="63">
        <f t="shared" si="5"/>
        <v>12030</v>
      </c>
    </row>
    <row r="140" spans="1:7" x14ac:dyDescent="0.3">
      <c r="A140" s="2">
        <v>5</v>
      </c>
      <c r="C140" s="38" t="s">
        <v>57</v>
      </c>
      <c r="D140" s="42">
        <f>TRUNC(4046,-1)</f>
        <v>4040</v>
      </c>
      <c r="E140" s="63">
        <f t="shared" si="5"/>
        <v>13350</v>
      </c>
    </row>
    <row r="141" spans="1:7" x14ac:dyDescent="0.3">
      <c r="A141" s="2">
        <v>6</v>
      </c>
      <c r="C141" s="38" t="s">
        <v>59</v>
      </c>
      <c r="D141" s="42">
        <f>TRUNC(26810,-1)</f>
        <v>26810</v>
      </c>
      <c r="E141" s="63">
        <f t="shared" si="5"/>
        <v>88620</v>
      </c>
    </row>
    <row r="142" spans="1:7" x14ac:dyDescent="0.3">
      <c r="A142" s="2">
        <v>7</v>
      </c>
      <c r="C142" s="38" t="s">
        <v>58</v>
      </c>
      <c r="D142" s="42">
        <f>TRUNC(6559,-1)</f>
        <v>6550</v>
      </c>
      <c r="E142" s="63">
        <f t="shared" si="5"/>
        <v>21650</v>
      </c>
    </row>
    <row r="143" spans="1:7" x14ac:dyDescent="0.3">
      <c r="A143" s="2">
        <v>8</v>
      </c>
      <c r="C143" s="38" t="s">
        <v>62</v>
      </c>
      <c r="D143" s="42">
        <f>TRUNC(4625,-1)</f>
        <v>4620</v>
      </c>
      <c r="E143" s="63">
        <f t="shared" si="5"/>
        <v>15270</v>
      </c>
    </row>
    <row r="144" spans="1:7" x14ac:dyDescent="0.3">
      <c r="A144" s="2">
        <v>9</v>
      </c>
      <c r="C144" s="38" t="s">
        <v>63</v>
      </c>
      <c r="D144" s="42">
        <f>TRUNC(20908,-1)</f>
        <v>20900</v>
      </c>
      <c r="E144" s="63">
        <f t="shared" si="5"/>
        <v>69090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75920</v>
      </c>
      <c r="E146" s="39">
        <f>SUM(E136:E145)</f>
        <v>250950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TRUNC(9268+4616,-1)</f>
        <v>13880</v>
      </c>
      <c r="E149" s="62">
        <f>TRUNC(+D149*3.3058,-1)</f>
        <v>45880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TRUNC(8430,-1)</f>
        <v>8430</v>
      </c>
      <c r="E150" s="63">
        <f>TRUNC(+D150*3.3058,-1)</f>
        <v>27860</v>
      </c>
    </row>
    <row r="151" spans="1:7" x14ac:dyDescent="0.3">
      <c r="A151" s="2">
        <v>3</v>
      </c>
      <c r="C151" s="38" t="s">
        <v>50</v>
      </c>
      <c r="D151" s="42">
        <f>TRUNC(5281,-1)</f>
        <v>5280</v>
      </c>
      <c r="E151" s="63">
        <f>TRUNC(+D151*3.3058,-1)</f>
        <v>17450</v>
      </c>
    </row>
    <row r="152" spans="1:7" x14ac:dyDescent="0.3">
      <c r="A152" s="2">
        <v>4</v>
      </c>
      <c r="C152" s="38" t="s">
        <v>47</v>
      </c>
      <c r="D152" s="42">
        <f>TRUNC(6605+10335+384+341,-1)</f>
        <v>17660</v>
      </c>
      <c r="E152" s="63">
        <f>TRUNC(+D152*3.3058,-1)</f>
        <v>58380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45250</v>
      </c>
      <c r="E154" s="39">
        <f>SUM(E149:E153)</f>
        <v>149570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2020-12-08T02:34:26Z</dcterms:modified>
</cp:coreProperties>
</file>