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51" i="4"/>
  <c r="D150" i="4"/>
  <c r="D149" i="4"/>
  <c r="D145" i="4"/>
  <c r="D144" i="4"/>
  <c r="D143" i="4"/>
  <c r="D142" i="4"/>
  <c r="D141" i="4"/>
  <c r="D140" i="4"/>
  <c r="D137" i="4"/>
  <c r="D131" i="4"/>
  <c r="D130" i="4"/>
  <c r="D128" i="4"/>
  <c r="D127" i="4"/>
  <c r="D126" i="4"/>
  <c r="D124" i="4"/>
  <c r="D122" i="4"/>
  <c r="D118" i="4"/>
  <c r="D117" i="4"/>
  <c r="D116" i="4"/>
  <c r="D114" i="4"/>
  <c r="D104" i="4"/>
  <c r="D103" i="4"/>
  <c r="D102" i="4"/>
  <c r="D100" i="4"/>
  <c r="D99" i="4"/>
  <c r="D98" i="4"/>
  <c r="D94" i="4"/>
  <c r="D93" i="4"/>
  <c r="D92" i="4"/>
  <c r="D91" i="4"/>
  <c r="D90" i="4"/>
  <c r="D89" i="4"/>
  <c r="D75" i="4"/>
  <c r="D73" i="4"/>
  <c r="D71" i="4"/>
  <c r="D70" i="4"/>
  <c r="D69" i="4"/>
  <c r="D65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32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<sst xmlns="http://schemas.openxmlformats.org/spreadsheetml/2006/main" count="394" uniqueCount="268">
  <si>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</si>
  <si>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</si>
  <si>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</si>
  <si>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</si>
  <si>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</si>
  <si>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</si>
  <si>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</si>
  <si>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</si>
  <si>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</si>
  <si>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</si>
  <si>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</si>
  <si>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</si>
  <si>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</si>
  <si>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</si>
  <si>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</si>
  <si>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</si>
  <si>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</si>
  <si>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</si>
  <si>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</si>
  <si>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</si>
  <si>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</si>
  <si>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</si>
  <si>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</si>
  <si>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</si>
  <si>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</si>
  <si>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</si>
  <si>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</si>
  <si>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</si>
  <si>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</si>
  <si>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</si>
  <si>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</si>
  <si>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</si>
  <si>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</si>
  <si>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</si>
  <si>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</si>
  <si>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</si>
  <si>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</si>
  <si>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</si>
  <si>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</si>
  <si>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</si>
  <si>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</si>
  <si>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</si>
  <si>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</si>
  <si>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</si>
  <si>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</si>
  <si>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</si>
  <si>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</si>
  <si>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</si>
  <si>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</si>
  <si>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</si>
  <si>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</si>
  <si>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</si>
  <si>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</si>
  <si>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</si>
  <si>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</si>
  <si>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</si>
  <si>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</si>
  <si>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</si>
  <si>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</si>
  <si>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</si>
  <si>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</si>
  <si>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</si>
  <si>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</si>
  <si>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</si>
  <si>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</si>
  <si>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</si>
  <si>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</si>
  <si>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</si>
  <si>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</si>
  <si>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</si>
  <si>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</si>
  <si>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</si>
  <si>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</si>
  <si>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</si>
  <si>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</si>
  <si>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</si>
  <si>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</si>
  <si>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</si>
  <si>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</si>
  <si>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</si>
  <si>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</si>
  <si>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</si>
  <si>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</si>
  <si>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</si>
  <si>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</si>
  <si>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</si>
  <si>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</si>
  <si>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</si>
  <si>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</si>
  <si>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</si>
  <si>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</si>
  <si>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</si>
  <si>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</si>
  <si>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</si>
  <si>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</si>
  <si>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</si>
  <si>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</si>
  <si>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</si>
  <si>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</si>
  <si>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</si>
  <si>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</si>
  <si>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</si>
  <si>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</si>
  <si>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</si>
  <si>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</si>
  <si>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</si>
  <si>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</si>
  <si>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</si>
  <si>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</si>
  <si>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</si>
  <si>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</si>
  <si>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</si>
  <si>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</si>
  <si>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</si>
  <si>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</si>
  <si>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</si>
  <si>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</si>
  <si>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</si>
  <si>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</si>
  <si>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</si>
  <si>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</si>
  <si>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</si>
  <si>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</si>
  <si>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</si>
  <si>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</si>
  <si>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</si>
  <si>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</si>
  <si>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</si>
  <si>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</si>
  <si>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</si>
  <si>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</si>
  <si>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</si>
  <si>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</si>
  <si>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</si>
  <si>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</si>
  <si>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</si>
  <si>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</si>
  <si>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</si>
  <si>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</si>
  <si>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</si>
  <si>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</si>
  <si>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</si>
  <si>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</si>
  <si>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</si>
  <si>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</si>
  <si>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</si>
  <si>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</si>
  <si>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</si>
  <si>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</si>
  <si>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</si>
  <si>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</si>
  <si>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</si>
  <si>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</si>
  <si>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</si>
  <si>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</si>
  <si>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</si>
  <si>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</si>
  <si>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</si>
  <si>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</si>
  <si>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</si>
  <si>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</si>
  <si>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</si>
  <si>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</si>
  <si>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</si>
  <si>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</si>
  <si>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</si>
  <si>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</si>
  <si>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</si>
  <si>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</si>
  <si>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</si>
  <si>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</si>
  <si>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</si>
  <si>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</si>
  <si>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</si>
  <si>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</si>
  <si>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</si>
  <si>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</si>
  <si>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</si>
  <si>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</si>
  <si>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</si>
  <si>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</si>
  <si>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</si>
  <si>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</si>
  <si>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</si>
  <si>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</si>
  <si>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</si>
  <si>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</si>
  <si>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</si>
  <si>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</si>
  <si>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</si>
  <si>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</si>
  <si>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</si>
  <si>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</si>
  <si>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</si>
  <si>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</si>
  <si>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</si>
  <si>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</si>
  <si>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</si>
  <si>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</si>
  <si>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</si>
  <si>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</si>
  <si>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</si>
  <si>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</si>
  <si>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</si>
  <si>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</si>
  <si>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</si>
  <si>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</si>
  <si>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</si>
  <si>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</si>
  <si>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</si>
  <si>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</si>
  <si>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</si>
  <si>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</si>
  <si>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</si>
  <si>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</si>
  <si>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</si>
  <si>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</si>
  <si>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</si>
  <si>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</si>
  <si>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</si>
  <si>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</si>
  <si>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</si>
  <si>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</si>
  <si>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</si>
  <si>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</si>
  <si>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</si>
  <si>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</si>
  <si>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</si>
  <si>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</si>
  <si>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</si>
  <si>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</si>
  <si>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</si>
  <si>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</si>
  <si>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</si>
  <si>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</si>
  <si>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</si>
  <si>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</si>
  <si>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</si>
  <si>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</si>
  <si>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</si>
  <si>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</si>
  <si>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</si>
  <si>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</si>
  <si>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</si>
  <si>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</si>
  <si>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</si>
  <si>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</si>
  <si>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</si>
  <si>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</si>
  <si>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</si>
  <si>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</si>
  <si>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</si>
  <si>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</si>
  <si>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</si>
  <si>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</si>
  <si>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</si>
  <si>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포항북부경찰서 신축공사(건축)</t>
    <phoneticPr fontId="2" type="noConversion"/>
  </si>
  <si>
    <t>업무</t>
  </si>
  <si>
    <t>경상도</t>
  </si>
  <si>
    <t>폐기물처리비, 골재비및운반비, 작업부산물, 품질시험비, 기타공사</t>
    <phoneticPr fontId="2" type="noConversion"/>
  </si>
  <si>
    <t>난방배관공사,바닥난방공사, 기타공사</t>
    <phoneticPr fontId="2" type="noConversion"/>
  </si>
  <si>
    <t>원격검침 설비공사, 기타공사</t>
    <phoneticPr fontId="2" type="noConversion"/>
  </si>
  <si>
    <t>CCTV설비공사, 기타공사</t>
    <phoneticPr fontId="2" type="noConversion"/>
  </si>
  <si>
    <t>옥외소화배관공사, 펌프실배관공사, 기타공사</t>
    <phoneticPr fontId="2" type="noConversion"/>
  </si>
  <si>
    <t>상수도공사, 사급자재비, 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</si>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</sst>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9046</v>
      </c>
      <c r="D7" s="36">
        <f>+C7/3.3058</f>
        <v>2736.402686187912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850230</v>
      </c>
      <c r="E25" s="59">
        <f t="shared" si="0"/>
        <v>2810690</v>
      </c>
    </row>
    <row r="26" spans="1:5" x14ac:dyDescent="0.3">
      <c r="B26" s="2">
        <v>3</v>
      </c>
      <c r="C26" s="35" t="s">
        <v>95</v>
      </c>
      <c r="D26" s="45">
        <f>+D66</f>
        <v>68810</v>
      </c>
      <c r="E26" s="59">
        <f t="shared" si="0"/>
        <v>227470</v>
      </c>
    </row>
    <row r="27" spans="1:5" x14ac:dyDescent="0.3">
      <c r="B27" s="2">
        <v>4</v>
      </c>
      <c r="C27" s="35" t="s">
        <v>96</v>
      </c>
      <c r="D27" s="45">
        <f>+D95</f>
        <v>207440</v>
      </c>
      <c r="E27" s="59">
        <f t="shared" si="0"/>
        <v>685750</v>
      </c>
    </row>
    <row r="28" spans="1:5" x14ac:dyDescent="0.3">
      <c r="B28" s="2">
        <v>5</v>
      </c>
      <c r="C28" s="35" t="s">
        <v>97</v>
      </c>
      <c r="D28" s="45">
        <f>+D119</f>
        <v>294550</v>
      </c>
      <c r="E28" s="59">
        <f t="shared" si="0"/>
        <v>973720</v>
      </c>
    </row>
    <row r="29" spans="1:5" x14ac:dyDescent="0.3">
      <c r="B29" s="2">
        <v>6</v>
      </c>
      <c r="C29" s="35" t="s">
        <v>98</v>
      </c>
      <c r="D29" s="45">
        <f>+D133</f>
        <v>133060</v>
      </c>
      <c r="E29" s="59">
        <f t="shared" si="0"/>
        <v>439860</v>
      </c>
    </row>
    <row r="30" spans="1:5" x14ac:dyDescent="0.3">
      <c r="B30" s="2">
        <v>7</v>
      </c>
      <c r="C30" s="35" t="s">
        <v>99</v>
      </c>
      <c r="D30" s="45">
        <f>+D146</f>
        <v>52280</v>
      </c>
      <c r="E30" s="59">
        <f t="shared" si="0"/>
        <v>172820</v>
      </c>
    </row>
    <row r="31" spans="1:5" x14ac:dyDescent="0.3">
      <c r="B31" s="2">
        <v>8</v>
      </c>
      <c r="C31" s="35" t="s">
        <v>100</v>
      </c>
      <c r="D31" s="45">
        <f>+D154</f>
        <v>302130</v>
      </c>
      <c r="E31" s="59">
        <f t="shared" si="0"/>
        <v>998780</v>
      </c>
    </row>
    <row r="32" spans="1:5" x14ac:dyDescent="0.3">
      <c r="B32" s="2">
        <v>9</v>
      </c>
      <c r="C32" s="35" t="s">
        <v>101</v>
      </c>
      <c r="D32" s="45">
        <f>+D161</f>
        <v>45720</v>
      </c>
      <c r="E32" s="59">
        <f t="shared" si="0"/>
        <v>151140</v>
      </c>
    </row>
    <row r="33" spans="1:7" x14ac:dyDescent="0.3">
      <c r="B33" s="2">
        <v>10</v>
      </c>
      <c r="C33" s="35" t="s">
        <v>155</v>
      </c>
      <c r="D33" s="53">
        <f>TRUNC(SUM(D24:D32)*0.275,-1)</f>
        <v>537410</v>
      </c>
      <c r="E33" s="60">
        <f t="shared" si="0"/>
        <v>1776560</v>
      </c>
    </row>
    <row r="34" spans="1:7" x14ac:dyDescent="0.3">
      <c r="C34" s="35" t="s">
        <v>112</v>
      </c>
      <c r="D34" s="44">
        <f>SUM(D24:D33)</f>
        <v>2491630</v>
      </c>
      <c r="E34" s="44">
        <f>SUM(E24:E33)</f>
        <v>8236790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TRUNC(54812,-1)</f>
        <v>54810</v>
      </c>
      <c r="E40" s="62">
        <f t="shared" ref="E40:E59" si="1">TRUNC(+D40*3.3058,-1)</f>
        <v>181190</v>
      </c>
    </row>
    <row r="41" spans="1:7" x14ac:dyDescent="0.3">
      <c r="A41" s="2">
        <v>2</v>
      </c>
      <c r="C41" s="38" t="s">
        <v>13</v>
      </c>
      <c r="D41" s="42">
        <f>TRUNC(115231,-1)</f>
        <v>115230</v>
      </c>
      <c r="E41" s="63">
        <f t="shared" si="1"/>
        <v>380920</v>
      </c>
    </row>
    <row r="42" spans="1:7" x14ac:dyDescent="0.3">
      <c r="A42" s="2">
        <v>3</v>
      </c>
      <c r="C42" s="38" t="s">
        <v>14</v>
      </c>
      <c r="D42" s="42">
        <f>TRUNC(14489,-1)</f>
        <v>14480</v>
      </c>
      <c r="E42" s="63">
        <f t="shared" si="1"/>
        <v>47860</v>
      </c>
    </row>
    <row r="43" spans="1:7" x14ac:dyDescent="0.3">
      <c r="A43" s="2">
        <v>4</v>
      </c>
      <c r="C43" s="38" t="s">
        <v>16</v>
      </c>
      <c r="D43" s="42">
        <f>TRUNC(26362,-1)</f>
        <v>26360</v>
      </c>
      <c r="E43" s="63">
        <f t="shared" si="1"/>
        <v>87140</v>
      </c>
    </row>
    <row r="44" spans="1:7" x14ac:dyDescent="0.3">
      <c r="A44" s="2">
        <v>5</v>
      </c>
      <c r="C44" s="38" t="s">
        <v>17</v>
      </c>
      <c r="D44" s="42">
        <f>TRUNC(34447,-1)</f>
        <v>34440</v>
      </c>
      <c r="E44" s="63">
        <f t="shared" si="1"/>
        <v>113850</v>
      </c>
    </row>
    <row r="45" spans="1:7" x14ac:dyDescent="0.3">
      <c r="A45" s="2">
        <v>6</v>
      </c>
      <c r="C45" s="38" t="s">
        <v>18</v>
      </c>
      <c r="D45" s="42">
        <f>TRUNC(10464,-1)</f>
        <v>10460</v>
      </c>
      <c r="E45" s="63">
        <f t="shared" si="1"/>
        <v>34570</v>
      </c>
    </row>
    <row r="46" spans="1:7" x14ac:dyDescent="0.3">
      <c r="A46" s="2">
        <v>7</v>
      </c>
      <c r="C46" s="38" t="s">
        <v>19</v>
      </c>
      <c r="D46" s="42">
        <f>TRUNC(77752,-1)</f>
        <v>77750</v>
      </c>
      <c r="E46" s="63">
        <f t="shared" si="1"/>
        <v>257020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TRUNC(41911,-1)</f>
        <v>41910</v>
      </c>
      <c r="E48" s="63">
        <f t="shared" si="1"/>
        <v>138540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TRUNC(9422,-1)</f>
        <v>9420</v>
      </c>
      <c r="E49" s="63">
        <f t="shared" si="1"/>
        <v>31140</v>
      </c>
    </row>
    <row r="50" spans="1:7" x14ac:dyDescent="0.3">
      <c r="A50" s="2">
        <v>11</v>
      </c>
      <c r="C50" s="38" t="s">
        <v>156</v>
      </c>
      <c r="D50" s="42">
        <f>TRUNC(71305,-1)</f>
        <v>71300</v>
      </c>
      <c r="E50" s="63">
        <f t="shared" si="1"/>
        <v>235700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TRUNC(12907,-1)</f>
        <v>12900</v>
      </c>
      <c r="E52" s="63">
        <f t="shared" si="1"/>
        <v>42640</v>
      </c>
    </row>
    <row r="53" spans="1:7" x14ac:dyDescent="0.3">
      <c r="A53" s="2">
        <v>14</v>
      </c>
      <c r="C53" s="38" t="s">
        <v>25</v>
      </c>
      <c r="D53" s="42">
        <f>TRUNC(97467,-1)</f>
        <v>97460</v>
      </c>
      <c r="E53" s="63">
        <f t="shared" si="1"/>
        <v>322180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TRUNC(55+4599-775+27844,-1)</f>
        <v>31720</v>
      </c>
      <c r="E58" s="63">
        <f t="shared" si="1"/>
        <v>104850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f>TRUNC(251999,-1)</f>
        <v>251990</v>
      </c>
      <c r="E59" s="64">
        <f t="shared" si="1"/>
        <v>833020</v>
      </c>
    </row>
    <row r="60" spans="1:7" x14ac:dyDescent="0.3">
      <c r="A60" s="2">
        <v>21</v>
      </c>
      <c r="C60" s="27" t="s">
        <v>112</v>
      </c>
      <c r="D60" s="39">
        <f>SUM(D40:D59)</f>
        <v>850230</v>
      </c>
      <c r="E60" s="39">
        <f>SUM(E40:E59)</f>
        <v>2810620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v>60120</v>
      </c>
      <c r="E63" s="62">
        <f>TRUNC(+D63*3.3058,-1)</f>
        <v>198740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TRUNC(8691,-1)</f>
        <v>8690</v>
      </c>
      <c r="E65" s="64">
        <f>TRUNC(+D65*3.3058,-1)</f>
        <v>28720</v>
      </c>
    </row>
    <row r="66" spans="1:7" x14ac:dyDescent="0.3">
      <c r="A66" s="2">
        <v>4</v>
      </c>
      <c r="C66" s="27" t="s">
        <v>112</v>
      </c>
      <c r="D66" s="39">
        <f>SUM(D63:D65)</f>
        <v>68810</v>
      </c>
      <c r="E66" s="65">
        <f>SUM(E63:E65)</f>
        <v>227460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TRUNC(8341,-1)</f>
        <v>8340</v>
      </c>
      <c r="E69" s="62">
        <f t="shared" ref="E69:E94" si="2">TRUNC(+D69*3.3058,-1)</f>
        <v>27570</v>
      </c>
    </row>
    <row r="70" spans="1:7" ht="16.5" customHeight="1" x14ac:dyDescent="0.3">
      <c r="A70" s="2">
        <v>2</v>
      </c>
      <c r="C70" s="38" t="s">
        <v>31</v>
      </c>
      <c r="D70" s="42">
        <f>TRUNC(238,-1)</f>
        <v>230</v>
      </c>
      <c r="E70" s="63">
        <f t="shared" si="2"/>
        <v>760</v>
      </c>
    </row>
    <row r="71" spans="1:7" x14ac:dyDescent="0.3">
      <c r="A71" s="2">
        <v>3</v>
      </c>
      <c r="C71" s="38" t="s">
        <v>32</v>
      </c>
      <c r="D71" s="42">
        <f>TRUNC(5175,-1)</f>
        <v>5170</v>
      </c>
      <c r="E71" s="63">
        <f t="shared" si="2"/>
        <v>17090</v>
      </c>
    </row>
    <row r="72" spans="1:7" x14ac:dyDescent="0.3">
      <c r="A72" s="2">
        <v>4</v>
      </c>
      <c r="C72" s="38" t="s">
        <v>33</v>
      </c>
      <c r="D72" s="42">
        <v>3870</v>
      </c>
      <c r="E72" s="63">
        <f t="shared" si="2"/>
        <v>12790</v>
      </c>
    </row>
    <row r="73" spans="1:7" x14ac:dyDescent="0.3">
      <c r="A73" s="2">
        <v>5</v>
      </c>
      <c r="C73" s="38" t="s">
        <v>34</v>
      </c>
      <c r="D73" s="42">
        <f>TRUNC(8549,-1)</f>
        <v>8540</v>
      </c>
      <c r="E73" s="63">
        <f t="shared" si="2"/>
        <v>28230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TRUNC(137,-1)</f>
        <v>130</v>
      </c>
      <c r="E75" s="63">
        <f t="shared" si="2"/>
        <v>420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TRUNC(7607,-1)</f>
        <v>7600</v>
      </c>
      <c r="E89" s="63">
        <f t="shared" si="2"/>
        <v>25120</v>
      </c>
    </row>
    <row r="90" spans="1:7" x14ac:dyDescent="0.3">
      <c r="A90" s="2">
        <v>22</v>
      </c>
      <c r="C90" s="38" t="s">
        <v>36</v>
      </c>
      <c r="D90" s="42">
        <f>TRUNC(868,-1)</f>
        <v>860</v>
      </c>
      <c r="E90" s="63">
        <f t="shared" si="2"/>
        <v>2840</v>
      </c>
    </row>
    <row r="91" spans="1:7" x14ac:dyDescent="0.3">
      <c r="A91" s="2">
        <v>23</v>
      </c>
      <c r="C91" s="38" t="s">
        <v>37</v>
      </c>
      <c r="D91" s="42">
        <f>TRUNC(13772,-1)</f>
        <v>13770</v>
      </c>
      <c r="E91" s="63">
        <f t="shared" si="2"/>
        <v>45520</v>
      </c>
    </row>
    <row r="92" spans="1:7" x14ac:dyDescent="0.3">
      <c r="A92" s="2">
        <v>24</v>
      </c>
      <c r="C92" s="38" t="s">
        <v>38</v>
      </c>
      <c r="D92" s="42">
        <f>TRUNC(10358,-1)</f>
        <v>10350</v>
      </c>
      <c r="E92" s="63">
        <f t="shared" si="2"/>
        <v>34210</v>
      </c>
    </row>
    <row r="93" spans="1:7" x14ac:dyDescent="0.3">
      <c r="A93" s="2">
        <v>25</v>
      </c>
      <c r="C93" s="38" t="s">
        <v>149</v>
      </c>
      <c r="D93" s="42">
        <f>TRUNC(142208,-1)</f>
        <v>142200</v>
      </c>
      <c r="E93" s="63">
        <f t="shared" si="2"/>
        <v>470080</v>
      </c>
    </row>
    <row r="94" spans="1:7" ht="17.25" thickBot="1" x14ac:dyDescent="0.35">
      <c r="A94" s="2">
        <v>26</v>
      </c>
      <c r="C94" s="38" t="s">
        <v>47</v>
      </c>
      <c r="D94" s="43">
        <f>TRUNC(396+803+5188,-1)</f>
        <v>6380</v>
      </c>
      <c r="E94" s="64">
        <f t="shared" si="2"/>
        <v>21090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207440</v>
      </c>
      <c r="E95" s="39">
        <f>SUM(E69:E94)</f>
        <v>685720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TRUNC(12976,-1)</f>
        <v>12970</v>
      </c>
      <c r="E98" s="62">
        <f t="shared" ref="E98:E118" si="3">TRUNC(+D98*3.3058,-1)</f>
        <v>42870</v>
      </c>
    </row>
    <row r="99" spans="1:7" x14ac:dyDescent="0.3">
      <c r="A99" s="2">
        <v>2</v>
      </c>
      <c r="C99" s="38" t="s">
        <v>40</v>
      </c>
      <c r="D99" s="42">
        <f>TRUNC(6665,-1)</f>
        <v>6660</v>
      </c>
      <c r="E99" s="63">
        <f t="shared" si="3"/>
        <v>22010</v>
      </c>
    </row>
    <row r="100" spans="1:7" x14ac:dyDescent="0.3">
      <c r="A100" s="2">
        <v>3</v>
      </c>
      <c r="C100" s="38" t="s">
        <v>41</v>
      </c>
      <c r="D100" s="42">
        <f>TRUNC(37761,-1)</f>
        <v>37760</v>
      </c>
      <c r="E100" s="63">
        <f t="shared" si="3"/>
        <v>124820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TRUNC(17392,-1)</f>
        <v>17390</v>
      </c>
      <c r="E102" s="63">
        <f t="shared" si="3"/>
        <v>57480</v>
      </c>
    </row>
    <row r="103" spans="1:7" x14ac:dyDescent="0.3">
      <c r="A103" s="2">
        <v>6</v>
      </c>
      <c r="C103" s="38" t="s">
        <v>44</v>
      </c>
      <c r="D103" s="42">
        <f>TRUNC(9468,-1)</f>
        <v>9460</v>
      </c>
      <c r="E103" s="63">
        <f t="shared" si="3"/>
        <v>31270</v>
      </c>
    </row>
    <row r="104" spans="1:7" x14ac:dyDescent="0.3">
      <c r="A104" s="2">
        <v>7</v>
      </c>
      <c r="C104" s="38" t="s">
        <v>45</v>
      </c>
      <c r="D104" s="42">
        <f>TRUNC(4434,-1)</f>
        <v>4430</v>
      </c>
      <c r="E104" s="63">
        <f t="shared" si="3"/>
        <v>14640</v>
      </c>
    </row>
    <row r="105" spans="1:7" x14ac:dyDescent="0.3">
      <c r="A105" s="2">
        <v>8</v>
      </c>
      <c r="C105" s="38" t="s">
        <v>46</v>
      </c>
      <c r="D105" s="42">
        <v>6370</v>
      </c>
      <c r="E105" s="63">
        <f t="shared" si="3"/>
        <v>21050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TRUNC(4838,-1)</f>
        <v>4830</v>
      </c>
      <c r="E114" s="63">
        <f t="shared" si="3"/>
        <v>15960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TRUNC(3666,-1)</f>
        <v>3660</v>
      </c>
      <c r="E116" s="63">
        <f t="shared" si="3"/>
        <v>12090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TRUNC(183975,-1)</f>
        <v>183970</v>
      </c>
      <c r="E117" s="63">
        <f t="shared" si="3"/>
        <v>608160</v>
      </c>
    </row>
    <row r="118" spans="1:7" ht="17.25" thickBot="1" x14ac:dyDescent="0.35">
      <c r="A118" s="2">
        <v>21</v>
      </c>
      <c r="C118" s="38" t="s">
        <v>47</v>
      </c>
      <c r="D118" s="43">
        <f>TRUNC(1394+5664,-1)</f>
        <v>7050</v>
      </c>
      <c r="E118" s="64">
        <f t="shared" si="3"/>
        <v>23300</v>
      </c>
      <c r="F118" s="2" t="s">
        <v>261</v>
      </c>
    </row>
    <row r="119" spans="1:7" x14ac:dyDescent="0.3">
      <c r="A119" s="2">
        <v>22</v>
      </c>
      <c r="C119" s="27" t="s">
        <v>112</v>
      </c>
      <c r="D119" s="39">
        <f>SUM(D98:D118)</f>
        <v>294550</v>
      </c>
      <c r="E119" s="39">
        <f>SUM(E98:E118)</f>
        <v>973650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TRUNC(6479,-1)</f>
        <v>6470</v>
      </c>
      <c r="E122" s="62">
        <f t="shared" ref="E122:E132" si="4">TRUNC(+D122*3.3058,-1)</f>
        <v>21380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TRUNC(1711,-1)</f>
        <v>1710</v>
      </c>
      <c r="E124" s="63">
        <f t="shared" si="4"/>
        <v>5650</v>
      </c>
    </row>
    <row r="125" spans="1:7" x14ac:dyDescent="0.3">
      <c r="A125" s="2">
        <v>4</v>
      </c>
      <c r="C125" s="38" t="s">
        <v>138</v>
      </c>
      <c r="D125" s="42">
        <v>8950</v>
      </c>
      <c r="E125" s="63">
        <f t="shared" si="4"/>
        <v>29580</v>
      </c>
    </row>
    <row r="126" spans="1:7" x14ac:dyDescent="0.3">
      <c r="A126" s="2">
        <v>5</v>
      </c>
      <c r="C126" s="38" t="s">
        <v>53</v>
      </c>
      <c r="D126" s="42">
        <f>TRUNC(5889,-1)</f>
        <v>5880</v>
      </c>
      <c r="E126" s="63">
        <f t="shared" si="4"/>
        <v>19430</v>
      </c>
    </row>
    <row r="127" spans="1:7" x14ac:dyDescent="0.3">
      <c r="A127" s="2">
        <v>6</v>
      </c>
      <c r="C127" s="38" t="s">
        <v>56</v>
      </c>
      <c r="D127" s="42">
        <f>TRUNC(5475,-1)</f>
        <v>5470</v>
      </c>
      <c r="E127" s="63">
        <f t="shared" si="4"/>
        <v>18080</v>
      </c>
    </row>
    <row r="128" spans="1:7" x14ac:dyDescent="0.3">
      <c r="A128" s="2">
        <v>7</v>
      </c>
      <c r="C128" s="38" t="s">
        <v>46</v>
      </c>
      <c r="D128" s="42">
        <f>TRUNC(5624,-1)</f>
        <v>5620</v>
      </c>
      <c r="E128" s="63">
        <f t="shared" si="4"/>
        <v>18570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TRUNC(45861,-1)</f>
        <v>45860</v>
      </c>
      <c r="E130" s="63">
        <f t="shared" si="4"/>
        <v>151600</v>
      </c>
    </row>
    <row r="131" spans="1:7" x14ac:dyDescent="0.3">
      <c r="A131" s="2">
        <v>10</v>
      </c>
      <c r="C131" s="38" t="s">
        <v>149</v>
      </c>
      <c r="D131" s="42">
        <f>TRUNC(40186,-1)</f>
        <v>40180</v>
      </c>
      <c r="E131" s="63">
        <f t="shared" si="4"/>
        <v>132820</v>
      </c>
    </row>
    <row r="132" spans="1:7" ht="18" thickBot="1" x14ac:dyDescent="0.35">
      <c r="A132" s="2">
        <v>11</v>
      </c>
      <c r="C132" s="38" t="s">
        <v>47</v>
      </c>
      <c r="D132" s="43">
        <f>4281+8639</f>
        <v>12920</v>
      </c>
      <c r="E132" s="64">
        <f t="shared" si="4"/>
        <v>42710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133060</v>
      </c>
      <c r="E133" s="39">
        <f>SUM(E122:E132)</f>
        <v>439820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TRUNC(337+1985+246,-1)</f>
        <v>2560</v>
      </c>
      <c r="E137" s="63">
        <f t="shared" si="5"/>
        <v>8460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1400</v>
      </c>
      <c r="E139" s="63">
        <f t="shared" si="5"/>
        <v>4620</v>
      </c>
    </row>
    <row r="140" spans="1:7" x14ac:dyDescent="0.3">
      <c r="A140" s="2">
        <v>5</v>
      </c>
      <c r="C140" s="38" t="s">
        <v>57</v>
      </c>
      <c r="D140" s="42">
        <f>TRUNC(611,-1)</f>
        <v>610</v>
      </c>
      <c r="E140" s="63">
        <f t="shared" si="5"/>
        <v>2010</v>
      </c>
    </row>
    <row r="141" spans="1:7" x14ac:dyDescent="0.3">
      <c r="A141" s="2">
        <v>6</v>
      </c>
      <c r="C141" s="38" t="s">
        <v>59</v>
      </c>
      <c r="D141" s="42">
        <f>TRUNC(12388,-1)</f>
        <v>12380</v>
      </c>
      <c r="E141" s="63">
        <f t="shared" si="5"/>
        <v>40920</v>
      </c>
    </row>
    <row r="142" spans="1:7" x14ac:dyDescent="0.3">
      <c r="A142" s="2">
        <v>7</v>
      </c>
      <c r="C142" s="38" t="s">
        <v>58</v>
      </c>
      <c r="D142" s="42">
        <f>TRUNC(5069,-1)</f>
        <v>5060</v>
      </c>
      <c r="E142" s="63">
        <f t="shared" si="5"/>
        <v>16720</v>
      </c>
    </row>
    <row r="143" spans="1:7" x14ac:dyDescent="0.3">
      <c r="A143" s="2">
        <v>8</v>
      </c>
      <c r="C143" s="38" t="s">
        <v>62</v>
      </c>
      <c r="D143" s="42">
        <f>TRUNC(10312,-1)</f>
        <v>10310</v>
      </c>
      <c r="E143" s="63">
        <f t="shared" si="5"/>
        <v>34080</v>
      </c>
    </row>
    <row r="144" spans="1:7" x14ac:dyDescent="0.3">
      <c r="A144" s="2">
        <v>9</v>
      </c>
      <c r="C144" s="38" t="s">
        <v>63</v>
      </c>
      <c r="D144" s="42">
        <f>TRUNC(12755,-1)</f>
        <v>12750</v>
      </c>
      <c r="E144" s="63">
        <f t="shared" si="5"/>
        <v>42140</v>
      </c>
    </row>
    <row r="145" spans="1:7" ht="17.25" thickBot="1" x14ac:dyDescent="0.35">
      <c r="A145" s="2">
        <v>10</v>
      </c>
      <c r="C145" s="38" t="s">
        <v>149</v>
      </c>
      <c r="D145" s="43">
        <f>TRUNC(7212,-1)</f>
        <v>7210</v>
      </c>
      <c r="E145" s="64">
        <f t="shared" si="5"/>
        <v>23830</v>
      </c>
    </row>
    <row r="146" spans="1:7" x14ac:dyDescent="0.3">
      <c r="A146" s="2">
        <v>11</v>
      </c>
      <c r="C146" s="27" t="s">
        <v>112</v>
      </c>
      <c r="D146" s="39">
        <f>SUM(D136:D145)</f>
        <v>52280</v>
      </c>
      <c r="E146" s="39">
        <f>SUM(E136:E145)</f>
        <v>172780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TRUNC(17259+1958,-1)</f>
        <v>19210</v>
      </c>
      <c r="E149" s="62">
        <f>TRUNC(+D149*3.3058,-1)</f>
        <v>63500</v>
      </c>
    </row>
    <row r="150" spans="1:7" x14ac:dyDescent="0.3">
      <c r="A150" s="2">
        <v>2</v>
      </c>
      <c r="C150" s="38" t="s">
        <v>49</v>
      </c>
      <c r="D150" s="42">
        <f>TRUNC(6366,-1)</f>
        <v>6360</v>
      </c>
      <c r="E150" s="63">
        <f>TRUNC(+D150*3.3058,-1)</f>
        <v>21020</v>
      </c>
    </row>
    <row r="151" spans="1:7" x14ac:dyDescent="0.3">
      <c r="A151" s="2">
        <v>3</v>
      </c>
      <c r="C151" s="38" t="s">
        <v>50</v>
      </c>
      <c r="D151" s="42">
        <f>TRUNC(155555,-1)</f>
        <v>155550</v>
      </c>
      <c r="E151" s="63">
        <f>TRUNC(+D151*3.3058,-1)</f>
        <v>514210</v>
      </c>
    </row>
    <row r="152" spans="1:7" x14ac:dyDescent="0.3">
      <c r="A152" s="2">
        <v>4</v>
      </c>
      <c r="C152" s="38" t="s">
        <v>47</v>
      </c>
      <c r="D152" s="42">
        <f>TRUNC(1787+21942+67+29878,-1)</f>
        <v>53670</v>
      </c>
      <c r="E152" s="63">
        <f>TRUNC(+D152*3.3058,-1)</f>
        <v>177420</v>
      </c>
      <c r="F152" s="2" t="s">
        <v>264</v>
      </c>
    </row>
    <row r="153" spans="1:7" ht="17.25" thickBot="1" x14ac:dyDescent="0.35">
      <c r="A153" s="2">
        <v>5</v>
      </c>
      <c r="C153" s="38" t="s">
        <v>149</v>
      </c>
      <c r="D153" s="43">
        <f>TRUNC(67344,-1)</f>
        <v>67340</v>
      </c>
      <c r="E153" s="64">
        <f>TRUNC(+D153*3.3058,-1)</f>
        <v>222610</v>
      </c>
    </row>
    <row r="154" spans="1:7" x14ac:dyDescent="0.3">
      <c r="A154" s="2">
        <v>6</v>
      </c>
      <c r="C154" s="27" t="s">
        <v>112</v>
      </c>
      <c r="D154" s="39">
        <f>SUM(D149:D153)</f>
        <v>302130</v>
      </c>
      <c r="E154" s="39">
        <f>SUM(E149:E153)</f>
        <v>998760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TRUNC(14758,-1)</f>
        <v>14750</v>
      </c>
      <c r="E157" s="62">
        <f>TRUNC(+D157*3.3058,-1)</f>
        <v>48760</v>
      </c>
    </row>
    <row r="158" spans="1:7" x14ac:dyDescent="0.3">
      <c r="A158" s="2">
        <v>2</v>
      </c>
      <c r="C158" s="38" t="s">
        <v>52</v>
      </c>
      <c r="D158" s="42">
        <f>TRUNC(13164,-1)</f>
        <v>13160</v>
      </c>
      <c r="E158" s="63">
        <f>TRUNC(+D158*3.3058,-1)</f>
        <v>43500</v>
      </c>
    </row>
    <row r="159" spans="1:7" x14ac:dyDescent="0.3">
      <c r="A159" s="2">
        <v>3</v>
      </c>
      <c r="C159" s="38" t="s">
        <v>47</v>
      </c>
      <c r="D159" s="42">
        <f>TRUNC(4247+2600,-1)</f>
        <v>6840</v>
      </c>
      <c r="E159" s="63">
        <f>TRUNC(+D159*3.3058,-1)</f>
        <v>22610</v>
      </c>
      <c r="F159" s="2" t="s">
        <v>255</v>
      </c>
    </row>
    <row r="160" spans="1:7" ht="17.25" thickBot="1" x14ac:dyDescent="0.35">
      <c r="A160" s="2">
        <v>4</v>
      </c>
      <c r="C160" s="38" t="s">
        <v>149</v>
      </c>
      <c r="D160" s="43">
        <f>TRUNC(10975,-1)</f>
        <v>10970</v>
      </c>
      <c r="E160" s="64">
        <f>TRUNC(+D160*3.3058,-1)</f>
        <v>36260</v>
      </c>
    </row>
    <row r="161" spans="1:5" x14ac:dyDescent="0.3">
      <c r="A161" s="2">
        <v>5</v>
      </c>
      <c r="C161" s="27" t="s">
        <v>112</v>
      </c>
      <c r="D161" s="39">
        <f>SUM(D157:D160)</f>
        <v>45720</v>
      </c>
      <c r="E161" s="39">
        <f>SUM(E157:E160)</f>
        <v>151130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2020-12-08T04:49:52Z</dcterms:modified>
</cp:coreProperties>
</file>