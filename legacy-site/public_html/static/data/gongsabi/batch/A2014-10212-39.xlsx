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8" i="4" l="1"/>
  <c r="D94" i="4"/>
  <c r="D84" i="4"/>
  <c r="D136" i="4" l="1"/>
  <c r="D137" i="4"/>
  <c r="D7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18" i="4"/>
  <c r="E117" i="4"/>
  <c r="E116" i="4"/>
  <c r="E115" i="4"/>
  <c r="E114" i="4"/>
  <c r="E113" i="4"/>
  <c r="E112" i="4"/>
  <c r="E111" i="4"/>
  <c r="E110" i="4"/>
  <c r="E109" i="4"/>
  <c r="E107" i="4"/>
  <c r="E106" i="4"/>
  <c r="E105" i="4"/>
  <c r="E104" i="4"/>
  <c r="E103" i="4"/>
  <c r="E101" i="4"/>
  <c r="E99" i="4"/>
  <c r="E98" i="4"/>
  <c r="E94" i="4"/>
  <c r="E93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3" i="4"/>
  <c r="E66" i="4" s="1"/>
  <c r="E59" i="4"/>
  <c r="E57" i="4"/>
  <c r="E56" i="4"/>
  <c r="E54" i="4"/>
  <c r="E47" i="4"/>
  <c r="E43" i="4"/>
  <c r="E42" i="4"/>
  <c r="E37" i="4"/>
  <c r="E133" i="4" l="1"/>
  <c r="E146" i="4"/>
  <c r="D132" i="4"/>
  <c r="E132" i="4" s="1"/>
  <c r="D123" i="4"/>
  <c r="E123" i="4" s="1"/>
  <c r="D122" i="4"/>
  <c r="E122" i="4" s="1"/>
  <c r="D108" i="4"/>
  <c r="E108" i="4" s="1"/>
  <c r="D102" i="4"/>
  <c r="E102" i="4" s="1"/>
  <c r="E119" i="4" s="1"/>
  <c r="D100" i="4"/>
  <c r="E100" i="4" s="1"/>
  <c r="D92" i="4"/>
  <c r="E92" i="4" s="1"/>
  <c r="D74" i="4"/>
  <c r="E74" i="4" s="1"/>
  <c r="E95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1" i="4"/>
  <c r="E41" i="4" s="1"/>
  <c r="D40" i="4"/>
  <c r="E40" i="4" s="1"/>
  <c r="D152" i="4"/>
  <c r="E152" i="4" s="1"/>
  <c r="E154" i="4" s="1"/>
  <c r="E60" i="4" l="1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<sst xmlns="http://schemas.openxmlformats.org/spreadsheetml/2006/main" count="391" uniqueCount="267">
  <si>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</si>
  <si>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</si>
  <si>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</si>
  <si>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</si>
  <si>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</si>
  <si>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</si>
  <si>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</si>
  <si>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</si>
  <si>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</si>
  <si>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</si>
  <si>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</si>
  <si>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</si>
  <si>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</si>
  <si>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</si>
  <si>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</si>
  <si>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</si>
  <si>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</si>
  <si>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</si>
  <si>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</si>
  <si>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</si>
  <si>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</si>
  <si>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</si>
  <si>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</si>
  <si>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</si>
  <si>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</si>
  <si>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</si>
  <si>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</si>
  <si>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</si>
  <si>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</si>
  <si>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</si>
  <si>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</si>
  <si>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</si>
  <si>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</si>
  <si>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</si>
  <si>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</si>
  <si>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</si>
  <si>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</si>
  <si>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</si>
  <si>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</si>
  <si>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</si>
  <si>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</si>
  <si>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</si>
  <si>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</si>
  <si>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</si>
  <si>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</si>
  <si>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</si>
  <si>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</si>
  <si>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</si>
  <si>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</si>
  <si>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</si>
  <si>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</si>
  <si>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</si>
  <si>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</si>
  <si>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</si>
  <si>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</si>
  <si>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</si>
  <si>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</si>
  <si>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</si>
  <si>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</si>
  <si>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</si>
  <si>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</si>
  <si>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</si>
  <si>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</si>
  <si>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</si>
  <si>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</si>
  <si>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</si>
  <si>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</si>
  <si>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</si>
  <si>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</si>
  <si>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</si>
  <si>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</si>
  <si>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</si>
  <si>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</si>
  <si>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</si>
  <si>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</si>
  <si>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</si>
  <si>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</si>
  <si>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</si>
  <si>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</si>
  <si>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</si>
  <si>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</si>
  <si>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</si>
  <si>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</si>
  <si>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</si>
  <si>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</si>
  <si>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</si>
  <si>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</si>
  <si>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</si>
  <si>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</si>
  <si>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</si>
  <si>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</si>
  <si>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</si>
  <si>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</si>
  <si>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</si>
  <si>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</si>
  <si>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</si>
  <si>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</si>
  <si>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</si>
  <si>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</si>
  <si>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</si>
  <si>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</si>
  <si>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</si>
  <si>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</si>
  <si>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</si>
  <si>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</si>
  <si>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</si>
  <si>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</si>
  <si>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</si>
  <si>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</si>
  <si>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</si>
  <si>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</si>
  <si>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</si>
  <si>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</si>
  <si>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</si>
  <si>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</si>
  <si>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</si>
  <si>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</si>
  <si>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</si>
  <si>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</si>
  <si>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</si>
  <si>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</si>
  <si>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</si>
  <si>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</si>
  <si>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</si>
  <si>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</si>
  <si>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</si>
  <si>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</si>
  <si>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</si>
  <si>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</si>
  <si>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</si>
  <si>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</si>
  <si>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</si>
  <si>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</si>
  <si>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</si>
  <si>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</si>
  <si>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</si>
  <si>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</si>
  <si>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</si>
  <si>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</si>
  <si>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</si>
  <si>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</si>
  <si>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</si>
  <si>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</si>
  <si>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</si>
  <si>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</si>
  <si>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</si>
  <si>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</si>
  <si>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</si>
  <si>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</si>
  <si>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</si>
  <si>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</si>
  <si>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</si>
  <si>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</si>
  <si>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</si>
  <si>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</si>
  <si>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</si>
  <si>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</si>
  <si>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</si>
  <si>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</si>
  <si>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</si>
  <si>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</si>
  <si>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</si>
  <si>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</si>
  <si>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</si>
  <si>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</si>
  <si>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</si>
  <si>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</si>
  <si>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</si>
  <si>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</si>
  <si>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</si>
  <si>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</si>
  <si>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</si>
  <si>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</si>
  <si>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</si>
  <si>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</si>
  <si>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</si>
  <si>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</si>
  <si>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</si>
  <si>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</si>
  <si>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</si>
  <si>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</si>
  <si>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</si>
  <si>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</si>
  <si>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</si>
  <si>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</si>
  <si>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</si>
  <si>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</si>
  <si>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</si>
  <si>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</si>
  <si>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</si>
  <si>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</si>
  <si>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</si>
  <si>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</si>
  <si>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</si>
  <si>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</si>
  <si>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</si>
  <si>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</si>
  <si>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</si>
  <si>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</si>
  <si>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</si>
  <si>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</si>
  <si>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</si>
  <si>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</si>
  <si>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</si>
  <si>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</si>
  <si>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</si>
  <si>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</si>
  <si>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</si>
  <si>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</si>
  <si>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</si>
  <si>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</si>
  <si>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</si>
  <si>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</si>
  <si>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</si>
  <si>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</si>
  <si>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</si>
  <si>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</si>
  <si>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</si>
  <si>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</si>
  <si>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</si>
  <si>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</si>
  <si>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</si>
  <si>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</si>
  <si>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</si>
  <si>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</si>
  <si>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</si>
  <si>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</si>
  <si>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</si>
  <si>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</si>
  <si>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</si>
  <si>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</si>
  <si>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</si>
  <si>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</si>
  <si>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</si>
  <si>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</si>
  <si>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</si>
  <si>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</si>
  <si>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</si>
  <si>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</si>
  <si>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</si>
  <si>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</si>
  <si>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</si>
  <si>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</si>
  <si>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</si>
  <si>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</si>
  <si>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</si>
  <si>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</si>
  <si>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00도립 00노인전문병원 증축공사</t>
    <phoneticPr fontId="2" type="noConversion"/>
  </si>
  <si>
    <t>의료</t>
  </si>
  <si>
    <t>경상도</t>
  </si>
  <si>
    <t>부대공사,부대토목공사</t>
    <phoneticPr fontId="2" type="noConversion"/>
  </si>
  <si>
    <t>토공사,잡공사</t>
    <phoneticPr fontId="2" type="noConversion"/>
  </si>
  <si>
    <t>의료가스공사</t>
    <phoneticPr fontId="2" type="noConversion"/>
  </si>
  <si>
    <t>간선공사,너스콜공사,CCTV공사</t>
    <phoneticPr fontId="2" type="noConversion"/>
  </si>
  <si>
    <t>원 /평</t>
    <phoneticPr fontId="2" type="noConversion"/>
  </si>
  <si>
    <t>원 /평</t>
    <phoneticPr fontId="2" type="noConversion"/>
  </si>
  <si>
    <t>환기배관공사</t>
    <phoneticPr fontId="2" type="noConversion"/>
  </si>
  <si>
    <t>전기 소방공사</t>
    <phoneticPr fontId="2" type="noConversion"/>
  </si>
  <si>
    <t>기계 소화설비공사</t>
    <phoneticPr fontId="2" type="noConversion"/>
  </si>
  <si>
    <t>냉난방부대공사</t>
    <phoneticPr fontId="2" type="noConversion"/>
  </si>
  <si>
    <t>위생배관공사,전열교환기부대공사, 전기난방공사</t>
    <phoneticPr fontId="2" type="noConversion"/>
  </si>
  <si>
    <t>옥내간선공사, 비상조명공사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</si>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</sst>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1139</v>
      </c>
      <c r="D7" s="36">
        <f>+C7/3.3058</f>
        <v>344.54594954322704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563460</v>
      </c>
      <c r="E25" s="59">
        <f t="shared" si="0"/>
        <v>1862680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59180</v>
      </c>
      <c r="E27" s="59">
        <f t="shared" si="0"/>
        <v>195630</v>
      </c>
    </row>
    <row r="28" spans="1:5" x14ac:dyDescent="0.3">
      <c r="B28" s="2">
        <v>5</v>
      </c>
      <c r="C28" s="35" t="s">
        <v>97</v>
      </c>
      <c r="D28" s="45">
        <f>+D119</f>
        <v>75770</v>
      </c>
      <c r="E28" s="59">
        <f t="shared" si="0"/>
        <v>250480</v>
      </c>
    </row>
    <row r="29" spans="1:5" x14ac:dyDescent="0.3">
      <c r="B29" s="2">
        <v>6</v>
      </c>
      <c r="C29" s="35" t="s">
        <v>98</v>
      </c>
      <c r="D29" s="45">
        <f>+D133</f>
        <v>23140</v>
      </c>
      <c r="E29" s="59">
        <f t="shared" si="0"/>
        <v>76490</v>
      </c>
    </row>
    <row r="30" spans="1:5" x14ac:dyDescent="0.3">
      <c r="B30" s="2">
        <v>7</v>
      </c>
      <c r="C30" s="35" t="s">
        <v>99</v>
      </c>
      <c r="D30" s="45">
        <f>+D146</f>
        <v>50720</v>
      </c>
      <c r="E30" s="59">
        <f t="shared" si="0"/>
        <v>167670</v>
      </c>
    </row>
    <row r="31" spans="1:5" x14ac:dyDescent="0.3">
      <c r="B31" s="2">
        <v>8</v>
      </c>
      <c r="C31" s="35" t="s">
        <v>100</v>
      </c>
      <c r="D31" s="45">
        <f>+D154</f>
        <v>28030</v>
      </c>
      <c r="E31" s="59">
        <f t="shared" si="0"/>
        <v>92660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220080</v>
      </c>
      <c r="E33" s="60">
        <f t="shared" si="0"/>
        <v>727540</v>
      </c>
    </row>
    <row r="34" spans="1:7" x14ac:dyDescent="0.3">
      <c r="C34" s="35" t="s">
        <v>112</v>
      </c>
      <c r="D34" s="44">
        <f>SUM(D24:D33)</f>
        <v>1020380</v>
      </c>
      <c r="E34" s="44">
        <f>SUM(E24:E33)</f>
        <v>3373150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255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TRUNC(34617,-1)</f>
        <v>34610</v>
      </c>
      <c r="E40" s="62">
        <f t="shared" ref="E40:E59" si="1">TRUNC(+D40*3.3058,-1)</f>
        <v>114410</v>
      </c>
    </row>
    <row r="41" spans="1:7" x14ac:dyDescent="0.3">
      <c r="A41" s="2">
        <v>2</v>
      </c>
      <c r="C41" s="38" t="s">
        <v>13</v>
      </c>
      <c r="D41" s="42">
        <f>TRUNC(245557,-1)</f>
        <v>245550</v>
      </c>
      <c r="E41" s="63">
        <f t="shared" si="1"/>
        <v>811730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f>TRUNC(32885,-1)</f>
        <v>32880</v>
      </c>
      <c r="E44" s="63">
        <f t="shared" si="1"/>
        <v>108690</v>
      </c>
    </row>
    <row r="45" spans="1:7" x14ac:dyDescent="0.3">
      <c r="A45" s="2">
        <v>6</v>
      </c>
      <c r="C45" s="38" t="s">
        <v>18</v>
      </c>
      <c r="D45" s="42">
        <f>TRUNC(3951,-1)</f>
        <v>3950</v>
      </c>
      <c r="E45" s="63">
        <f t="shared" si="1"/>
        <v>13050</v>
      </c>
    </row>
    <row r="46" spans="1:7" x14ac:dyDescent="0.3">
      <c r="A46" s="2">
        <v>7</v>
      </c>
      <c r="C46" s="38" t="s">
        <v>19</v>
      </c>
      <c r="D46" s="42">
        <f>TRUNC(2381,-1)</f>
        <v>2380</v>
      </c>
      <c r="E46" s="63">
        <f t="shared" si="1"/>
        <v>7860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TRUNC(36886,-1)</f>
        <v>36880</v>
      </c>
      <c r="E48" s="63">
        <f t="shared" si="1"/>
        <v>121910</v>
      </c>
    </row>
    <row r="49" spans="1:7" x14ac:dyDescent="0.3">
      <c r="A49" s="2">
        <v>10</v>
      </c>
      <c r="C49" s="38" t="s">
        <v>22</v>
      </c>
      <c r="D49" s="42">
        <f>TRUNC(6917,-1)</f>
        <v>6910</v>
      </c>
      <c r="E49" s="63">
        <f t="shared" si="1"/>
        <v>22840</v>
      </c>
    </row>
    <row r="50" spans="1:7" x14ac:dyDescent="0.3">
      <c r="A50" s="2">
        <v>11</v>
      </c>
      <c r="C50" s="38" t="s">
        <v>154</v>
      </c>
      <c r="D50" s="42">
        <f>TRUNC(35495,-1)</f>
        <v>35490</v>
      </c>
      <c r="E50" s="63">
        <f t="shared" si="1"/>
        <v>117320</v>
      </c>
    </row>
    <row r="51" spans="1:7" x14ac:dyDescent="0.3">
      <c r="A51" s="2">
        <v>12</v>
      </c>
      <c r="C51" s="38" t="s">
        <v>23</v>
      </c>
      <c r="D51" s="42">
        <f>TRUNC(10535,-1)</f>
        <v>10530</v>
      </c>
      <c r="E51" s="63">
        <f t="shared" si="1"/>
        <v>34810</v>
      </c>
    </row>
    <row r="52" spans="1:7" x14ac:dyDescent="0.3">
      <c r="A52" s="2">
        <v>13</v>
      </c>
      <c r="C52" s="38" t="s">
        <v>24</v>
      </c>
      <c r="D52" s="42">
        <f>TRUNC(30657,-1)</f>
        <v>30650</v>
      </c>
      <c r="E52" s="63">
        <f t="shared" si="1"/>
        <v>101320</v>
      </c>
    </row>
    <row r="53" spans="1:7" x14ac:dyDescent="0.3">
      <c r="A53" s="2">
        <v>14</v>
      </c>
      <c r="C53" s="38" t="s">
        <v>25</v>
      </c>
      <c r="D53" s="42">
        <f>TRUNC(100859,-1)</f>
        <v>100850</v>
      </c>
      <c r="E53" s="63">
        <f t="shared" si="1"/>
        <v>333380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TRUNC(2744,-1)</f>
        <v>2740</v>
      </c>
      <c r="E55" s="63">
        <f t="shared" si="1"/>
        <v>9050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TRUNC(18276+1766,-1)</f>
        <v>20040</v>
      </c>
      <c r="E58" s="63">
        <f t="shared" si="1"/>
        <v>66240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563460</v>
      </c>
      <c r="E60" s="39">
        <f>SUM(E40:E59)</f>
        <v>1862610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255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255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f>TRUNC(19550,-1)</f>
        <v>19550</v>
      </c>
      <c r="E74" s="63">
        <f t="shared" si="2"/>
        <v>64620</v>
      </c>
      <c r="F74" s="2" t="s">
        <v>252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TRUNC(1781,-1)</f>
        <v>1780</v>
      </c>
      <c r="E79" s="63">
        <f t="shared" si="2"/>
        <v>5880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TRUNC(2150,-1)</f>
        <v>2150</v>
      </c>
      <c r="E84" s="63">
        <f t="shared" si="2"/>
        <v>7100</v>
      </c>
      <c r="F84" s="2" t="s">
        <v>259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TRUNC(3029,-1)</f>
        <v>3020</v>
      </c>
      <c r="E92" s="63">
        <f t="shared" si="2"/>
        <v>9980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TRUNC(14239+4267+14183,-1)</f>
        <v>32680</v>
      </c>
      <c r="E94" s="64">
        <f t="shared" si="2"/>
        <v>108030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59180</v>
      </c>
      <c r="E95" s="39">
        <f>SUM(E69:E94)</f>
        <v>195610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255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TRUNC(35745,-1)</f>
        <v>35740</v>
      </c>
      <c r="E100" s="63">
        <f t="shared" si="3"/>
        <v>118140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TRUNC(8192,-1)</f>
        <v>8190</v>
      </c>
      <c r="E102" s="63">
        <f t="shared" si="3"/>
        <v>27070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TRUNC(11194,-1)</f>
        <v>11190</v>
      </c>
      <c r="E108" s="63">
        <f t="shared" si="3"/>
        <v>36990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TRUNC(18788+1864,-1)</f>
        <v>20650</v>
      </c>
      <c r="E118" s="64">
        <f t="shared" si="3"/>
        <v>68260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75770</v>
      </c>
      <c r="E119" s="39">
        <f>SUM(E98:E118)</f>
        <v>250460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255</v>
      </c>
      <c r="G121" s="55"/>
    </row>
    <row r="122" spans="1:7" x14ac:dyDescent="0.3">
      <c r="A122" s="2">
        <v>1</v>
      </c>
      <c r="C122" s="38" t="s">
        <v>55</v>
      </c>
      <c r="D122" s="40">
        <f>TRUNC(1266,-1)</f>
        <v>1260</v>
      </c>
      <c r="E122" s="62">
        <f t="shared" ref="E122:E132" si="4">TRUNC(+D122*3.3058,-1)</f>
        <v>4160</v>
      </c>
    </row>
    <row r="123" spans="1:7" x14ac:dyDescent="0.3">
      <c r="A123" s="2">
        <v>2</v>
      </c>
      <c r="C123" s="38" t="s">
        <v>124</v>
      </c>
      <c r="D123" s="42">
        <f>TRUNC(3563,-1)</f>
        <v>3560</v>
      </c>
      <c r="E123" s="63">
        <f t="shared" si="4"/>
        <v>11760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TRUNC(5309+7544+5473,-1)</f>
        <v>18320</v>
      </c>
      <c r="E132" s="64">
        <f t="shared" si="4"/>
        <v>60560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23140</v>
      </c>
      <c r="E133" s="39">
        <f>SUM(E122:E132)</f>
        <v>76480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255</v>
      </c>
      <c r="G135" s="55"/>
    </row>
    <row r="136" spans="1:7" x14ac:dyDescent="0.3">
      <c r="A136" s="2">
        <v>1</v>
      </c>
      <c r="C136" s="38" t="s">
        <v>131</v>
      </c>
      <c r="D136" s="40">
        <f>TRUNC(29473,-1)</f>
        <v>29470</v>
      </c>
      <c r="E136" s="62">
        <f t="shared" ref="E136:E145" si="5">TRUNC(+D136*3.3058,-1)</f>
        <v>97420</v>
      </c>
      <c r="F136" s="2" t="s">
        <v>258</v>
      </c>
    </row>
    <row r="137" spans="1:7" x14ac:dyDescent="0.3">
      <c r="A137" s="2">
        <v>2</v>
      </c>
      <c r="C137" s="38" t="s">
        <v>47</v>
      </c>
      <c r="D137" s="42">
        <f>TRUNC(21250,-1)</f>
        <v>21250</v>
      </c>
      <c r="E137" s="63">
        <f t="shared" si="5"/>
        <v>70240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50720</v>
      </c>
      <c r="E146" s="39">
        <f>SUM(E136:E145)</f>
        <v>167660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TRUNC(978+27052,-1)</f>
        <v>28030</v>
      </c>
      <c r="E152" s="63">
        <f>TRUNC(+D152*3.3058,-1)</f>
        <v>92660</v>
      </c>
      <c r="F152" s="2" t="s">
        <v>250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28030</v>
      </c>
      <c r="E154" s="39">
        <f>SUM(E149:E153)</f>
        <v>92660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2020-12-07T09:52:26Z</dcterms:modified>
</cp:coreProperties>
</file>