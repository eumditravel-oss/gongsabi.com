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3" i="4"/>
  <c r="D152" i="4"/>
  <c r="D145" i="4"/>
  <c r="D144" i="4"/>
  <c r="D131" i="4"/>
  <c r="D130" i="4"/>
  <c r="D117" i="4"/>
  <c r="D118" i="4"/>
  <c r="D93" i="4"/>
  <c r="D94" i="4"/>
  <c r="D59" i="4"/>
  <c r="D58" i="4"/>
  <c r="D158" i="4" l="1"/>
  <c r="D157" i="4"/>
  <c r="D151" i="4"/>
  <c r="D149" i="4"/>
  <c r="D143" i="4"/>
  <c r="D141" i="4"/>
  <c r="D140" i="4"/>
  <c r="D139" i="4"/>
  <c r="D132" i="4"/>
  <c r="D128" i="4"/>
  <c r="D127" i="4"/>
  <c r="D125" i="4"/>
  <c r="D122" i="4"/>
  <c r="D116" i="4"/>
  <c r="D105" i="4"/>
  <c r="D104" i="4"/>
  <c r="D103" i="4"/>
  <c r="D102" i="4"/>
  <c r="D100" i="4"/>
  <c r="D99" i="4"/>
  <c r="D98" i="4"/>
  <c r="D92" i="4"/>
  <c r="D91" i="4"/>
  <c r="D89" i="4"/>
  <c r="D73" i="4"/>
  <c r="D72" i="4"/>
  <c r="D71" i="4"/>
  <c r="D70" i="4"/>
  <c r="D69" i="4"/>
  <c r="D65" i="4"/>
  <c r="D63" i="4"/>
  <c r="D53" i="4"/>
  <c r="D50" i="4"/>
  <c r="D49" i="4"/>
  <c r="D48" i="4"/>
  <c r="D46" i="4"/>
  <c r="D45" i="4"/>
  <c r="D44" i="4"/>
  <c r="D43" i="4"/>
  <c r="D42" i="4"/>
  <c r="D41" i="4"/>
  <c r="D40" i="4"/>
  <c r="D1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<sst xmlns="http://schemas.openxmlformats.org/spreadsheetml/2006/main" count="393" uniqueCount="267">
  <si>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</si>
  <si>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</si>
  <si>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</si>
  <si>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</si>
  <si>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</si>
  <si>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</si>
  <si>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</si>
  <si>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</si>
  <si>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</si>
  <si>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</si>
  <si>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</si>
  <si>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</si>
  <si>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</si>
  <si>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</si>
  <si>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</si>
  <si>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</si>
  <si>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</si>
  <si>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</si>
  <si>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</si>
  <si>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</si>
  <si>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</si>
  <si>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</si>
  <si>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</si>
  <si>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</si>
  <si>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</si>
  <si>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</si>
  <si>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</si>
  <si>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</si>
  <si>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</si>
  <si>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</si>
  <si>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</si>
  <si>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</si>
  <si>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</si>
  <si>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</si>
  <si>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</si>
  <si>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</si>
  <si>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</si>
  <si>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</si>
  <si>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</si>
  <si>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</si>
  <si>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</si>
  <si>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</si>
  <si>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</si>
  <si>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</si>
  <si>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</si>
  <si>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</si>
  <si>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</si>
  <si>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</si>
  <si>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</si>
  <si>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</si>
  <si>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</si>
  <si>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</si>
  <si>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</si>
  <si>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</si>
  <si>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</si>
  <si>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</si>
  <si>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</si>
  <si>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</si>
  <si>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</si>
  <si>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</si>
  <si>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</si>
  <si>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</si>
  <si>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</si>
  <si>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</si>
  <si>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</si>
  <si>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</si>
  <si>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</si>
  <si>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</si>
  <si>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</si>
  <si>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</si>
  <si>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</si>
  <si>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</si>
  <si>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</si>
  <si>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</si>
  <si>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</si>
  <si>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</si>
  <si>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</si>
  <si>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</si>
  <si>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</si>
  <si>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</si>
  <si>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</si>
  <si>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</si>
  <si>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</si>
  <si>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</si>
  <si>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</si>
  <si>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</si>
  <si>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</si>
  <si>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</si>
  <si>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</si>
  <si>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</si>
  <si>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</si>
  <si>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</si>
  <si>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</si>
  <si>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</si>
  <si>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</si>
  <si>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</si>
  <si>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</si>
  <si>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</si>
  <si>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</si>
  <si>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</si>
  <si>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</si>
  <si>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</si>
  <si>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</si>
  <si>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</si>
  <si>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</si>
  <si>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</si>
  <si>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</si>
  <si>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</si>
  <si>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</si>
  <si>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</si>
  <si>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</si>
  <si>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</si>
  <si>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</si>
  <si>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</si>
  <si>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</si>
  <si>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</si>
  <si>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</si>
  <si>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</si>
  <si>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</si>
  <si>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</si>
  <si>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</si>
  <si>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</si>
  <si>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</si>
  <si>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</si>
  <si>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</si>
  <si>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</si>
  <si>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</si>
  <si>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</si>
  <si>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</si>
  <si>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</si>
  <si>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</si>
  <si>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</si>
  <si>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</si>
  <si>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</si>
  <si>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</si>
  <si>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</si>
  <si>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</si>
  <si>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</si>
  <si>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</si>
  <si>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</si>
  <si>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</si>
  <si>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</si>
  <si>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</si>
  <si>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</si>
  <si>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</si>
  <si>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</si>
  <si>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</si>
  <si>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</si>
  <si>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</si>
  <si>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</si>
  <si>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</si>
  <si>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</si>
  <si>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</si>
  <si>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</si>
  <si>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</si>
  <si>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</si>
  <si>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</si>
  <si>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</si>
  <si>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</si>
  <si>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</si>
  <si>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</si>
  <si>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</si>
  <si>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</si>
  <si>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</si>
  <si>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</si>
  <si>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</si>
  <si>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</si>
  <si>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</si>
  <si>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</si>
  <si>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</si>
  <si>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</si>
  <si>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</si>
  <si>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</si>
  <si>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</si>
  <si>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</si>
  <si>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</si>
  <si>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</si>
  <si>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</si>
  <si>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</si>
  <si>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</si>
  <si>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</si>
  <si>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</si>
  <si>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</si>
  <si>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</si>
  <si>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</si>
  <si>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</si>
  <si>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</si>
  <si>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</si>
  <si>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</si>
  <si>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</si>
  <si>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</si>
  <si>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</si>
  <si>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</si>
  <si>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</si>
  <si>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</si>
  <si>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</si>
  <si>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</si>
  <si>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</si>
  <si>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</si>
  <si>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</si>
  <si>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</si>
  <si>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</si>
  <si>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</si>
  <si>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</si>
  <si>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</si>
  <si>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</si>
  <si>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</si>
  <si>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</si>
  <si>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</si>
  <si>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</si>
  <si>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</si>
  <si>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</si>
  <si>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</si>
  <si>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</si>
  <si>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</si>
  <si>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</si>
  <si>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</si>
  <si>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</si>
  <si>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</si>
  <si>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</si>
  <si>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</si>
  <si>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</si>
  <si>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</si>
  <si>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</si>
  <si>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</si>
  <si>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</si>
  <si>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</si>
  <si>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</si>
  <si>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</si>
  <si>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</si>
  <si>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</si>
  <si>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</si>
  <si>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</si>
  <si>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</si>
  <si>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</si>
  <si>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</si>
  <si>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</si>
  <si>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</si>
  <si>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</si>
  <si>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</si>
  <si>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</si>
  <si>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</si>
  <si>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</si>
  <si>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</si>
  <si>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</si>
  <si>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</si>
  <si>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</si>
  <si>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</si>
  <si>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</si>
  <si>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</si>
  <si>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</si>
  <si>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</si>
  <si>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</si>
  <si>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</si>
  <si>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</si>
  <si>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</si>
  <si>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</si>
  <si>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제천세무서 청사 신축 공사</t>
    <phoneticPr fontId="2" type="noConversion"/>
  </si>
  <si>
    <t>충청도</t>
  </si>
  <si>
    <t>폐기물처리비, 골재비및운반비, 작업부산물, 품질시험비, 기타공사</t>
    <phoneticPr fontId="2" type="noConversion"/>
  </si>
  <si>
    <t>난방배관공사, 우수처리시설공사, 바닥난방공사,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</si>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</sst>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3476.56</v>
      </c>
      <c r="D7" s="36">
        <f>+C7/3.3058</f>
        <v>1051.654667553996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918810</v>
      </c>
      <c r="E25" s="59">
        <f t="shared" si="0"/>
        <v>3037400</v>
      </c>
    </row>
    <row r="26" spans="1:5" x14ac:dyDescent="0.3">
      <c r="B26" s="2">
        <v>3</v>
      </c>
      <c r="C26" s="35" t="s">
        <v>95</v>
      </c>
      <c r="D26" s="45">
        <f>+D66</f>
        <v>56590</v>
      </c>
      <c r="E26" s="59">
        <f t="shared" si="0"/>
        <v>187070</v>
      </c>
    </row>
    <row r="27" spans="1:5" x14ac:dyDescent="0.3">
      <c r="B27" s="2">
        <v>4</v>
      </c>
      <c r="C27" s="35" t="s">
        <v>96</v>
      </c>
      <c r="D27" s="45">
        <f>+D95</f>
        <v>230590</v>
      </c>
      <c r="E27" s="59">
        <f t="shared" si="0"/>
        <v>762280</v>
      </c>
    </row>
    <row r="28" spans="1:5" x14ac:dyDescent="0.3">
      <c r="B28" s="2">
        <v>5</v>
      </c>
      <c r="C28" s="35" t="s">
        <v>97</v>
      </c>
      <c r="D28" s="45">
        <f>+D119</f>
        <v>276460</v>
      </c>
      <c r="E28" s="59">
        <f t="shared" si="0"/>
        <v>913920</v>
      </c>
    </row>
    <row r="29" spans="1:5" x14ac:dyDescent="0.3">
      <c r="B29" s="2">
        <v>6</v>
      </c>
      <c r="C29" s="35" t="s">
        <v>98</v>
      </c>
      <c r="D29" s="45">
        <f>+D133</f>
        <v>66180</v>
      </c>
      <c r="E29" s="59">
        <f t="shared" si="0"/>
        <v>218770</v>
      </c>
    </row>
    <row r="30" spans="1:5" x14ac:dyDescent="0.3">
      <c r="B30" s="2">
        <v>7</v>
      </c>
      <c r="C30" s="35" t="s">
        <v>99</v>
      </c>
      <c r="D30" s="45">
        <f>+D146</f>
        <v>55260</v>
      </c>
      <c r="E30" s="59">
        <f t="shared" si="0"/>
        <v>182670</v>
      </c>
    </row>
    <row r="31" spans="1:5" x14ac:dyDescent="0.3">
      <c r="B31" s="2">
        <v>8</v>
      </c>
      <c r="C31" s="35" t="s">
        <v>100</v>
      </c>
      <c r="D31" s="45">
        <f>+D154</f>
        <v>56930</v>
      </c>
      <c r="E31" s="59">
        <f t="shared" si="0"/>
        <v>188190</v>
      </c>
    </row>
    <row r="32" spans="1:5" x14ac:dyDescent="0.3">
      <c r="B32" s="2">
        <v>9</v>
      </c>
      <c r="C32" s="35" t="s">
        <v>101</v>
      </c>
      <c r="D32" s="45">
        <f>+D161</f>
        <v>80360</v>
      </c>
      <c r="E32" s="59">
        <f t="shared" si="0"/>
        <v>265650</v>
      </c>
    </row>
    <row r="33" spans="1:7" x14ac:dyDescent="0.3">
      <c r="B33" s="2">
        <v>10</v>
      </c>
      <c r="C33" s="35" t="s">
        <v>155</v>
      </c>
      <c r="D33" s="53">
        <f>TRUNC(SUM(D24:D32)*0.275,-1)</f>
        <v>478820</v>
      </c>
      <c r="E33" s="60">
        <f t="shared" si="0"/>
        <v>1582880</v>
      </c>
    </row>
    <row r="34" spans="1:7" x14ac:dyDescent="0.3">
      <c r="C34" s="35" t="s">
        <v>112</v>
      </c>
      <c r="D34" s="44">
        <f>SUM(D24:D33)</f>
        <v>2220000</v>
      </c>
      <c r="E34" s="44">
        <f>SUM(E24:E33)</f>
        <v>7338830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TRUNC(53144,-1)</f>
        <v>53140</v>
      </c>
      <c r="E40" s="62">
        <f t="shared" ref="E40:E59" si="1">TRUNC(+D40*3.3058,-1)</f>
        <v>175670</v>
      </c>
    </row>
    <row r="41" spans="1:7" x14ac:dyDescent="0.3">
      <c r="A41" s="2">
        <v>2</v>
      </c>
      <c r="C41" s="38" t="s">
        <v>13</v>
      </c>
      <c r="D41" s="42">
        <f>TRUNC(177532,-1)</f>
        <v>177530</v>
      </c>
      <c r="E41" s="63">
        <f t="shared" si="1"/>
        <v>586870</v>
      </c>
    </row>
    <row r="42" spans="1:7" x14ac:dyDescent="0.3">
      <c r="A42" s="2">
        <v>3</v>
      </c>
      <c r="C42" s="38" t="s">
        <v>14</v>
      </c>
      <c r="D42" s="42">
        <f>TRUNC(13147,-1)</f>
        <v>13140</v>
      </c>
      <c r="E42" s="63">
        <f t="shared" si="1"/>
        <v>43430</v>
      </c>
    </row>
    <row r="43" spans="1:7" x14ac:dyDescent="0.3">
      <c r="A43" s="2">
        <v>4</v>
      </c>
      <c r="C43" s="38" t="s">
        <v>16</v>
      </c>
      <c r="D43" s="42">
        <f>TRUNC(24584,-1)</f>
        <v>24580</v>
      </c>
      <c r="E43" s="63">
        <f t="shared" si="1"/>
        <v>81250</v>
      </c>
    </row>
    <row r="44" spans="1:7" x14ac:dyDescent="0.3">
      <c r="A44" s="2">
        <v>5</v>
      </c>
      <c r="C44" s="38" t="s">
        <v>17</v>
      </c>
      <c r="D44" s="42">
        <f>TRUNC(24375,-1)</f>
        <v>24370</v>
      </c>
      <c r="E44" s="63">
        <f t="shared" si="1"/>
        <v>80560</v>
      </c>
    </row>
    <row r="45" spans="1:7" x14ac:dyDescent="0.3">
      <c r="A45" s="2">
        <v>6</v>
      </c>
      <c r="C45" s="38" t="s">
        <v>18</v>
      </c>
      <c r="D45" s="42">
        <f>TRUNC(28458,-1)</f>
        <v>28450</v>
      </c>
      <c r="E45" s="63">
        <f t="shared" si="1"/>
        <v>94050</v>
      </c>
    </row>
    <row r="46" spans="1:7" x14ac:dyDescent="0.3">
      <c r="A46" s="2">
        <v>7</v>
      </c>
      <c r="C46" s="38" t="s">
        <v>19</v>
      </c>
      <c r="D46" s="42">
        <f>TRUNC(92911,-1)</f>
        <v>92910</v>
      </c>
      <c r="E46" s="63">
        <f t="shared" si="1"/>
        <v>307140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TRUNC(30687,-1)</f>
        <v>30680</v>
      </c>
      <c r="E48" s="63">
        <f t="shared" si="1"/>
        <v>101420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TRUNC(26027,-1)</f>
        <v>26020</v>
      </c>
      <c r="E49" s="63">
        <f t="shared" si="1"/>
        <v>86010</v>
      </c>
    </row>
    <row r="50" spans="1:7" x14ac:dyDescent="0.3">
      <c r="A50" s="2">
        <v>11</v>
      </c>
      <c r="C50" s="38" t="s">
        <v>156</v>
      </c>
      <c r="D50" s="42">
        <f>TRUNC(56113,-1)</f>
        <v>56110</v>
      </c>
      <c r="E50" s="63">
        <f t="shared" si="1"/>
        <v>185480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15120</v>
      </c>
      <c r="E52" s="63">
        <f t="shared" si="1"/>
        <v>49980</v>
      </c>
    </row>
    <row r="53" spans="1:7" x14ac:dyDescent="0.3">
      <c r="A53" s="2">
        <v>14</v>
      </c>
      <c r="C53" s="38" t="s">
        <v>25</v>
      </c>
      <c r="D53" s="42">
        <f>TRUNC(89649,-1)</f>
        <v>89640</v>
      </c>
      <c r="E53" s="63">
        <f t="shared" si="1"/>
        <v>296330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TRUNC(1579+5239-817+259+9007,-1)</f>
        <v>15260</v>
      </c>
      <c r="E58" s="63">
        <f t="shared" si="1"/>
        <v>50440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TRUNC(271868,-1)</f>
        <v>271860</v>
      </c>
      <c r="E59" s="64">
        <f t="shared" si="1"/>
        <v>898710</v>
      </c>
    </row>
    <row r="60" spans="1:7" x14ac:dyDescent="0.3">
      <c r="A60" s="2">
        <v>21</v>
      </c>
      <c r="C60" s="27" t="s">
        <v>112</v>
      </c>
      <c r="D60" s="39">
        <f>SUM(D40:D59)</f>
        <v>918810</v>
      </c>
      <c r="E60" s="39">
        <f>SUM(E40:E59)</f>
        <v>3037340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TRUNC(27835,-1)</f>
        <v>27830</v>
      </c>
      <c r="E63" s="62">
        <f>TRUNC(+D63*3.3058,-1)</f>
        <v>92000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TRUNC(28764,-1)</f>
        <v>28760</v>
      </c>
      <c r="E65" s="64">
        <f>TRUNC(+D65*3.3058,-1)</f>
        <v>95070</v>
      </c>
    </row>
    <row r="66" spans="1:7" x14ac:dyDescent="0.3">
      <c r="A66" s="2">
        <v>4</v>
      </c>
      <c r="C66" s="27" t="s">
        <v>112</v>
      </c>
      <c r="D66" s="39">
        <f>SUM(D63:D65)</f>
        <v>56590</v>
      </c>
      <c r="E66" s="65">
        <f>SUM(E63:E65)</f>
        <v>187070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TRUNC(43397,-1)</f>
        <v>43390</v>
      </c>
      <c r="E69" s="62">
        <f t="shared" ref="E69:E94" si="2">TRUNC(+D69*3.3058,-1)</f>
        <v>143430</v>
      </c>
    </row>
    <row r="70" spans="1:7" ht="16.5" customHeight="1" x14ac:dyDescent="0.3">
      <c r="A70" s="2">
        <v>2</v>
      </c>
      <c r="C70" s="38" t="s">
        <v>31</v>
      </c>
      <c r="D70" s="42">
        <f>TRUNC(2632,-1)</f>
        <v>2630</v>
      </c>
      <c r="E70" s="63">
        <f t="shared" si="2"/>
        <v>8690</v>
      </c>
    </row>
    <row r="71" spans="1:7" x14ac:dyDescent="0.3">
      <c r="A71" s="2">
        <v>3</v>
      </c>
      <c r="C71" s="38" t="s">
        <v>32</v>
      </c>
      <c r="D71" s="42">
        <f>TRUNC(6814,-1)</f>
        <v>6810</v>
      </c>
      <c r="E71" s="63">
        <f t="shared" si="2"/>
        <v>22510</v>
      </c>
    </row>
    <row r="72" spans="1:7" x14ac:dyDescent="0.3">
      <c r="A72" s="2">
        <v>4</v>
      </c>
      <c r="C72" s="38" t="s">
        <v>33</v>
      </c>
      <c r="D72" s="42">
        <f>TRUNC(9027,-1)</f>
        <v>9020</v>
      </c>
      <c r="E72" s="63">
        <f t="shared" si="2"/>
        <v>29810</v>
      </c>
    </row>
    <row r="73" spans="1:7" x14ac:dyDescent="0.3">
      <c r="A73" s="2">
        <v>5</v>
      </c>
      <c r="C73" s="38" t="s">
        <v>34</v>
      </c>
      <c r="D73" s="42">
        <f>TRUNC(10416,-1)</f>
        <v>10410</v>
      </c>
      <c r="E73" s="63">
        <f t="shared" si="2"/>
        <v>34410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TRUNC(7705,-1)</f>
        <v>7700</v>
      </c>
      <c r="E89" s="63">
        <f t="shared" si="2"/>
        <v>25450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TRUNC(4854,-1)</f>
        <v>4850</v>
      </c>
      <c r="E91" s="63">
        <f t="shared" si="2"/>
        <v>16030</v>
      </c>
    </row>
    <row r="92" spans="1:7" x14ac:dyDescent="0.3">
      <c r="A92" s="2">
        <v>24</v>
      </c>
      <c r="C92" s="38" t="s">
        <v>38</v>
      </c>
      <c r="D92" s="42">
        <f>TRUNC(9085,-1)</f>
        <v>9080</v>
      </c>
      <c r="E92" s="63">
        <f t="shared" si="2"/>
        <v>30010</v>
      </c>
    </row>
    <row r="93" spans="1:7" x14ac:dyDescent="0.3">
      <c r="A93" s="2">
        <v>25</v>
      </c>
      <c r="C93" s="38" t="s">
        <v>149</v>
      </c>
      <c r="D93" s="42">
        <f>TRUNC(126519,-1)</f>
        <v>126510</v>
      </c>
      <c r="E93" s="63">
        <f t="shared" si="2"/>
        <v>418210</v>
      </c>
    </row>
    <row r="94" spans="1:7" ht="17.25" thickBot="1" x14ac:dyDescent="0.35">
      <c r="A94" s="2">
        <v>26</v>
      </c>
      <c r="C94" s="38" t="s">
        <v>47</v>
      </c>
      <c r="D94" s="43">
        <f>TRUNC(1077+5429+814+2876,-1)</f>
        <v>10190</v>
      </c>
      <c r="E94" s="64">
        <f t="shared" si="2"/>
        <v>33680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230590</v>
      </c>
      <c r="E95" s="39">
        <f>SUM(E69:E94)</f>
        <v>762230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TRUNC(8773,-1)</f>
        <v>8770</v>
      </c>
      <c r="E98" s="62">
        <f t="shared" ref="E98:E118" si="3">TRUNC(+D98*3.3058,-1)</f>
        <v>28990</v>
      </c>
    </row>
    <row r="99" spans="1:7" x14ac:dyDescent="0.3">
      <c r="A99" s="2">
        <v>2</v>
      </c>
      <c r="C99" s="38" t="s">
        <v>40</v>
      </c>
      <c r="D99" s="42">
        <f>TRUNC(5367,-1)</f>
        <v>5360</v>
      </c>
      <c r="E99" s="63">
        <f t="shared" si="3"/>
        <v>17710</v>
      </c>
    </row>
    <row r="100" spans="1:7" x14ac:dyDescent="0.3">
      <c r="A100" s="2">
        <v>3</v>
      </c>
      <c r="C100" s="38" t="s">
        <v>41</v>
      </c>
      <c r="D100" s="42">
        <f>TRUNC(34158,-1)</f>
        <v>34150</v>
      </c>
      <c r="E100" s="63">
        <f t="shared" si="3"/>
        <v>112890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TRUNC(24359,-1)</f>
        <v>24350</v>
      </c>
      <c r="E102" s="63">
        <f t="shared" si="3"/>
        <v>80490</v>
      </c>
    </row>
    <row r="103" spans="1:7" x14ac:dyDescent="0.3">
      <c r="A103" s="2">
        <v>6</v>
      </c>
      <c r="C103" s="38" t="s">
        <v>44</v>
      </c>
      <c r="D103" s="42">
        <f>TRUNC(7936,-1)</f>
        <v>7930</v>
      </c>
      <c r="E103" s="63">
        <f t="shared" si="3"/>
        <v>26210</v>
      </c>
    </row>
    <row r="104" spans="1:7" x14ac:dyDescent="0.3">
      <c r="A104" s="2">
        <v>7</v>
      </c>
      <c r="C104" s="38" t="s">
        <v>45</v>
      </c>
      <c r="D104" s="42">
        <f>TRUNC(4578,-1)</f>
        <v>4570</v>
      </c>
      <c r="E104" s="63">
        <f t="shared" si="3"/>
        <v>15100</v>
      </c>
    </row>
    <row r="105" spans="1:7" x14ac:dyDescent="0.3">
      <c r="A105" s="2">
        <v>8</v>
      </c>
      <c r="C105" s="38" t="s">
        <v>46</v>
      </c>
      <c r="D105" s="42">
        <f>TRUNC(5138,-1)</f>
        <v>5130</v>
      </c>
      <c r="E105" s="63">
        <f t="shared" si="3"/>
        <v>16950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5800</v>
      </c>
      <c r="E114" s="63">
        <f t="shared" si="3"/>
        <v>19170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TRUNC(3776,-1)</f>
        <v>3770</v>
      </c>
      <c r="E116" s="63">
        <f t="shared" si="3"/>
        <v>12460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TRUNC(168028,-1)</f>
        <v>168020</v>
      </c>
      <c r="E117" s="63">
        <f t="shared" si="3"/>
        <v>555440</v>
      </c>
    </row>
    <row r="118" spans="1:7" ht="17.25" thickBot="1" x14ac:dyDescent="0.35">
      <c r="A118" s="2">
        <v>21</v>
      </c>
      <c r="C118" s="38" t="s">
        <v>47</v>
      </c>
      <c r="D118" s="43">
        <f>TRUNC(8616,-1)</f>
        <v>8610</v>
      </c>
      <c r="E118" s="64">
        <f t="shared" si="3"/>
        <v>28460</v>
      </c>
    </row>
    <row r="119" spans="1:7" x14ac:dyDescent="0.3">
      <c r="A119" s="2">
        <v>22</v>
      </c>
      <c r="C119" s="27" t="s">
        <v>112</v>
      </c>
      <c r="D119" s="39">
        <f>SUM(D98:D118)</f>
        <v>276460</v>
      </c>
      <c r="E119" s="39">
        <f>SUM(E98:E118)</f>
        <v>913870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TRUNC(5866,-1)</f>
        <v>5860</v>
      </c>
      <c r="E122" s="62">
        <f t="shared" ref="E122:E132" si="4">TRUNC(+D122*3.3058,-1)</f>
        <v>19370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TRUNC(8591,-1)</f>
        <v>8590</v>
      </c>
      <c r="E125" s="63">
        <f t="shared" si="4"/>
        <v>28390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TRUNC(2592,-1)</f>
        <v>2590</v>
      </c>
      <c r="E127" s="63">
        <f t="shared" si="4"/>
        <v>8560</v>
      </c>
    </row>
    <row r="128" spans="1:7" x14ac:dyDescent="0.3">
      <c r="A128" s="2">
        <v>7</v>
      </c>
      <c r="C128" s="38" t="s">
        <v>46</v>
      </c>
      <c r="D128" s="42">
        <f>TRUNC(5818,-1)</f>
        <v>5810</v>
      </c>
      <c r="E128" s="63">
        <f t="shared" si="4"/>
        <v>19200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TRUNC(28462,-1)</f>
        <v>28460</v>
      </c>
      <c r="E130" s="63">
        <f t="shared" si="4"/>
        <v>94080</v>
      </c>
    </row>
    <row r="131" spans="1:7" x14ac:dyDescent="0.3">
      <c r="A131" s="2">
        <v>10</v>
      </c>
      <c r="C131" s="38" t="s">
        <v>149</v>
      </c>
      <c r="D131" s="42">
        <f>TRUNC(12106,-1)</f>
        <v>12100</v>
      </c>
      <c r="E131" s="63">
        <f t="shared" si="4"/>
        <v>40000</v>
      </c>
    </row>
    <row r="132" spans="1:7" ht="18" thickBot="1" x14ac:dyDescent="0.35">
      <c r="A132" s="2">
        <v>11</v>
      </c>
      <c r="C132" s="38" t="s">
        <v>47</v>
      </c>
      <c r="D132" s="43">
        <f>TRUNC(2775,-1)</f>
        <v>2770</v>
      </c>
      <c r="E132" s="64">
        <f t="shared" si="4"/>
        <v>9150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66180</v>
      </c>
      <c r="E133" s="39">
        <f>SUM(E122:E132)</f>
        <v>218750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4909+571</f>
        <v>5480</v>
      </c>
      <c r="E137" s="63">
        <f t="shared" si="5"/>
        <v>18110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TRUNC(1702,-1)</f>
        <v>1700</v>
      </c>
      <c r="E139" s="63">
        <f t="shared" si="5"/>
        <v>5610</v>
      </c>
    </row>
    <row r="140" spans="1:7" x14ac:dyDescent="0.3">
      <c r="A140" s="2">
        <v>5</v>
      </c>
      <c r="C140" s="38" t="s">
        <v>57</v>
      </c>
      <c r="D140" s="42">
        <f>TRUNC(2602,-1)</f>
        <v>2600</v>
      </c>
      <c r="E140" s="63">
        <f t="shared" si="5"/>
        <v>8590</v>
      </c>
    </row>
    <row r="141" spans="1:7" x14ac:dyDescent="0.3">
      <c r="A141" s="2">
        <v>6</v>
      </c>
      <c r="C141" s="38" t="s">
        <v>59</v>
      </c>
      <c r="D141" s="42">
        <f>TRUNC(4622,-1)</f>
        <v>4620</v>
      </c>
      <c r="E141" s="63">
        <f t="shared" si="5"/>
        <v>15270</v>
      </c>
    </row>
    <row r="142" spans="1:7" x14ac:dyDescent="0.3">
      <c r="A142" s="2">
        <v>7</v>
      </c>
      <c r="C142" s="38" t="s">
        <v>58</v>
      </c>
      <c r="D142" s="42">
        <v>4250</v>
      </c>
      <c r="E142" s="63">
        <f t="shared" si="5"/>
        <v>14040</v>
      </c>
    </row>
    <row r="143" spans="1:7" x14ac:dyDescent="0.3">
      <c r="A143" s="2">
        <v>8</v>
      </c>
      <c r="C143" s="38" t="s">
        <v>62</v>
      </c>
      <c r="D143" s="42">
        <f>TRUNC(16218,-1)</f>
        <v>16210</v>
      </c>
      <c r="E143" s="63">
        <f t="shared" si="5"/>
        <v>53580</v>
      </c>
    </row>
    <row r="144" spans="1:7" x14ac:dyDescent="0.3">
      <c r="A144" s="2">
        <v>9</v>
      </c>
      <c r="C144" s="38" t="s">
        <v>63</v>
      </c>
      <c r="D144" s="42">
        <f>TRUNC(18188,-1)</f>
        <v>18180</v>
      </c>
      <c r="E144" s="63">
        <f t="shared" si="5"/>
        <v>60090</v>
      </c>
    </row>
    <row r="145" spans="1:7" ht="17.25" thickBot="1" x14ac:dyDescent="0.35">
      <c r="A145" s="2">
        <v>10</v>
      </c>
      <c r="C145" s="38" t="s">
        <v>149</v>
      </c>
      <c r="D145" s="43">
        <f>TRUNC(2225,-1)</f>
        <v>2220</v>
      </c>
      <c r="E145" s="64">
        <f t="shared" si="5"/>
        <v>7330</v>
      </c>
    </row>
    <row r="146" spans="1:7" x14ac:dyDescent="0.3">
      <c r="A146" s="2">
        <v>11</v>
      </c>
      <c r="C146" s="27" t="s">
        <v>112</v>
      </c>
      <c r="D146" s="39">
        <f>SUM(D136:D145)</f>
        <v>55260</v>
      </c>
      <c r="E146" s="39">
        <f>SUM(E136:E145)</f>
        <v>182620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TRUNC(8124+1242,-1)</f>
        <v>9360</v>
      </c>
      <c r="E149" s="62">
        <f>TRUNC(+D149*3.3058,-1)</f>
        <v>30940</v>
      </c>
    </row>
    <row r="150" spans="1:7" x14ac:dyDescent="0.3">
      <c r="A150" s="2">
        <v>2</v>
      </c>
      <c r="C150" s="38" t="s">
        <v>49</v>
      </c>
      <c r="D150" s="42">
        <v>7500</v>
      </c>
      <c r="E150" s="63">
        <f>TRUNC(+D150*3.3058,-1)</f>
        <v>24790</v>
      </c>
    </row>
    <row r="151" spans="1:7" x14ac:dyDescent="0.3">
      <c r="A151" s="2">
        <v>3</v>
      </c>
      <c r="C151" s="38" t="s">
        <v>50</v>
      </c>
      <c r="D151" s="42">
        <f>TRUNC(4819,-1)</f>
        <v>4810</v>
      </c>
      <c r="E151" s="63">
        <f>TRUNC(+D151*3.3058,-1)</f>
        <v>15900</v>
      </c>
    </row>
    <row r="152" spans="1:7" x14ac:dyDescent="0.3">
      <c r="A152" s="2">
        <v>4</v>
      </c>
      <c r="C152" s="38" t="s">
        <v>47</v>
      </c>
      <c r="D152" s="42">
        <f>TRUNC(16379+272,-1)</f>
        <v>16650</v>
      </c>
      <c r="E152" s="63">
        <f>TRUNC(+D152*3.3058,-1)</f>
        <v>55040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TRUNC(18615,-1)</f>
        <v>18610</v>
      </c>
      <c r="E153" s="64">
        <f>TRUNC(+D153*3.3058,-1)</f>
        <v>61520</v>
      </c>
    </row>
    <row r="154" spans="1:7" x14ac:dyDescent="0.3">
      <c r="A154" s="2">
        <v>6</v>
      </c>
      <c r="C154" s="27" t="s">
        <v>112</v>
      </c>
      <c r="D154" s="39">
        <f>SUM(D149:D153)</f>
        <v>56930</v>
      </c>
      <c r="E154" s="39">
        <f>SUM(E149:E153)</f>
        <v>188190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TRUNC(41672,-1)</f>
        <v>41670</v>
      </c>
      <c r="E157" s="62">
        <f>TRUNC(+D157*3.3058,-1)</f>
        <v>137750</v>
      </c>
    </row>
    <row r="158" spans="1:7" x14ac:dyDescent="0.3">
      <c r="A158" s="2">
        <v>2</v>
      </c>
      <c r="C158" s="38" t="s">
        <v>52</v>
      </c>
      <c r="D158" s="42">
        <f>TRUNC(4893,-1)</f>
        <v>4890</v>
      </c>
      <c r="E158" s="63">
        <f>TRUNC(+D158*3.3058,-1)</f>
        <v>16160</v>
      </c>
    </row>
    <row r="159" spans="1:7" x14ac:dyDescent="0.3">
      <c r="A159" s="2">
        <v>3</v>
      </c>
      <c r="C159" s="38" t="s">
        <v>47</v>
      </c>
      <c r="D159" s="42">
        <f>TRUNC(17732+1,-1)</f>
        <v>17730</v>
      </c>
      <c r="E159" s="63">
        <f>TRUNC(+D159*3.3058,-1)</f>
        <v>58610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f>TRUNC(16072,-1)</f>
        <v>16070</v>
      </c>
      <c r="E160" s="64">
        <f>TRUNC(+D160*3.3058,-1)</f>
        <v>53120</v>
      </c>
    </row>
    <row r="161" spans="1:5" x14ac:dyDescent="0.3">
      <c r="A161" s="2">
        <v>5</v>
      </c>
      <c r="C161" s="27" t="s">
        <v>112</v>
      </c>
      <c r="D161" s="39">
        <f>SUM(D157:D160)</f>
        <v>80360</v>
      </c>
      <c r="E161" s="39">
        <f>SUM(E157:E160)</f>
        <v>265640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2020-12-08T04:51:27Z</dcterms:modified>
</cp:coreProperties>
</file>