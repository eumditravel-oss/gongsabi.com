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1" i="4"/>
  <c r="D150" i="4"/>
  <c r="D149" i="4"/>
  <c r="D144" i="4"/>
  <c r="D143" i="4"/>
  <c r="D142" i="4"/>
  <c r="D140" i="4"/>
  <c r="D138" i="4"/>
  <c r="D137" i="4"/>
  <c r="D132" i="4"/>
  <c r="D131" i="4"/>
  <c r="D128" i="4"/>
  <c r="D127" i="4"/>
  <c r="D126" i="4"/>
  <c r="D125" i="4"/>
  <c r="D122" i="4"/>
  <c r="D118" i="4"/>
  <c r="D116" i="4"/>
  <c r="D105" i="4"/>
  <c r="D104" i="4"/>
  <c r="D103" i="4"/>
  <c r="D100" i="4"/>
  <c r="D99" i="4"/>
  <c r="D98" i="4"/>
  <c r="D94" i="4"/>
  <c r="D92" i="4"/>
  <c r="D91" i="4"/>
  <c r="D89" i="4"/>
  <c r="D73" i="4"/>
  <c r="D72" i="4"/>
  <c r="D70" i="4"/>
  <c r="D63" i="4"/>
  <c r="D59" i="4"/>
  <c r="D58" i="4"/>
  <c r="D53" i="4"/>
  <c r="D52" i="4"/>
  <c r="D49" i="4"/>
  <c r="D48" i="4"/>
  <c r="D46" i="4"/>
  <c r="D45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<sst xmlns="http://schemas.openxmlformats.org/spreadsheetml/2006/main" count="392" uniqueCount="268">
  <si>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</si>
  <si>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</si>
  <si>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</si>
  <si>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</si>
  <si>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</si>
  <si>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</si>
  <si>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</si>
  <si>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</si>
  <si>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</si>
  <si>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</si>
  <si>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</si>
  <si>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</si>
  <si>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</si>
  <si>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</si>
  <si>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</si>
  <si>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</si>
  <si>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</si>
  <si>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</si>
  <si>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</si>
  <si>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</si>
  <si>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</si>
  <si>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</si>
  <si>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</si>
  <si>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</si>
  <si>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</si>
  <si>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</si>
  <si>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</si>
  <si>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</si>
  <si>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</si>
  <si>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</si>
  <si>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</si>
  <si>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</si>
  <si>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</si>
  <si>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</si>
  <si>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</si>
  <si>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</si>
  <si>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</si>
  <si>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</si>
  <si>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</si>
  <si>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</si>
  <si>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</si>
  <si>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</si>
  <si>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</si>
  <si>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</si>
  <si>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</si>
  <si>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</si>
  <si>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</si>
  <si>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</si>
  <si>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</si>
  <si>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</si>
  <si>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</si>
  <si>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</si>
  <si>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</si>
  <si>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</si>
  <si>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</si>
  <si>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</si>
  <si>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</si>
  <si>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</si>
  <si>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</si>
  <si>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</si>
  <si>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</si>
  <si>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</si>
  <si>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</si>
  <si>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</si>
  <si>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</si>
  <si>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</si>
  <si>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</si>
  <si>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</si>
  <si>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</si>
  <si>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</si>
  <si>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</si>
  <si>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</si>
  <si>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</si>
  <si>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</si>
  <si>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</si>
  <si>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</si>
  <si>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</si>
  <si>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</si>
  <si>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</si>
  <si>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</si>
  <si>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</si>
  <si>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</si>
  <si>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</si>
  <si>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</si>
  <si>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</si>
  <si>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</si>
  <si>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</si>
  <si>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</si>
  <si>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</si>
  <si>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</si>
  <si>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</si>
  <si>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</si>
  <si>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</si>
  <si>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</si>
  <si>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</si>
  <si>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</si>
  <si>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</si>
  <si>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</si>
  <si>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</si>
  <si>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</si>
  <si>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</si>
  <si>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</si>
  <si>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</si>
  <si>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</si>
  <si>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</si>
  <si>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</si>
  <si>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</si>
  <si>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</si>
  <si>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</si>
  <si>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</si>
  <si>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</si>
  <si>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</si>
  <si>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</si>
  <si>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</si>
  <si>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</si>
  <si>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</si>
  <si>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</si>
  <si>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</si>
  <si>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</si>
  <si>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</si>
  <si>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</si>
  <si>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</si>
  <si>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</si>
  <si>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</si>
  <si>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</si>
  <si>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</si>
  <si>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</si>
  <si>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</si>
  <si>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</si>
  <si>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</si>
  <si>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</si>
  <si>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</si>
  <si>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</si>
  <si>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</si>
  <si>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</si>
  <si>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</si>
  <si>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</si>
  <si>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</si>
  <si>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</si>
  <si>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</si>
  <si>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</si>
  <si>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</si>
  <si>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</si>
  <si>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</si>
  <si>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</si>
  <si>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</si>
  <si>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</si>
  <si>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</si>
  <si>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</si>
  <si>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</si>
  <si>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</si>
  <si>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</si>
  <si>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</si>
  <si>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</si>
  <si>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</si>
  <si>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</si>
  <si>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</si>
  <si>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</si>
  <si>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</si>
  <si>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</si>
  <si>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</si>
  <si>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</si>
  <si>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</si>
  <si>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</si>
  <si>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</si>
  <si>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</si>
  <si>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</si>
  <si>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</si>
  <si>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</si>
  <si>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</si>
  <si>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</si>
  <si>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</si>
  <si>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</si>
  <si>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</si>
  <si>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</si>
  <si>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</si>
  <si>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</si>
  <si>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</si>
  <si>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</si>
  <si>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</si>
  <si>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</si>
  <si>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</si>
  <si>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</si>
  <si>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</si>
  <si>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</si>
  <si>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</si>
  <si>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</si>
  <si>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</si>
  <si>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</si>
  <si>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</si>
  <si>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</si>
  <si>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</si>
  <si>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</si>
  <si>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</si>
  <si>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</si>
  <si>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</si>
  <si>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</si>
  <si>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</si>
  <si>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</si>
  <si>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</si>
  <si>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</si>
  <si>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</si>
  <si>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</si>
  <si>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</si>
  <si>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</si>
  <si>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</si>
  <si>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</si>
  <si>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</si>
  <si>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</si>
  <si>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</si>
  <si>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</si>
  <si>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</si>
  <si>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</si>
  <si>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</si>
  <si>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</si>
  <si>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</si>
  <si>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</si>
  <si>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</si>
  <si>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</si>
  <si>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</si>
  <si>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</si>
  <si>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</si>
  <si>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</si>
  <si>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</si>
  <si>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</si>
  <si>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</si>
  <si>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</si>
  <si>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</si>
  <si>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</si>
  <si>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</si>
  <si>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</si>
  <si>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</si>
  <si>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</si>
  <si>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</si>
  <si>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</si>
  <si>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</si>
  <si>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</si>
  <si>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</si>
  <si>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</si>
  <si>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</si>
  <si>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</si>
  <si>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</si>
  <si>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</si>
  <si>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</si>
  <si>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</si>
  <si>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</si>
  <si>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</si>
  <si>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</si>
  <si>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</si>
  <si>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</si>
  <si>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</si>
  <si>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</si>
  <si>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</si>
  <si>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</si>
  <si>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</si>
  <si>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</si>
  <si>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</si>
  <si>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비상용 통합접근관제센터 신축공사</t>
    <phoneticPr fontId="2" type="noConversion"/>
  </si>
  <si>
    <t>기타</t>
  </si>
  <si>
    <t>충청도</t>
  </si>
  <si>
    <t>기초공사, 폐기물처리비, 골재비및운반비, 작업부산물</t>
    <phoneticPr fontId="2" type="noConversion"/>
  </si>
  <si>
    <t>펌프실배관공사</t>
    <phoneticPr fontId="2" type="noConversion"/>
  </si>
  <si>
    <t>상수도공사, 기타공사</t>
    <phoneticPr fontId="2" type="noConversion"/>
  </si>
  <si>
    <t>포장공사</t>
    <phoneticPr fontId="2" type="noConversion"/>
  </si>
  <si>
    <t xml:space="preserve">  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</si>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</sst>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>
      <c r="A1" s="2" t="s">
        <v>264</v>
      </c>
    </row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1637.92</v>
      </c>
      <c r="D7" s="36">
        <f>+C7/3.3058</f>
        <v>495.46857039143327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1275380</v>
      </c>
      <c r="E25" s="59">
        <f t="shared" si="0"/>
        <v>4216150</v>
      </c>
    </row>
    <row r="26" spans="1:5" x14ac:dyDescent="0.3">
      <c r="B26" s="2">
        <v>3</v>
      </c>
      <c r="C26" s="35" t="s">
        <v>95</v>
      </c>
      <c r="D26" s="45">
        <f>+D66</f>
        <v>730</v>
      </c>
      <c r="E26" s="59">
        <f t="shared" si="0"/>
        <v>2410</v>
      </c>
    </row>
    <row r="27" spans="1:5" x14ac:dyDescent="0.3">
      <c r="B27" s="2">
        <v>4</v>
      </c>
      <c r="C27" s="35" t="s">
        <v>96</v>
      </c>
      <c r="D27" s="45">
        <f>+D95</f>
        <v>82400</v>
      </c>
      <c r="E27" s="59">
        <f t="shared" si="0"/>
        <v>272390</v>
      </c>
    </row>
    <row r="28" spans="1:5" x14ac:dyDescent="0.3">
      <c r="B28" s="2">
        <v>5</v>
      </c>
      <c r="C28" s="35" t="s">
        <v>97</v>
      </c>
      <c r="D28" s="45">
        <f>+D119</f>
        <v>373470</v>
      </c>
      <c r="E28" s="59">
        <f t="shared" si="0"/>
        <v>1234610</v>
      </c>
    </row>
    <row r="29" spans="1:5" x14ac:dyDescent="0.3">
      <c r="B29" s="2">
        <v>6</v>
      </c>
      <c r="C29" s="35" t="s">
        <v>98</v>
      </c>
      <c r="D29" s="45">
        <f>+D133</f>
        <v>339660</v>
      </c>
      <c r="E29" s="59">
        <f t="shared" si="0"/>
        <v>1122840</v>
      </c>
    </row>
    <row r="30" spans="1:5" x14ac:dyDescent="0.3">
      <c r="B30" s="2">
        <v>7</v>
      </c>
      <c r="C30" s="35" t="s">
        <v>99</v>
      </c>
      <c r="D30" s="45">
        <f>+D146</f>
        <v>94740</v>
      </c>
      <c r="E30" s="59">
        <f t="shared" si="0"/>
        <v>313190</v>
      </c>
    </row>
    <row r="31" spans="1:5" x14ac:dyDescent="0.3">
      <c r="B31" s="2">
        <v>8</v>
      </c>
      <c r="C31" s="35" t="s">
        <v>100</v>
      </c>
      <c r="D31" s="45">
        <f>+D154</f>
        <v>72640</v>
      </c>
      <c r="E31" s="59">
        <f t="shared" si="0"/>
        <v>240130</v>
      </c>
    </row>
    <row r="32" spans="1:5" x14ac:dyDescent="0.3">
      <c r="B32" s="2">
        <v>9</v>
      </c>
      <c r="C32" s="35" t="s">
        <v>101</v>
      </c>
      <c r="D32" s="45">
        <f>+D161</f>
        <v>13440</v>
      </c>
      <c r="E32" s="59">
        <f t="shared" si="0"/>
        <v>44420</v>
      </c>
    </row>
    <row r="33" spans="1:7" x14ac:dyDescent="0.3">
      <c r="B33" s="2">
        <v>10</v>
      </c>
      <c r="C33" s="35" t="s">
        <v>154</v>
      </c>
      <c r="D33" s="53">
        <f>TRUNC(SUM(D24:D32)*0.275,-1)</f>
        <v>619420</v>
      </c>
      <c r="E33" s="60">
        <f t="shared" si="0"/>
        <v>2047670</v>
      </c>
    </row>
    <row r="34" spans="1:7" x14ac:dyDescent="0.3">
      <c r="C34" s="35" t="s">
        <v>112</v>
      </c>
      <c r="D34" s="44">
        <f>SUM(D24:D33)</f>
        <v>2871880</v>
      </c>
      <c r="E34" s="44">
        <f>SUM(E24:E33)</f>
        <v>9493810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TRUNC(62775,-1)</f>
        <v>62770</v>
      </c>
      <c r="E40" s="62">
        <f t="shared" ref="E40:E59" si="1">TRUNC(+D40*3.3058,-1)</f>
        <v>207500</v>
      </c>
    </row>
    <row r="41" spans="1:7" x14ac:dyDescent="0.3">
      <c r="A41" s="2">
        <v>2</v>
      </c>
      <c r="C41" s="38" t="s">
        <v>13</v>
      </c>
      <c r="D41" s="42">
        <f>TRUNC(201964,-1)</f>
        <v>201960</v>
      </c>
      <c r="E41" s="63">
        <f t="shared" si="1"/>
        <v>667630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4470</v>
      </c>
      <c r="E43" s="63">
        <f t="shared" si="1"/>
        <v>14770</v>
      </c>
    </row>
    <row r="44" spans="1:7" x14ac:dyDescent="0.3">
      <c r="A44" s="2">
        <v>5</v>
      </c>
      <c r="C44" s="38" t="s">
        <v>17</v>
      </c>
      <c r="D44" s="42">
        <v>24170</v>
      </c>
      <c r="E44" s="63">
        <f t="shared" si="1"/>
        <v>79900</v>
      </c>
    </row>
    <row r="45" spans="1:7" x14ac:dyDescent="0.3">
      <c r="A45" s="2">
        <v>6</v>
      </c>
      <c r="C45" s="38" t="s">
        <v>18</v>
      </c>
      <c r="D45" s="42">
        <f>TRUNC(8649,-1)</f>
        <v>8640</v>
      </c>
      <c r="E45" s="63">
        <f t="shared" si="1"/>
        <v>28560</v>
      </c>
    </row>
    <row r="46" spans="1:7" x14ac:dyDescent="0.3">
      <c r="A46" s="2">
        <v>7</v>
      </c>
      <c r="C46" s="38" t="s">
        <v>19</v>
      </c>
      <c r="D46" s="42">
        <f>TRUNC(213445,-1)</f>
        <v>213440</v>
      </c>
      <c r="E46" s="63">
        <f t="shared" si="1"/>
        <v>705580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TRUNC(44517,-1)</f>
        <v>44510</v>
      </c>
      <c r="E48" s="63">
        <f t="shared" si="1"/>
        <v>147140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TRUNC(19529,-1)</f>
        <v>19520</v>
      </c>
      <c r="E49" s="63">
        <f t="shared" si="1"/>
        <v>64520</v>
      </c>
    </row>
    <row r="50" spans="1:7" x14ac:dyDescent="0.3">
      <c r="A50" s="2">
        <v>11</v>
      </c>
      <c r="C50" s="38" t="s">
        <v>155</v>
      </c>
      <c r="D50" s="42">
        <v>44890</v>
      </c>
      <c r="E50" s="63">
        <f t="shared" si="1"/>
        <v>148390</v>
      </c>
      <c r="F50" s="2" t="s">
        <v>255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TRUNC(10013,-1)</f>
        <v>10010</v>
      </c>
      <c r="E52" s="63">
        <f t="shared" si="1"/>
        <v>33090</v>
      </c>
    </row>
    <row r="53" spans="1:7" x14ac:dyDescent="0.3">
      <c r="A53" s="2">
        <v>14</v>
      </c>
      <c r="C53" s="38" t="s">
        <v>25</v>
      </c>
      <c r="D53" s="42">
        <f>TRUNC(214554,-1)</f>
        <v>214550</v>
      </c>
      <c r="E53" s="63">
        <f t="shared" si="1"/>
        <v>709250</v>
      </c>
      <c r="F53" s="2" t="s">
        <v>256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TRUNC(28807+1430+4200-764,-1)</f>
        <v>33670</v>
      </c>
      <c r="E58" s="63">
        <f t="shared" si="1"/>
        <v>111300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TRUNC(392784,-1)</f>
        <v>392780</v>
      </c>
      <c r="E59" s="64">
        <f t="shared" si="1"/>
        <v>1298450</v>
      </c>
    </row>
    <row r="60" spans="1:7" x14ac:dyDescent="0.3">
      <c r="A60" s="2">
        <v>21</v>
      </c>
      <c r="C60" s="27" t="s">
        <v>112</v>
      </c>
      <c r="D60" s="39">
        <f>SUM(D40:D59)</f>
        <v>1275380</v>
      </c>
      <c r="E60" s="39">
        <f>SUM(E40:E59)</f>
        <v>4216080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TRUNC(737,-1)</f>
        <v>730</v>
      </c>
      <c r="E63" s="62">
        <f>TRUNC(+D63*3.3058,-1)</f>
        <v>2410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730</v>
      </c>
      <c r="E66" s="65">
        <f>SUM(E63:E65)</f>
        <v>2410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19930</v>
      </c>
      <c r="E69" s="62">
        <f t="shared" ref="E69:E94" si="2">TRUNC(+D69*3.3058,-1)</f>
        <v>65880</v>
      </c>
    </row>
    <row r="70" spans="1:7" ht="16.5" customHeight="1" x14ac:dyDescent="0.3">
      <c r="A70" s="2">
        <v>2</v>
      </c>
      <c r="C70" s="38" t="s">
        <v>31</v>
      </c>
      <c r="D70" s="42">
        <f>TRUNC(175,-1)</f>
        <v>170</v>
      </c>
      <c r="E70" s="63">
        <f t="shared" si="2"/>
        <v>560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TRUNC(15563,-1)</f>
        <v>15560</v>
      </c>
      <c r="E72" s="63">
        <f t="shared" si="2"/>
        <v>51430</v>
      </c>
    </row>
    <row r="73" spans="1:7" x14ac:dyDescent="0.3">
      <c r="A73" s="2">
        <v>5</v>
      </c>
      <c r="C73" s="38" t="s">
        <v>34</v>
      </c>
      <c r="D73" s="42">
        <f>TRUNC(18803,-1)</f>
        <v>18800</v>
      </c>
      <c r="E73" s="63">
        <f t="shared" si="2"/>
        <v>62140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TRUNC(8395,-1)</f>
        <v>8390</v>
      </c>
      <c r="E89" s="63">
        <f t="shared" si="2"/>
        <v>27730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TRUNC(147,-1)</f>
        <v>140</v>
      </c>
      <c r="E91" s="63">
        <f t="shared" si="2"/>
        <v>460</v>
      </c>
    </row>
    <row r="92" spans="1:7" x14ac:dyDescent="0.3">
      <c r="A92" s="2">
        <v>24</v>
      </c>
      <c r="C92" s="38" t="s">
        <v>38</v>
      </c>
      <c r="D92" s="42">
        <f>TRUNC(7196,-1)</f>
        <v>7190</v>
      </c>
      <c r="E92" s="63">
        <f t="shared" si="2"/>
        <v>23760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TRUNC(12228,-1)</f>
        <v>12220</v>
      </c>
      <c r="E94" s="64">
        <f t="shared" si="2"/>
        <v>40390</v>
      </c>
    </row>
    <row r="95" spans="1:7" x14ac:dyDescent="0.3">
      <c r="A95" s="2">
        <v>27</v>
      </c>
      <c r="C95" s="27" t="s">
        <v>112</v>
      </c>
      <c r="D95" s="39">
        <f>SUM(D69:D94)</f>
        <v>82400</v>
      </c>
      <c r="E95" s="39">
        <f>SUM(E69:E94)</f>
        <v>272350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TRUNC(24431,-1)</f>
        <v>24430</v>
      </c>
      <c r="E98" s="62">
        <f t="shared" ref="E98:E118" si="3">TRUNC(+D98*3.3058,-1)</f>
        <v>80760</v>
      </c>
    </row>
    <row r="99" spans="1:7" x14ac:dyDescent="0.3">
      <c r="A99" s="2">
        <v>2</v>
      </c>
      <c r="C99" s="38" t="s">
        <v>40</v>
      </c>
      <c r="D99" s="42">
        <f>TRUNC(17707,-1)</f>
        <v>17700</v>
      </c>
      <c r="E99" s="63">
        <f t="shared" si="3"/>
        <v>58510</v>
      </c>
    </row>
    <row r="100" spans="1:7" x14ac:dyDescent="0.3">
      <c r="A100" s="2">
        <v>3</v>
      </c>
      <c r="C100" s="38" t="s">
        <v>41</v>
      </c>
      <c r="D100" s="42">
        <f>TRUNC(37296,-1)</f>
        <v>37290</v>
      </c>
      <c r="E100" s="63">
        <f t="shared" si="3"/>
        <v>123270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f>TRUNC(7715,-1)</f>
        <v>7710</v>
      </c>
      <c r="E103" s="63">
        <f t="shared" si="3"/>
        <v>25480</v>
      </c>
    </row>
    <row r="104" spans="1:7" x14ac:dyDescent="0.3">
      <c r="A104" s="2">
        <v>7</v>
      </c>
      <c r="C104" s="38" t="s">
        <v>45</v>
      </c>
      <c r="D104" s="42">
        <f>TRUNC(18694,-1)</f>
        <v>18690</v>
      </c>
      <c r="E104" s="63">
        <f t="shared" si="3"/>
        <v>61780</v>
      </c>
    </row>
    <row r="105" spans="1:7" x14ac:dyDescent="0.3">
      <c r="A105" s="2">
        <v>8</v>
      </c>
      <c r="C105" s="38" t="s">
        <v>46</v>
      </c>
      <c r="D105" s="42">
        <f>TRUNC(8028,-1)</f>
        <v>8020</v>
      </c>
      <c r="E105" s="63">
        <f t="shared" si="3"/>
        <v>26510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TRUNC(51631,-1)</f>
        <v>51630</v>
      </c>
      <c r="E116" s="63">
        <f t="shared" si="3"/>
        <v>170670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TRUNC(208004,-1)</f>
        <v>208000</v>
      </c>
      <c r="E118" s="64">
        <f t="shared" si="3"/>
        <v>687600</v>
      </c>
    </row>
    <row r="119" spans="1:7" x14ac:dyDescent="0.3">
      <c r="A119" s="2">
        <v>22</v>
      </c>
      <c r="C119" s="27" t="s">
        <v>112</v>
      </c>
      <c r="D119" s="39">
        <f>SUM(D98:D118)</f>
        <v>373470</v>
      </c>
      <c r="E119" s="39">
        <f>SUM(E98:E118)</f>
        <v>1234580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TRUNC(2085,-1)</f>
        <v>2080</v>
      </c>
      <c r="E122" s="62">
        <f t="shared" ref="E122:E132" si="4">TRUNC(+D122*3.3058,-1)</f>
        <v>6870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TRUNC(8309,-1)</f>
        <v>8300</v>
      </c>
      <c r="E125" s="63">
        <f t="shared" si="4"/>
        <v>27430</v>
      </c>
    </row>
    <row r="126" spans="1:7" x14ac:dyDescent="0.3">
      <c r="A126" s="2">
        <v>5</v>
      </c>
      <c r="C126" s="38" t="s">
        <v>53</v>
      </c>
      <c r="D126" s="42">
        <f>TRUNC(168344,-1)</f>
        <v>168340</v>
      </c>
      <c r="E126" s="63">
        <f t="shared" si="4"/>
        <v>556490</v>
      </c>
    </row>
    <row r="127" spans="1:7" x14ac:dyDescent="0.3">
      <c r="A127" s="2">
        <v>6</v>
      </c>
      <c r="C127" s="38" t="s">
        <v>56</v>
      </c>
      <c r="D127" s="42">
        <f>TRUNC(8927,-1)</f>
        <v>8920</v>
      </c>
      <c r="E127" s="63">
        <f t="shared" si="4"/>
        <v>29480</v>
      </c>
    </row>
    <row r="128" spans="1:7" x14ac:dyDescent="0.3">
      <c r="A128" s="2">
        <v>7</v>
      </c>
      <c r="C128" s="38" t="s">
        <v>46</v>
      </c>
      <c r="D128" s="42">
        <f>TRUNC(4604,-1)</f>
        <v>4600</v>
      </c>
      <c r="E128" s="63">
        <f t="shared" si="4"/>
        <v>15200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27780</v>
      </c>
      <c r="E130" s="63">
        <f t="shared" si="4"/>
        <v>91830</v>
      </c>
    </row>
    <row r="131" spans="1:7" x14ac:dyDescent="0.3">
      <c r="A131" s="2">
        <v>10</v>
      </c>
      <c r="C131" s="38" t="s">
        <v>148</v>
      </c>
      <c r="D131" s="42">
        <f>TRUNC(115542,-1)</f>
        <v>115540</v>
      </c>
      <c r="E131" s="63">
        <f t="shared" si="4"/>
        <v>381950</v>
      </c>
    </row>
    <row r="132" spans="1:7" ht="18" thickBot="1" x14ac:dyDescent="0.35">
      <c r="A132" s="2">
        <v>11</v>
      </c>
      <c r="C132" s="38" t="s">
        <v>47</v>
      </c>
      <c r="D132" s="43">
        <f>TRUNC(4105,-1)</f>
        <v>4100</v>
      </c>
      <c r="E132" s="64">
        <f t="shared" si="4"/>
        <v>13550</v>
      </c>
      <c r="F132" s="54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339660</v>
      </c>
      <c r="E133" s="39">
        <f>SUM(E122:E132)</f>
        <v>1122800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TRUNC(2581+22573,-1)</f>
        <v>25150</v>
      </c>
      <c r="E137" s="63">
        <f t="shared" si="5"/>
        <v>83140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TRUNC(46268,-1)</f>
        <v>46260</v>
      </c>
      <c r="E138" s="63">
        <f t="shared" si="5"/>
        <v>152920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TRUNC(5932,-1)</f>
        <v>5930</v>
      </c>
      <c r="E140" s="63">
        <f t="shared" si="5"/>
        <v>19600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TRUNC(2241,-1)</f>
        <v>2240</v>
      </c>
      <c r="E142" s="63">
        <f t="shared" si="5"/>
        <v>7400</v>
      </c>
    </row>
    <row r="143" spans="1:7" x14ac:dyDescent="0.3">
      <c r="A143" s="2">
        <v>8</v>
      </c>
      <c r="C143" s="38" t="s">
        <v>62</v>
      </c>
      <c r="D143" s="42">
        <f>TRUNC(6574,-1)</f>
        <v>6570</v>
      </c>
      <c r="E143" s="63">
        <f t="shared" si="5"/>
        <v>21710</v>
      </c>
    </row>
    <row r="144" spans="1:7" x14ac:dyDescent="0.3">
      <c r="A144" s="2">
        <v>9</v>
      </c>
      <c r="C144" s="38" t="s">
        <v>63</v>
      </c>
      <c r="D144" s="42">
        <f>TRUNC(8598,-1)</f>
        <v>8590</v>
      </c>
      <c r="E144" s="63">
        <f t="shared" si="5"/>
        <v>28390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94740</v>
      </c>
      <c r="E146" s="39">
        <f>SUM(E136:E145)</f>
        <v>313160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TRUNC(10114+2404,-1)</f>
        <v>12510</v>
      </c>
      <c r="E149" s="62">
        <f>TRUNC(+D149*3.3058,-1)</f>
        <v>41350</v>
      </c>
    </row>
    <row r="150" spans="1:7" x14ac:dyDescent="0.3">
      <c r="A150" s="2">
        <v>2</v>
      </c>
      <c r="C150" s="38" t="s">
        <v>49</v>
      </c>
      <c r="D150" s="42">
        <f>TRUNC(22632,-1)</f>
        <v>22630</v>
      </c>
      <c r="E150" s="63">
        <f>TRUNC(+D150*3.3058,-1)</f>
        <v>74810</v>
      </c>
    </row>
    <row r="151" spans="1:7" x14ac:dyDescent="0.3">
      <c r="A151" s="2">
        <v>3</v>
      </c>
      <c r="C151" s="38" t="s">
        <v>50</v>
      </c>
      <c r="D151" s="42">
        <f>TRUNC(35697,-1)</f>
        <v>35690</v>
      </c>
      <c r="E151" s="63">
        <f>TRUNC(+D151*3.3058,-1)</f>
        <v>117980</v>
      </c>
    </row>
    <row r="152" spans="1:7" x14ac:dyDescent="0.3">
      <c r="A152" s="2">
        <v>4</v>
      </c>
      <c r="C152" s="38" t="s">
        <v>47</v>
      </c>
      <c r="D152" s="42">
        <f>TRUNC(1316+502,-1)</f>
        <v>1810</v>
      </c>
      <c r="E152" s="63">
        <f>TRUNC(+D152*3.3058,-1)</f>
        <v>5980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72640</v>
      </c>
      <c r="E154" s="39">
        <f>SUM(E149:E153)</f>
        <v>240120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TRUNC(8915,-1)</f>
        <v>8910</v>
      </c>
      <c r="E157" s="62">
        <f>TRUNC(+D157*3.3058,-1)</f>
        <v>29450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4530</v>
      </c>
      <c r="E159" s="63">
        <f>TRUNC(+D159*3.3058,-1)</f>
        <v>14970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13440</v>
      </c>
      <c r="E161" s="39">
        <f>SUM(E157:E160)</f>
        <v>44420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2020-12-07T10:19:46Z</dcterms:modified>
</cp:coreProperties>
</file>