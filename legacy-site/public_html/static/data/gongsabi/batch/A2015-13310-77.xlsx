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45" i="4"/>
  <c r="E139" i="4"/>
  <c r="E136" i="4"/>
  <c r="E131" i="4"/>
  <c r="E129" i="4"/>
  <c r="E126" i="4"/>
  <c r="E124" i="4"/>
  <c r="E123" i="4"/>
  <c r="E118" i="4"/>
  <c r="E115" i="4"/>
  <c r="E114" i="4"/>
  <c r="E113" i="4"/>
  <c r="E112" i="4"/>
  <c r="E111" i="4"/>
  <c r="E110" i="4"/>
  <c r="E109" i="4"/>
  <c r="E108" i="4"/>
  <c r="E107" i="4"/>
  <c r="E106" i="4"/>
  <c r="E104" i="4"/>
  <c r="E103" i="4"/>
  <c r="E88" i="4"/>
  <c r="E87" i="4"/>
  <c r="E86" i="4"/>
  <c r="E85" i="4"/>
  <c r="E84" i="4"/>
  <c r="E83" i="4"/>
  <c r="E82" i="4"/>
  <c r="E81" i="4"/>
  <c r="E80" i="4"/>
  <c r="E79" i="4"/>
  <c r="E78" i="4"/>
  <c r="E77" i="4"/>
  <c r="E74" i="4"/>
  <c r="E71" i="4"/>
  <c r="E65" i="4"/>
  <c r="E64" i="4"/>
  <c r="E57" i="4"/>
  <c r="E56" i="4"/>
  <c r="E55" i="4"/>
  <c r="E54" i="4"/>
  <c r="E51" i="4"/>
  <c r="E47" i="4"/>
  <c r="E37" i="4"/>
  <c r="D159" i="4" l="1"/>
  <c r="E159" i="4" s="1"/>
  <c r="D158" i="4"/>
  <c r="E158" i="4" s="1"/>
  <c r="D157" i="4"/>
  <c r="D153" i="4"/>
  <c r="E153" i="4" s="1"/>
  <c r="D152" i="4"/>
  <c r="E152" i="4" s="1"/>
  <c r="D151" i="4"/>
  <c r="E151" i="4" s="1"/>
  <c r="D150" i="4"/>
  <c r="D149" i="4"/>
  <c r="E149" i="4" s="1"/>
  <c r="D144" i="4"/>
  <c r="E144" i="4" s="1"/>
  <c r="D143" i="4"/>
  <c r="E143" i="4" s="1"/>
  <c r="D142" i="4"/>
  <c r="E142" i="4" s="1"/>
  <c r="D141" i="4"/>
  <c r="E141" i="4" s="1"/>
  <c r="D140" i="4"/>
  <c r="E140" i="4" s="1"/>
  <c r="D138" i="4"/>
  <c r="D137" i="4"/>
  <c r="E137" i="4" s="1"/>
  <c r="D132" i="4"/>
  <c r="E132" i="4" s="1"/>
  <c r="D130" i="4"/>
  <c r="E130" i="4" s="1"/>
  <c r="D128" i="4"/>
  <c r="E128" i="4" s="1"/>
  <c r="D127" i="4"/>
  <c r="E127" i="4" s="1"/>
  <c r="D125" i="4"/>
  <c r="E125" i="4" s="1"/>
  <c r="D122" i="4"/>
  <c r="D117" i="4"/>
  <c r="E117" i="4" s="1"/>
  <c r="D116" i="4"/>
  <c r="E116" i="4" s="1"/>
  <c r="D105" i="4"/>
  <c r="E105" i="4" s="1"/>
  <c r="D102" i="4"/>
  <c r="E102" i="4" s="1"/>
  <c r="D101" i="4"/>
  <c r="E101" i="4" s="1"/>
  <c r="D100" i="4"/>
  <c r="E100" i="4" s="1"/>
  <c r="D99" i="4"/>
  <c r="E99" i="4" s="1"/>
  <c r="D98" i="4"/>
  <c r="D94" i="4"/>
  <c r="E94" i="4" s="1"/>
  <c r="D93" i="4"/>
  <c r="E93" i="4" s="1"/>
  <c r="D92" i="4"/>
  <c r="E92" i="4" s="1"/>
  <c r="D91" i="4"/>
  <c r="E91" i="4" s="1"/>
  <c r="D90" i="4"/>
  <c r="E90" i="4" s="1"/>
  <c r="D89" i="4"/>
  <c r="E89" i="4" s="1"/>
  <c r="D76" i="4"/>
  <c r="E76" i="4" s="1"/>
  <c r="D75" i="4"/>
  <c r="E75" i="4" s="1"/>
  <c r="D73" i="4"/>
  <c r="E73" i="4" s="1"/>
  <c r="D72" i="4"/>
  <c r="E72" i="4" s="1"/>
  <c r="D70" i="4"/>
  <c r="E70" i="4" s="1"/>
  <c r="D69" i="4"/>
  <c r="D63" i="4"/>
  <c r="D59" i="4"/>
  <c r="E59" i="4" s="1"/>
  <c r="D58" i="4"/>
  <c r="E58" i="4" s="1"/>
  <c r="D53" i="4"/>
  <c r="E53" i="4" s="1"/>
  <c r="D52" i="4"/>
  <c r="E52" i="4" s="1"/>
  <c r="D50" i="4"/>
  <c r="E50" i="4" s="1"/>
  <c r="D49" i="4"/>
  <c r="E49" i="4" s="1"/>
  <c r="D48" i="4"/>
  <c r="E48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E41" i="4" s="1"/>
  <c r="D40" i="4"/>
  <c r="D24" i="4"/>
  <c r="E24" i="4" s="1"/>
  <c r="D7" i="4"/>
  <c r="D95" i="4" l="1"/>
  <c r="D27" i="4" s="1"/>
  <c r="E27" i="4" s="1"/>
  <c r="E69" i="4"/>
  <c r="E95" i="4" s="1"/>
  <c r="D154" i="4"/>
  <c r="D31" i="4" s="1"/>
  <c r="E31" i="4" s="1"/>
  <c r="E150" i="4"/>
  <c r="D161" i="4"/>
  <c r="D32" i="4" s="1"/>
  <c r="E32" i="4" s="1"/>
  <c r="E157" i="4"/>
  <c r="E161" i="4" s="1"/>
  <c r="D66" i="4"/>
  <c r="D26" i="4" s="1"/>
  <c r="E26" i="4" s="1"/>
  <c r="E63" i="4"/>
  <c r="E66" i="4" s="1"/>
  <c r="D146" i="4"/>
  <c r="D30" i="4" s="1"/>
  <c r="E30" i="4" s="1"/>
  <c r="E138" i="4"/>
  <c r="E146" i="4" s="1"/>
  <c r="D119" i="4"/>
  <c r="D28" i="4" s="1"/>
  <c r="E28" i="4" s="1"/>
  <c r="E98" i="4"/>
  <c r="D133" i="4"/>
  <c r="D29" i="4" s="1"/>
  <c r="E29" i="4" s="1"/>
  <c r="E122" i="4"/>
  <c r="D60" i="4"/>
  <c r="D25" i="4" s="1"/>
  <c r="E25" i="4" s="1"/>
  <c r="E40" i="4"/>
  <c r="E60" i="4" s="1"/>
  <c r="E119" i="4"/>
  <c r="E133" i="4"/>
  <c r="E154" i="4"/>
  <c r="D33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4" i="4" l="1"/>
  <c r="E33" i="4"/>
  <c r="E34" i="4" s="1"/>
</calcChain>
</file>

<file path=xl/sharedStrings.xml><?xml version="1.0" encoding="utf-8"?>
<sst xmlns="http://schemas.openxmlformats.org/spreadsheetml/2006/main" count="395" uniqueCount="267">
  <si>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</si>
  <si>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</si>
  <si>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</si>
  <si>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</si>
  <si>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</si>
  <si>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</si>
  <si>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</si>
  <si>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</si>
  <si>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</si>
  <si>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</si>
  <si>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</si>
  <si>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</si>
  <si>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</si>
  <si>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</si>
  <si>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</si>
  <si>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</si>
  <si>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</si>
  <si>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</si>
  <si>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</si>
  <si>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</si>
  <si>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</si>
  <si>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</si>
  <si>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</si>
  <si>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</si>
  <si>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</si>
  <si>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</si>
  <si>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</si>
  <si>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</si>
  <si>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</si>
  <si>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</si>
  <si>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</si>
  <si>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</si>
  <si>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</si>
  <si>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</si>
  <si>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</si>
  <si>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</si>
  <si>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</si>
  <si>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</si>
  <si>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</si>
  <si>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</si>
  <si>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</si>
  <si>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</si>
  <si>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</si>
  <si>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</si>
  <si>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</si>
  <si>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</si>
  <si>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</si>
  <si>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</si>
  <si>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</si>
  <si>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</si>
  <si>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</si>
  <si>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</si>
  <si>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</si>
  <si>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</si>
  <si>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</si>
  <si>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</si>
  <si>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</si>
  <si>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</si>
  <si>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</si>
  <si>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</si>
  <si>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</si>
  <si>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</si>
  <si>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</si>
  <si>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</si>
  <si>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</si>
  <si>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</si>
  <si>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</si>
  <si>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</si>
  <si>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</si>
  <si>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</si>
  <si>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</si>
  <si>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</si>
  <si>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</si>
  <si>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</si>
  <si>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</si>
  <si>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</si>
  <si>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</si>
  <si>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</si>
  <si>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</si>
  <si>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</si>
  <si>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</si>
  <si>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</si>
  <si>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</si>
  <si>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</si>
  <si>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</si>
  <si>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</si>
  <si>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</si>
  <si>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</si>
  <si>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</si>
  <si>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</si>
  <si>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</si>
  <si>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</si>
  <si>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</si>
  <si>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</si>
  <si>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</si>
  <si>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</si>
  <si>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</si>
  <si>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</si>
  <si>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</si>
  <si>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</si>
  <si>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</si>
  <si>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</si>
  <si>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</si>
  <si>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</si>
  <si>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</si>
  <si>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</si>
  <si>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</si>
  <si>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</si>
  <si>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</si>
  <si>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</si>
  <si>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</si>
  <si>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</si>
  <si>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</si>
  <si>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</si>
  <si>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</si>
  <si>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</si>
  <si>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</si>
  <si>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</si>
  <si>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</si>
  <si>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</si>
  <si>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</si>
  <si>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</si>
  <si>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</si>
  <si>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</si>
  <si>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</si>
  <si>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</si>
  <si>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</si>
  <si>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</si>
  <si>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</si>
  <si>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</si>
  <si>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</si>
  <si>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</si>
  <si>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</si>
  <si>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</si>
  <si>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</si>
  <si>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</si>
  <si>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</si>
  <si>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</si>
  <si>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</si>
  <si>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</si>
  <si>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</si>
  <si>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</si>
  <si>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</si>
  <si>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</si>
  <si>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</si>
  <si>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</si>
  <si>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</si>
  <si>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</si>
  <si>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</si>
  <si>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</si>
  <si>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</si>
  <si>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</si>
  <si>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</si>
  <si>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</si>
  <si>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</si>
  <si>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</si>
  <si>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</si>
  <si>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</si>
  <si>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</si>
  <si>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</si>
  <si>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</si>
  <si>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</si>
  <si>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</si>
  <si>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</si>
  <si>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</si>
  <si>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</si>
  <si>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</si>
  <si>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</si>
  <si>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</si>
  <si>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</si>
  <si>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</si>
  <si>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</si>
  <si>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</si>
  <si>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</si>
  <si>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</si>
  <si>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</si>
  <si>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</si>
  <si>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</si>
  <si>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</si>
  <si>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</si>
  <si>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</si>
  <si>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</si>
  <si>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</si>
  <si>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</si>
  <si>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</si>
  <si>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</si>
  <si>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</si>
  <si>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</si>
  <si>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</si>
  <si>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</si>
  <si>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</si>
  <si>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</si>
  <si>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</si>
  <si>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</si>
  <si>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</si>
  <si>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</si>
  <si>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</si>
  <si>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</si>
  <si>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</si>
  <si>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</si>
  <si>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</si>
  <si>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</si>
  <si>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</si>
  <si>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</si>
  <si>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</si>
  <si>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</si>
  <si>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</si>
  <si>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</si>
  <si>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</si>
  <si>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</si>
  <si>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</si>
  <si>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</si>
  <si>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</si>
  <si>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</si>
  <si>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</si>
  <si>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</si>
  <si>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</si>
  <si>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</si>
  <si>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</si>
  <si>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</si>
  <si>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</si>
  <si>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</si>
  <si>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</si>
  <si>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</si>
  <si>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</si>
  <si>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</si>
  <si>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</si>
  <si>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</si>
  <si>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</si>
  <si>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</si>
  <si>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</si>
  <si>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</si>
  <si>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</si>
  <si>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</si>
  <si>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</si>
  <si>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원 /평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</si>
  <si>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</si>
  <si>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</si>
  <si>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</si>
  <si>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</si>
  <si>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</si>
  <si>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</si>
  <si>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</si>
  <si>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</si>
  <si>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</si>
  <si>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</si>
  <si>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국립공원관리공단 청사 신축공사</t>
  </si>
  <si>
    <t>업무</t>
  </si>
  <si>
    <t>강원도</t>
  </si>
  <si>
    <t>평</t>
    <phoneticPr fontId="2" type="noConversion"/>
  </si>
  <si>
    <t>지붕및홈통공사 포함</t>
    <phoneticPr fontId="2" type="noConversion"/>
  </si>
  <si>
    <t>창호및유리공사</t>
    <phoneticPr fontId="2" type="noConversion"/>
  </si>
  <si>
    <t>목공사, 인테리어공사 포함</t>
    <phoneticPr fontId="2" type="noConversion"/>
  </si>
  <si>
    <t>골재비및운반비,작업부산물,기타공사</t>
    <phoneticPr fontId="2" type="noConversion"/>
  </si>
  <si>
    <t>공조배관공사, 우수처리시설공사,바닥난방공사,기타공사</t>
    <phoneticPr fontId="2" type="noConversion"/>
  </si>
  <si>
    <t xml:space="preserve"> 전기인입 및 수변전 설비공사</t>
    <phoneticPr fontId="2" type="noConversion"/>
  </si>
  <si>
    <t>CCTV설비공사, 주차관제설비공사,기타공사</t>
    <phoneticPr fontId="2" type="noConversion"/>
  </si>
  <si>
    <t>펌프실배관공사, 기타공사</t>
    <phoneticPr fontId="2" type="noConversion"/>
  </si>
  <si>
    <t>토목</t>
    <phoneticPr fontId="2" type="noConversion"/>
  </si>
  <si>
    <t>토목 상수도공사,토목 운반비,토목 기타공사</t>
    <phoneticPr fontId="2" type="noConversion"/>
  </si>
  <si>
    <t>포장공사, 기타공사</t>
    <phoneticPr fontId="2" type="noConversion"/>
  </si>
  <si>
    <t>원/ m2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</si>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</sst>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2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0" fontId="0" fillId="0" borderId="25" xfId="0" applyFill="1" applyBorder="1">
      <alignment vertical="center"/>
    </xf>
    <xf numFmtId="0" fontId="0" fillId="0" borderId="26" xfId="0" applyFill="1" applyBorder="1">
      <alignment vertical="center"/>
    </xf>
    <xf numFmtId="0" fontId="0" fillId="0" borderId="0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3" t="s">
        <v>155</v>
      </c>
      <c r="B2" s="76" t="s">
        <v>0</v>
      </c>
      <c r="C2" s="77"/>
      <c r="D2" s="76" t="s">
        <v>1</v>
      </c>
      <c r="E2" s="77"/>
      <c r="F2" s="76" t="s">
        <v>156</v>
      </c>
      <c r="G2" s="77"/>
      <c r="H2" s="76" t="s">
        <v>2</v>
      </c>
      <c r="I2" s="77"/>
      <c r="J2" s="76" t="s">
        <v>3</v>
      </c>
      <c r="K2" s="77"/>
      <c r="L2" s="76" t="s">
        <v>157</v>
      </c>
      <c r="M2" s="77"/>
      <c r="N2" s="76" t="s">
        <v>158</v>
      </c>
      <c r="O2" s="77"/>
      <c r="P2" s="76" t="s">
        <v>5</v>
      </c>
      <c r="Q2" s="77"/>
      <c r="R2" s="70" t="s">
        <v>94</v>
      </c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2"/>
    </row>
    <row r="3" spans="1:33" x14ac:dyDescent="0.3">
      <c r="A3" s="74"/>
      <c r="B3" s="78"/>
      <c r="C3" s="79"/>
      <c r="D3" s="78"/>
      <c r="E3" s="79"/>
      <c r="F3" s="78"/>
      <c r="G3" s="79"/>
      <c r="H3" s="78"/>
      <c r="I3" s="79"/>
      <c r="J3" s="78"/>
      <c r="K3" s="79"/>
      <c r="L3" s="78"/>
      <c r="M3" s="79"/>
      <c r="N3" s="78"/>
      <c r="O3" s="79"/>
      <c r="P3" s="78"/>
      <c r="Q3" s="79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5"/>
      <c r="B4" s="80"/>
      <c r="C4" s="81"/>
      <c r="D4" s="80"/>
      <c r="E4" s="81"/>
      <c r="F4" s="80"/>
      <c r="G4" s="81"/>
      <c r="H4" s="80"/>
      <c r="I4" s="81"/>
      <c r="J4" s="80"/>
      <c r="K4" s="81"/>
      <c r="L4" s="80"/>
      <c r="M4" s="81"/>
      <c r="N4" s="80"/>
      <c r="O4" s="81"/>
      <c r="P4" s="80"/>
      <c r="Q4" s="81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264</v>
      </c>
      <c r="H5" s="5">
        <v>1</v>
      </c>
      <c r="I5" s="1" t="s">
        <v>159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160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161</v>
      </c>
    </row>
    <row r="6" spans="1:33" x14ac:dyDescent="0.3">
      <c r="A6" s="4">
        <f>+A5+1</f>
        <v>2</v>
      </c>
      <c r="B6" s="5">
        <f>+B5+1</f>
        <v>2</v>
      </c>
      <c r="C6" s="17" t="s">
        <v>162</v>
      </c>
      <c r="D6" s="5">
        <v>2</v>
      </c>
      <c r="E6" s="1" t="s">
        <v>163</v>
      </c>
      <c r="F6" s="5">
        <v>2</v>
      </c>
      <c r="G6" s="17" t="s">
        <v>164</v>
      </c>
      <c r="H6" s="5">
        <v>2</v>
      </c>
      <c r="I6" s="1" t="s">
        <v>211</v>
      </c>
      <c r="J6" s="19">
        <v>2</v>
      </c>
      <c r="K6" s="1" t="s">
        <v>212</v>
      </c>
      <c r="L6" s="5">
        <v>2</v>
      </c>
      <c r="M6" s="6" t="s">
        <v>213</v>
      </c>
      <c r="N6" s="5">
        <v>2</v>
      </c>
      <c r="O6" s="6" t="s">
        <v>214</v>
      </c>
      <c r="P6" s="5">
        <v>2</v>
      </c>
      <c r="Q6" s="1" t="s">
        <v>215</v>
      </c>
      <c r="R6" s="28">
        <v>2</v>
      </c>
      <c r="S6" s="29" t="s">
        <v>216</v>
      </c>
      <c r="T6" s="28">
        <v>2</v>
      </c>
      <c r="U6" s="29" t="s">
        <v>217</v>
      </c>
      <c r="V6" s="28">
        <v>2</v>
      </c>
      <c r="W6" s="29" t="s">
        <v>218</v>
      </c>
      <c r="X6" s="28">
        <v>2</v>
      </c>
      <c r="Y6" s="29" t="s">
        <v>219</v>
      </c>
      <c r="Z6" s="28">
        <v>2</v>
      </c>
      <c r="AA6" s="29" t="s">
        <v>220</v>
      </c>
      <c r="AB6" s="28">
        <v>2</v>
      </c>
      <c r="AC6" s="29" t="s">
        <v>221</v>
      </c>
      <c r="AD6" s="28">
        <v>2</v>
      </c>
      <c r="AE6" s="29" t="s">
        <v>222</v>
      </c>
      <c r="AF6" s="28">
        <v>2</v>
      </c>
      <c r="AG6" s="38" t="s">
        <v>223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224</v>
      </c>
      <c r="D7" s="5">
        <v>3</v>
      </c>
      <c r="E7" s="1" t="s">
        <v>225</v>
      </c>
      <c r="F7" s="5">
        <v>3</v>
      </c>
      <c r="G7" s="17" t="s">
        <v>226</v>
      </c>
      <c r="H7" s="5">
        <v>3</v>
      </c>
      <c r="I7" s="1" t="s">
        <v>227</v>
      </c>
      <c r="J7" s="19">
        <v>3</v>
      </c>
      <c r="K7" s="1" t="s">
        <v>228</v>
      </c>
      <c r="L7" s="5">
        <v>3</v>
      </c>
      <c r="M7" s="6" t="s">
        <v>229</v>
      </c>
      <c r="N7" s="5">
        <v>3</v>
      </c>
      <c r="O7" s="6" t="s">
        <v>230</v>
      </c>
      <c r="P7" s="5">
        <v>3</v>
      </c>
      <c r="Q7" s="1" t="s">
        <v>231</v>
      </c>
      <c r="R7" s="28">
        <v>3</v>
      </c>
      <c r="S7" s="29" t="s">
        <v>232</v>
      </c>
      <c r="T7" s="28">
        <v>3</v>
      </c>
      <c r="U7" s="29" t="s">
        <v>233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165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166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167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168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169</v>
      </c>
      <c r="F9" s="5">
        <v>5</v>
      </c>
      <c r="G9" s="17" t="s">
        <v>170</v>
      </c>
      <c r="H9" s="5">
        <v>5</v>
      </c>
      <c r="I9" s="1" t="s">
        <v>79</v>
      </c>
      <c r="J9" s="19">
        <v>5</v>
      </c>
      <c r="K9" s="1" t="s">
        <v>171</v>
      </c>
      <c r="L9" s="5"/>
      <c r="M9" s="6"/>
      <c r="N9" s="5"/>
      <c r="O9" s="6"/>
      <c r="P9" s="5">
        <v>5</v>
      </c>
      <c r="Q9" s="1" t="s">
        <v>172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173</v>
      </c>
      <c r="J10" s="19">
        <v>6</v>
      </c>
      <c r="K10" s="1" t="s">
        <v>174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175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176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177</v>
      </c>
      <c r="F12" s="5">
        <v>8</v>
      </c>
      <c r="G12" s="17" t="s">
        <v>178</v>
      </c>
      <c r="H12" s="5">
        <v>8</v>
      </c>
      <c r="I12" s="1" t="s">
        <v>81</v>
      </c>
      <c r="J12" s="19">
        <v>8</v>
      </c>
      <c r="K12" s="1" t="s">
        <v>179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180</v>
      </c>
      <c r="X12" s="28">
        <v>8</v>
      </c>
      <c r="Y12" s="29" t="s">
        <v>46</v>
      </c>
      <c r="Z12" s="28">
        <v>8</v>
      </c>
      <c r="AA12" s="29" t="s">
        <v>181</v>
      </c>
      <c r="AB12" s="28">
        <v>8</v>
      </c>
      <c r="AC12" s="29" t="s">
        <v>182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183</v>
      </c>
      <c r="D13" s="5">
        <v>9</v>
      </c>
      <c r="E13" s="1" t="s">
        <v>184</v>
      </c>
      <c r="F13" s="5"/>
      <c r="G13" s="17"/>
      <c r="H13" s="5">
        <v>9</v>
      </c>
      <c r="I13" s="1" t="s">
        <v>82</v>
      </c>
      <c r="J13" s="19">
        <v>9</v>
      </c>
      <c r="K13" s="1" t="s">
        <v>185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186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187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188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189</v>
      </c>
      <c r="J15" s="19">
        <v>11</v>
      </c>
      <c r="K15" s="1" t="s">
        <v>190</v>
      </c>
      <c r="L15" s="5"/>
      <c r="M15" s="6"/>
      <c r="N15" s="5"/>
      <c r="O15" s="6"/>
      <c r="P15" s="5"/>
      <c r="Q15" s="1"/>
      <c r="R15" s="28">
        <v>11</v>
      </c>
      <c r="S15" s="29" t="s">
        <v>191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192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193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194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195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196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197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198</v>
      </c>
      <c r="L19" s="5"/>
      <c r="M19" s="6"/>
      <c r="N19" s="5"/>
      <c r="O19" s="6"/>
      <c r="P19" s="5"/>
      <c r="Q19" s="1"/>
      <c r="R19" s="28">
        <v>15</v>
      </c>
      <c r="S19" s="29" t="s">
        <v>199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200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201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202</v>
      </c>
      <c r="X21" s="28">
        <v>17</v>
      </c>
      <c r="Y21" s="29" t="s">
        <v>203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204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205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206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207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208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209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210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246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247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249</v>
      </c>
    </row>
    <row r="7" spans="1:4" ht="17.25" thickBot="1" x14ac:dyDescent="0.35">
      <c r="C7" s="37">
        <v>9441.2999999999993</v>
      </c>
      <c r="D7" s="36">
        <f>+C7/3.3058</f>
        <v>2855.9803980882084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248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201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265</v>
      </c>
    </row>
    <row r="19" spans="1:5" x14ac:dyDescent="0.3">
      <c r="A19" s="2">
        <v>9</v>
      </c>
      <c r="B19" s="2" t="s">
        <v>266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234</v>
      </c>
      <c r="E23" s="35" t="s">
        <v>235</v>
      </c>
    </row>
    <row r="24" spans="1:5" x14ac:dyDescent="0.3">
      <c r="B24" s="2">
        <v>1</v>
      </c>
      <c r="C24" s="35" t="s">
        <v>110</v>
      </c>
      <c r="D24" s="41">
        <f>D37</f>
        <v>0</v>
      </c>
      <c r="E24" s="60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760660</v>
      </c>
      <c r="E25" s="61">
        <f t="shared" si="0"/>
        <v>2514580</v>
      </c>
    </row>
    <row r="26" spans="1:5" x14ac:dyDescent="0.3">
      <c r="B26" s="2">
        <v>3</v>
      </c>
      <c r="C26" s="35" t="s">
        <v>95</v>
      </c>
      <c r="D26" s="45">
        <f>+D66</f>
        <v>19310</v>
      </c>
      <c r="E26" s="61">
        <f t="shared" si="0"/>
        <v>63830</v>
      </c>
    </row>
    <row r="27" spans="1:5" x14ac:dyDescent="0.3">
      <c r="B27" s="2">
        <v>4</v>
      </c>
      <c r="C27" s="35" t="s">
        <v>96</v>
      </c>
      <c r="D27" s="45">
        <f>+D95</f>
        <v>389420</v>
      </c>
      <c r="E27" s="61">
        <f t="shared" si="0"/>
        <v>1287340</v>
      </c>
    </row>
    <row r="28" spans="1:5" x14ac:dyDescent="0.3">
      <c r="B28" s="2">
        <v>5</v>
      </c>
      <c r="C28" s="35" t="s">
        <v>97</v>
      </c>
      <c r="D28" s="45">
        <f>+D119</f>
        <v>213030</v>
      </c>
      <c r="E28" s="61">
        <f t="shared" si="0"/>
        <v>704230</v>
      </c>
    </row>
    <row r="29" spans="1:5" x14ac:dyDescent="0.3">
      <c r="B29" s="2">
        <v>6</v>
      </c>
      <c r="C29" s="35" t="s">
        <v>98</v>
      </c>
      <c r="D29" s="45">
        <f>+D133</f>
        <v>159360</v>
      </c>
      <c r="E29" s="61">
        <f t="shared" si="0"/>
        <v>526810</v>
      </c>
    </row>
    <row r="30" spans="1:5" x14ac:dyDescent="0.3">
      <c r="B30" s="2">
        <v>7</v>
      </c>
      <c r="C30" s="35" t="s">
        <v>99</v>
      </c>
      <c r="D30" s="45">
        <f>+D146</f>
        <v>36490</v>
      </c>
      <c r="E30" s="61">
        <f t="shared" si="0"/>
        <v>120620</v>
      </c>
    </row>
    <row r="31" spans="1:5" x14ac:dyDescent="0.3">
      <c r="B31" s="2">
        <v>8</v>
      </c>
      <c r="C31" s="35" t="s">
        <v>100</v>
      </c>
      <c r="D31" s="45">
        <f>+D154</f>
        <v>37340</v>
      </c>
      <c r="E31" s="61">
        <f t="shared" si="0"/>
        <v>123430</v>
      </c>
    </row>
    <row r="32" spans="1:5" x14ac:dyDescent="0.3">
      <c r="B32" s="2">
        <v>9</v>
      </c>
      <c r="C32" s="35" t="s">
        <v>101</v>
      </c>
      <c r="D32" s="45">
        <f>+D161</f>
        <v>77870</v>
      </c>
      <c r="E32" s="61">
        <f t="shared" si="0"/>
        <v>257420</v>
      </c>
    </row>
    <row r="33" spans="1:7" x14ac:dyDescent="0.3">
      <c r="B33" s="2">
        <v>10</v>
      </c>
      <c r="C33" s="35" t="s">
        <v>153</v>
      </c>
      <c r="D33" s="53">
        <f>TRUNC(SUM(D24:D32)*0.275,-1)</f>
        <v>465700</v>
      </c>
      <c r="E33" s="62">
        <f t="shared" si="0"/>
        <v>1539510</v>
      </c>
    </row>
    <row r="34" spans="1:7" x14ac:dyDescent="0.3">
      <c r="C34" s="35" t="s">
        <v>112</v>
      </c>
      <c r="D34" s="44">
        <f>SUM(D24:D33)</f>
        <v>2159180</v>
      </c>
      <c r="E34" s="44">
        <f>SUM(E24:E33)</f>
        <v>7137770</v>
      </c>
    </row>
    <row r="35" spans="1:7" s="55" customFormat="1" x14ac:dyDescent="0.3">
      <c r="C35" s="56"/>
      <c r="D35" s="56"/>
      <c r="E35" s="56"/>
      <c r="F35" s="54"/>
      <c r="G35" s="54"/>
    </row>
    <row r="36" spans="1:7" s="55" customFormat="1" ht="17.25" thickBot="1" x14ac:dyDescent="0.35">
      <c r="B36" s="55" t="s">
        <v>12</v>
      </c>
      <c r="C36" s="55" t="s">
        <v>236</v>
      </c>
      <c r="D36" s="56" t="s">
        <v>261</v>
      </c>
      <c r="E36" s="56" t="s">
        <v>235</v>
      </c>
      <c r="F36" s="54"/>
      <c r="G36" s="54"/>
    </row>
    <row r="37" spans="1:7" ht="17.25" thickBot="1" x14ac:dyDescent="0.35">
      <c r="C37" s="38" t="s">
        <v>143</v>
      </c>
      <c r="D37" s="52">
        <v>0</v>
      </c>
      <c r="E37" s="63">
        <f>TRUNC(+D37*3.3058,-1)</f>
        <v>0</v>
      </c>
    </row>
    <row r="38" spans="1:7" s="67" customFormat="1" x14ac:dyDescent="0.3">
      <c r="C38" s="68"/>
      <c r="D38" s="68"/>
      <c r="E38" s="68"/>
      <c r="G38" s="69"/>
    </row>
    <row r="39" spans="1:7" s="67" customFormat="1" ht="17.25" thickBot="1" x14ac:dyDescent="0.35">
      <c r="B39" s="67" t="s">
        <v>111</v>
      </c>
      <c r="C39" s="67" t="s">
        <v>240</v>
      </c>
      <c r="D39" s="68" t="s">
        <v>262</v>
      </c>
      <c r="E39" s="68" t="s">
        <v>263</v>
      </c>
      <c r="G39" s="69"/>
    </row>
    <row r="40" spans="1:7" x14ac:dyDescent="0.3">
      <c r="A40" s="2">
        <v>1</v>
      </c>
      <c r="C40" s="38" t="s">
        <v>15</v>
      </c>
      <c r="D40" s="40">
        <f>TRUNC(59010,-1)</f>
        <v>59010</v>
      </c>
      <c r="E40" s="64">
        <f t="shared" ref="E40:E59" si="1">TRUNC(+D40*3.3058,-1)</f>
        <v>195070</v>
      </c>
    </row>
    <row r="41" spans="1:7" x14ac:dyDescent="0.3">
      <c r="A41" s="2">
        <v>2</v>
      </c>
      <c r="C41" s="38" t="s">
        <v>13</v>
      </c>
      <c r="D41" s="42">
        <f>TRUNC(101015,-1)</f>
        <v>101010</v>
      </c>
      <c r="E41" s="65">
        <f t="shared" si="1"/>
        <v>333910</v>
      </c>
    </row>
    <row r="42" spans="1:7" x14ac:dyDescent="0.3">
      <c r="A42" s="2">
        <v>3</v>
      </c>
      <c r="C42" s="38" t="s">
        <v>14</v>
      </c>
      <c r="D42" s="42">
        <f>TRUNC(9708,-1)</f>
        <v>9700</v>
      </c>
      <c r="E42" s="65">
        <f t="shared" si="1"/>
        <v>32060</v>
      </c>
    </row>
    <row r="43" spans="1:7" x14ac:dyDescent="0.3">
      <c r="A43" s="2">
        <v>4</v>
      </c>
      <c r="C43" s="38" t="s">
        <v>16</v>
      </c>
      <c r="D43" s="42">
        <f>TRUNC(11333,-1)</f>
        <v>11330</v>
      </c>
      <c r="E43" s="65">
        <f t="shared" si="1"/>
        <v>37450</v>
      </c>
    </row>
    <row r="44" spans="1:7" x14ac:dyDescent="0.3">
      <c r="A44" s="2">
        <v>5</v>
      </c>
      <c r="C44" s="38" t="s">
        <v>17</v>
      </c>
      <c r="D44" s="42">
        <f>TRUNC(18125,-1)</f>
        <v>18120</v>
      </c>
      <c r="E44" s="65">
        <f t="shared" si="1"/>
        <v>59900</v>
      </c>
    </row>
    <row r="45" spans="1:7" x14ac:dyDescent="0.3">
      <c r="A45" s="2">
        <v>6</v>
      </c>
      <c r="C45" s="38" t="s">
        <v>18</v>
      </c>
      <c r="D45" s="42">
        <f>TRUNC(5231,-1)</f>
        <v>5230</v>
      </c>
      <c r="E45" s="65">
        <f t="shared" si="1"/>
        <v>17280</v>
      </c>
    </row>
    <row r="46" spans="1:7" x14ac:dyDescent="0.3">
      <c r="A46" s="2">
        <v>7</v>
      </c>
      <c r="C46" s="38" t="s">
        <v>19</v>
      </c>
      <c r="D46" s="42">
        <f>TRUNC(54138,-1)</f>
        <v>54130</v>
      </c>
      <c r="E46" s="65">
        <f t="shared" si="1"/>
        <v>178940</v>
      </c>
    </row>
    <row r="47" spans="1:7" x14ac:dyDescent="0.3">
      <c r="A47" s="2">
        <v>8</v>
      </c>
      <c r="C47" s="38" t="s">
        <v>20</v>
      </c>
      <c r="D47" s="42">
        <v>0</v>
      </c>
      <c r="E47" s="65">
        <f t="shared" si="1"/>
        <v>0</v>
      </c>
    </row>
    <row r="48" spans="1:7" x14ac:dyDescent="0.3">
      <c r="A48" s="2">
        <v>9</v>
      </c>
      <c r="C48" s="38" t="s">
        <v>21</v>
      </c>
      <c r="D48" s="42">
        <f>TRUNC(55012,-1)</f>
        <v>55010</v>
      </c>
      <c r="E48" s="65">
        <f t="shared" si="1"/>
        <v>181850</v>
      </c>
      <c r="F48" s="2" t="s">
        <v>250</v>
      </c>
    </row>
    <row r="49" spans="1:7" x14ac:dyDescent="0.3">
      <c r="A49" s="2">
        <v>10</v>
      </c>
      <c r="C49" s="38" t="s">
        <v>22</v>
      </c>
      <c r="D49" s="42">
        <f>TRUNC(14335,-1)</f>
        <v>14330</v>
      </c>
      <c r="E49" s="65">
        <f t="shared" si="1"/>
        <v>47370</v>
      </c>
    </row>
    <row r="50" spans="1:7" x14ac:dyDescent="0.3">
      <c r="A50" s="2">
        <v>11</v>
      </c>
      <c r="C50" s="38" t="s">
        <v>154</v>
      </c>
      <c r="D50" s="42">
        <f>TRUNC(41902,-1)</f>
        <v>41900</v>
      </c>
      <c r="E50" s="65">
        <f t="shared" si="1"/>
        <v>138510</v>
      </c>
      <c r="F50" s="2" t="s">
        <v>251</v>
      </c>
    </row>
    <row r="51" spans="1:7" x14ac:dyDescent="0.3">
      <c r="A51" s="2">
        <v>12</v>
      </c>
      <c r="C51" s="38" t="s">
        <v>23</v>
      </c>
      <c r="D51" s="42">
        <v>0</v>
      </c>
      <c r="E51" s="65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TRUNC(10797,-1)</f>
        <v>10790</v>
      </c>
      <c r="E52" s="65">
        <f t="shared" si="1"/>
        <v>35660</v>
      </c>
    </row>
    <row r="53" spans="1:7" x14ac:dyDescent="0.3">
      <c r="A53" s="2">
        <v>14</v>
      </c>
      <c r="C53" s="38" t="s">
        <v>25</v>
      </c>
      <c r="D53" s="42">
        <f>TRUNC(162408,-1)</f>
        <v>162400</v>
      </c>
      <c r="E53" s="65">
        <f t="shared" si="1"/>
        <v>536860</v>
      </c>
      <c r="F53" s="2" t="s">
        <v>252</v>
      </c>
    </row>
    <row r="54" spans="1:7" x14ac:dyDescent="0.3">
      <c r="A54" s="2">
        <v>15</v>
      </c>
      <c r="C54" s="38" t="s">
        <v>147</v>
      </c>
      <c r="D54" s="4">
        <v>0</v>
      </c>
      <c r="E54" s="65">
        <f t="shared" si="1"/>
        <v>0</v>
      </c>
    </row>
    <row r="55" spans="1:7" x14ac:dyDescent="0.3">
      <c r="A55" s="2">
        <v>16</v>
      </c>
      <c r="C55" s="38" t="s">
        <v>144</v>
      </c>
      <c r="D55" s="4">
        <v>0</v>
      </c>
      <c r="E55" s="65">
        <f t="shared" si="1"/>
        <v>0</v>
      </c>
    </row>
    <row r="56" spans="1:7" x14ac:dyDescent="0.3">
      <c r="A56" s="2">
        <v>17</v>
      </c>
      <c r="C56" s="38" t="s">
        <v>145</v>
      </c>
      <c r="D56" s="4">
        <v>0</v>
      </c>
      <c r="E56" s="65">
        <f t="shared" si="1"/>
        <v>0</v>
      </c>
    </row>
    <row r="57" spans="1:7" x14ac:dyDescent="0.3">
      <c r="A57" s="2">
        <v>18</v>
      </c>
      <c r="C57" s="38" t="s">
        <v>146</v>
      </c>
      <c r="D57" s="4">
        <v>0</v>
      </c>
      <c r="E57" s="65">
        <f t="shared" si="1"/>
        <v>0</v>
      </c>
    </row>
    <row r="58" spans="1:7" x14ac:dyDescent="0.3">
      <c r="A58" s="2">
        <v>19</v>
      </c>
      <c r="C58" s="38" t="s">
        <v>26</v>
      </c>
      <c r="D58" s="42">
        <f>TRUNC(2889-889+7189,-1)</f>
        <v>9180</v>
      </c>
      <c r="E58" s="65">
        <f t="shared" si="1"/>
        <v>30340</v>
      </c>
      <c r="F58" s="2" t="s">
        <v>253</v>
      </c>
    </row>
    <row r="59" spans="1:7" ht="17.25" thickBot="1" x14ac:dyDescent="0.35">
      <c r="A59" s="2">
        <v>20</v>
      </c>
      <c r="C59" s="38" t="s">
        <v>148</v>
      </c>
      <c r="D59" s="43">
        <f>TRUNC(208521,-1)</f>
        <v>208520</v>
      </c>
      <c r="E59" s="66">
        <f t="shared" si="1"/>
        <v>689320</v>
      </c>
    </row>
    <row r="60" spans="1:7" x14ac:dyDescent="0.3">
      <c r="A60" s="2">
        <v>21</v>
      </c>
      <c r="C60" s="27" t="s">
        <v>112</v>
      </c>
      <c r="D60" s="39">
        <f>SUM(D40:D59)</f>
        <v>760660</v>
      </c>
      <c r="E60" s="39">
        <f>SUM(E40:E59)</f>
        <v>2514520</v>
      </c>
    </row>
    <row r="61" spans="1:7" s="55" customFormat="1" x14ac:dyDescent="0.3">
      <c r="C61" s="56"/>
      <c r="D61" s="56"/>
      <c r="E61" s="56"/>
      <c r="F61" s="54"/>
      <c r="G61" s="54"/>
    </row>
    <row r="62" spans="1:7" s="55" customFormat="1" ht="17.25" thickBot="1" x14ac:dyDescent="0.35">
      <c r="B62" s="55" t="s">
        <v>237</v>
      </c>
      <c r="C62" s="55" t="s">
        <v>238</v>
      </c>
      <c r="D62" s="56" t="s">
        <v>261</v>
      </c>
      <c r="E62" s="56" t="s">
        <v>235</v>
      </c>
      <c r="F62" s="54"/>
      <c r="G62" s="54"/>
    </row>
    <row r="63" spans="1:7" x14ac:dyDescent="0.3">
      <c r="A63" s="2">
        <v>1</v>
      </c>
      <c r="C63" s="38" t="s">
        <v>27</v>
      </c>
      <c r="D63" s="40">
        <f>TRUNC(19319,-1)</f>
        <v>19310</v>
      </c>
      <c r="E63" s="64">
        <f>TRUNC(+D63*3.3058,-1)</f>
        <v>63830</v>
      </c>
    </row>
    <row r="64" spans="1:7" x14ac:dyDescent="0.3">
      <c r="A64" s="2">
        <v>2</v>
      </c>
      <c r="C64" s="38" t="s">
        <v>29</v>
      </c>
      <c r="D64" s="42">
        <v>0</v>
      </c>
      <c r="E64" s="65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6">
        <f>TRUNC(+D65*3.3058,-1)</f>
        <v>0</v>
      </c>
    </row>
    <row r="66" spans="1:7" x14ac:dyDescent="0.3">
      <c r="A66" s="2">
        <v>4</v>
      </c>
      <c r="C66" s="27" t="s">
        <v>112</v>
      </c>
      <c r="D66" s="57">
        <f>SUM(D63:D65)</f>
        <v>19310</v>
      </c>
      <c r="E66" s="57">
        <f>SUM(E63:E65)</f>
        <v>63830</v>
      </c>
    </row>
    <row r="67" spans="1:7" s="55" customFormat="1" x14ac:dyDescent="0.3">
      <c r="C67" s="56"/>
      <c r="D67" s="56"/>
      <c r="E67" s="56"/>
      <c r="F67" s="54"/>
      <c r="G67" s="54"/>
    </row>
    <row r="68" spans="1:7" s="55" customFormat="1" ht="17.25" thickBot="1" x14ac:dyDescent="0.35">
      <c r="B68" s="55" t="s">
        <v>239</v>
      </c>
      <c r="C68" s="55" t="s">
        <v>240</v>
      </c>
      <c r="D68" s="56" t="s">
        <v>261</v>
      </c>
      <c r="E68" s="56" t="s">
        <v>235</v>
      </c>
      <c r="F68" s="54"/>
      <c r="G68" s="54"/>
    </row>
    <row r="69" spans="1:7" x14ac:dyDescent="0.3">
      <c r="A69" s="2">
        <v>1</v>
      </c>
      <c r="C69" s="38" t="s">
        <v>30</v>
      </c>
      <c r="D69" s="40">
        <f>TRUNC(17867,-1)</f>
        <v>17860</v>
      </c>
      <c r="E69" s="64">
        <f t="shared" ref="E69:E94" si="2">TRUNC(+D69*3.3058,-1)</f>
        <v>59040</v>
      </c>
    </row>
    <row r="70" spans="1:7" ht="16.5" customHeight="1" x14ac:dyDescent="0.3">
      <c r="A70" s="2">
        <v>2</v>
      </c>
      <c r="C70" s="38" t="s">
        <v>31</v>
      </c>
      <c r="D70" s="42">
        <f>TRUNC(2074,-1)</f>
        <v>2070</v>
      </c>
      <c r="E70" s="65">
        <f t="shared" si="2"/>
        <v>6840</v>
      </c>
    </row>
    <row r="71" spans="1:7" x14ac:dyDescent="0.3">
      <c r="A71" s="2">
        <v>3</v>
      </c>
      <c r="C71" s="38" t="s">
        <v>32</v>
      </c>
      <c r="D71" s="42">
        <v>8500</v>
      </c>
      <c r="E71" s="65">
        <f t="shared" si="2"/>
        <v>28090</v>
      </c>
    </row>
    <row r="72" spans="1:7" x14ac:dyDescent="0.3">
      <c r="A72" s="2">
        <v>4</v>
      </c>
      <c r="C72" s="38" t="s">
        <v>33</v>
      </c>
      <c r="D72" s="42">
        <f>TRUNC(1908,-1)</f>
        <v>1900</v>
      </c>
      <c r="E72" s="65">
        <f t="shared" si="2"/>
        <v>6280</v>
      </c>
    </row>
    <row r="73" spans="1:7" x14ac:dyDescent="0.3">
      <c r="A73" s="2">
        <v>5</v>
      </c>
      <c r="C73" s="38" t="s">
        <v>34</v>
      </c>
      <c r="D73" s="42">
        <f>TRUNC(8054,-1)</f>
        <v>8050</v>
      </c>
      <c r="E73" s="65">
        <f t="shared" si="2"/>
        <v>26610</v>
      </c>
    </row>
    <row r="74" spans="1:7" x14ac:dyDescent="0.3">
      <c r="A74" s="2">
        <v>6</v>
      </c>
      <c r="C74" s="38" t="s">
        <v>175</v>
      </c>
      <c r="D74" s="42">
        <v>0</v>
      </c>
      <c r="E74" s="65">
        <f t="shared" si="2"/>
        <v>0</v>
      </c>
    </row>
    <row r="75" spans="1:7" x14ac:dyDescent="0.3">
      <c r="A75" s="2">
        <v>7</v>
      </c>
      <c r="C75" s="38" t="s">
        <v>140</v>
      </c>
      <c r="D75" s="42">
        <f>TRUNC(3407,-1)</f>
        <v>3400</v>
      </c>
      <c r="E75" s="65">
        <f t="shared" si="2"/>
        <v>11230</v>
      </c>
    </row>
    <row r="76" spans="1:7" x14ac:dyDescent="0.3">
      <c r="A76" s="2">
        <v>8</v>
      </c>
      <c r="C76" s="38" t="s">
        <v>119</v>
      </c>
      <c r="D76" s="42">
        <f>TRUNC(83794,-1)</f>
        <v>83790</v>
      </c>
      <c r="E76" s="65">
        <f t="shared" si="2"/>
        <v>276990</v>
      </c>
    </row>
    <row r="77" spans="1:7" x14ac:dyDescent="0.3">
      <c r="A77" s="2">
        <v>9</v>
      </c>
      <c r="C77" s="38" t="s">
        <v>152</v>
      </c>
      <c r="D77" s="42">
        <v>0</v>
      </c>
      <c r="E77" s="65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5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5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5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5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5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5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5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5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5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5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5">
        <f t="shared" si="2"/>
        <v>0</v>
      </c>
    </row>
    <row r="89" spans="1:7" x14ac:dyDescent="0.3">
      <c r="A89" s="2">
        <v>21</v>
      </c>
      <c r="C89" s="38" t="s">
        <v>35</v>
      </c>
      <c r="D89" s="42">
        <f>TRUNC(6781,-1)</f>
        <v>6780</v>
      </c>
      <c r="E89" s="65">
        <f t="shared" si="2"/>
        <v>22410</v>
      </c>
    </row>
    <row r="90" spans="1:7" x14ac:dyDescent="0.3">
      <c r="A90" s="2">
        <v>22</v>
      </c>
      <c r="C90" s="38" t="s">
        <v>36</v>
      </c>
      <c r="D90" s="42">
        <f>TRUNC(4962,-1)</f>
        <v>4960</v>
      </c>
      <c r="E90" s="65">
        <f t="shared" si="2"/>
        <v>16390</v>
      </c>
    </row>
    <row r="91" spans="1:7" x14ac:dyDescent="0.3">
      <c r="A91" s="2">
        <v>23</v>
      </c>
      <c r="C91" s="38" t="s">
        <v>37</v>
      </c>
      <c r="D91" s="42">
        <f>TRUNC(50531,-1)</f>
        <v>50530</v>
      </c>
      <c r="E91" s="65">
        <f t="shared" si="2"/>
        <v>167040</v>
      </c>
    </row>
    <row r="92" spans="1:7" x14ac:dyDescent="0.3">
      <c r="A92" s="2">
        <v>24</v>
      </c>
      <c r="C92" s="38" t="s">
        <v>38</v>
      </c>
      <c r="D92" s="42">
        <f>TRUNC(4290,-1)</f>
        <v>4290</v>
      </c>
      <c r="E92" s="65">
        <f t="shared" si="2"/>
        <v>14180</v>
      </c>
    </row>
    <row r="93" spans="1:7" x14ac:dyDescent="0.3">
      <c r="A93" s="2">
        <v>25</v>
      </c>
      <c r="C93" s="38" t="s">
        <v>148</v>
      </c>
      <c r="D93" s="42">
        <f>TRUNC(186684,-1)</f>
        <v>186680</v>
      </c>
      <c r="E93" s="65">
        <f t="shared" si="2"/>
        <v>617120</v>
      </c>
    </row>
    <row r="94" spans="1:7" ht="17.25" thickBot="1" x14ac:dyDescent="0.35">
      <c r="A94" s="2">
        <v>26</v>
      </c>
      <c r="C94" s="38" t="s">
        <v>47</v>
      </c>
      <c r="D94" s="43">
        <f>TRUNC(4092+1176+395+4950,-1)</f>
        <v>10610</v>
      </c>
      <c r="E94" s="66">
        <f t="shared" si="2"/>
        <v>35070</v>
      </c>
      <c r="F94" s="2" t="s">
        <v>254</v>
      </c>
    </row>
    <row r="95" spans="1:7" x14ac:dyDescent="0.3">
      <c r="A95" s="2">
        <v>27</v>
      </c>
      <c r="C95" s="27" t="s">
        <v>112</v>
      </c>
      <c r="D95" s="39">
        <f>SUM(D69:D94)</f>
        <v>389420</v>
      </c>
      <c r="E95" s="39">
        <f>SUM(E69:E94)</f>
        <v>1287290</v>
      </c>
    </row>
    <row r="96" spans="1:7" s="55" customFormat="1" x14ac:dyDescent="0.3">
      <c r="C96" s="56"/>
      <c r="D96" s="56"/>
      <c r="E96" s="56"/>
      <c r="F96" s="54"/>
      <c r="G96" s="54"/>
    </row>
    <row r="97" spans="1:7" s="55" customFormat="1" ht="17.25" thickBot="1" x14ac:dyDescent="0.35">
      <c r="B97" s="55" t="s">
        <v>241</v>
      </c>
      <c r="C97" s="55" t="s">
        <v>240</v>
      </c>
      <c r="D97" s="56" t="s">
        <v>261</v>
      </c>
      <c r="E97" s="56" t="s">
        <v>235</v>
      </c>
      <c r="F97" s="54"/>
      <c r="G97" s="54"/>
    </row>
    <row r="98" spans="1:7" x14ac:dyDescent="0.3">
      <c r="A98" s="2">
        <v>1</v>
      </c>
      <c r="C98" s="38" t="s">
        <v>39</v>
      </c>
      <c r="D98" s="40">
        <f>TRUNC(14867,-1)</f>
        <v>14860</v>
      </c>
      <c r="E98" s="64">
        <f t="shared" ref="E98:E118" si="3">TRUNC(+D98*3.3058,-1)</f>
        <v>49120</v>
      </c>
    </row>
    <row r="99" spans="1:7" x14ac:dyDescent="0.3">
      <c r="A99" s="2">
        <v>2</v>
      </c>
      <c r="C99" s="38" t="s">
        <v>40</v>
      </c>
      <c r="D99" s="42">
        <f>TRUNC(12016,-1)</f>
        <v>12010</v>
      </c>
      <c r="E99" s="65">
        <f t="shared" si="3"/>
        <v>39700</v>
      </c>
    </row>
    <row r="100" spans="1:7" x14ac:dyDescent="0.3">
      <c r="A100" s="2">
        <v>3</v>
      </c>
      <c r="C100" s="38" t="s">
        <v>41</v>
      </c>
      <c r="D100" s="42">
        <f>TRUNC(27186,-1)</f>
        <v>27180</v>
      </c>
      <c r="E100" s="65">
        <f t="shared" si="3"/>
        <v>89850</v>
      </c>
    </row>
    <row r="101" spans="1:7" x14ac:dyDescent="0.3">
      <c r="A101" s="2">
        <v>4</v>
      </c>
      <c r="C101" s="38" t="s">
        <v>42</v>
      </c>
      <c r="D101" s="42">
        <f>TRUNC(3217,-1)</f>
        <v>3210</v>
      </c>
      <c r="E101" s="65">
        <f t="shared" si="3"/>
        <v>10610</v>
      </c>
    </row>
    <row r="102" spans="1:7" x14ac:dyDescent="0.3">
      <c r="A102" s="2">
        <v>5</v>
      </c>
      <c r="C102" s="38" t="s">
        <v>43</v>
      </c>
      <c r="D102" s="42">
        <f>TRUNC(12858,-1)</f>
        <v>12850</v>
      </c>
      <c r="E102" s="65">
        <f t="shared" si="3"/>
        <v>42470</v>
      </c>
    </row>
    <row r="103" spans="1:7" x14ac:dyDescent="0.3">
      <c r="A103" s="2">
        <v>6</v>
      </c>
      <c r="C103" s="38" t="s">
        <v>44</v>
      </c>
      <c r="D103" s="42">
        <v>0</v>
      </c>
      <c r="E103" s="65">
        <f t="shared" si="3"/>
        <v>0</v>
      </c>
    </row>
    <row r="104" spans="1:7" x14ac:dyDescent="0.3">
      <c r="A104" s="2">
        <v>7</v>
      </c>
      <c r="C104" s="38" t="s">
        <v>45</v>
      </c>
      <c r="D104" s="42">
        <v>6200</v>
      </c>
      <c r="E104" s="65">
        <f t="shared" si="3"/>
        <v>20490</v>
      </c>
    </row>
    <row r="105" spans="1:7" x14ac:dyDescent="0.3">
      <c r="A105" s="2">
        <v>8</v>
      </c>
      <c r="C105" s="38" t="s">
        <v>46</v>
      </c>
      <c r="D105" s="42">
        <f>TRUNC(5262,-1)</f>
        <v>5260</v>
      </c>
      <c r="E105" s="65">
        <f t="shared" si="3"/>
        <v>17380</v>
      </c>
    </row>
    <row r="106" spans="1:7" x14ac:dyDescent="0.3">
      <c r="A106" s="2">
        <v>9</v>
      </c>
      <c r="C106" s="38" t="s">
        <v>135</v>
      </c>
      <c r="D106" s="4">
        <v>0</v>
      </c>
      <c r="E106" s="65">
        <f t="shared" si="3"/>
        <v>0</v>
      </c>
    </row>
    <row r="107" spans="1:7" x14ac:dyDescent="0.3">
      <c r="A107" s="2">
        <v>10</v>
      </c>
      <c r="C107" s="38" t="s">
        <v>117</v>
      </c>
      <c r="D107" s="4">
        <v>0</v>
      </c>
      <c r="E107" s="65">
        <f t="shared" si="3"/>
        <v>0</v>
      </c>
    </row>
    <row r="108" spans="1:7" x14ac:dyDescent="0.3">
      <c r="A108" s="2">
        <v>11</v>
      </c>
      <c r="C108" s="38" t="s">
        <v>120</v>
      </c>
      <c r="D108" s="4">
        <v>0</v>
      </c>
      <c r="E108" s="65">
        <f t="shared" si="3"/>
        <v>0</v>
      </c>
    </row>
    <row r="109" spans="1:7" x14ac:dyDescent="0.3">
      <c r="A109" s="2">
        <v>12</v>
      </c>
      <c r="C109" s="38" t="s">
        <v>125</v>
      </c>
      <c r="D109" s="4">
        <v>0</v>
      </c>
      <c r="E109" s="65">
        <f t="shared" si="3"/>
        <v>0</v>
      </c>
    </row>
    <row r="110" spans="1:7" x14ac:dyDescent="0.3">
      <c r="A110" s="2">
        <v>13</v>
      </c>
      <c r="C110" s="38" t="s">
        <v>127</v>
      </c>
      <c r="D110" s="4">
        <v>0</v>
      </c>
      <c r="E110" s="65">
        <f t="shared" si="3"/>
        <v>0</v>
      </c>
    </row>
    <row r="111" spans="1:7" x14ac:dyDescent="0.3">
      <c r="A111" s="2">
        <v>14</v>
      </c>
      <c r="C111" s="38" t="s">
        <v>129</v>
      </c>
      <c r="D111" s="42">
        <v>2560</v>
      </c>
      <c r="E111" s="65">
        <f t="shared" si="3"/>
        <v>8460</v>
      </c>
    </row>
    <row r="112" spans="1:7" x14ac:dyDescent="0.3">
      <c r="A112" s="2">
        <v>15</v>
      </c>
      <c r="C112" s="38" t="s">
        <v>132</v>
      </c>
      <c r="D112" s="4">
        <v>0</v>
      </c>
      <c r="E112" s="65">
        <f t="shared" si="3"/>
        <v>0</v>
      </c>
    </row>
    <row r="113" spans="1:7" x14ac:dyDescent="0.3">
      <c r="A113" s="2">
        <v>16</v>
      </c>
      <c r="C113" s="38" t="s">
        <v>118</v>
      </c>
      <c r="D113" s="4">
        <v>0</v>
      </c>
      <c r="E113" s="65">
        <f t="shared" si="3"/>
        <v>0</v>
      </c>
    </row>
    <row r="114" spans="1:7" x14ac:dyDescent="0.3">
      <c r="A114" s="2">
        <v>17</v>
      </c>
      <c r="C114" s="38" t="s">
        <v>130</v>
      </c>
      <c r="D114" s="4">
        <v>0</v>
      </c>
      <c r="E114" s="65">
        <f t="shared" si="3"/>
        <v>0</v>
      </c>
    </row>
    <row r="115" spans="1:7" x14ac:dyDescent="0.3">
      <c r="A115" s="2">
        <v>18</v>
      </c>
      <c r="C115" s="38" t="s">
        <v>116</v>
      </c>
      <c r="D115" s="4">
        <v>0</v>
      </c>
      <c r="E115" s="65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TRUNC(8369,-1)</f>
        <v>8360</v>
      </c>
      <c r="E116" s="65">
        <f t="shared" si="3"/>
        <v>27630</v>
      </c>
      <c r="F116" s="2" t="s">
        <v>255</v>
      </c>
    </row>
    <row r="117" spans="1:7" x14ac:dyDescent="0.3">
      <c r="A117" s="2">
        <v>20</v>
      </c>
      <c r="C117" s="38" t="s">
        <v>148</v>
      </c>
      <c r="D117" s="42">
        <f>TRUNC(120546,-1)</f>
        <v>120540</v>
      </c>
      <c r="E117" s="65">
        <f t="shared" si="3"/>
        <v>398480</v>
      </c>
    </row>
    <row r="118" spans="1:7" ht="17.25" thickBot="1" x14ac:dyDescent="0.35">
      <c r="A118" s="2">
        <v>21</v>
      </c>
      <c r="C118" s="38" t="s">
        <v>47</v>
      </c>
      <c r="D118" s="43">
        <v>0</v>
      </c>
      <c r="E118" s="66">
        <f t="shared" si="3"/>
        <v>0</v>
      </c>
    </row>
    <row r="119" spans="1:7" x14ac:dyDescent="0.3">
      <c r="A119" s="2">
        <v>22</v>
      </c>
      <c r="C119" s="27" t="s">
        <v>112</v>
      </c>
      <c r="D119" s="39">
        <f>SUM(D98:D118)</f>
        <v>213030</v>
      </c>
      <c r="E119" s="39">
        <f>SUM(E98:E118)</f>
        <v>704190</v>
      </c>
    </row>
    <row r="120" spans="1:7" s="55" customFormat="1" x14ac:dyDescent="0.3">
      <c r="C120" s="56"/>
      <c r="D120" s="56"/>
      <c r="E120" s="56"/>
      <c r="F120" s="54"/>
      <c r="G120" s="54"/>
    </row>
    <row r="121" spans="1:7" s="55" customFormat="1" ht="17.25" thickBot="1" x14ac:dyDescent="0.35">
      <c r="B121" s="55" t="s">
        <v>242</v>
      </c>
      <c r="C121" s="55" t="s">
        <v>240</v>
      </c>
      <c r="D121" s="56" t="s">
        <v>261</v>
      </c>
      <c r="E121" s="56" t="s">
        <v>235</v>
      </c>
      <c r="F121" s="54"/>
      <c r="G121" s="54"/>
    </row>
    <row r="122" spans="1:7" x14ac:dyDescent="0.3">
      <c r="A122" s="2">
        <v>1</v>
      </c>
      <c r="C122" s="38" t="s">
        <v>55</v>
      </c>
      <c r="D122" s="40">
        <f>TRUNC(7706,-1)</f>
        <v>7700</v>
      </c>
      <c r="E122" s="64">
        <f t="shared" ref="E122:E132" si="4">TRUNC(+D122*3.3058,-1)</f>
        <v>25450</v>
      </c>
    </row>
    <row r="123" spans="1:7" x14ac:dyDescent="0.3">
      <c r="A123" s="2">
        <v>2</v>
      </c>
      <c r="C123" s="38" t="s">
        <v>124</v>
      </c>
      <c r="D123" s="42">
        <v>0</v>
      </c>
      <c r="E123" s="65">
        <f t="shared" si="4"/>
        <v>0</v>
      </c>
    </row>
    <row r="124" spans="1:7" x14ac:dyDescent="0.3">
      <c r="A124" s="2">
        <v>3</v>
      </c>
      <c r="C124" s="38" t="s">
        <v>151</v>
      </c>
      <c r="D124" s="42">
        <v>910</v>
      </c>
      <c r="E124" s="65">
        <f t="shared" si="4"/>
        <v>3000</v>
      </c>
    </row>
    <row r="125" spans="1:7" x14ac:dyDescent="0.3">
      <c r="A125" s="2">
        <v>4</v>
      </c>
      <c r="C125" s="38" t="s">
        <v>138</v>
      </c>
      <c r="D125" s="42">
        <f>TRUNC(7168,-1)</f>
        <v>7160</v>
      </c>
      <c r="E125" s="65">
        <f t="shared" si="4"/>
        <v>23660</v>
      </c>
    </row>
    <row r="126" spans="1:7" x14ac:dyDescent="0.3">
      <c r="A126" s="2">
        <v>5</v>
      </c>
      <c r="C126" s="38" t="s">
        <v>53</v>
      </c>
      <c r="D126" s="42">
        <v>0</v>
      </c>
      <c r="E126" s="65">
        <f t="shared" si="4"/>
        <v>0</v>
      </c>
    </row>
    <row r="127" spans="1:7" x14ac:dyDescent="0.3">
      <c r="A127" s="2">
        <v>6</v>
      </c>
      <c r="C127" s="38" t="s">
        <v>56</v>
      </c>
      <c r="D127" s="42">
        <f>TRUNC(3719,-1)</f>
        <v>3710</v>
      </c>
      <c r="E127" s="65">
        <f t="shared" si="4"/>
        <v>12260</v>
      </c>
    </row>
    <row r="128" spans="1:7" x14ac:dyDescent="0.3">
      <c r="A128" s="2">
        <v>7</v>
      </c>
      <c r="C128" s="38" t="s">
        <v>46</v>
      </c>
      <c r="D128" s="42">
        <f>TRUNC(4399,-1)</f>
        <v>4390</v>
      </c>
      <c r="E128" s="65">
        <f t="shared" si="4"/>
        <v>14510</v>
      </c>
    </row>
    <row r="129" spans="1:7" x14ac:dyDescent="0.3">
      <c r="A129" s="2">
        <v>8</v>
      </c>
      <c r="C129" s="38" t="s">
        <v>126</v>
      </c>
      <c r="D129" s="42">
        <v>0</v>
      </c>
      <c r="E129" s="65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TRUNC(22468,-1)</f>
        <v>22460</v>
      </c>
      <c r="E130" s="65">
        <f t="shared" si="4"/>
        <v>74240</v>
      </c>
    </row>
    <row r="131" spans="1:7" x14ac:dyDescent="0.3">
      <c r="A131" s="2">
        <v>10</v>
      </c>
      <c r="C131" s="38" t="s">
        <v>148</v>
      </c>
      <c r="D131" s="42">
        <v>109720</v>
      </c>
      <c r="E131" s="65">
        <f t="shared" si="4"/>
        <v>362710</v>
      </c>
    </row>
    <row r="132" spans="1:7" ht="17.25" thickBot="1" x14ac:dyDescent="0.35">
      <c r="A132" s="2">
        <v>11</v>
      </c>
      <c r="C132" s="38" t="s">
        <v>47</v>
      </c>
      <c r="D132" s="43">
        <f>TRUNC(1604+587+1121,-1)</f>
        <v>3310</v>
      </c>
      <c r="E132" s="66">
        <f t="shared" si="4"/>
        <v>10940</v>
      </c>
      <c r="F132" s="2" t="s">
        <v>256</v>
      </c>
    </row>
    <row r="133" spans="1:7" x14ac:dyDescent="0.3">
      <c r="A133" s="2">
        <v>12</v>
      </c>
      <c r="C133" s="27" t="s">
        <v>112</v>
      </c>
      <c r="D133" s="39">
        <f>SUM(D122:D132)</f>
        <v>159360</v>
      </c>
      <c r="E133" s="39">
        <f>SUM(E122:E132)</f>
        <v>526770</v>
      </c>
    </row>
    <row r="134" spans="1:7" s="55" customFormat="1" x14ac:dyDescent="0.3">
      <c r="C134" s="56"/>
      <c r="D134" s="56"/>
      <c r="E134" s="56"/>
      <c r="F134" s="54"/>
      <c r="G134" s="54"/>
    </row>
    <row r="135" spans="1:7" s="55" customFormat="1" ht="17.25" thickBot="1" x14ac:dyDescent="0.35">
      <c r="B135" s="55" t="s">
        <v>243</v>
      </c>
      <c r="C135" s="55" t="s">
        <v>240</v>
      </c>
      <c r="D135" s="56" t="s">
        <v>261</v>
      </c>
      <c r="E135" s="56" t="s">
        <v>235</v>
      </c>
      <c r="F135" s="54"/>
      <c r="G135" s="54"/>
    </row>
    <row r="136" spans="1:7" x14ac:dyDescent="0.3">
      <c r="A136" s="2">
        <v>1</v>
      </c>
      <c r="C136" s="38" t="s">
        <v>131</v>
      </c>
      <c r="D136" s="58">
        <v>0</v>
      </c>
      <c r="E136" s="64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TRUNC(3070+54,-1)</f>
        <v>3120</v>
      </c>
      <c r="E137" s="65">
        <f t="shared" si="5"/>
        <v>10310</v>
      </c>
      <c r="F137" s="2" t="s">
        <v>257</v>
      </c>
    </row>
    <row r="138" spans="1:7" x14ac:dyDescent="0.3">
      <c r="A138" s="2">
        <v>3</v>
      </c>
      <c r="C138" s="38" t="s">
        <v>60</v>
      </c>
      <c r="D138" s="42">
        <f>TRUNC(3618,-1)</f>
        <v>3610</v>
      </c>
      <c r="E138" s="65">
        <f t="shared" si="5"/>
        <v>11930</v>
      </c>
    </row>
    <row r="139" spans="1:7" x14ac:dyDescent="0.3">
      <c r="A139" s="2">
        <v>4</v>
      </c>
      <c r="C139" s="38" t="s">
        <v>61</v>
      </c>
      <c r="D139" s="42">
        <v>0</v>
      </c>
      <c r="E139" s="65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TRUNC(2122,-1)</f>
        <v>2120</v>
      </c>
      <c r="E140" s="65">
        <f t="shared" si="5"/>
        <v>7000</v>
      </c>
    </row>
    <row r="141" spans="1:7" x14ac:dyDescent="0.3">
      <c r="A141" s="2">
        <v>6</v>
      </c>
      <c r="C141" s="38" t="s">
        <v>59</v>
      </c>
      <c r="D141" s="42">
        <f>TRUNC(7033,-1)</f>
        <v>7030</v>
      </c>
      <c r="E141" s="65">
        <f t="shared" si="5"/>
        <v>23230</v>
      </c>
    </row>
    <row r="142" spans="1:7" x14ac:dyDescent="0.3">
      <c r="A142" s="2">
        <v>7</v>
      </c>
      <c r="C142" s="38" t="s">
        <v>58</v>
      </c>
      <c r="D142" s="42">
        <f>TRUNC(2631,-1)</f>
        <v>2630</v>
      </c>
      <c r="E142" s="65">
        <f t="shared" si="5"/>
        <v>8690</v>
      </c>
    </row>
    <row r="143" spans="1:7" x14ac:dyDescent="0.3">
      <c r="A143" s="2">
        <v>8</v>
      </c>
      <c r="C143" s="38" t="s">
        <v>62</v>
      </c>
      <c r="D143" s="42">
        <f>TRUNC(3651,-1)</f>
        <v>3650</v>
      </c>
      <c r="E143" s="65">
        <f t="shared" si="5"/>
        <v>12060</v>
      </c>
    </row>
    <row r="144" spans="1:7" x14ac:dyDescent="0.3">
      <c r="A144" s="2">
        <v>9</v>
      </c>
      <c r="C144" s="38" t="s">
        <v>63</v>
      </c>
      <c r="D144" s="42">
        <f>TRUNC(12486,-1)</f>
        <v>12480</v>
      </c>
      <c r="E144" s="65">
        <f t="shared" si="5"/>
        <v>41250</v>
      </c>
    </row>
    <row r="145" spans="1:7" ht="17.25" thickBot="1" x14ac:dyDescent="0.35">
      <c r="A145" s="2">
        <v>10</v>
      </c>
      <c r="C145" s="38" t="s">
        <v>148</v>
      </c>
      <c r="D145" s="43">
        <v>1850</v>
      </c>
      <c r="E145" s="66">
        <f t="shared" si="5"/>
        <v>6110</v>
      </c>
    </row>
    <row r="146" spans="1:7" x14ac:dyDescent="0.3">
      <c r="A146" s="2">
        <v>11</v>
      </c>
      <c r="C146" s="27" t="s">
        <v>112</v>
      </c>
      <c r="D146" s="39">
        <f>SUM(D136:D145)</f>
        <v>36490</v>
      </c>
      <c r="E146" s="39">
        <f>SUM(E136:E145)</f>
        <v>120580</v>
      </c>
    </row>
    <row r="147" spans="1:7" s="55" customFormat="1" x14ac:dyDescent="0.3">
      <c r="C147" s="56"/>
      <c r="D147" s="56"/>
      <c r="E147" s="56"/>
      <c r="F147" s="54"/>
      <c r="G147" s="54"/>
    </row>
    <row r="148" spans="1:7" s="55" customFormat="1" ht="17.25" thickBot="1" x14ac:dyDescent="0.35">
      <c r="B148" s="55" t="s">
        <v>244</v>
      </c>
      <c r="C148" s="55" t="s">
        <v>240</v>
      </c>
      <c r="D148" s="56" t="s">
        <v>261</v>
      </c>
      <c r="E148" s="56" t="s">
        <v>235</v>
      </c>
      <c r="F148" s="54"/>
      <c r="G148" s="54"/>
    </row>
    <row r="149" spans="1:7" x14ac:dyDescent="0.3">
      <c r="A149" s="2">
        <v>1</v>
      </c>
      <c r="C149" s="38" t="s">
        <v>48</v>
      </c>
      <c r="D149" s="40">
        <f>TRUNC(7192+621,-1)</f>
        <v>7810</v>
      </c>
      <c r="E149" s="64">
        <f>TRUNC(+D149*3.3058,-1)</f>
        <v>25810</v>
      </c>
      <c r="F149" s="2" t="s">
        <v>258</v>
      </c>
    </row>
    <row r="150" spans="1:7" x14ac:dyDescent="0.3">
      <c r="A150" s="2">
        <v>2</v>
      </c>
      <c r="C150" s="38" t="s">
        <v>49</v>
      </c>
      <c r="D150" s="42">
        <f>5330</f>
        <v>5330</v>
      </c>
      <c r="E150" s="65">
        <f>TRUNC(+D150*3.3058,-1)</f>
        <v>17610</v>
      </c>
      <c r="F150" s="2" t="s">
        <v>95</v>
      </c>
    </row>
    <row r="151" spans="1:7" x14ac:dyDescent="0.3">
      <c r="A151" s="2">
        <v>3</v>
      </c>
      <c r="C151" s="38" t="s">
        <v>50</v>
      </c>
      <c r="D151" s="42">
        <f>TRUNC(1723,-1)</f>
        <v>1720</v>
      </c>
      <c r="E151" s="65">
        <f>TRUNC(+D151*3.3058,-1)</f>
        <v>5680</v>
      </c>
      <c r="F151" s="2" t="s">
        <v>258</v>
      </c>
    </row>
    <row r="152" spans="1:7" x14ac:dyDescent="0.3">
      <c r="A152" s="2">
        <v>4</v>
      </c>
      <c r="C152" s="38" t="s">
        <v>47</v>
      </c>
      <c r="D152" s="42">
        <f>TRUNC(252+3723+1020,-1)</f>
        <v>4990</v>
      </c>
      <c r="E152" s="65">
        <f>TRUNC(+D152*3.3058,-1)</f>
        <v>16490</v>
      </c>
      <c r="F152" s="59" t="s">
        <v>259</v>
      </c>
    </row>
    <row r="153" spans="1:7" ht="17.25" thickBot="1" x14ac:dyDescent="0.35">
      <c r="A153" s="2">
        <v>5</v>
      </c>
      <c r="C153" s="38" t="s">
        <v>148</v>
      </c>
      <c r="D153" s="43">
        <f>TRUNC(17491,-1)</f>
        <v>17490</v>
      </c>
      <c r="E153" s="66">
        <f>TRUNC(+D153*3.3058,-1)</f>
        <v>57810</v>
      </c>
      <c r="F153" s="2" t="s">
        <v>258</v>
      </c>
    </row>
    <row r="154" spans="1:7" x14ac:dyDescent="0.3">
      <c r="A154" s="2">
        <v>6</v>
      </c>
      <c r="C154" s="27" t="s">
        <v>112</v>
      </c>
      <c r="D154" s="39">
        <f>SUM(D149:D153)</f>
        <v>37340</v>
      </c>
      <c r="E154" s="39">
        <f>SUM(E149:E153)</f>
        <v>123400</v>
      </c>
    </row>
    <row r="155" spans="1:7" s="55" customFormat="1" x14ac:dyDescent="0.3">
      <c r="C155" s="56"/>
      <c r="D155" s="56"/>
      <c r="E155" s="56"/>
      <c r="F155" s="54"/>
      <c r="G155" s="54"/>
    </row>
    <row r="156" spans="1:7" s="55" customFormat="1" ht="17.25" thickBot="1" x14ac:dyDescent="0.35">
      <c r="B156" s="55" t="s">
        <v>245</v>
      </c>
      <c r="C156" s="55" t="s">
        <v>240</v>
      </c>
      <c r="D156" s="56" t="s">
        <v>261</v>
      </c>
      <c r="E156" s="56" t="s">
        <v>235</v>
      </c>
      <c r="F156" s="54"/>
      <c r="G156" s="54"/>
    </row>
    <row r="157" spans="1:7" x14ac:dyDescent="0.3">
      <c r="A157" s="2">
        <v>1</v>
      </c>
      <c r="C157" s="38" t="s">
        <v>51</v>
      </c>
      <c r="D157" s="40">
        <f>TRUNC(43274,-1)</f>
        <v>43270</v>
      </c>
      <c r="E157" s="64">
        <f>TRUNC(+D157*3.3058,-1)</f>
        <v>143040</v>
      </c>
    </row>
    <row r="158" spans="1:7" x14ac:dyDescent="0.3">
      <c r="A158" s="2">
        <v>2</v>
      </c>
      <c r="C158" s="38" t="s">
        <v>52</v>
      </c>
      <c r="D158" s="42">
        <f>TRUNC(8226,-1)</f>
        <v>8220</v>
      </c>
      <c r="E158" s="65">
        <f>TRUNC(+D158*3.3058,-1)</f>
        <v>27170</v>
      </c>
    </row>
    <row r="159" spans="1:7" x14ac:dyDescent="0.3">
      <c r="A159" s="2">
        <v>3</v>
      </c>
      <c r="C159" s="38" t="s">
        <v>47</v>
      </c>
      <c r="D159" s="42">
        <f>TRUNC(17613+8775,-1)</f>
        <v>26380</v>
      </c>
      <c r="E159" s="65">
        <f>TRUNC(+D159*3.3058,-1)</f>
        <v>87200</v>
      </c>
      <c r="F159" s="2" t="s">
        <v>260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6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77870</v>
      </c>
      <c r="E161" s="39">
        <f>SUM(E156:E160)</f>
        <v>257410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2020-12-07T10:17:23Z</dcterms:modified>
</cp:coreProperties>
</file>