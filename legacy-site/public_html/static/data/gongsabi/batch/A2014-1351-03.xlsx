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64" i="4"/>
  <c r="D58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6" i="4"/>
  <c r="E123" i="4"/>
  <c r="E117" i="4"/>
  <c r="E116" i="4"/>
  <c r="E113" i="4"/>
  <c r="E112" i="4"/>
  <c r="E111" i="4"/>
  <c r="E110" i="4"/>
  <c r="E109" i="4"/>
  <c r="E107" i="4"/>
  <c r="E106" i="4"/>
  <c r="E103" i="4"/>
  <c r="E93" i="4"/>
  <c r="E91" i="4"/>
  <c r="E88" i="4"/>
  <c r="E87" i="4"/>
  <c r="E86" i="4"/>
  <c r="E85" i="4"/>
  <c r="E83" i="4"/>
  <c r="E82" i="4"/>
  <c r="E81" i="4"/>
  <c r="E80" i="4"/>
  <c r="E79" i="4"/>
  <c r="E77" i="4"/>
  <c r="E76" i="4"/>
  <c r="E74" i="4"/>
  <c r="E65" i="4"/>
  <c r="E64" i="4"/>
  <c r="E63" i="4"/>
  <c r="E66" i="4" s="1"/>
  <c r="E59" i="4"/>
  <c r="E58" i="4"/>
  <c r="E57" i="4"/>
  <c r="E56" i="4"/>
  <c r="E54" i="4"/>
  <c r="E146" i="4" l="1"/>
  <c r="D130" i="4"/>
  <c r="E130" i="4" s="1"/>
  <c r="D132" i="4"/>
  <c r="E132" i="4" s="1"/>
  <c r="D128" i="4"/>
  <c r="E128" i="4" s="1"/>
  <c r="D127" i="4"/>
  <c r="E127" i="4" s="1"/>
  <c r="D125" i="4"/>
  <c r="E125" i="4" s="1"/>
  <c r="D124" i="4"/>
  <c r="E124" i="4" s="1"/>
  <c r="D122" i="4"/>
  <c r="E122" i="4" s="1"/>
  <c r="D118" i="4"/>
  <c r="E118" i="4" s="1"/>
  <c r="D115" i="4"/>
  <c r="E115" i="4" s="1"/>
  <c r="D114" i="4"/>
  <c r="E114" i="4" s="1"/>
  <c r="D108" i="4"/>
  <c r="E108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E60" i="4" s="1"/>
  <c r="D40" i="4"/>
  <c r="E40" i="4" s="1"/>
  <c r="D37" i="4"/>
  <c r="E37" i="4" s="1"/>
  <c r="D84" i="4"/>
  <c r="E84" i="4" s="1"/>
  <c r="D94" i="4"/>
  <c r="E94" i="4" s="1"/>
  <c r="D92" i="4"/>
  <c r="E92" i="4" s="1"/>
  <c r="D90" i="4"/>
  <c r="E90" i="4" s="1"/>
  <c r="D89" i="4"/>
  <c r="E89" i="4" s="1"/>
  <c r="D78" i="4"/>
  <c r="E78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E69" i="4" s="1"/>
  <c r="D159" i="4"/>
  <c r="E159" i="4" s="1"/>
  <c r="E161" i="4" s="1"/>
  <c r="D152" i="4"/>
  <c r="E152" i="4" s="1"/>
  <c r="E154" i="4" s="1"/>
  <c r="E133" i="4" l="1"/>
  <c r="E119" i="4"/>
  <c r="E95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<sst xmlns="http://schemas.openxmlformats.org/spreadsheetml/2006/main" count="390" uniqueCount="266">
  <si>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</si>
  <si>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</si>
  <si>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</si>
  <si>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</si>
  <si>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</si>
  <si>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</si>
  <si>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</si>
  <si>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</si>
  <si>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</si>
  <si>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</si>
  <si>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</si>
  <si>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</si>
  <si>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</si>
  <si>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</si>
  <si>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</si>
  <si>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</si>
  <si>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</si>
  <si>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</si>
  <si>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</si>
  <si>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</si>
  <si>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</si>
  <si>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</si>
  <si>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</si>
  <si>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</si>
  <si>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</si>
  <si>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</si>
  <si>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</si>
  <si>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</si>
  <si>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</si>
  <si>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</si>
  <si>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</si>
  <si>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</si>
  <si>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</si>
  <si>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</si>
  <si>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</si>
  <si>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</si>
  <si>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</si>
  <si>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</si>
  <si>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</si>
  <si>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</si>
  <si>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</si>
  <si>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</si>
  <si>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</si>
  <si>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</si>
  <si>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</si>
  <si>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</si>
  <si>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</si>
  <si>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</si>
  <si>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</si>
  <si>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</si>
  <si>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</si>
  <si>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</si>
  <si>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</si>
  <si>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</si>
  <si>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</si>
  <si>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</si>
  <si>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</si>
  <si>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</si>
  <si>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</si>
  <si>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</si>
  <si>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</si>
  <si>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</si>
  <si>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</si>
  <si>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</si>
  <si>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</si>
  <si>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</si>
  <si>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</si>
  <si>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</si>
  <si>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</si>
  <si>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</si>
  <si>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</si>
  <si>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</si>
  <si>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</si>
  <si>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</si>
  <si>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</si>
  <si>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</si>
  <si>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</si>
  <si>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</si>
  <si>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</si>
  <si>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</si>
  <si>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</si>
  <si>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</si>
  <si>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</si>
  <si>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</si>
  <si>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</si>
  <si>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</si>
  <si>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</si>
  <si>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</si>
  <si>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</si>
  <si>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</si>
  <si>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</si>
  <si>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</si>
  <si>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</si>
  <si>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</si>
  <si>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</si>
  <si>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</si>
  <si>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</si>
  <si>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</si>
  <si>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</si>
  <si>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</si>
  <si>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</si>
  <si>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</si>
  <si>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</si>
  <si>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</si>
  <si>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</si>
  <si>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</si>
  <si>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</si>
  <si>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</si>
  <si>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</si>
  <si>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</si>
  <si>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</si>
  <si>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</si>
  <si>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</si>
  <si>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</si>
  <si>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</si>
  <si>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</si>
  <si>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</si>
  <si>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</si>
  <si>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</si>
  <si>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</si>
  <si>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</si>
  <si>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</si>
  <si>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</si>
  <si>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</si>
  <si>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</si>
  <si>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</si>
  <si>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</si>
  <si>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</si>
  <si>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</si>
  <si>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</si>
  <si>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</si>
  <si>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</si>
  <si>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</si>
  <si>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</si>
  <si>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</si>
  <si>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</si>
  <si>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</si>
  <si>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</si>
  <si>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</si>
  <si>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</si>
  <si>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</si>
  <si>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</si>
  <si>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</si>
  <si>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</si>
  <si>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</si>
  <si>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</si>
  <si>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</si>
  <si>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</si>
  <si>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</si>
  <si>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</si>
  <si>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</si>
  <si>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</si>
  <si>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</si>
  <si>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</si>
  <si>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</si>
  <si>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</si>
  <si>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</si>
  <si>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</si>
  <si>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</si>
  <si>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</si>
  <si>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</si>
  <si>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</si>
  <si>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</si>
  <si>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</si>
  <si>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</si>
  <si>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</si>
  <si>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</si>
  <si>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</si>
  <si>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</si>
  <si>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</si>
  <si>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</si>
  <si>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</si>
  <si>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</si>
  <si>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</si>
  <si>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</si>
  <si>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</si>
  <si>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</si>
  <si>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</si>
  <si>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</si>
  <si>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</si>
  <si>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</si>
  <si>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</si>
  <si>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</si>
  <si>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</si>
  <si>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</si>
  <si>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</si>
  <si>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</si>
  <si>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</si>
  <si>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</si>
  <si>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</si>
  <si>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</si>
  <si>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</si>
  <si>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</si>
  <si>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</si>
  <si>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</si>
  <si>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</si>
  <si>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</si>
  <si>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</si>
  <si>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</si>
  <si>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</si>
  <si>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</si>
  <si>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</si>
  <si>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</si>
  <si>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</si>
  <si>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</si>
  <si>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</si>
  <si>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</si>
  <si>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</si>
  <si>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</si>
  <si>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</si>
  <si>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</si>
  <si>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</si>
  <si>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</si>
  <si>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</si>
  <si>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</si>
  <si>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</si>
  <si>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</si>
  <si>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</si>
  <si>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</si>
  <si>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</si>
  <si>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</si>
  <si>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</si>
  <si>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</si>
  <si>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</si>
  <si>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</si>
  <si>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</si>
  <si>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</si>
  <si>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</si>
  <si>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</si>
  <si>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</si>
  <si>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</si>
  <si>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</si>
  <si>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</si>
  <si>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</si>
  <si>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</si>
  <si>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</si>
  <si>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</si>
  <si>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</si>
  <si>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</si>
  <si>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</si>
  <si>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</si>
  <si>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</si>
  <si>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</si>
  <si>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</si>
  <si>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</si>
  <si>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</si>
  <si>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</si>
  <si>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</si>
  <si>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0000경찰서 신축공사</t>
    <phoneticPr fontId="2" type="noConversion"/>
  </si>
  <si>
    <t>업무</t>
  </si>
  <si>
    <t>서울</t>
  </si>
  <si>
    <t>부대토목공사(흙막이공사포함)</t>
    <phoneticPr fontId="2" type="noConversion"/>
  </si>
  <si>
    <t>부대조경공사</t>
    <phoneticPr fontId="2" type="noConversion"/>
  </si>
  <si>
    <t>공조배관공사,주방기구공사,사우나설비공사,정화조공사,우수처리시설공사,천정복사판넬공사</t>
    <phoneticPr fontId="2" type="noConversion"/>
  </si>
  <si>
    <t>자동조명제어설비공사</t>
    <phoneticPr fontId="2" type="noConversion"/>
  </si>
  <si>
    <t>태양광설비공사,전기자동차충전시스템</t>
    <phoneticPr fontId="2" type="noConversion"/>
  </si>
  <si>
    <t>CCTV설비공사,주차관제설비공사</t>
    <phoneticPr fontId="2" type="noConversion"/>
  </si>
  <si>
    <t>원 /평</t>
    <phoneticPr fontId="2" type="noConversion"/>
  </si>
  <si>
    <t>석면철거공사,철거공사,폐자재상차비,국기게양대,기타공사,가구공사,대강당공사,경비실공사,품질관리비,임목폐기물공사,골재및운반비</t>
    <phoneticPr fontId="2" type="noConversion"/>
  </si>
  <si>
    <t>전기 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</si>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</sst>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21236</v>
      </c>
      <c r="D7" s="36">
        <f>+C7/3.3058</f>
        <v>6423.8610926250831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257</v>
      </c>
    </row>
    <row r="24" spans="1:5" x14ac:dyDescent="0.3">
      <c r="B24" s="2">
        <v>1</v>
      </c>
      <c r="C24" s="35" t="s">
        <v>110</v>
      </c>
      <c r="D24" s="41">
        <f>+D37</f>
        <v>18910</v>
      </c>
      <c r="E24" s="58">
        <f t="shared" ref="E24:E33" si="0">TRUNC(+D24*3.3058,-1)</f>
        <v>62510</v>
      </c>
    </row>
    <row r="25" spans="1:5" x14ac:dyDescent="0.3">
      <c r="B25" s="2">
        <v>2</v>
      </c>
      <c r="C25" s="35" t="s">
        <v>111</v>
      </c>
      <c r="D25" s="45">
        <f>+D60</f>
        <v>440140</v>
      </c>
      <c r="E25" s="59">
        <f t="shared" si="0"/>
        <v>1455010</v>
      </c>
    </row>
    <row r="26" spans="1:5" x14ac:dyDescent="0.3">
      <c r="B26" s="2">
        <v>3</v>
      </c>
      <c r="C26" s="35" t="s">
        <v>95</v>
      </c>
      <c r="D26" s="45">
        <f>+D66</f>
        <v>10100</v>
      </c>
      <c r="E26" s="59">
        <f t="shared" si="0"/>
        <v>33380</v>
      </c>
    </row>
    <row r="27" spans="1:5" x14ac:dyDescent="0.3">
      <c r="B27" s="2">
        <v>4</v>
      </c>
      <c r="C27" s="35" t="s">
        <v>96</v>
      </c>
      <c r="D27" s="45">
        <f>+D95</f>
        <v>84040</v>
      </c>
      <c r="E27" s="59">
        <f t="shared" si="0"/>
        <v>277810</v>
      </c>
    </row>
    <row r="28" spans="1:5" x14ac:dyDescent="0.3">
      <c r="B28" s="2">
        <v>5</v>
      </c>
      <c r="C28" s="35" t="s">
        <v>97</v>
      </c>
      <c r="D28" s="45">
        <f>+D119</f>
        <v>55980</v>
      </c>
      <c r="E28" s="59">
        <f t="shared" si="0"/>
        <v>185050</v>
      </c>
    </row>
    <row r="29" spans="1:5" x14ac:dyDescent="0.3">
      <c r="B29" s="2">
        <v>6</v>
      </c>
      <c r="C29" s="35" t="s">
        <v>98</v>
      </c>
      <c r="D29" s="45">
        <f>+D133</f>
        <v>38220</v>
      </c>
      <c r="E29" s="59">
        <f t="shared" si="0"/>
        <v>126340</v>
      </c>
    </row>
    <row r="30" spans="1:5" x14ac:dyDescent="0.3">
      <c r="B30" s="2">
        <v>7</v>
      </c>
      <c r="C30" s="35" t="s">
        <v>99</v>
      </c>
      <c r="D30" s="45">
        <f>+D146</f>
        <v>30670</v>
      </c>
      <c r="E30" s="59">
        <f t="shared" si="0"/>
        <v>101380</v>
      </c>
    </row>
    <row r="31" spans="1:5" x14ac:dyDescent="0.3">
      <c r="B31" s="2">
        <v>8</v>
      </c>
      <c r="C31" s="35" t="s">
        <v>100</v>
      </c>
      <c r="D31" s="45">
        <f>+D154</f>
        <v>144180</v>
      </c>
      <c r="E31" s="59">
        <f t="shared" si="0"/>
        <v>476630</v>
      </c>
    </row>
    <row r="32" spans="1:5" x14ac:dyDescent="0.3">
      <c r="B32" s="2">
        <v>9</v>
      </c>
      <c r="C32" s="35" t="s">
        <v>101</v>
      </c>
      <c r="D32" s="45">
        <f>+D161</f>
        <v>19570</v>
      </c>
      <c r="E32" s="59">
        <f t="shared" si="0"/>
        <v>64690</v>
      </c>
    </row>
    <row r="33" spans="1:7" x14ac:dyDescent="0.3">
      <c r="B33" s="2">
        <v>10</v>
      </c>
      <c r="C33" s="35" t="s">
        <v>154</v>
      </c>
      <c r="D33" s="53">
        <f>TRUNC(SUM(D24:D32)*0.275,-1)</f>
        <v>231490</v>
      </c>
      <c r="E33" s="60">
        <f t="shared" si="0"/>
        <v>765250</v>
      </c>
    </row>
    <row r="34" spans="1:7" x14ac:dyDescent="0.3">
      <c r="C34" s="35" t="s">
        <v>112</v>
      </c>
      <c r="D34" s="44">
        <f>SUM(D24:D33)</f>
        <v>1073300</v>
      </c>
      <c r="E34" s="44">
        <f>SUM(E24:E33)</f>
        <v>3548050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TRUNC(18910,-1)</f>
        <v>18910</v>
      </c>
      <c r="E37" s="61">
        <f>TRUNC(+D37*3.3058,-1)</f>
        <v>62510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TRUNC(22273,-1)</f>
        <v>22270</v>
      </c>
      <c r="E40" s="62">
        <f t="shared" ref="E40:E59" si="1">TRUNC(+D40*3.3058,-1)</f>
        <v>73620</v>
      </c>
    </row>
    <row r="41" spans="1:7" x14ac:dyDescent="0.3">
      <c r="A41" s="2">
        <v>2</v>
      </c>
      <c r="C41" s="38" t="s">
        <v>13</v>
      </c>
      <c r="D41" s="42">
        <f>TRUNC(82874,-1)</f>
        <v>82870</v>
      </c>
      <c r="E41" s="63">
        <f t="shared" si="1"/>
        <v>273950</v>
      </c>
    </row>
    <row r="42" spans="1:7" x14ac:dyDescent="0.3">
      <c r="A42" s="2">
        <v>3</v>
      </c>
      <c r="C42" s="38" t="s">
        <v>14</v>
      </c>
      <c r="D42" s="42">
        <f>TRUNC(48765,-1)</f>
        <v>48760</v>
      </c>
      <c r="E42" s="63">
        <f t="shared" si="1"/>
        <v>161190</v>
      </c>
    </row>
    <row r="43" spans="1:7" x14ac:dyDescent="0.3">
      <c r="A43" s="2">
        <v>4</v>
      </c>
      <c r="C43" s="38" t="s">
        <v>16</v>
      </c>
      <c r="D43" s="42">
        <f>TRUNC(14631,-1)</f>
        <v>14630</v>
      </c>
      <c r="E43" s="63">
        <f t="shared" si="1"/>
        <v>48360</v>
      </c>
    </row>
    <row r="44" spans="1:7" x14ac:dyDescent="0.3">
      <c r="A44" s="2">
        <v>5</v>
      </c>
      <c r="C44" s="38" t="s">
        <v>17</v>
      </c>
      <c r="D44" s="42">
        <f>TRUNC(14721,-1)</f>
        <v>14720</v>
      </c>
      <c r="E44" s="63">
        <f t="shared" si="1"/>
        <v>48660</v>
      </c>
    </row>
    <row r="45" spans="1:7" x14ac:dyDescent="0.3">
      <c r="A45" s="2">
        <v>6</v>
      </c>
      <c r="C45" s="38" t="s">
        <v>18</v>
      </c>
      <c r="D45" s="42">
        <f>TRUNC(5454,-1)</f>
        <v>5450</v>
      </c>
      <c r="E45" s="63">
        <f t="shared" si="1"/>
        <v>18010</v>
      </c>
    </row>
    <row r="46" spans="1:7" x14ac:dyDescent="0.3">
      <c r="A46" s="2">
        <v>7</v>
      </c>
      <c r="C46" s="38" t="s">
        <v>19</v>
      </c>
      <c r="D46" s="42">
        <f>TRUNC(42938,-1)</f>
        <v>42930</v>
      </c>
      <c r="E46" s="63">
        <f t="shared" si="1"/>
        <v>141910</v>
      </c>
    </row>
    <row r="47" spans="1:7" x14ac:dyDescent="0.3">
      <c r="A47" s="2">
        <v>8</v>
      </c>
      <c r="C47" s="38" t="s">
        <v>20</v>
      </c>
      <c r="D47" s="42">
        <f>TRUNC(1770,-1)</f>
        <v>1770</v>
      </c>
      <c r="E47" s="63">
        <f t="shared" si="1"/>
        <v>5850</v>
      </c>
    </row>
    <row r="48" spans="1:7" x14ac:dyDescent="0.3">
      <c r="A48" s="2">
        <v>9</v>
      </c>
      <c r="C48" s="38" t="s">
        <v>21</v>
      </c>
      <c r="D48" s="42">
        <f>TRUNC(23121,-1)</f>
        <v>23120</v>
      </c>
      <c r="E48" s="63">
        <f t="shared" si="1"/>
        <v>76430</v>
      </c>
    </row>
    <row r="49" spans="1:7" x14ac:dyDescent="0.3">
      <c r="A49" s="2">
        <v>10</v>
      </c>
      <c r="C49" s="38" t="s">
        <v>22</v>
      </c>
      <c r="D49" s="42">
        <f>TRUNC(13908,-1)</f>
        <v>13900</v>
      </c>
      <c r="E49" s="63">
        <f t="shared" si="1"/>
        <v>45950</v>
      </c>
    </row>
    <row r="50" spans="1:7" x14ac:dyDescent="0.3">
      <c r="A50" s="2">
        <v>11</v>
      </c>
      <c r="C50" s="38" t="s">
        <v>155</v>
      </c>
      <c r="D50" s="42">
        <f>TRUNC(32195,-1)</f>
        <v>32190</v>
      </c>
      <c r="E50" s="63">
        <f t="shared" si="1"/>
        <v>106410</v>
      </c>
    </row>
    <row r="51" spans="1:7" x14ac:dyDescent="0.3">
      <c r="A51" s="2">
        <v>12</v>
      </c>
      <c r="C51" s="38" t="s">
        <v>23</v>
      </c>
      <c r="D51" s="42">
        <f>TRUNC(16500,-1)</f>
        <v>16500</v>
      </c>
      <c r="E51" s="63">
        <f t="shared" si="1"/>
        <v>54540</v>
      </c>
    </row>
    <row r="52" spans="1:7" x14ac:dyDescent="0.3">
      <c r="A52" s="2">
        <v>13</v>
      </c>
      <c r="C52" s="38" t="s">
        <v>24</v>
      </c>
      <c r="D52" s="42">
        <f>TRUNC(17107,-1)</f>
        <v>17100</v>
      </c>
      <c r="E52" s="63">
        <f t="shared" si="1"/>
        <v>56520</v>
      </c>
    </row>
    <row r="53" spans="1:7" x14ac:dyDescent="0.3">
      <c r="A53" s="2">
        <v>14</v>
      </c>
      <c r="C53" s="38" t="s">
        <v>25</v>
      </c>
      <c r="D53" s="42">
        <f>TRUNC(65560,-1)</f>
        <v>65560</v>
      </c>
      <c r="E53" s="63">
        <f t="shared" si="1"/>
        <v>216720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TRUNC(464,-1)</f>
        <v>460</v>
      </c>
      <c r="E55" s="63">
        <f t="shared" si="1"/>
        <v>1520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TRUNC(5561+9684+1394+115+4822+1636+10268+719+1071+70+2575,-1)</f>
        <v>37910</v>
      </c>
      <c r="E58" s="63">
        <f t="shared" si="1"/>
        <v>125320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440140</v>
      </c>
      <c r="E60" s="39">
        <f>SUM(E40:E59)</f>
        <v>1454960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f>TRUNC(10108,-1)</f>
        <v>10100</v>
      </c>
      <c r="E64" s="63">
        <f>TRUNC(+D64*3.3058,-1)</f>
        <v>33380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10100</v>
      </c>
      <c r="E66" s="65">
        <f>SUM(E63:E65)</f>
        <v>33380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TRUNC(11567,-1)</f>
        <v>11560</v>
      </c>
      <c r="E69" s="62">
        <f t="shared" ref="E69:E94" si="2">TRUNC(+D69*3.3058,-1)</f>
        <v>38210</v>
      </c>
    </row>
    <row r="70" spans="1:7" ht="16.5" customHeight="1" x14ac:dyDescent="0.3">
      <c r="A70" s="2">
        <v>2</v>
      </c>
      <c r="C70" s="38" t="s">
        <v>31</v>
      </c>
      <c r="D70" s="42">
        <f>TRUNC(41,-1)</f>
        <v>40</v>
      </c>
      <c r="E70" s="63">
        <f t="shared" si="2"/>
        <v>130</v>
      </c>
    </row>
    <row r="71" spans="1:7" x14ac:dyDescent="0.3">
      <c r="A71" s="2">
        <v>3</v>
      </c>
      <c r="C71" s="38" t="s">
        <v>32</v>
      </c>
      <c r="D71" s="42">
        <f>TRUNC(6540,-1)</f>
        <v>6540</v>
      </c>
      <c r="E71" s="63">
        <f t="shared" si="2"/>
        <v>21610</v>
      </c>
    </row>
    <row r="72" spans="1:7" x14ac:dyDescent="0.3">
      <c r="A72" s="2">
        <v>4</v>
      </c>
      <c r="C72" s="38" t="s">
        <v>33</v>
      </c>
      <c r="D72" s="42">
        <f>TRUNC(2212,-1)</f>
        <v>2210</v>
      </c>
      <c r="E72" s="63">
        <f t="shared" si="2"/>
        <v>7300</v>
      </c>
    </row>
    <row r="73" spans="1:7" x14ac:dyDescent="0.3">
      <c r="A73" s="2">
        <v>5</v>
      </c>
      <c r="C73" s="38" t="s">
        <v>34</v>
      </c>
      <c r="D73" s="42">
        <f>TRUNC(4584,-1)</f>
        <v>4580</v>
      </c>
      <c r="E73" s="63">
        <f t="shared" si="2"/>
        <v>15140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TRUNC(1857,-1)</f>
        <v>1850</v>
      </c>
      <c r="E75" s="63">
        <f t="shared" si="2"/>
        <v>6110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TRUNC(24018,-1)</f>
        <v>24010</v>
      </c>
      <c r="E78" s="63">
        <f t="shared" si="2"/>
        <v>79370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TRUNC(500,-1)</f>
        <v>500</v>
      </c>
      <c r="E84" s="63">
        <f t="shared" si="2"/>
        <v>1650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TRUNC(10497,-1)</f>
        <v>10490</v>
      </c>
      <c r="E89" s="63">
        <f t="shared" si="2"/>
        <v>34670</v>
      </c>
    </row>
    <row r="90" spans="1:7" x14ac:dyDescent="0.3">
      <c r="A90" s="2">
        <v>22</v>
      </c>
      <c r="C90" s="38" t="s">
        <v>36</v>
      </c>
      <c r="D90" s="42">
        <f>TRUNC(1407,-1)</f>
        <v>1400</v>
      </c>
      <c r="E90" s="63">
        <f t="shared" si="2"/>
        <v>4620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TRUNC(4188,-1)</f>
        <v>4180</v>
      </c>
      <c r="E92" s="63">
        <f t="shared" si="2"/>
        <v>13810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TRUNC(6926+4526+226+2512+2137+355,-1)</f>
        <v>16680</v>
      </c>
      <c r="E94" s="64">
        <f t="shared" si="2"/>
        <v>55140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84040</v>
      </c>
      <c r="E95" s="39">
        <f>SUM(E69:E94)</f>
        <v>277760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TRUNC(10172,-1)</f>
        <v>10170</v>
      </c>
      <c r="E98" s="62">
        <f t="shared" ref="E98:E118" si="3">TRUNC(+D98*3.3058,-1)</f>
        <v>33610</v>
      </c>
    </row>
    <row r="99" spans="1:7" x14ac:dyDescent="0.3">
      <c r="A99" s="2">
        <v>2</v>
      </c>
      <c r="C99" s="38" t="s">
        <v>40</v>
      </c>
      <c r="D99" s="42">
        <f>TRUNC(3304,-1)</f>
        <v>3300</v>
      </c>
      <c r="E99" s="63">
        <f t="shared" si="3"/>
        <v>10900</v>
      </c>
    </row>
    <row r="100" spans="1:7" x14ac:dyDescent="0.3">
      <c r="A100" s="2">
        <v>3</v>
      </c>
      <c r="C100" s="38" t="s">
        <v>41</v>
      </c>
      <c r="D100" s="42">
        <f>TRUNC(21324,-1)</f>
        <v>21320</v>
      </c>
      <c r="E100" s="63">
        <f t="shared" si="3"/>
        <v>70470</v>
      </c>
    </row>
    <row r="101" spans="1:7" x14ac:dyDescent="0.3">
      <c r="A101" s="2">
        <v>4</v>
      </c>
      <c r="C101" s="38" t="s">
        <v>42</v>
      </c>
      <c r="D101" s="42">
        <f>TRUNC(306,-1)</f>
        <v>300</v>
      </c>
      <c r="E101" s="63">
        <f t="shared" si="3"/>
        <v>990</v>
      </c>
      <c r="F101" s="2" t="s">
        <v>254</v>
      </c>
    </row>
    <row r="102" spans="1:7" x14ac:dyDescent="0.3">
      <c r="A102" s="2">
        <v>5</v>
      </c>
      <c r="C102" s="38" t="s">
        <v>43</v>
      </c>
      <c r="D102" s="42">
        <f>TRUNC(8188,-1)</f>
        <v>8180</v>
      </c>
      <c r="E102" s="63">
        <f t="shared" si="3"/>
        <v>27040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TRUNC(2212,-1)</f>
        <v>2210</v>
      </c>
      <c r="E104" s="63">
        <f t="shared" si="3"/>
        <v>7300</v>
      </c>
    </row>
    <row r="105" spans="1:7" x14ac:dyDescent="0.3">
      <c r="A105" s="2">
        <v>8</v>
      </c>
      <c r="C105" s="38" t="s">
        <v>46</v>
      </c>
      <c r="D105" s="42">
        <f>TRUNC(1655,-1)</f>
        <v>1650</v>
      </c>
      <c r="E105" s="63">
        <f t="shared" si="3"/>
        <v>5450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TRUNC(2773,-1)</f>
        <v>2770</v>
      </c>
      <c r="E108" s="63">
        <f t="shared" si="3"/>
        <v>9150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TRUNC(2573,-1)</f>
        <v>2570</v>
      </c>
      <c r="E114" s="63">
        <f t="shared" si="3"/>
        <v>8490</v>
      </c>
    </row>
    <row r="115" spans="1:7" x14ac:dyDescent="0.3">
      <c r="A115" s="2">
        <v>18</v>
      </c>
      <c r="C115" s="38" t="s">
        <v>116</v>
      </c>
      <c r="D115" s="42">
        <f>TRUNC(2712,-1)</f>
        <v>2710</v>
      </c>
      <c r="E115" s="63">
        <f t="shared" si="3"/>
        <v>8950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TRUNC(372+428,-1)</f>
        <v>800</v>
      </c>
      <c r="E118" s="64">
        <f t="shared" si="3"/>
        <v>2640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55980</v>
      </c>
      <c r="E119" s="39">
        <f>SUM(E98:E118)</f>
        <v>184990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TRUNC(2955,-1)</f>
        <v>2950</v>
      </c>
      <c r="E122" s="62">
        <f t="shared" ref="E122:E132" si="4">TRUNC(+D122*3.3058,-1)</f>
        <v>9750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TRUNC(778,-1)</f>
        <v>770</v>
      </c>
      <c r="E124" s="63">
        <f t="shared" si="4"/>
        <v>2540</v>
      </c>
    </row>
    <row r="125" spans="1:7" x14ac:dyDescent="0.3">
      <c r="A125" s="2">
        <v>4</v>
      </c>
      <c r="C125" s="38" t="s">
        <v>138</v>
      </c>
      <c r="D125" s="42">
        <f>TRUNC(4975,-1)</f>
        <v>4970</v>
      </c>
      <c r="E125" s="63">
        <f t="shared" si="4"/>
        <v>16420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TRUNC(424,-1)</f>
        <v>420</v>
      </c>
      <c r="E127" s="63">
        <f t="shared" si="4"/>
        <v>1380</v>
      </c>
    </row>
    <row r="128" spans="1:7" x14ac:dyDescent="0.3">
      <c r="A128" s="2">
        <v>7</v>
      </c>
      <c r="C128" s="38" t="s">
        <v>46</v>
      </c>
      <c r="D128" s="42">
        <f>TRUNC(1704,-1)</f>
        <v>1700</v>
      </c>
      <c r="E128" s="63">
        <f t="shared" si="4"/>
        <v>5610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TRUNC(22761,-1)</f>
        <v>22760</v>
      </c>
      <c r="E130" s="63">
        <f t="shared" si="4"/>
        <v>75240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TRUNC(3256+1402,-1)</f>
        <v>4650</v>
      </c>
      <c r="E132" s="64">
        <f t="shared" si="4"/>
        <v>15370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38220</v>
      </c>
      <c r="E133" s="39">
        <f>SUM(E122:E132)</f>
        <v>126310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TRUNC(18535,-1)</f>
        <v>18530</v>
      </c>
      <c r="E136" s="62">
        <f t="shared" ref="E136:E145" si="5">TRUNC(+D136*3.3058,-1)</f>
        <v>61250</v>
      </c>
      <c r="F136" s="2" t="s">
        <v>260</v>
      </c>
    </row>
    <row r="137" spans="1:7" x14ac:dyDescent="0.3">
      <c r="A137" s="2">
        <v>2</v>
      </c>
      <c r="C137" s="38" t="s">
        <v>47</v>
      </c>
      <c r="D137" s="42">
        <f>TRUNC(12141,-1)</f>
        <v>12140</v>
      </c>
      <c r="E137" s="63">
        <f t="shared" si="5"/>
        <v>40130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30670</v>
      </c>
      <c r="E146" s="39">
        <f>SUM(E136:E145)</f>
        <v>101380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TRUNC(144185,-1)</f>
        <v>144180</v>
      </c>
      <c r="E152" s="63">
        <f>TRUNC(+D152*3.3058,-1)</f>
        <v>476630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144180</v>
      </c>
      <c r="E154" s="39">
        <f>SUM(E149:E153)</f>
        <v>476630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TRUNC(19577,-1)</f>
        <v>19570</v>
      </c>
      <c r="E159" s="63">
        <f>TRUNC(+D159*3.3058,-1)</f>
        <v>64690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19570</v>
      </c>
      <c r="E161" s="39">
        <f>SUM(E157:E160)</f>
        <v>64690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2020-12-07T09:45:39Z</dcterms:modified>
</cp:coreProperties>
</file>