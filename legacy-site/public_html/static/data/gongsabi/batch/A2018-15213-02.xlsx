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7" i="4"/>
  <c r="D153" i="4"/>
  <c r="D152" i="4"/>
  <c r="D151" i="4"/>
  <c r="D150" i="4"/>
  <c r="D149" i="4"/>
  <c r="D137" i="4"/>
  <c r="D144" i="4"/>
  <c r="D139" i="4"/>
  <c r="D142" i="4"/>
  <c r="D125" i="4"/>
  <c r="D130" i="4"/>
  <c r="D126" i="4"/>
  <c r="D103" i="4"/>
  <c r="D102" i="4"/>
  <c r="D100" i="4"/>
  <c r="D98" i="4"/>
  <c r="D94" i="4"/>
  <c r="D92" i="4"/>
  <c r="D73" i="4"/>
  <c r="D70" i="4"/>
  <c r="D63" i="4"/>
  <c r="D58" i="4"/>
  <c r="D53" i="4"/>
  <c r="D52" i="4"/>
  <c r="D50" i="4"/>
  <c r="D49" i="4"/>
  <c r="D48" i="4"/>
  <c r="D46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<sst xmlns="http://schemas.openxmlformats.org/spreadsheetml/2006/main" count="389" uniqueCount="264">
  <si>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</si>
  <si>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</si>
  <si>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</si>
  <si>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</si>
  <si>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</si>
  <si>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</si>
  <si>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</si>
  <si>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</si>
  <si>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</si>
  <si>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</si>
  <si>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</si>
  <si>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</si>
  <si>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</si>
  <si>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</si>
  <si>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</si>
  <si>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</si>
  <si>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</si>
  <si>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</si>
  <si>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</si>
  <si>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</si>
  <si>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</si>
  <si>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</si>
  <si>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</si>
  <si>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</si>
  <si>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</si>
  <si>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</si>
  <si>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</si>
  <si>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</si>
  <si>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</si>
  <si>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</si>
  <si>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</si>
  <si>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</si>
  <si>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</si>
  <si>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</si>
  <si>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</si>
  <si>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</si>
  <si>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</si>
  <si>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</si>
  <si>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</si>
  <si>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</si>
  <si>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</si>
  <si>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</si>
  <si>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</si>
  <si>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</si>
  <si>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</si>
  <si>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</si>
  <si>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</si>
  <si>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</si>
  <si>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</si>
  <si>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</si>
  <si>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</si>
  <si>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</si>
  <si>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</si>
  <si>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</si>
  <si>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</si>
  <si>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</si>
  <si>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</si>
  <si>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</si>
  <si>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</si>
  <si>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</si>
  <si>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</si>
  <si>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</si>
  <si>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</si>
  <si>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</si>
  <si>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</si>
  <si>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</si>
  <si>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</si>
  <si>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</si>
  <si>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</si>
  <si>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</si>
  <si>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</si>
  <si>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</si>
  <si>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</si>
  <si>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</si>
  <si>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</si>
  <si>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</si>
  <si>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</si>
  <si>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</si>
  <si>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</si>
  <si>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</si>
  <si>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</si>
  <si>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</si>
  <si>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</si>
  <si>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</si>
  <si>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</si>
  <si>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</si>
  <si>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</si>
  <si>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</si>
  <si>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</si>
  <si>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</si>
  <si>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</si>
  <si>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</si>
  <si>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</si>
  <si>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</si>
  <si>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</si>
  <si>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</si>
  <si>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</si>
  <si>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</si>
  <si>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</si>
  <si>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</si>
  <si>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</si>
  <si>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</si>
  <si>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</si>
  <si>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</si>
  <si>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</si>
  <si>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</si>
  <si>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</si>
  <si>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</si>
  <si>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</si>
  <si>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</si>
  <si>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</si>
  <si>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</si>
  <si>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</si>
  <si>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</si>
  <si>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</si>
  <si>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</si>
  <si>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</si>
  <si>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</si>
  <si>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</si>
  <si>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</si>
  <si>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</si>
  <si>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</si>
  <si>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</si>
  <si>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</si>
  <si>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</si>
  <si>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</si>
  <si>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</si>
  <si>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</si>
  <si>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</si>
  <si>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</si>
  <si>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</si>
  <si>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</si>
  <si>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</si>
  <si>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</si>
  <si>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</si>
  <si>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</si>
  <si>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</si>
  <si>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</si>
  <si>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</si>
  <si>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</si>
  <si>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</si>
  <si>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</si>
  <si>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</si>
  <si>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</si>
  <si>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</si>
  <si>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</si>
  <si>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</si>
  <si>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</si>
  <si>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</si>
  <si>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</si>
  <si>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</si>
  <si>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</si>
  <si>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</si>
  <si>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</si>
  <si>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</si>
  <si>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</si>
  <si>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</si>
  <si>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</si>
  <si>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</si>
  <si>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</si>
  <si>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</si>
  <si>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</si>
  <si>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</si>
  <si>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</si>
  <si>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</si>
  <si>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</si>
  <si>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</si>
  <si>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</si>
  <si>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</si>
  <si>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</si>
  <si>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</si>
  <si>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</si>
  <si>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</si>
  <si>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</si>
  <si>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</si>
  <si>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</si>
  <si>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</si>
  <si>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</si>
  <si>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</si>
  <si>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</si>
  <si>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</si>
  <si>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</si>
  <si>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</si>
  <si>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</si>
  <si>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</si>
  <si>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</si>
  <si>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</si>
  <si>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</si>
  <si>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</si>
  <si>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</si>
  <si>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</si>
  <si>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</si>
  <si>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</si>
  <si>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</si>
  <si>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</si>
  <si>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</si>
  <si>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</si>
  <si>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</si>
  <si>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</si>
  <si>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</si>
  <si>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</si>
  <si>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</si>
  <si>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</si>
  <si>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</si>
  <si>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</si>
  <si>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</si>
  <si>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</si>
  <si>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</si>
  <si>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</si>
  <si>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</si>
  <si>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</si>
  <si>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</si>
  <si>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</si>
  <si>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</si>
  <si>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</si>
  <si>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</si>
  <si>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</si>
  <si>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</si>
  <si>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</si>
  <si>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</si>
  <si>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</si>
  <si>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</si>
  <si>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</si>
  <si>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</si>
  <si>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</si>
  <si>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</si>
  <si>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</si>
  <si>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</si>
  <si>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</si>
  <si>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</si>
  <si>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</si>
  <si>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</si>
  <si>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</si>
  <si>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</si>
  <si>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</si>
  <si>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</si>
  <si>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</si>
  <si>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</si>
  <si>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</si>
  <si>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</si>
  <si>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</si>
  <si>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</si>
  <si>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</si>
  <si>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</si>
  <si>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</si>
  <si>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</si>
  <si>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</si>
  <si>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</si>
  <si>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이차전지신소재융합센터 신축공사</t>
    <phoneticPr fontId="2" type="noConversion"/>
  </si>
  <si>
    <t>공장</t>
  </si>
  <si>
    <t>전라도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</si>
  <si>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</si>
  <si>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</si>
  <si>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</si>
  <si>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</si>
  <si>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</t>
    <phoneticPr fontId="2" type="noConversion"/>
  </si>
  <si>
    <t>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</si>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</sst>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3668.68</v>
      </c>
      <c r="D7" s="36">
        <f>+C7/3.3058</f>
        <v>1109.7707060318228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406540</v>
      </c>
      <c r="E25" s="59">
        <f t="shared" si="0"/>
        <v>1343930</v>
      </c>
    </row>
    <row r="26" spans="1:5" x14ac:dyDescent="0.3">
      <c r="B26" s="2">
        <v>3</v>
      </c>
      <c r="C26" s="35" t="s">
        <v>95</v>
      </c>
      <c r="D26" s="45">
        <f>+D66</f>
        <v>15460</v>
      </c>
      <c r="E26" s="59">
        <f t="shared" si="0"/>
        <v>51100</v>
      </c>
    </row>
    <row r="27" spans="1:5" x14ac:dyDescent="0.3">
      <c r="B27" s="2">
        <v>4</v>
      </c>
      <c r="C27" s="35" t="s">
        <v>96</v>
      </c>
      <c r="D27" s="45">
        <f>+D95</f>
        <v>17260</v>
      </c>
      <c r="E27" s="59">
        <f t="shared" si="0"/>
        <v>57050</v>
      </c>
    </row>
    <row r="28" spans="1:5" x14ac:dyDescent="0.3">
      <c r="B28" s="2">
        <v>5</v>
      </c>
      <c r="C28" s="35" t="s">
        <v>97</v>
      </c>
      <c r="D28" s="45">
        <f>+D119</f>
        <v>156900</v>
      </c>
      <c r="E28" s="59">
        <f t="shared" si="0"/>
        <v>518680</v>
      </c>
    </row>
    <row r="29" spans="1:5" x14ac:dyDescent="0.3">
      <c r="B29" s="2">
        <v>6</v>
      </c>
      <c r="C29" s="35" t="s">
        <v>98</v>
      </c>
      <c r="D29" s="45">
        <f>+D133</f>
        <v>38350</v>
      </c>
      <c r="E29" s="59">
        <f t="shared" si="0"/>
        <v>126770</v>
      </c>
    </row>
    <row r="30" spans="1:5" x14ac:dyDescent="0.3">
      <c r="B30" s="2">
        <v>7</v>
      </c>
      <c r="C30" s="35" t="s">
        <v>99</v>
      </c>
      <c r="D30" s="45">
        <f>+D146</f>
        <v>54480</v>
      </c>
      <c r="E30" s="59">
        <f t="shared" si="0"/>
        <v>180090</v>
      </c>
    </row>
    <row r="31" spans="1:5" x14ac:dyDescent="0.3">
      <c r="B31" s="2">
        <v>8</v>
      </c>
      <c r="C31" s="35" t="s">
        <v>100</v>
      </c>
      <c r="D31" s="45">
        <f>+D154</f>
        <v>33340</v>
      </c>
      <c r="E31" s="59">
        <f t="shared" si="0"/>
        <v>110210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198640</v>
      </c>
      <c r="E33" s="60">
        <f t="shared" si="0"/>
        <v>656660</v>
      </c>
    </row>
    <row r="34" spans="1:7" x14ac:dyDescent="0.3">
      <c r="C34" s="35" t="s">
        <v>112</v>
      </c>
      <c r="D34" s="44">
        <f>SUM(D24:D33)</f>
        <v>920970</v>
      </c>
      <c r="E34" s="44">
        <f>SUM(E24:E33)</f>
        <v>3044490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TRUNC(13159,-1)</f>
        <v>13150</v>
      </c>
      <c r="E40" s="62">
        <f t="shared" ref="E40:E59" si="1">TRUNC(+D40*3.3058,-1)</f>
        <v>43470</v>
      </c>
    </row>
    <row r="41" spans="1:7" x14ac:dyDescent="0.3">
      <c r="A41" s="2">
        <v>2</v>
      </c>
      <c r="C41" s="38" t="s">
        <v>13</v>
      </c>
      <c r="D41" s="42">
        <f>TRUNC(27994,-1)</f>
        <v>27990</v>
      </c>
      <c r="E41" s="63">
        <f t="shared" si="1"/>
        <v>92520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TRUNC(4908,-1)</f>
        <v>4900</v>
      </c>
      <c r="E43" s="63">
        <f t="shared" si="1"/>
        <v>16190</v>
      </c>
    </row>
    <row r="44" spans="1:7" x14ac:dyDescent="0.3">
      <c r="A44" s="2">
        <v>5</v>
      </c>
      <c r="C44" s="38" t="s">
        <v>17</v>
      </c>
      <c r="D44" s="42">
        <f>TRUNC(3892,-1)</f>
        <v>3890</v>
      </c>
      <c r="E44" s="63">
        <f t="shared" si="1"/>
        <v>12850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TRUNC(4816,-1)</f>
        <v>4810</v>
      </c>
      <c r="E46" s="63">
        <f t="shared" si="1"/>
        <v>15900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TRUNC(83355,-1)</f>
        <v>83350</v>
      </c>
      <c r="E48" s="63">
        <f t="shared" si="1"/>
        <v>275530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TRUNC(2907,-1)</f>
        <v>2900</v>
      </c>
      <c r="E49" s="63">
        <f t="shared" si="1"/>
        <v>9580</v>
      </c>
    </row>
    <row r="50" spans="1:7" x14ac:dyDescent="0.3">
      <c r="A50" s="2">
        <v>11</v>
      </c>
      <c r="C50" s="38" t="s">
        <v>155</v>
      </c>
      <c r="D50" s="42">
        <f>TRUNC(23977,-1)</f>
        <v>23970</v>
      </c>
      <c r="E50" s="63">
        <f t="shared" si="1"/>
        <v>79240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TRUNC(1146,-1)</f>
        <v>1140</v>
      </c>
      <c r="E52" s="63">
        <f t="shared" si="1"/>
        <v>3760</v>
      </c>
    </row>
    <row r="53" spans="1:7" x14ac:dyDescent="0.3">
      <c r="A53" s="2">
        <v>14</v>
      </c>
      <c r="C53" s="38" t="s">
        <v>25</v>
      </c>
      <c r="D53" s="42">
        <f>TRUNC(36627,-1)</f>
        <v>36620</v>
      </c>
      <c r="E53" s="63">
        <f t="shared" si="1"/>
        <v>121050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TRUNC(32338+1915+1744,-1)</f>
        <v>35990</v>
      </c>
      <c r="E58" s="63">
        <f t="shared" si="1"/>
        <v>118970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TRUNC(167832,-1)</f>
        <v>167830</v>
      </c>
      <c r="E59" s="64">
        <f t="shared" si="1"/>
        <v>554810</v>
      </c>
    </row>
    <row r="60" spans="1:7" x14ac:dyDescent="0.3">
      <c r="A60" s="2">
        <v>21</v>
      </c>
      <c r="C60" s="27" t="s">
        <v>112</v>
      </c>
      <c r="D60" s="39">
        <f>SUM(D40:D59)</f>
        <v>406540</v>
      </c>
      <c r="E60" s="39">
        <f>SUM(E40:E59)</f>
        <v>1343870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TRUNC(15467,-1)</f>
        <v>15460</v>
      </c>
      <c r="E63" s="62">
        <f>TRUNC(+D63*3.3058,-1)</f>
        <v>51100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15460</v>
      </c>
      <c r="E66" s="65">
        <f>SUM(E63:E65)</f>
        <v>51100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f>TRUNC(2021,-1)</f>
        <v>2020</v>
      </c>
      <c r="E70" s="63">
        <f t="shared" si="2"/>
        <v>6670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TRUNC(4642,-1)</f>
        <v>4640</v>
      </c>
      <c r="E73" s="63">
        <f t="shared" si="2"/>
        <v>15330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TRUNC(4422,-1)</f>
        <v>4420</v>
      </c>
      <c r="E92" s="63">
        <f t="shared" si="2"/>
        <v>14610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TRUNC(6180,-1)</f>
        <v>6180</v>
      </c>
      <c r="E94" s="64">
        <f t="shared" si="2"/>
        <v>20420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17260</v>
      </c>
      <c r="E95" s="39">
        <f>SUM(E69:E94)</f>
        <v>57030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TRUNC(50022,-1)</f>
        <v>50020</v>
      </c>
      <c r="E98" s="62">
        <f t="shared" ref="E98:E118" si="3">TRUNC(+D98*3.3058,-1)</f>
        <v>165350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TRUNC(19317,-1)</f>
        <v>19310</v>
      </c>
      <c r="E100" s="63">
        <f t="shared" si="3"/>
        <v>63830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TRUNC(16869,-1)</f>
        <v>16860</v>
      </c>
      <c r="E102" s="63">
        <f t="shared" si="3"/>
        <v>55730</v>
      </c>
    </row>
    <row r="103" spans="1:7" x14ac:dyDescent="0.3">
      <c r="A103" s="2">
        <v>6</v>
      </c>
      <c r="C103" s="38" t="s">
        <v>44</v>
      </c>
      <c r="D103" s="42">
        <f>TRUNC(6003,-1)</f>
        <v>6000</v>
      </c>
      <c r="E103" s="63">
        <f t="shared" si="3"/>
        <v>19830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TRUNC(64712,-1)</f>
        <v>64710</v>
      </c>
      <c r="E117" s="63">
        <f t="shared" si="3"/>
        <v>213910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156900</v>
      </c>
      <c r="E119" s="39">
        <f>SUM(E98:E118)</f>
        <v>518650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TRUNC(3206,-1)</f>
        <v>3200</v>
      </c>
      <c r="E125" s="63">
        <f t="shared" si="4"/>
        <v>10570</v>
      </c>
    </row>
    <row r="126" spans="1:7" x14ac:dyDescent="0.3">
      <c r="A126" s="2">
        <v>5</v>
      </c>
      <c r="C126" s="38" t="s">
        <v>53</v>
      </c>
      <c r="D126" s="42">
        <f>TRUNC(27380,-1)</f>
        <v>27380</v>
      </c>
      <c r="E126" s="63">
        <f t="shared" si="4"/>
        <v>90510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TRUNC(7771,-1)</f>
        <v>7770</v>
      </c>
      <c r="E130" s="63">
        <f t="shared" si="4"/>
        <v>25680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38350</v>
      </c>
      <c r="E133" s="39">
        <f>SUM(E122:E132)</f>
        <v>126760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TRUNC(5082,-1)</f>
        <v>5080</v>
      </c>
      <c r="E137" s="63">
        <f t="shared" si="5"/>
        <v>16790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TRUNC(2018,-1)</f>
        <v>2010</v>
      </c>
      <c r="E139" s="63">
        <f t="shared" si="5"/>
        <v>6640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TRUNC(39264,-1)</f>
        <v>39260</v>
      </c>
      <c r="E142" s="63">
        <f t="shared" si="5"/>
        <v>129780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TRUNC(8135,-1)</f>
        <v>8130</v>
      </c>
      <c r="E144" s="63">
        <f t="shared" si="5"/>
        <v>26870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54480</v>
      </c>
      <c r="E146" s="39">
        <f>SUM(E136:E145)</f>
        <v>180080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TRUNC(1459+2016,-1)</f>
        <v>3470</v>
      </c>
      <c r="E149" s="62">
        <f>TRUNC(+D149*3.3058,-1)</f>
        <v>11470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TRUNC(1360,-1)</f>
        <v>1360</v>
      </c>
      <c r="E150" s="63">
        <f>TRUNC(+D150*3.3058,-1)</f>
        <v>4490</v>
      </c>
    </row>
    <row r="151" spans="1:7" x14ac:dyDescent="0.3">
      <c r="A151" s="2">
        <v>3</v>
      </c>
      <c r="C151" s="38" t="s">
        <v>50</v>
      </c>
      <c r="D151" s="42">
        <f>TRUNC(12820,-1)</f>
        <v>12820</v>
      </c>
      <c r="E151" s="63">
        <f>TRUNC(+D151*3.3058,-1)</f>
        <v>42380</v>
      </c>
    </row>
    <row r="152" spans="1:7" x14ac:dyDescent="0.3">
      <c r="A152" s="2">
        <v>4</v>
      </c>
      <c r="C152" s="38" t="s">
        <v>47</v>
      </c>
      <c r="D152" s="42">
        <f>TRUNC(5162+1179+1254,-1)</f>
        <v>7590</v>
      </c>
      <c r="E152" s="63">
        <f>TRUNC(+D152*3.3058,-1)</f>
        <v>25090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TRUNC(8104,-1)</f>
        <v>8100</v>
      </c>
      <c r="E153" s="64">
        <f>TRUNC(+D153*3.3058,-1)</f>
        <v>26770</v>
      </c>
    </row>
    <row r="154" spans="1:7" x14ac:dyDescent="0.3">
      <c r="A154" s="2">
        <v>6</v>
      </c>
      <c r="C154" s="27" t="s">
        <v>112</v>
      </c>
      <c r="D154" s="39">
        <f>SUM(D149:D153)</f>
        <v>33340</v>
      </c>
      <c r="E154" s="39">
        <f>SUM(E149:E153)</f>
        <v>110200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2020-12-08T04:01:12Z</dcterms:modified>
</cp:coreProperties>
</file>