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29" i="4"/>
  <c r="E128" i="4"/>
  <c r="E126" i="4"/>
  <c r="E124" i="4"/>
  <c r="E123" i="4"/>
  <c r="E118" i="4"/>
  <c r="E117" i="4"/>
  <c r="E116" i="4"/>
  <c r="E115" i="4"/>
  <c r="E113" i="4"/>
  <c r="E112" i="4"/>
  <c r="E111" i="4"/>
  <c r="E110" i="4"/>
  <c r="E109" i="4"/>
  <c r="E108" i="4"/>
  <c r="E107" i="4"/>
  <c r="E106" i="4"/>
  <c r="E105" i="4"/>
  <c r="E103" i="4"/>
  <c r="E101" i="4"/>
  <c r="E94" i="4"/>
  <c r="E93" i="4"/>
  <c r="E91" i="4"/>
  <c r="E90" i="4"/>
  <c r="E89" i="4"/>
  <c r="E88" i="4"/>
  <c r="E87" i="4"/>
  <c r="E86" i="4"/>
  <c r="E85" i="4"/>
  <c r="E84" i="4"/>
  <c r="E83" i="4"/>
  <c r="E82" i="4"/>
  <c r="E80" i="4"/>
  <c r="E78" i="4"/>
  <c r="E77" i="4"/>
  <c r="E75" i="4"/>
  <c r="E74" i="4"/>
  <c r="E73" i="4"/>
  <c r="E72" i="4"/>
  <c r="E71" i="4"/>
  <c r="E70" i="4"/>
  <c r="E69" i="4"/>
  <c r="E65" i="4"/>
  <c r="E64" i="4"/>
  <c r="E66" i="4" s="1"/>
  <c r="E63" i="4"/>
  <c r="E59" i="4"/>
  <c r="E57" i="4"/>
  <c r="E56" i="4"/>
  <c r="E54" i="4"/>
  <c r="E37" i="4"/>
  <c r="D132" i="4" l="1"/>
  <c r="E132" i="4" s="1"/>
  <c r="D130" i="4"/>
  <c r="E130" i="4" s="1"/>
  <c r="D127" i="4"/>
  <c r="E127" i="4" s="1"/>
  <c r="D125" i="4"/>
  <c r="E125" i="4" s="1"/>
  <c r="D122" i="4"/>
  <c r="E122" i="4" s="1"/>
  <c r="D114" i="4"/>
  <c r="E114" i="4" s="1"/>
  <c r="D104" i="4"/>
  <c r="E104" i="4" s="1"/>
  <c r="D102" i="4"/>
  <c r="E102" i="4" s="1"/>
  <c r="D100" i="4"/>
  <c r="E100" i="4" s="1"/>
  <c r="D99" i="4"/>
  <c r="E99" i="4" s="1"/>
  <c r="D98" i="4"/>
  <c r="E98" i="4" s="1"/>
  <c r="D92" i="4"/>
  <c r="E92" i="4" s="1"/>
  <c r="D81" i="4"/>
  <c r="E81" i="4" s="1"/>
  <c r="D79" i="4"/>
  <c r="E79" i="4" s="1"/>
  <c r="E95" i="4" s="1"/>
  <c r="D76" i="4"/>
  <c r="E76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2" i="4"/>
  <c r="E152" i="4" s="1"/>
  <c r="E154" i="4" s="1"/>
  <c r="D159" i="4"/>
  <c r="E159" i="4" s="1"/>
  <c r="E161" i="4" s="1"/>
  <c r="E133" i="4" l="1"/>
  <c r="E60" i="4"/>
  <c r="E119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<sst xmlns="http://schemas.openxmlformats.org/spreadsheetml/2006/main" count="389" uniqueCount="264">
  <si>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</si>
  <si>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</si>
  <si>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</si>
  <si>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</si>
  <si>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</si>
  <si>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</si>
  <si>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</si>
  <si>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</si>
  <si>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</si>
  <si>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</si>
  <si>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</si>
  <si>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</si>
  <si>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</si>
  <si>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</si>
  <si>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</si>
  <si>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</si>
  <si>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</si>
  <si>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</si>
  <si>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</si>
  <si>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</si>
  <si>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</si>
  <si>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</si>
  <si>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</si>
  <si>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</si>
  <si>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</si>
  <si>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</si>
  <si>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</si>
  <si>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</si>
  <si>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</si>
  <si>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</si>
  <si>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</si>
  <si>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</si>
  <si>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</si>
  <si>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</si>
  <si>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</si>
  <si>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</si>
  <si>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</si>
  <si>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</si>
  <si>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</si>
  <si>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</si>
  <si>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</si>
  <si>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</si>
  <si>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</si>
  <si>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</si>
  <si>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</si>
  <si>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</si>
  <si>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</si>
  <si>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</si>
  <si>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</si>
  <si>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</si>
  <si>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</si>
  <si>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</si>
  <si>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</si>
  <si>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</si>
  <si>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</si>
  <si>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</si>
  <si>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</si>
  <si>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</si>
  <si>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</si>
  <si>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</si>
  <si>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</si>
  <si>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</si>
  <si>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</si>
  <si>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</si>
  <si>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</si>
  <si>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</si>
  <si>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</si>
  <si>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</si>
  <si>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</si>
  <si>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</si>
  <si>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</si>
  <si>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</si>
  <si>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</si>
  <si>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</si>
  <si>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</si>
  <si>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</si>
  <si>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</si>
  <si>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</si>
  <si>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</si>
  <si>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</si>
  <si>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</si>
  <si>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</si>
  <si>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</si>
  <si>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</si>
  <si>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</si>
  <si>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</si>
  <si>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</si>
  <si>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</si>
  <si>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</si>
  <si>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</si>
  <si>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</si>
  <si>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</si>
  <si>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</si>
  <si>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</si>
  <si>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</si>
  <si>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</si>
  <si>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</si>
  <si>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</si>
  <si>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</si>
  <si>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</si>
  <si>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</si>
  <si>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</si>
  <si>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</si>
  <si>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</si>
  <si>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</si>
  <si>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</si>
  <si>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</si>
  <si>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</si>
  <si>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</si>
  <si>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</si>
  <si>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</si>
  <si>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</si>
  <si>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</si>
  <si>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</si>
  <si>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</si>
  <si>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</si>
  <si>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</si>
  <si>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</si>
  <si>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</si>
  <si>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</si>
  <si>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</si>
  <si>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</si>
  <si>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</si>
  <si>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</si>
  <si>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</si>
  <si>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</si>
  <si>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</si>
  <si>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</si>
  <si>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</si>
  <si>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</si>
  <si>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</si>
  <si>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</si>
  <si>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</si>
  <si>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</si>
  <si>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</si>
  <si>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</si>
  <si>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</si>
  <si>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</si>
  <si>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</si>
  <si>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</si>
  <si>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</si>
  <si>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</si>
  <si>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</si>
  <si>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</si>
  <si>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</si>
  <si>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</si>
  <si>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</si>
  <si>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</si>
  <si>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</si>
  <si>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</si>
  <si>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</si>
  <si>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</si>
  <si>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</si>
  <si>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</si>
  <si>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</si>
  <si>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</si>
  <si>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</si>
  <si>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</si>
  <si>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</si>
  <si>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</si>
  <si>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</si>
  <si>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</si>
  <si>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</si>
  <si>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</si>
  <si>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</si>
  <si>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</si>
  <si>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</si>
  <si>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</si>
  <si>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</si>
  <si>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</si>
  <si>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</si>
  <si>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</si>
  <si>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</si>
  <si>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</si>
  <si>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</si>
  <si>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</si>
  <si>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</si>
  <si>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</si>
  <si>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</si>
  <si>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</si>
  <si>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</si>
  <si>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</si>
  <si>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</si>
  <si>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</si>
  <si>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</si>
  <si>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</si>
  <si>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</si>
  <si>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</si>
  <si>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</si>
  <si>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</si>
  <si>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</si>
  <si>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</si>
  <si>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</si>
  <si>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</si>
  <si>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</si>
  <si>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</si>
  <si>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</si>
  <si>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</si>
  <si>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</si>
  <si>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</si>
  <si>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</si>
  <si>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</si>
  <si>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</si>
  <si>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</si>
  <si>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</si>
  <si>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</si>
  <si>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</si>
  <si>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</si>
  <si>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</si>
  <si>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</si>
  <si>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</si>
  <si>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</si>
  <si>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</si>
  <si>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</si>
  <si>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</si>
  <si>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</si>
  <si>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</si>
  <si>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</si>
  <si>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</si>
  <si>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</si>
  <si>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</si>
  <si>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</si>
  <si>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</si>
  <si>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</si>
  <si>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</si>
  <si>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</si>
  <si>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</si>
  <si>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</si>
  <si>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</si>
  <si>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</si>
  <si>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</si>
  <si>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</si>
  <si>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</si>
  <si>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</si>
  <si>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</si>
  <si>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</si>
  <si>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</si>
  <si>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</si>
  <si>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</si>
  <si>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</si>
  <si>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</si>
  <si>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</si>
  <si>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</si>
  <si>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</si>
  <si>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</si>
  <si>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</si>
  <si>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</si>
  <si>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</si>
  <si>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 · 000 홍보교육관 건설공사</t>
    <phoneticPr fontId="2" type="noConversion"/>
  </si>
  <si>
    <t>교육연구</t>
  </si>
  <si>
    <t>경상도</t>
  </si>
  <si>
    <t>부대조경공사</t>
    <phoneticPr fontId="2" type="noConversion"/>
  </si>
  <si>
    <t>부대토목공사</t>
    <phoneticPr fontId="2" type="noConversion"/>
  </si>
  <si>
    <t>기계 소화설비공사</t>
    <phoneticPr fontId="2" type="noConversion"/>
  </si>
  <si>
    <t>CCTV설비공사</t>
    <phoneticPr fontId="2" type="noConversion"/>
  </si>
  <si>
    <t>토공사,기타공사,골재비,작업부산물,운반비</t>
    <phoneticPr fontId="2" type="noConversion"/>
  </si>
  <si>
    <t>홈통공사</t>
    <phoneticPr fontId="2" type="noConversion"/>
  </si>
  <si>
    <t>위생설비공사</t>
    <phoneticPr fontId="2" type="noConversion"/>
  </si>
  <si>
    <t>장비류설치공사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</si>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</sst>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1762</v>
      </c>
      <c r="D7" s="36">
        <f>+C7/3.3058</f>
        <v>533.00260148829329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482240</v>
      </c>
      <c r="E25" s="59">
        <f t="shared" si="0"/>
        <v>1594180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167220</v>
      </c>
      <c r="E27" s="59">
        <f t="shared" si="0"/>
        <v>552790</v>
      </c>
    </row>
    <row r="28" spans="1:5" x14ac:dyDescent="0.3">
      <c r="B28" s="2">
        <v>5</v>
      </c>
      <c r="C28" s="35" t="s">
        <v>97</v>
      </c>
      <c r="D28" s="45">
        <f>+D119</f>
        <v>125990</v>
      </c>
      <c r="E28" s="59">
        <f t="shared" si="0"/>
        <v>416490</v>
      </c>
    </row>
    <row r="29" spans="1:5" x14ac:dyDescent="0.3">
      <c r="B29" s="2">
        <v>6</v>
      </c>
      <c r="C29" s="35" t="s">
        <v>98</v>
      </c>
      <c r="D29" s="45">
        <f>+D133</f>
        <v>51960</v>
      </c>
      <c r="E29" s="59">
        <f t="shared" si="0"/>
        <v>171760</v>
      </c>
    </row>
    <row r="30" spans="1:5" x14ac:dyDescent="0.3">
      <c r="B30" s="2">
        <v>7</v>
      </c>
      <c r="C30" s="35" t="s">
        <v>99</v>
      </c>
      <c r="D30" s="45">
        <f>+D146</f>
        <v>11580</v>
      </c>
      <c r="E30" s="59">
        <f t="shared" si="0"/>
        <v>38280</v>
      </c>
    </row>
    <row r="31" spans="1:5" x14ac:dyDescent="0.3">
      <c r="B31" s="2">
        <v>8</v>
      </c>
      <c r="C31" s="35" t="s">
        <v>100</v>
      </c>
      <c r="D31" s="45">
        <f>+D154</f>
        <v>55140</v>
      </c>
      <c r="E31" s="59">
        <f t="shared" si="0"/>
        <v>182280</v>
      </c>
    </row>
    <row r="32" spans="1:5" x14ac:dyDescent="0.3">
      <c r="B32" s="2">
        <v>9</v>
      </c>
      <c r="C32" s="35" t="s">
        <v>101</v>
      </c>
      <c r="D32" s="45">
        <f>+D161</f>
        <v>63770</v>
      </c>
      <c r="E32" s="59">
        <f t="shared" si="0"/>
        <v>210810</v>
      </c>
    </row>
    <row r="33" spans="1:7" x14ac:dyDescent="0.3">
      <c r="B33" s="2">
        <v>10</v>
      </c>
      <c r="C33" s="35" t="s">
        <v>154</v>
      </c>
      <c r="D33" s="53">
        <f>TRUNC(SUM(D24:D32)*0.275,-1)</f>
        <v>263420</v>
      </c>
      <c r="E33" s="60">
        <f t="shared" si="0"/>
        <v>870810</v>
      </c>
    </row>
    <row r="34" spans="1:7" x14ac:dyDescent="0.3">
      <c r="C34" s="35" t="s">
        <v>112</v>
      </c>
      <c r="D34" s="44">
        <f>SUM(D24:D33)</f>
        <v>1221320</v>
      </c>
      <c r="E34" s="44">
        <f>SUM(E24:E33)</f>
        <v>4037400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TRUNC(49200,-1)</f>
        <v>49200</v>
      </c>
      <c r="E40" s="62">
        <f t="shared" ref="E40:E59" si="1">TRUNC(+D40*3.3058,-1)</f>
        <v>162640</v>
      </c>
    </row>
    <row r="41" spans="1:7" x14ac:dyDescent="0.3">
      <c r="A41" s="2">
        <v>2</v>
      </c>
      <c r="C41" s="38" t="s">
        <v>13</v>
      </c>
      <c r="D41" s="42">
        <f>TRUNC(94085,-1)</f>
        <v>94080</v>
      </c>
      <c r="E41" s="63">
        <f t="shared" si="1"/>
        <v>311000</v>
      </c>
    </row>
    <row r="42" spans="1:7" x14ac:dyDescent="0.3">
      <c r="A42" s="2">
        <v>3</v>
      </c>
      <c r="C42" s="38" t="s">
        <v>14</v>
      </c>
      <c r="D42" s="42">
        <f>TRUNC(6597,-1)</f>
        <v>6590</v>
      </c>
      <c r="E42" s="63">
        <f t="shared" si="1"/>
        <v>21780</v>
      </c>
    </row>
    <row r="43" spans="1:7" x14ac:dyDescent="0.3">
      <c r="A43" s="2">
        <v>4</v>
      </c>
      <c r="C43" s="38" t="s">
        <v>16</v>
      </c>
      <c r="D43" s="42">
        <f>TRUNC(37742,-1)</f>
        <v>37740</v>
      </c>
      <c r="E43" s="63">
        <f t="shared" si="1"/>
        <v>124760</v>
      </c>
    </row>
    <row r="44" spans="1:7" x14ac:dyDescent="0.3">
      <c r="A44" s="2">
        <v>5</v>
      </c>
      <c r="C44" s="38" t="s">
        <v>17</v>
      </c>
      <c r="D44" s="42">
        <f>TRUNC(10576,-1)</f>
        <v>10570</v>
      </c>
      <c r="E44" s="63">
        <f t="shared" si="1"/>
        <v>34940</v>
      </c>
    </row>
    <row r="45" spans="1:7" x14ac:dyDescent="0.3">
      <c r="A45" s="2">
        <v>6</v>
      </c>
      <c r="C45" s="38" t="s">
        <v>18</v>
      </c>
      <c r="D45" s="42">
        <f>TRUNC(8696,-1)</f>
        <v>8690</v>
      </c>
      <c r="E45" s="63">
        <f t="shared" si="1"/>
        <v>28720</v>
      </c>
    </row>
    <row r="46" spans="1:7" x14ac:dyDescent="0.3">
      <c r="A46" s="2">
        <v>7</v>
      </c>
      <c r="C46" s="38" t="s">
        <v>19</v>
      </c>
      <c r="D46" s="42">
        <f>TRUNC(21028,-1)</f>
        <v>21020</v>
      </c>
      <c r="E46" s="63">
        <f t="shared" si="1"/>
        <v>69480</v>
      </c>
    </row>
    <row r="47" spans="1:7" x14ac:dyDescent="0.3">
      <c r="A47" s="2">
        <v>8</v>
      </c>
      <c r="C47" s="38" t="s">
        <v>20</v>
      </c>
      <c r="D47" s="42">
        <f>TRUNC(47377,-1)</f>
        <v>47370</v>
      </c>
      <c r="E47" s="63">
        <f t="shared" si="1"/>
        <v>156590</v>
      </c>
    </row>
    <row r="48" spans="1:7" x14ac:dyDescent="0.3">
      <c r="A48" s="2">
        <v>9</v>
      </c>
      <c r="C48" s="38" t="s">
        <v>21</v>
      </c>
      <c r="D48" s="42">
        <f>TRUNC(33162,-1)</f>
        <v>33160</v>
      </c>
      <c r="E48" s="63">
        <f t="shared" si="1"/>
        <v>109620</v>
      </c>
    </row>
    <row r="49" spans="1:7" x14ac:dyDescent="0.3">
      <c r="A49" s="2">
        <v>10</v>
      </c>
      <c r="C49" s="38" t="s">
        <v>22</v>
      </c>
      <c r="D49" s="42">
        <f>TRUNC(21892,-1)</f>
        <v>21890</v>
      </c>
      <c r="E49" s="63">
        <f t="shared" si="1"/>
        <v>72360</v>
      </c>
    </row>
    <row r="50" spans="1:7" x14ac:dyDescent="0.3">
      <c r="A50" s="2">
        <v>11</v>
      </c>
      <c r="C50" s="38" t="s">
        <v>155</v>
      </c>
      <c r="D50" s="42">
        <f>TRUNC(32623,-1)</f>
        <v>32620</v>
      </c>
      <c r="E50" s="63">
        <f t="shared" si="1"/>
        <v>107830</v>
      </c>
    </row>
    <row r="51" spans="1:7" x14ac:dyDescent="0.3">
      <c r="A51" s="2">
        <v>12</v>
      </c>
      <c r="C51" s="38" t="s">
        <v>23</v>
      </c>
      <c r="D51" s="42">
        <f>TRUNC(12497,-1)</f>
        <v>12490</v>
      </c>
      <c r="E51" s="63">
        <f t="shared" si="1"/>
        <v>41280</v>
      </c>
    </row>
    <row r="52" spans="1:7" x14ac:dyDescent="0.3">
      <c r="A52" s="2">
        <v>13</v>
      </c>
      <c r="C52" s="38" t="s">
        <v>24</v>
      </c>
      <c r="D52" s="42">
        <f>TRUNC(10252,-1)</f>
        <v>10250</v>
      </c>
      <c r="E52" s="63">
        <f t="shared" si="1"/>
        <v>33880</v>
      </c>
    </row>
    <row r="53" spans="1:7" x14ac:dyDescent="0.3">
      <c r="A53" s="2">
        <v>14</v>
      </c>
      <c r="C53" s="38" t="s">
        <v>25</v>
      </c>
      <c r="D53" s="42">
        <f>TRUNC(72847,-1)</f>
        <v>72840</v>
      </c>
      <c r="E53" s="63">
        <f t="shared" si="1"/>
        <v>240790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TRUNC(3488,-1)</f>
        <v>3480</v>
      </c>
      <c r="E55" s="63">
        <f t="shared" si="1"/>
        <v>11500</v>
      </c>
      <c r="F55" s="2" t="s">
        <v>256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TRUNC(4357+7991+6210-665+2357,-1)</f>
        <v>20250</v>
      </c>
      <c r="E58" s="63">
        <f t="shared" si="1"/>
        <v>66940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482240</v>
      </c>
      <c r="E60" s="39">
        <f>SUM(E40:E59)</f>
        <v>1594110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20300</v>
      </c>
      <c r="E69" s="62">
        <f t="shared" ref="E69:E94" si="2">TRUNC(+D69*3.3058,-1)</f>
        <v>67100</v>
      </c>
      <c r="F69" s="2" t="s">
        <v>258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TRUNC(104179,-1)</f>
        <v>104170</v>
      </c>
      <c r="E76" s="63">
        <f t="shared" si="2"/>
        <v>344360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TRUNC(9656,-1)</f>
        <v>9650</v>
      </c>
      <c r="E79" s="63">
        <f t="shared" si="2"/>
        <v>31900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TRUNC(14481,-1)</f>
        <v>14480</v>
      </c>
      <c r="E81" s="63">
        <f t="shared" si="2"/>
        <v>47860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TRUNC(18621,-1)</f>
        <v>18620</v>
      </c>
      <c r="E92" s="63">
        <f t="shared" si="2"/>
        <v>61550</v>
      </c>
      <c r="F92" s="2" t="s">
        <v>257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167220</v>
      </c>
      <c r="E95" s="39">
        <f>SUM(E69:E94)</f>
        <v>552770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TRUNC(43517,-1)</f>
        <v>43510</v>
      </c>
      <c r="E98" s="62">
        <f t="shared" ref="E98:E118" si="3">TRUNC(+D98*3.3058,-1)</f>
        <v>143830</v>
      </c>
    </row>
    <row r="99" spans="1:7" x14ac:dyDescent="0.3">
      <c r="A99" s="2">
        <v>2</v>
      </c>
      <c r="C99" s="38" t="s">
        <v>40</v>
      </c>
      <c r="D99" s="42">
        <f>TRUNC(8951,-1)</f>
        <v>8950</v>
      </c>
      <c r="E99" s="63">
        <f t="shared" si="3"/>
        <v>29580</v>
      </c>
    </row>
    <row r="100" spans="1:7" x14ac:dyDescent="0.3">
      <c r="A100" s="2">
        <v>3</v>
      </c>
      <c r="C100" s="38" t="s">
        <v>41</v>
      </c>
      <c r="D100" s="42">
        <f>TRUNC(30954,-1)</f>
        <v>30950</v>
      </c>
      <c r="E100" s="63">
        <f t="shared" si="3"/>
        <v>102310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TRUNC(11919,-1)</f>
        <v>11910</v>
      </c>
      <c r="E102" s="63">
        <f t="shared" si="3"/>
        <v>39370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TRUNC(16808,-1)</f>
        <v>16800</v>
      </c>
      <c r="E104" s="63">
        <f t="shared" si="3"/>
        <v>55530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TRUNC(13879,-1)</f>
        <v>13870</v>
      </c>
      <c r="E114" s="63">
        <f t="shared" si="3"/>
        <v>45850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125990</v>
      </c>
      <c r="E119" s="39">
        <f>SUM(E98:E118)</f>
        <v>416470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TRUNC(7343,-1)</f>
        <v>7340</v>
      </c>
      <c r="E122" s="62">
        <f t="shared" ref="E122:E132" si="4">TRUNC(+D122*3.3058,-1)</f>
        <v>24260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TRUNC(13788,-1)</f>
        <v>13780</v>
      </c>
      <c r="E125" s="63">
        <f t="shared" si="4"/>
        <v>45550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TRUNC(3509,-1)</f>
        <v>3500</v>
      </c>
      <c r="E127" s="63">
        <f t="shared" si="4"/>
        <v>11570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TRUNC(21432,-1)</f>
        <v>21430</v>
      </c>
      <c r="E130" s="63">
        <f t="shared" si="4"/>
        <v>70840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TRUNC(5918,-1)</f>
        <v>5910</v>
      </c>
      <c r="E132" s="64">
        <f t="shared" si="4"/>
        <v>19530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51960</v>
      </c>
      <c r="E133" s="39">
        <f>SUM(E122:E132)</f>
        <v>171750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TRUNC(189+11398,-1)</f>
        <v>11580</v>
      </c>
      <c r="E136" s="62">
        <f t="shared" ref="E136:E145" si="5">TRUNC(+D136*3.3058,-1)</f>
        <v>38280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11580</v>
      </c>
      <c r="E146" s="39">
        <f>SUM(E136:E145)</f>
        <v>38280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TRUNC(55140,-1)</f>
        <v>55140</v>
      </c>
      <c r="E152" s="63">
        <f>TRUNC(+D152*3.3058,-1)</f>
        <v>182280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55140</v>
      </c>
      <c r="E154" s="39">
        <f>SUM(E149:E153)</f>
        <v>182280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TRUNC(63773,-1)</f>
        <v>63770</v>
      </c>
      <c r="E159" s="63">
        <f>TRUNC(+D159*3.3058,-1)</f>
        <v>210810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63770</v>
      </c>
      <c r="E161" s="39">
        <f>SUM(E157:E160)</f>
        <v>210810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2020-12-07T09:51:53Z</dcterms:modified>
</cp:coreProperties>
</file>