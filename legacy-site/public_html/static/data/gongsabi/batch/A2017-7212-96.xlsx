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37" i="4" l="1"/>
  <c r="D144" i="4"/>
  <c r="D143" i="4"/>
  <c r="D139" i="4"/>
  <c r="D141" i="4"/>
  <c r="D142" i="4"/>
  <c r="D140" i="4"/>
  <c r="D128" i="4"/>
  <c r="D127" i="4"/>
  <c r="D132" i="4"/>
  <c r="D124" i="4"/>
  <c r="D125" i="4"/>
  <c r="D122" i="4"/>
  <c r="D130" i="4"/>
  <c r="D118" i="4"/>
  <c r="D105" i="4"/>
  <c r="D104" i="4"/>
  <c r="D103" i="4"/>
  <c r="D102" i="4"/>
  <c r="D100" i="4"/>
  <c r="D99" i="4"/>
  <c r="D98" i="4"/>
  <c r="D116" i="4"/>
  <c r="D91" i="4"/>
  <c r="D73" i="4"/>
  <c r="D72" i="4"/>
  <c r="D71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3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95" i="4"/>
  <c r="E60" i="4"/>
  <c r="E133" i="4"/>
  <c r="E119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<sst xmlns="http://schemas.openxmlformats.org/spreadsheetml/2006/main" count="391" uniqueCount="264">
  <si>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</si>
  <si>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</si>
  <si>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</si>
  <si>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</si>
  <si>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</si>
  <si>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</si>
  <si>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</si>
  <si>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</si>
  <si>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</si>
  <si>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</si>
  <si>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</si>
  <si>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</si>
  <si>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</si>
  <si>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</si>
  <si>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</si>
  <si>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</si>
  <si>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</si>
  <si>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</si>
  <si>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</si>
  <si>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</si>
  <si>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</si>
  <si>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</si>
  <si>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</si>
  <si>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</si>
  <si>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</si>
  <si>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</si>
  <si>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</si>
  <si>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</si>
  <si>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</si>
  <si>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</si>
  <si>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</si>
  <si>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</si>
  <si>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</si>
  <si>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</si>
  <si>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</si>
  <si>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</si>
  <si>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</si>
  <si>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</si>
  <si>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</si>
  <si>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</si>
  <si>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</si>
  <si>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</si>
  <si>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</si>
  <si>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</si>
  <si>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</si>
  <si>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</si>
  <si>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</si>
  <si>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</si>
  <si>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</si>
  <si>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</si>
  <si>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</si>
  <si>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</si>
  <si>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</si>
  <si>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</si>
  <si>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</si>
  <si>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</si>
  <si>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</si>
  <si>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</si>
  <si>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</si>
  <si>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</si>
  <si>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</si>
  <si>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</si>
  <si>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</si>
  <si>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</si>
  <si>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</si>
  <si>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</si>
  <si>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</si>
  <si>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</si>
  <si>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</si>
  <si>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</si>
  <si>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</si>
  <si>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</si>
  <si>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</si>
  <si>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</si>
  <si>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</si>
  <si>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</si>
  <si>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</si>
  <si>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</si>
  <si>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</si>
  <si>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</si>
  <si>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</si>
  <si>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</si>
  <si>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</si>
  <si>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</si>
  <si>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</si>
  <si>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</si>
  <si>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</si>
  <si>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</si>
  <si>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</si>
  <si>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</si>
  <si>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</si>
  <si>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</si>
  <si>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</si>
  <si>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</si>
  <si>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</si>
  <si>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</si>
  <si>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</si>
  <si>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</si>
  <si>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</si>
  <si>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</si>
  <si>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</si>
  <si>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</si>
  <si>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</si>
  <si>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</si>
  <si>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</si>
  <si>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</si>
  <si>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</si>
  <si>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</si>
  <si>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</si>
  <si>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</si>
  <si>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</si>
  <si>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</si>
  <si>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</si>
  <si>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</si>
  <si>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</si>
  <si>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</si>
  <si>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</si>
  <si>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</si>
  <si>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</si>
  <si>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</si>
  <si>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</si>
  <si>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</si>
  <si>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</si>
  <si>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</si>
  <si>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</si>
  <si>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</si>
  <si>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</si>
  <si>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</si>
  <si>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</si>
  <si>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</si>
  <si>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</si>
  <si>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</si>
  <si>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</si>
  <si>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</si>
  <si>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</si>
  <si>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</si>
  <si>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</si>
  <si>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</si>
  <si>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</si>
  <si>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</si>
  <si>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</si>
  <si>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</si>
  <si>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</si>
  <si>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</si>
  <si>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</si>
  <si>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</si>
  <si>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</si>
  <si>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</si>
  <si>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</si>
  <si>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</si>
  <si>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</si>
  <si>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</si>
  <si>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</si>
  <si>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</si>
  <si>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</si>
  <si>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</si>
  <si>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</si>
  <si>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</si>
  <si>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</si>
  <si>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</si>
  <si>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</si>
  <si>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</si>
  <si>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</si>
  <si>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</si>
  <si>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</si>
  <si>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</si>
  <si>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</si>
  <si>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</si>
  <si>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</si>
  <si>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</si>
  <si>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</si>
  <si>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</si>
  <si>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</si>
  <si>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</si>
  <si>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</si>
  <si>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</si>
  <si>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</si>
  <si>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</si>
  <si>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</si>
  <si>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</si>
  <si>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</si>
  <si>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</si>
  <si>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</si>
  <si>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</si>
  <si>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</si>
  <si>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</si>
  <si>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</si>
  <si>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</si>
  <si>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</si>
  <si>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</si>
  <si>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</si>
  <si>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</si>
  <si>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</si>
  <si>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</si>
  <si>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</si>
  <si>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</si>
  <si>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</si>
  <si>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</si>
  <si>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</si>
  <si>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</si>
  <si>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</si>
  <si>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</si>
  <si>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</si>
  <si>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</si>
  <si>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</si>
  <si>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</si>
  <si>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</si>
  <si>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</si>
  <si>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</si>
  <si>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</si>
  <si>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</si>
  <si>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</si>
  <si>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</si>
  <si>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</si>
  <si>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</si>
  <si>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</si>
  <si>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</si>
  <si>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</si>
  <si>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</si>
  <si>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</si>
  <si>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</si>
  <si>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</si>
  <si>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</si>
  <si>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</si>
  <si>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</si>
  <si>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</si>
  <si>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</si>
  <si>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</si>
  <si>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</si>
  <si>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</si>
  <si>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</si>
  <si>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</si>
  <si>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</si>
  <si>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</si>
  <si>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</si>
  <si>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</si>
  <si>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</si>
  <si>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</si>
  <si>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</si>
  <si>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</si>
  <si>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</si>
  <si>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</si>
  <si>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</si>
  <si>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</si>
  <si>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</si>
  <si>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</si>
  <si>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</si>
  <si>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</si>
  <si>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국립밀양기상과학관 신축 공사</t>
    <phoneticPr fontId="2" type="noConversion"/>
  </si>
  <si>
    <t>문화및집회</t>
  </si>
  <si>
    <t>경상도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</si>
  <si>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</si>
  <si>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</si>
  <si>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</si>
  <si>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골재비및운반비,기타공사</t>
    <phoneticPr fontId="2" type="noConversion"/>
  </si>
  <si>
    <t>바닥난방공사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</si>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</sst>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2680.16</v>
      </c>
      <c r="D7" s="36">
        <f>+C7/3.3058</f>
        <v>810.74475164861747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1296080</v>
      </c>
      <c r="E25" s="59">
        <f t="shared" si="0"/>
        <v>4284580</v>
      </c>
    </row>
    <row r="26" spans="1:5" x14ac:dyDescent="0.3">
      <c r="B26" s="2">
        <v>3</v>
      </c>
      <c r="C26" s="35" t="s">
        <v>95</v>
      </c>
      <c r="D26" s="45">
        <f>+D66</f>
        <v>63500</v>
      </c>
      <c r="E26" s="59">
        <f t="shared" si="0"/>
        <v>209910</v>
      </c>
    </row>
    <row r="27" spans="1:5" x14ac:dyDescent="0.3">
      <c r="B27" s="2">
        <v>4</v>
      </c>
      <c r="C27" s="35" t="s">
        <v>96</v>
      </c>
      <c r="D27" s="45">
        <f>+D95</f>
        <v>42730</v>
      </c>
      <c r="E27" s="59">
        <f t="shared" si="0"/>
        <v>141250</v>
      </c>
    </row>
    <row r="28" spans="1:5" x14ac:dyDescent="0.3">
      <c r="B28" s="2">
        <v>5</v>
      </c>
      <c r="C28" s="35" t="s">
        <v>97</v>
      </c>
      <c r="D28" s="45">
        <f>+D119</f>
        <v>281910</v>
      </c>
      <c r="E28" s="59">
        <f t="shared" si="0"/>
        <v>931930</v>
      </c>
    </row>
    <row r="29" spans="1:5" x14ac:dyDescent="0.3">
      <c r="B29" s="2">
        <v>6</v>
      </c>
      <c r="C29" s="35" t="s">
        <v>98</v>
      </c>
      <c r="D29" s="45">
        <f>+D133</f>
        <v>59170</v>
      </c>
      <c r="E29" s="59">
        <f t="shared" si="0"/>
        <v>195600</v>
      </c>
    </row>
    <row r="30" spans="1:5" x14ac:dyDescent="0.3">
      <c r="B30" s="2">
        <v>7</v>
      </c>
      <c r="C30" s="35" t="s">
        <v>99</v>
      </c>
      <c r="D30" s="45">
        <f>+D146</f>
        <v>80610</v>
      </c>
      <c r="E30" s="59">
        <f t="shared" si="0"/>
        <v>266480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501600</v>
      </c>
      <c r="E33" s="60">
        <f t="shared" si="0"/>
        <v>1658180</v>
      </c>
    </row>
    <row r="34" spans="1:7" x14ac:dyDescent="0.3">
      <c r="C34" s="35" t="s">
        <v>112</v>
      </c>
      <c r="D34" s="44">
        <f>SUM(D24:D33)</f>
        <v>2325600</v>
      </c>
      <c r="E34" s="44">
        <f>SUM(E24:E33)</f>
        <v>7687930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TRUNC(92131,-1)</f>
        <v>92130</v>
      </c>
      <c r="E40" s="62">
        <f t="shared" ref="E40:E59" si="1">TRUNC(+D40*3.3058,-1)</f>
        <v>304560</v>
      </c>
    </row>
    <row r="41" spans="1:7" x14ac:dyDescent="0.3">
      <c r="A41" s="2">
        <v>2</v>
      </c>
      <c r="C41" s="38" t="s">
        <v>13</v>
      </c>
      <c r="D41" s="42">
        <f>TRUNC(227831,-1)</f>
        <v>227830</v>
      </c>
      <c r="E41" s="63">
        <f t="shared" si="1"/>
        <v>753160</v>
      </c>
    </row>
    <row r="42" spans="1:7" x14ac:dyDescent="0.3">
      <c r="A42" s="2">
        <v>3</v>
      </c>
      <c r="C42" s="38" t="s">
        <v>14</v>
      </c>
      <c r="D42" s="42">
        <f>TRUNC(17738,-1)</f>
        <v>17730</v>
      </c>
      <c r="E42" s="63">
        <f t="shared" si="1"/>
        <v>58610</v>
      </c>
    </row>
    <row r="43" spans="1:7" x14ac:dyDescent="0.3">
      <c r="A43" s="2">
        <v>4</v>
      </c>
      <c r="C43" s="38" t="s">
        <v>16</v>
      </c>
      <c r="D43" s="42">
        <f>TRUNC(16408,-1)</f>
        <v>16400</v>
      </c>
      <c r="E43" s="63">
        <f t="shared" si="1"/>
        <v>54210</v>
      </c>
    </row>
    <row r="44" spans="1:7" x14ac:dyDescent="0.3">
      <c r="A44" s="2">
        <v>5</v>
      </c>
      <c r="C44" s="38" t="s">
        <v>17</v>
      </c>
      <c r="D44" s="42">
        <f>TRUNC(29904,-1)</f>
        <v>29900</v>
      </c>
      <c r="E44" s="63">
        <f t="shared" si="1"/>
        <v>98840</v>
      </c>
    </row>
    <row r="45" spans="1:7" x14ac:dyDescent="0.3">
      <c r="A45" s="2">
        <v>6</v>
      </c>
      <c r="C45" s="38" t="s">
        <v>18</v>
      </c>
      <c r="D45" s="42">
        <f>TRUNC(9678,-1)</f>
        <v>9670</v>
      </c>
      <c r="E45" s="63">
        <f t="shared" si="1"/>
        <v>31960</v>
      </c>
    </row>
    <row r="46" spans="1:7" x14ac:dyDescent="0.3">
      <c r="A46" s="2">
        <v>7</v>
      </c>
      <c r="C46" s="38" t="s">
        <v>19</v>
      </c>
      <c r="D46" s="42">
        <f>TRUNC(6065,-1)</f>
        <v>6060</v>
      </c>
      <c r="E46" s="63">
        <f t="shared" si="1"/>
        <v>20030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TRUNC(195499,-1)</f>
        <v>195490</v>
      </c>
      <c r="E48" s="63">
        <f t="shared" si="1"/>
        <v>646250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TRUNC(19317,-1)</f>
        <v>19310</v>
      </c>
      <c r="E49" s="63">
        <f t="shared" si="1"/>
        <v>63830</v>
      </c>
    </row>
    <row r="50" spans="1:7" x14ac:dyDescent="0.3">
      <c r="A50" s="2">
        <v>11</v>
      </c>
      <c r="C50" s="38" t="s">
        <v>155</v>
      </c>
      <c r="D50" s="42">
        <f>TRUNC(51295,-1)</f>
        <v>51290</v>
      </c>
      <c r="E50" s="63">
        <f t="shared" si="1"/>
        <v>169550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TRUNC(32578,-1)</f>
        <v>32570</v>
      </c>
      <c r="E52" s="63">
        <f t="shared" si="1"/>
        <v>107660</v>
      </c>
    </row>
    <row r="53" spans="1:7" x14ac:dyDescent="0.3">
      <c r="A53" s="2">
        <v>14</v>
      </c>
      <c r="C53" s="38" t="s">
        <v>25</v>
      </c>
      <c r="D53" s="42">
        <f>TRUNC(94887,-1)</f>
        <v>94880</v>
      </c>
      <c r="E53" s="63">
        <f t="shared" si="1"/>
        <v>313650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TRUNC(3994+445,-1)</f>
        <v>4430</v>
      </c>
      <c r="E58" s="63">
        <f t="shared" si="1"/>
        <v>14640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TRUNC(498399,-1)</f>
        <v>498390</v>
      </c>
      <c r="E59" s="64">
        <f t="shared" si="1"/>
        <v>1647570</v>
      </c>
    </row>
    <row r="60" spans="1:7" x14ac:dyDescent="0.3">
      <c r="A60" s="2">
        <v>21</v>
      </c>
      <c r="C60" s="27" t="s">
        <v>112</v>
      </c>
      <c r="D60" s="39">
        <f>SUM(D40:D59)</f>
        <v>1296080</v>
      </c>
      <c r="E60" s="39">
        <f>SUM(E40:E59)</f>
        <v>4284520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TRUNC(63509,-1)</f>
        <v>63500</v>
      </c>
      <c r="E63" s="62">
        <f>TRUNC(+D63*3.3058,-1)</f>
        <v>209910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63500</v>
      </c>
      <c r="E66" s="65">
        <f>SUM(E63:E65)</f>
        <v>209910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TRUNC(7253,-1)</f>
        <v>7250</v>
      </c>
      <c r="E69" s="62">
        <f t="shared" ref="E69:E94" si="2">TRUNC(+D69*3.3058,-1)</f>
        <v>23960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TRUNC(5026,-1)</f>
        <v>5020</v>
      </c>
      <c r="E71" s="63">
        <f t="shared" si="2"/>
        <v>16590</v>
      </c>
    </row>
    <row r="72" spans="1:7" x14ac:dyDescent="0.3">
      <c r="A72" s="2">
        <v>4</v>
      </c>
      <c r="C72" s="38" t="s">
        <v>33</v>
      </c>
      <c r="D72" s="42">
        <f>TRUNC(4911,-1)</f>
        <v>4910</v>
      </c>
      <c r="E72" s="63">
        <f t="shared" si="2"/>
        <v>16230</v>
      </c>
    </row>
    <row r="73" spans="1:7" x14ac:dyDescent="0.3">
      <c r="A73" s="2">
        <v>5</v>
      </c>
      <c r="C73" s="38" t="s">
        <v>34</v>
      </c>
      <c r="D73" s="42">
        <f>TRUNC(20004,-1)</f>
        <v>20000</v>
      </c>
      <c r="E73" s="63">
        <f t="shared" si="2"/>
        <v>66110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TRUNC(5224,-1)</f>
        <v>5220</v>
      </c>
      <c r="E91" s="63">
        <f t="shared" si="2"/>
        <v>17250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TRUNC(331,-1)</f>
        <v>330</v>
      </c>
      <c r="E94" s="64">
        <f t="shared" si="2"/>
        <v>1090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42730</v>
      </c>
      <c r="E95" s="39">
        <f>SUM(E69:E94)</f>
        <v>141230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TRUNC(12430,-1)</f>
        <v>12430</v>
      </c>
      <c r="E98" s="62">
        <f t="shared" ref="E98:E118" si="3">TRUNC(+D98*3.3058,-1)</f>
        <v>41090</v>
      </c>
    </row>
    <row r="99" spans="1:7" x14ac:dyDescent="0.3">
      <c r="A99" s="2">
        <v>2</v>
      </c>
      <c r="C99" s="38" t="s">
        <v>40</v>
      </c>
      <c r="D99" s="42">
        <f>TRUNC(7554,-1)</f>
        <v>7550</v>
      </c>
      <c r="E99" s="63">
        <f t="shared" si="3"/>
        <v>24950</v>
      </c>
    </row>
    <row r="100" spans="1:7" x14ac:dyDescent="0.3">
      <c r="A100" s="2">
        <v>3</v>
      </c>
      <c r="C100" s="38" t="s">
        <v>41</v>
      </c>
      <c r="D100" s="42">
        <f>TRUNC(21346,-1)</f>
        <v>21340</v>
      </c>
      <c r="E100" s="63">
        <f t="shared" si="3"/>
        <v>70540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TRUNC(7518,-1)</f>
        <v>7510</v>
      </c>
      <c r="E102" s="63">
        <f t="shared" si="3"/>
        <v>24820</v>
      </c>
    </row>
    <row r="103" spans="1:7" x14ac:dyDescent="0.3">
      <c r="A103" s="2">
        <v>6</v>
      </c>
      <c r="C103" s="38" t="s">
        <v>44</v>
      </c>
      <c r="D103" s="42">
        <f>TRUNC(9136,-1)</f>
        <v>9130</v>
      </c>
      <c r="E103" s="63">
        <f t="shared" si="3"/>
        <v>30180</v>
      </c>
    </row>
    <row r="104" spans="1:7" x14ac:dyDescent="0.3">
      <c r="A104" s="2">
        <v>7</v>
      </c>
      <c r="C104" s="38" t="s">
        <v>45</v>
      </c>
      <c r="D104" s="42">
        <f>TRUNC(7825,-1)</f>
        <v>7820</v>
      </c>
      <c r="E104" s="63">
        <f t="shared" si="3"/>
        <v>25850</v>
      </c>
    </row>
    <row r="105" spans="1:7" x14ac:dyDescent="0.3">
      <c r="A105" s="2">
        <v>8</v>
      </c>
      <c r="C105" s="38" t="s">
        <v>46</v>
      </c>
      <c r="D105" s="42">
        <f>TRUNC(3514,-1)</f>
        <v>3510</v>
      </c>
      <c r="E105" s="63">
        <f t="shared" si="3"/>
        <v>11600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TRUNC(8506,-1)</f>
        <v>8500</v>
      </c>
      <c r="E116" s="63">
        <f t="shared" si="3"/>
        <v>28090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TRUNC(201233,-1)</f>
        <v>201230</v>
      </c>
      <c r="E117" s="63">
        <f t="shared" si="3"/>
        <v>665220</v>
      </c>
    </row>
    <row r="118" spans="1:7" ht="17.25" thickBot="1" x14ac:dyDescent="0.35">
      <c r="A118" s="2">
        <v>21</v>
      </c>
      <c r="C118" s="38" t="s">
        <v>47</v>
      </c>
      <c r="D118" s="43">
        <f>TRUNC(2897,-1)</f>
        <v>2890</v>
      </c>
      <c r="E118" s="64">
        <f t="shared" si="3"/>
        <v>9550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281910</v>
      </c>
      <c r="E119" s="39">
        <f>SUM(E98:E118)</f>
        <v>931890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TRUNC(3941,-1)</f>
        <v>3940</v>
      </c>
      <c r="E122" s="62">
        <f t="shared" ref="E122:E132" si="4">TRUNC(+D122*3.3058,-1)</f>
        <v>13020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TRUNC(1606,-1)</f>
        <v>1600</v>
      </c>
      <c r="E124" s="63">
        <f t="shared" si="4"/>
        <v>5280</v>
      </c>
    </row>
    <row r="125" spans="1:7" x14ac:dyDescent="0.3">
      <c r="A125" s="2">
        <v>4</v>
      </c>
      <c r="C125" s="38" t="s">
        <v>138</v>
      </c>
      <c r="D125" s="42">
        <f>TRUNC(5607,-1)</f>
        <v>5600</v>
      </c>
      <c r="E125" s="63">
        <f t="shared" si="4"/>
        <v>18510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TRUNC(3467,-1)</f>
        <v>3460</v>
      </c>
      <c r="E127" s="63">
        <f t="shared" si="4"/>
        <v>11430</v>
      </c>
    </row>
    <row r="128" spans="1:7" x14ac:dyDescent="0.3">
      <c r="A128" s="2">
        <v>7</v>
      </c>
      <c r="C128" s="38" t="s">
        <v>46</v>
      </c>
      <c r="D128" s="42">
        <f>TRUNC(2213,-1)</f>
        <v>2210</v>
      </c>
      <c r="E128" s="63">
        <f t="shared" si="4"/>
        <v>7300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TRUNC(7642,-1)</f>
        <v>7640</v>
      </c>
      <c r="E130" s="63">
        <f t="shared" si="4"/>
        <v>25250</v>
      </c>
    </row>
    <row r="131" spans="1:7" x14ac:dyDescent="0.3">
      <c r="A131" s="2">
        <v>10</v>
      </c>
      <c r="C131" s="38" t="s">
        <v>148</v>
      </c>
      <c r="D131" s="42">
        <f>TRUNC(33147,-1)</f>
        <v>33140</v>
      </c>
      <c r="E131" s="63">
        <f t="shared" si="4"/>
        <v>109550</v>
      </c>
    </row>
    <row r="132" spans="1:7" ht="18" thickBot="1" x14ac:dyDescent="0.35">
      <c r="A132" s="2">
        <v>11</v>
      </c>
      <c r="C132" s="38" t="s">
        <v>47</v>
      </c>
      <c r="D132" s="43">
        <f>TRUNC(1580,-1)</f>
        <v>1580</v>
      </c>
      <c r="E132" s="64">
        <f t="shared" si="4"/>
        <v>5220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59170</v>
      </c>
      <c r="E133" s="39">
        <f>SUM(E122:E132)</f>
        <v>195560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TRUNC(8441+1056,-1)</f>
        <v>9490</v>
      </c>
      <c r="E137" s="63">
        <f t="shared" si="5"/>
        <v>31370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TRUNC(3306,-1)</f>
        <v>3300</v>
      </c>
      <c r="E139" s="63">
        <f t="shared" si="5"/>
        <v>10900</v>
      </c>
    </row>
    <row r="140" spans="1:7" x14ac:dyDescent="0.3">
      <c r="A140" s="2">
        <v>5</v>
      </c>
      <c r="C140" s="38" t="s">
        <v>57</v>
      </c>
      <c r="D140" s="42">
        <f>TRUNC(7122,-1)</f>
        <v>7120</v>
      </c>
      <c r="E140" s="63">
        <f t="shared" si="5"/>
        <v>23530</v>
      </c>
    </row>
    <row r="141" spans="1:7" x14ac:dyDescent="0.3">
      <c r="A141" s="2">
        <v>6</v>
      </c>
      <c r="C141" s="38" t="s">
        <v>59</v>
      </c>
      <c r="D141" s="42">
        <f>TRUNC(29689,-1)</f>
        <v>29680</v>
      </c>
      <c r="E141" s="63">
        <f t="shared" si="5"/>
        <v>98110</v>
      </c>
    </row>
    <row r="142" spans="1:7" x14ac:dyDescent="0.3">
      <c r="A142" s="2">
        <v>7</v>
      </c>
      <c r="C142" s="38" t="s">
        <v>58</v>
      </c>
      <c r="D142" s="42">
        <f>TRUNC(5853,-1)</f>
        <v>5850</v>
      </c>
      <c r="E142" s="63">
        <f t="shared" si="5"/>
        <v>19330</v>
      </c>
    </row>
    <row r="143" spans="1:7" x14ac:dyDescent="0.3">
      <c r="A143" s="2">
        <v>8</v>
      </c>
      <c r="C143" s="38" t="s">
        <v>62</v>
      </c>
      <c r="D143" s="42">
        <f>TRUNC(4420,-1)</f>
        <v>4420</v>
      </c>
      <c r="E143" s="63">
        <f t="shared" si="5"/>
        <v>14610</v>
      </c>
    </row>
    <row r="144" spans="1:7" x14ac:dyDescent="0.3">
      <c r="A144" s="2">
        <v>9</v>
      </c>
      <c r="C144" s="38" t="s">
        <v>63</v>
      </c>
      <c r="D144" s="42">
        <f>TRUNC(20752,-1)</f>
        <v>20750</v>
      </c>
      <c r="E144" s="63">
        <f t="shared" si="5"/>
        <v>68590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80610</v>
      </c>
      <c r="E146" s="39">
        <f>SUM(E136:E145)</f>
        <v>266440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2020-12-08T01:53:14Z</dcterms:modified>
</cp:coreProperties>
</file>