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45" i="4"/>
  <c r="D153" i="4"/>
  <c r="D160" i="4"/>
  <c r="D159" i="4"/>
  <c r="D158" i="4"/>
  <c r="D157" i="4"/>
  <c r="D152" i="4"/>
  <c r="D150" i="4"/>
  <c r="D149" i="4"/>
  <c r="D137" i="4"/>
  <c r="D144" i="4"/>
  <c r="D143" i="4"/>
  <c r="D139" i="4"/>
  <c r="D142" i="4"/>
  <c r="D140" i="4"/>
  <c r="D128" i="4"/>
  <c r="D127" i="4"/>
  <c r="D132" i="4"/>
  <c r="D124" i="4"/>
  <c r="D125" i="4"/>
  <c r="D122" i="4"/>
  <c r="D130" i="4"/>
  <c r="D126" i="4"/>
  <c r="D118" i="4"/>
  <c r="D105" i="4"/>
  <c r="D104" i="4"/>
  <c r="D102" i="4"/>
  <c r="D100" i="4"/>
  <c r="D99" i="4"/>
  <c r="D114" i="4"/>
  <c r="D98" i="4"/>
  <c r="D116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<sst xmlns="http://schemas.openxmlformats.org/spreadsheetml/2006/main" count="394" uniqueCount="269">
  <si>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</si>
  <si>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</si>
  <si>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</si>
  <si>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</si>
  <si>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</si>
  <si>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</si>
  <si>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</si>
  <si>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</si>
  <si>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</si>
  <si>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</si>
  <si>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</si>
  <si>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</si>
  <si>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</si>
  <si>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</si>
  <si>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</si>
  <si>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</si>
  <si>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</si>
  <si>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</si>
  <si>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</si>
  <si>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</si>
  <si>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</si>
  <si>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</si>
  <si>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</si>
  <si>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</si>
  <si>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</si>
  <si>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</si>
  <si>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</si>
  <si>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</si>
  <si>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</si>
  <si>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</si>
  <si>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</si>
  <si>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</si>
  <si>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</si>
  <si>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</si>
  <si>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</si>
  <si>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</si>
  <si>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</si>
  <si>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</si>
  <si>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</si>
  <si>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</si>
  <si>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</si>
  <si>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</si>
  <si>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</si>
  <si>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</si>
  <si>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</si>
  <si>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</si>
  <si>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</si>
  <si>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</si>
  <si>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</si>
  <si>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</si>
  <si>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</si>
  <si>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</si>
  <si>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</si>
  <si>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</si>
  <si>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</si>
  <si>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</si>
  <si>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</si>
  <si>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</si>
  <si>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</si>
  <si>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</si>
  <si>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</si>
  <si>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</si>
  <si>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</si>
  <si>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</si>
  <si>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</si>
  <si>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</si>
  <si>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</si>
  <si>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</si>
  <si>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</si>
  <si>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</si>
  <si>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</si>
  <si>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</si>
  <si>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</si>
  <si>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</si>
  <si>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</si>
  <si>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</si>
  <si>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</si>
  <si>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</si>
  <si>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</si>
  <si>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</si>
  <si>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</si>
  <si>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</si>
  <si>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</si>
  <si>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</si>
  <si>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</si>
  <si>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</si>
  <si>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</si>
  <si>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</si>
  <si>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</si>
  <si>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</si>
  <si>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</si>
  <si>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</si>
  <si>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</si>
  <si>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</si>
  <si>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</si>
  <si>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</si>
  <si>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</si>
  <si>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</si>
  <si>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</si>
  <si>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</si>
  <si>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</si>
  <si>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</si>
  <si>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</si>
  <si>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</si>
  <si>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</si>
  <si>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</si>
  <si>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</si>
  <si>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</si>
  <si>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</si>
  <si>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</si>
  <si>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</si>
  <si>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</si>
  <si>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</si>
  <si>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</si>
  <si>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</si>
  <si>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</si>
  <si>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</si>
  <si>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</si>
  <si>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</si>
  <si>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</si>
  <si>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</si>
  <si>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</si>
  <si>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</si>
  <si>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</si>
  <si>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</si>
  <si>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</si>
  <si>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</si>
  <si>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</si>
  <si>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</si>
  <si>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</si>
  <si>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</si>
  <si>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</si>
  <si>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</si>
  <si>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</si>
  <si>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</si>
  <si>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</si>
  <si>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</si>
  <si>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</si>
  <si>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</si>
  <si>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</si>
  <si>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</si>
  <si>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</si>
  <si>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</si>
  <si>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</si>
  <si>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</si>
  <si>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</si>
  <si>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</si>
  <si>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</si>
  <si>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</si>
  <si>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</si>
  <si>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</si>
  <si>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</si>
  <si>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</si>
  <si>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</si>
  <si>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</si>
  <si>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</si>
  <si>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</si>
  <si>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</si>
  <si>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</si>
  <si>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</si>
  <si>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</si>
  <si>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</si>
  <si>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</si>
  <si>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</si>
  <si>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</si>
  <si>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</si>
  <si>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</si>
  <si>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</si>
  <si>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</si>
  <si>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</si>
  <si>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</si>
  <si>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</si>
  <si>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</si>
  <si>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</si>
  <si>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</si>
  <si>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</si>
  <si>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</si>
  <si>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</si>
  <si>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</si>
  <si>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</si>
  <si>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</si>
  <si>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</si>
  <si>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</si>
  <si>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</si>
  <si>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</si>
  <si>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</si>
  <si>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</si>
  <si>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</si>
  <si>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</si>
  <si>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</si>
  <si>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</si>
  <si>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</si>
  <si>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</si>
  <si>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</si>
  <si>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</si>
  <si>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</si>
  <si>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</si>
  <si>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</si>
  <si>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</si>
  <si>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</si>
  <si>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</si>
  <si>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</si>
  <si>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</si>
  <si>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</si>
  <si>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</si>
  <si>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</si>
  <si>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</si>
  <si>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</si>
  <si>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</si>
  <si>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</si>
  <si>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</si>
  <si>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</si>
  <si>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</si>
  <si>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</si>
  <si>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</si>
  <si>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</si>
  <si>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</si>
  <si>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</si>
  <si>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</si>
  <si>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</si>
  <si>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</si>
  <si>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</si>
  <si>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</si>
  <si>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</si>
  <si>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</si>
  <si>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</si>
  <si>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</si>
  <si>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</si>
  <si>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</si>
  <si>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</si>
  <si>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</si>
  <si>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</si>
  <si>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</si>
  <si>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</si>
  <si>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</si>
  <si>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</si>
  <si>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</si>
  <si>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</si>
  <si>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</si>
  <si>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</si>
  <si>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</si>
  <si>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</si>
  <si>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</si>
  <si>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</si>
  <si>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</si>
  <si>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</si>
  <si>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</si>
  <si>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</si>
  <si>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마산자유무역지역 스마트혁신지원센터 구축 사업(건축,기계,토목,조경)</t>
    <phoneticPr fontId="2" type="noConversion"/>
  </si>
  <si>
    <t>교육연구</t>
  </si>
  <si>
    <t>경상도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</si>
  <si>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</si>
  <si>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</si>
  <si>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</si>
  <si>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기초공사,폐기물처리비,골재비및운반비,품질시험비,기타공사</t>
    <phoneticPr fontId="2" type="noConversion"/>
  </si>
  <si>
    <t>전기인입 및 수변전 설비공사</t>
    <phoneticPr fontId="2" type="noConversion"/>
  </si>
  <si>
    <t xml:space="preserve">원격검침 설비공사 ,기타공사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</si>
  <si>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</si>
  <si>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</si>
  <si>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펌프실배관공사,기타공사</t>
    <phoneticPr fontId="2" type="noConversion"/>
  </si>
  <si>
    <t>오수공사</t>
    <phoneticPr fontId="2" type="noConversion"/>
  </si>
  <si>
    <t>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</si>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</sst>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4040</v>
      </c>
      <c r="D7" s="36">
        <f>+C7/3.3058</f>
        <v>1222.0945005747474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922610</v>
      </c>
      <c r="E25" s="59">
        <f t="shared" si="0"/>
        <v>3049960</v>
      </c>
    </row>
    <row r="26" spans="1:5" x14ac:dyDescent="0.3">
      <c r="B26" s="2">
        <v>3</v>
      </c>
      <c r="C26" s="35" t="s">
        <v>95</v>
      </c>
      <c r="D26" s="45">
        <f>+D66</f>
        <v>3200</v>
      </c>
      <c r="E26" s="59">
        <f t="shared" si="0"/>
        <v>10570</v>
      </c>
    </row>
    <row r="27" spans="1:5" x14ac:dyDescent="0.3">
      <c r="B27" s="2">
        <v>4</v>
      </c>
      <c r="C27" s="35" t="s">
        <v>96</v>
      </c>
      <c r="D27" s="45">
        <f>+D95</f>
        <v>95180</v>
      </c>
      <c r="E27" s="59">
        <f t="shared" si="0"/>
        <v>314640</v>
      </c>
    </row>
    <row r="28" spans="1:5" x14ac:dyDescent="0.3">
      <c r="B28" s="2">
        <v>5</v>
      </c>
      <c r="C28" s="35" t="s">
        <v>97</v>
      </c>
      <c r="D28" s="45">
        <f>+D119</f>
        <v>282380</v>
      </c>
      <c r="E28" s="59">
        <f t="shared" si="0"/>
        <v>933490</v>
      </c>
    </row>
    <row r="29" spans="1:5" x14ac:dyDescent="0.3">
      <c r="B29" s="2">
        <v>6</v>
      </c>
      <c r="C29" s="35" t="s">
        <v>98</v>
      </c>
      <c r="D29" s="45">
        <f>+D133</f>
        <v>83910</v>
      </c>
      <c r="E29" s="59">
        <f t="shared" si="0"/>
        <v>277380</v>
      </c>
    </row>
    <row r="30" spans="1:5" x14ac:dyDescent="0.3">
      <c r="B30" s="2">
        <v>7</v>
      </c>
      <c r="C30" s="35" t="s">
        <v>99</v>
      </c>
      <c r="D30" s="45">
        <f>+D146</f>
        <v>36380</v>
      </c>
      <c r="E30" s="59">
        <f t="shared" si="0"/>
        <v>120260</v>
      </c>
    </row>
    <row r="31" spans="1:5" x14ac:dyDescent="0.3">
      <c r="B31" s="2">
        <v>8</v>
      </c>
      <c r="C31" s="35" t="s">
        <v>100</v>
      </c>
      <c r="D31" s="45">
        <f>+D154</f>
        <v>16490</v>
      </c>
      <c r="E31" s="59">
        <f t="shared" si="0"/>
        <v>54510</v>
      </c>
    </row>
    <row r="32" spans="1:5" x14ac:dyDescent="0.3">
      <c r="B32" s="2">
        <v>9</v>
      </c>
      <c r="C32" s="35" t="s">
        <v>101</v>
      </c>
      <c r="D32" s="45">
        <f>+D161</f>
        <v>22660</v>
      </c>
      <c r="E32" s="59">
        <f t="shared" si="0"/>
        <v>74900</v>
      </c>
    </row>
    <row r="33" spans="1:7" x14ac:dyDescent="0.3">
      <c r="B33" s="2">
        <v>10</v>
      </c>
      <c r="C33" s="35" t="s">
        <v>154</v>
      </c>
      <c r="D33" s="53">
        <f>TRUNC(SUM(D24:D32)*0.275,-1)</f>
        <v>402270</v>
      </c>
      <c r="E33" s="60">
        <f t="shared" si="0"/>
        <v>1329820</v>
      </c>
    </row>
    <row r="34" spans="1:7" x14ac:dyDescent="0.3">
      <c r="C34" s="35" t="s">
        <v>112</v>
      </c>
      <c r="D34" s="44">
        <f>SUM(D24:D33)</f>
        <v>1865080</v>
      </c>
      <c r="E34" s="44">
        <f>SUM(E24:E33)</f>
        <v>6165530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TRUNC(66895,-1)</f>
        <v>66890</v>
      </c>
      <c r="E40" s="62">
        <f t="shared" ref="E40:E59" si="1">TRUNC(+D40*3.3058,-1)</f>
        <v>221120</v>
      </c>
    </row>
    <row r="41" spans="1:7" x14ac:dyDescent="0.3">
      <c r="A41" s="2">
        <v>2</v>
      </c>
      <c r="C41" s="38" t="s">
        <v>13</v>
      </c>
      <c r="D41" s="42">
        <f>TRUNC(161363,-1)</f>
        <v>161360</v>
      </c>
      <c r="E41" s="63">
        <f t="shared" si="1"/>
        <v>533420</v>
      </c>
    </row>
    <row r="42" spans="1:7" x14ac:dyDescent="0.3">
      <c r="A42" s="2">
        <v>3</v>
      </c>
      <c r="C42" s="38" t="s">
        <v>14</v>
      </c>
      <c r="D42" s="42">
        <f>TRUNC(15485,-1)</f>
        <v>15480</v>
      </c>
      <c r="E42" s="63">
        <f t="shared" si="1"/>
        <v>51170</v>
      </c>
    </row>
    <row r="43" spans="1:7" x14ac:dyDescent="0.3">
      <c r="A43" s="2">
        <v>4</v>
      </c>
      <c r="C43" s="38" t="s">
        <v>16</v>
      </c>
      <c r="D43" s="42">
        <f>TRUNC(37741,-1)</f>
        <v>37740</v>
      </c>
      <c r="E43" s="63">
        <f t="shared" si="1"/>
        <v>124760</v>
      </c>
    </row>
    <row r="44" spans="1:7" x14ac:dyDescent="0.3">
      <c r="A44" s="2">
        <v>5</v>
      </c>
      <c r="C44" s="38" t="s">
        <v>17</v>
      </c>
      <c r="D44" s="42">
        <f>TRUNC(16768,-1)</f>
        <v>16760</v>
      </c>
      <c r="E44" s="63">
        <f t="shared" si="1"/>
        <v>55400</v>
      </c>
    </row>
    <row r="45" spans="1:7" x14ac:dyDescent="0.3">
      <c r="A45" s="2">
        <v>6</v>
      </c>
      <c r="C45" s="38" t="s">
        <v>18</v>
      </c>
      <c r="D45" s="42">
        <f>TRUNC(33523,-1)</f>
        <v>33520</v>
      </c>
      <c r="E45" s="63">
        <f t="shared" si="1"/>
        <v>110810</v>
      </c>
    </row>
    <row r="46" spans="1:7" x14ac:dyDescent="0.3">
      <c r="A46" s="2">
        <v>7</v>
      </c>
      <c r="C46" s="38" t="s">
        <v>19</v>
      </c>
      <c r="D46" s="42">
        <f>TRUNC(63897,-1)</f>
        <v>63890</v>
      </c>
      <c r="E46" s="63">
        <f t="shared" si="1"/>
        <v>211200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TRUNC(62658,-1)</f>
        <v>62650</v>
      </c>
      <c r="E48" s="63">
        <f t="shared" si="1"/>
        <v>207100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TRUNC(19880,-1)</f>
        <v>19880</v>
      </c>
      <c r="E49" s="63">
        <f t="shared" si="1"/>
        <v>65710</v>
      </c>
    </row>
    <row r="50" spans="1:7" x14ac:dyDescent="0.3">
      <c r="A50" s="2">
        <v>11</v>
      </c>
      <c r="C50" s="38" t="s">
        <v>155</v>
      </c>
      <c r="D50" s="42">
        <f>TRUNC(58535,-1)</f>
        <v>58530</v>
      </c>
      <c r="E50" s="63">
        <f t="shared" si="1"/>
        <v>193480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TRUNC(16005,-1)</f>
        <v>16000</v>
      </c>
      <c r="E52" s="63">
        <f t="shared" si="1"/>
        <v>52890</v>
      </c>
    </row>
    <row r="53" spans="1:7" x14ac:dyDescent="0.3">
      <c r="A53" s="2">
        <v>14</v>
      </c>
      <c r="C53" s="38" t="s">
        <v>25</v>
      </c>
      <c r="D53" s="42">
        <f>TRUNC(65619,-1)</f>
        <v>65610</v>
      </c>
      <c r="E53" s="63">
        <f t="shared" si="1"/>
        <v>216890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TRUNC(16975+453+7634+891+28269,-1)</f>
        <v>54220</v>
      </c>
      <c r="E58" s="63">
        <f t="shared" si="1"/>
        <v>179240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TRUNC(250085,-1)</f>
        <v>250080</v>
      </c>
      <c r="E59" s="64">
        <f t="shared" si="1"/>
        <v>826710</v>
      </c>
    </row>
    <row r="60" spans="1:7" x14ac:dyDescent="0.3">
      <c r="A60" s="2">
        <v>21</v>
      </c>
      <c r="C60" s="27" t="s">
        <v>112</v>
      </c>
      <c r="D60" s="39">
        <f>SUM(D40:D59)</f>
        <v>922610</v>
      </c>
      <c r="E60" s="39">
        <f>SUM(E40:E59)</f>
        <v>3049900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TRUNC(3206,-1)</f>
        <v>3200</v>
      </c>
      <c r="E63" s="62">
        <f>TRUNC(+D63*3.3058,-1)</f>
        <v>10570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3200</v>
      </c>
      <c r="E66" s="65">
        <f>SUM(E63:E65)</f>
        <v>10570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TRUNC(3971,-1)</f>
        <v>3970</v>
      </c>
      <c r="E69" s="62">
        <f t="shared" ref="E69:E94" si="2">TRUNC(+D69*3.3058,-1)</f>
        <v>13120</v>
      </c>
    </row>
    <row r="70" spans="1:7" ht="16.5" customHeight="1" x14ac:dyDescent="0.3">
      <c r="A70" s="2">
        <v>2</v>
      </c>
      <c r="C70" s="38" t="s">
        <v>31</v>
      </c>
      <c r="D70" s="42">
        <f>TRUNC(1783,-1)</f>
        <v>1780</v>
      </c>
      <c r="E70" s="63">
        <f t="shared" si="2"/>
        <v>5880</v>
      </c>
    </row>
    <row r="71" spans="1:7" x14ac:dyDescent="0.3">
      <c r="A71" s="2">
        <v>3</v>
      </c>
      <c r="C71" s="38" t="s">
        <v>32</v>
      </c>
      <c r="D71" s="42">
        <f>TRUNC(374,-1)</f>
        <v>370</v>
      </c>
      <c r="E71" s="63">
        <f t="shared" si="2"/>
        <v>1220</v>
      </c>
    </row>
    <row r="72" spans="1:7" x14ac:dyDescent="0.3">
      <c r="A72" s="2">
        <v>4</v>
      </c>
      <c r="C72" s="38" t="s">
        <v>33</v>
      </c>
      <c r="D72" s="42">
        <f>TRUNC(7090,-1)</f>
        <v>7090</v>
      </c>
      <c r="E72" s="63">
        <f t="shared" si="2"/>
        <v>23430</v>
      </c>
    </row>
    <row r="73" spans="1:7" x14ac:dyDescent="0.3">
      <c r="A73" s="2">
        <v>5</v>
      </c>
      <c r="C73" s="38" t="s">
        <v>34</v>
      </c>
      <c r="D73" s="42">
        <f>TRUNC(9306,-1)</f>
        <v>9300</v>
      </c>
      <c r="E73" s="63">
        <f t="shared" si="2"/>
        <v>30740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TRUNC(10576,-1)</f>
        <v>10570</v>
      </c>
      <c r="E89" s="63">
        <f t="shared" si="2"/>
        <v>34940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TRUNC(8484,-1)</f>
        <v>8480</v>
      </c>
      <c r="E91" s="63">
        <f t="shared" si="2"/>
        <v>28030</v>
      </c>
    </row>
    <row r="92" spans="1:7" x14ac:dyDescent="0.3">
      <c r="A92" s="2">
        <v>24</v>
      </c>
      <c r="C92" s="38" t="s">
        <v>38</v>
      </c>
      <c r="D92" s="42">
        <f>TRUNC(5820,-1)</f>
        <v>5820</v>
      </c>
      <c r="E92" s="63">
        <f t="shared" si="2"/>
        <v>19230</v>
      </c>
    </row>
    <row r="93" spans="1:7" x14ac:dyDescent="0.3">
      <c r="A93" s="2">
        <v>25</v>
      </c>
      <c r="C93" s="38" t="s">
        <v>148</v>
      </c>
      <c r="D93" s="42">
        <f>TRUNC(47800,-1)</f>
        <v>47800</v>
      </c>
      <c r="E93" s="63">
        <f t="shared" si="2"/>
        <v>158010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95180</v>
      </c>
      <c r="E95" s="39">
        <f>SUM(E69:E94)</f>
        <v>314600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TRUNC(22606,-1)</f>
        <v>22600</v>
      </c>
      <c r="E98" s="62">
        <f t="shared" ref="E98:E118" si="3">TRUNC(+D98*3.3058,-1)</f>
        <v>74710</v>
      </c>
    </row>
    <row r="99" spans="1:7" x14ac:dyDescent="0.3">
      <c r="A99" s="2">
        <v>2</v>
      </c>
      <c r="C99" s="38" t="s">
        <v>40</v>
      </c>
      <c r="D99" s="42">
        <f>TRUNC(17819,-1)</f>
        <v>17810</v>
      </c>
      <c r="E99" s="63">
        <f t="shared" si="3"/>
        <v>58870</v>
      </c>
    </row>
    <row r="100" spans="1:7" x14ac:dyDescent="0.3">
      <c r="A100" s="2">
        <v>3</v>
      </c>
      <c r="C100" s="38" t="s">
        <v>41</v>
      </c>
      <c r="D100" s="42">
        <f>TRUNC(47986,-1)</f>
        <v>47980</v>
      </c>
      <c r="E100" s="63">
        <f t="shared" si="3"/>
        <v>158610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TRUNC(22612,-1)</f>
        <v>22610</v>
      </c>
      <c r="E102" s="63">
        <f t="shared" si="3"/>
        <v>74740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TRUNC(4745,-1)</f>
        <v>4740</v>
      </c>
      <c r="E104" s="63">
        <f t="shared" si="3"/>
        <v>15660</v>
      </c>
    </row>
    <row r="105" spans="1:7" x14ac:dyDescent="0.3">
      <c r="A105" s="2">
        <v>8</v>
      </c>
      <c r="C105" s="38" t="s">
        <v>46</v>
      </c>
      <c r="D105" s="42">
        <f>TRUNC(6357,-1)</f>
        <v>6350</v>
      </c>
      <c r="E105" s="63">
        <f t="shared" si="3"/>
        <v>20990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TRUNC(11268,-1)</f>
        <v>11260</v>
      </c>
      <c r="E114" s="63">
        <f t="shared" si="3"/>
        <v>37220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TRUNC(6464,-1)</f>
        <v>6460</v>
      </c>
      <c r="E116" s="63">
        <f t="shared" si="3"/>
        <v>21350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TRUNC(133824,-1)</f>
        <v>133820</v>
      </c>
      <c r="E117" s="63">
        <f t="shared" si="3"/>
        <v>442380</v>
      </c>
    </row>
    <row r="118" spans="1:7" ht="17.25" thickBot="1" x14ac:dyDescent="0.35">
      <c r="A118" s="2">
        <v>21</v>
      </c>
      <c r="C118" s="38" t="s">
        <v>47</v>
      </c>
      <c r="D118" s="43">
        <f>TRUNC(7128+1631,-1)</f>
        <v>8750</v>
      </c>
      <c r="E118" s="64">
        <f t="shared" si="3"/>
        <v>28920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282380</v>
      </c>
      <c r="E119" s="39">
        <f>SUM(E98:E118)</f>
        <v>933450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TRUNC(8432,-1)</f>
        <v>8430</v>
      </c>
      <c r="E122" s="62">
        <f t="shared" ref="E122:E132" si="4">TRUNC(+D122*3.3058,-1)</f>
        <v>27860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TRUNC(3529,-1)</f>
        <v>3520</v>
      </c>
      <c r="E124" s="63">
        <f t="shared" si="4"/>
        <v>11630</v>
      </c>
    </row>
    <row r="125" spans="1:7" x14ac:dyDescent="0.3">
      <c r="A125" s="2">
        <v>4</v>
      </c>
      <c r="C125" s="38" t="s">
        <v>138</v>
      </c>
      <c r="D125" s="42">
        <f>TRUNC(5678,-1)</f>
        <v>5670</v>
      </c>
      <c r="E125" s="63">
        <f t="shared" si="4"/>
        <v>18740</v>
      </c>
    </row>
    <row r="126" spans="1:7" x14ac:dyDescent="0.3">
      <c r="A126" s="2">
        <v>5</v>
      </c>
      <c r="C126" s="38" t="s">
        <v>53</v>
      </c>
      <c r="D126" s="42">
        <f>TRUNC(2395,-1)</f>
        <v>2390</v>
      </c>
      <c r="E126" s="63">
        <f t="shared" si="4"/>
        <v>7900</v>
      </c>
    </row>
    <row r="127" spans="1:7" x14ac:dyDescent="0.3">
      <c r="A127" s="2">
        <v>6</v>
      </c>
      <c r="C127" s="38" t="s">
        <v>56</v>
      </c>
      <c r="D127" s="42">
        <f>TRUNC(1038,-1)</f>
        <v>1030</v>
      </c>
      <c r="E127" s="63">
        <f t="shared" si="4"/>
        <v>3400</v>
      </c>
    </row>
    <row r="128" spans="1:7" x14ac:dyDescent="0.3">
      <c r="A128" s="2">
        <v>7</v>
      </c>
      <c r="C128" s="38" t="s">
        <v>46</v>
      </c>
      <c r="D128" s="42">
        <f>TRUNC(7298,-1)</f>
        <v>7290</v>
      </c>
      <c r="E128" s="63">
        <f t="shared" si="4"/>
        <v>24090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TRUNC(43061,-1)</f>
        <v>43060</v>
      </c>
      <c r="E130" s="63">
        <f t="shared" si="4"/>
        <v>142340</v>
      </c>
    </row>
    <row r="131" spans="1:7" x14ac:dyDescent="0.3">
      <c r="A131" s="2">
        <v>10</v>
      </c>
      <c r="C131" s="38" t="s">
        <v>148</v>
      </c>
      <c r="D131" s="42">
        <f>TRUNC(9394,-1)</f>
        <v>9390</v>
      </c>
      <c r="E131" s="63">
        <f t="shared" si="4"/>
        <v>31040</v>
      </c>
    </row>
    <row r="132" spans="1:7" ht="18" thickBot="1" x14ac:dyDescent="0.35">
      <c r="A132" s="2">
        <v>11</v>
      </c>
      <c r="C132" s="38" t="s">
        <v>47</v>
      </c>
      <c r="D132" s="43">
        <f>TRUNC(2622+515,-1)</f>
        <v>3130</v>
      </c>
      <c r="E132" s="64">
        <f t="shared" si="4"/>
        <v>10340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83910</v>
      </c>
      <c r="E133" s="39">
        <f>SUM(E122:E132)</f>
        <v>277340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TRUNC(2489+1164,-1)</f>
        <v>3650</v>
      </c>
      <c r="E137" s="63">
        <f t="shared" si="5"/>
        <v>12060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TRUNC(858,-1)</f>
        <v>850</v>
      </c>
      <c r="E139" s="63">
        <f t="shared" si="5"/>
        <v>2800</v>
      </c>
    </row>
    <row r="140" spans="1:7" x14ac:dyDescent="0.3">
      <c r="A140" s="2">
        <v>5</v>
      </c>
      <c r="C140" s="38" t="s">
        <v>57</v>
      </c>
      <c r="D140" s="42">
        <f>TRUNC(729,-1)</f>
        <v>720</v>
      </c>
      <c r="E140" s="63">
        <f t="shared" si="5"/>
        <v>2380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TRUNC(7122,-1)</f>
        <v>7120</v>
      </c>
      <c r="E142" s="63">
        <f t="shared" si="5"/>
        <v>23530</v>
      </c>
    </row>
    <row r="143" spans="1:7" x14ac:dyDescent="0.3">
      <c r="A143" s="2">
        <v>8</v>
      </c>
      <c r="C143" s="38" t="s">
        <v>62</v>
      </c>
      <c r="D143" s="42">
        <f>TRUNC(6058,-1)</f>
        <v>6050</v>
      </c>
      <c r="E143" s="63">
        <f t="shared" si="5"/>
        <v>20000</v>
      </c>
    </row>
    <row r="144" spans="1:7" x14ac:dyDescent="0.3">
      <c r="A144" s="2">
        <v>9</v>
      </c>
      <c r="C144" s="38" t="s">
        <v>63</v>
      </c>
      <c r="D144" s="42">
        <f>TRUNC(12251,-1)</f>
        <v>12250</v>
      </c>
      <c r="E144" s="63">
        <f t="shared" si="5"/>
        <v>40490</v>
      </c>
    </row>
    <row r="145" spans="1:7" ht="17.25" thickBot="1" x14ac:dyDescent="0.35">
      <c r="A145" s="2">
        <v>10</v>
      </c>
      <c r="C145" s="38" t="s">
        <v>148</v>
      </c>
      <c r="D145" s="43">
        <f>TRUNC(5745,-1)</f>
        <v>5740</v>
      </c>
      <c r="E145" s="64">
        <f t="shared" si="5"/>
        <v>18970</v>
      </c>
    </row>
    <row r="146" spans="1:7" x14ac:dyDescent="0.3">
      <c r="A146" s="2">
        <v>11</v>
      </c>
      <c r="C146" s="27" t="s">
        <v>112</v>
      </c>
      <c r="D146" s="39">
        <f>SUM(D136:D145)</f>
        <v>36380</v>
      </c>
      <c r="E146" s="39">
        <f>SUM(E136:E145)</f>
        <v>120230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TRUNC(4095,-1)</f>
        <v>4090</v>
      </c>
      <c r="E149" s="62">
        <f>TRUNC(+D149*3.3058,-1)</f>
        <v>13520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TRUNC(6726,-1)</f>
        <v>6720</v>
      </c>
      <c r="E150" s="63">
        <f>TRUNC(+D150*3.3058,-1)</f>
        <v>22210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TRUNC(193+1487,-1)</f>
        <v>1680</v>
      </c>
      <c r="E152" s="63">
        <f>TRUNC(+D152*3.3058,-1)</f>
        <v>5550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TRUNC(4007,-1)</f>
        <v>4000</v>
      </c>
      <c r="E153" s="64">
        <f>TRUNC(+D153*3.3058,-1)</f>
        <v>13220</v>
      </c>
    </row>
    <row r="154" spans="1:7" x14ac:dyDescent="0.3">
      <c r="A154" s="2">
        <v>6</v>
      </c>
      <c r="C154" s="27" t="s">
        <v>112</v>
      </c>
      <c r="D154" s="39">
        <f>SUM(D149:D153)</f>
        <v>16490</v>
      </c>
      <c r="E154" s="39">
        <f>SUM(E149:E153)</f>
        <v>54500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TRUNC(7547,-1)</f>
        <v>7540</v>
      </c>
      <c r="E157" s="62">
        <f>TRUNC(+D157*3.3058,-1)</f>
        <v>24920</v>
      </c>
    </row>
    <row r="158" spans="1:7" x14ac:dyDescent="0.3">
      <c r="A158" s="2">
        <v>2</v>
      </c>
      <c r="C158" s="38" t="s">
        <v>52</v>
      </c>
      <c r="D158" s="42">
        <f>TRUNC(8148,-1)</f>
        <v>8140</v>
      </c>
      <c r="E158" s="63">
        <f>TRUNC(+D158*3.3058,-1)</f>
        <v>26900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TRUNC(2612+704,-1)</f>
        <v>3310</v>
      </c>
      <c r="E159" s="63">
        <f>TRUNC(+D159*3.3058,-1)</f>
        <v>10940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TRUNC(3676,-1)</f>
        <v>3670</v>
      </c>
      <c r="E160" s="64">
        <f>TRUNC(+D160*3.3058,-1)</f>
        <v>12130</v>
      </c>
    </row>
    <row r="161" spans="1:5" x14ac:dyDescent="0.3">
      <c r="A161" s="2">
        <v>5</v>
      </c>
      <c r="C161" s="27" t="s">
        <v>112</v>
      </c>
      <c r="D161" s="39">
        <f>SUM(D157:D160)</f>
        <v>22660</v>
      </c>
      <c r="E161" s="39">
        <f>SUM(E157:E160)</f>
        <v>74890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2020-12-08T04:41:20Z</dcterms:modified>
</cp:coreProperties>
</file>