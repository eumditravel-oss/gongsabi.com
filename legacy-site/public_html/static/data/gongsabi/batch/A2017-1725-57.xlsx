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4" i="4"/>
  <c r="D143" i="4"/>
  <c r="D137" i="4"/>
  <c r="D140" i="4"/>
  <c r="D132" i="4"/>
  <c r="D128" i="4"/>
  <c r="D124" i="4"/>
  <c r="D125" i="4"/>
  <c r="D122" i="4"/>
  <c r="D130" i="4"/>
  <c r="D126" i="4"/>
  <c r="D105" i="4"/>
  <c r="D104" i="4"/>
  <c r="D103" i="4"/>
  <c r="D102" i="4"/>
  <c r="D100" i="4"/>
  <c r="D99" i="4"/>
  <c r="D114" i="4"/>
  <c r="D98" i="4"/>
  <c r="D116" i="4"/>
  <c r="D91" i="4"/>
  <c r="D90" i="4"/>
  <c r="D89" i="4"/>
  <c r="D73" i="4"/>
  <c r="D72" i="4"/>
  <c r="D71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95" i="4"/>
  <c r="E60" i="4"/>
  <c r="E133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<sst xmlns="http://schemas.openxmlformats.org/spreadsheetml/2006/main" count="394" uniqueCount="271">
  <si>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</si>
  <si>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</si>
  <si>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</si>
  <si>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</si>
  <si>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</si>
  <si>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</si>
  <si>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</si>
  <si>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</si>
  <si>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</si>
  <si>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</si>
  <si>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</si>
  <si>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</si>
  <si>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</si>
  <si>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</si>
  <si>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</si>
  <si>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</si>
  <si>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</si>
  <si>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</si>
  <si>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</si>
  <si>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</si>
  <si>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</si>
  <si>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</si>
  <si>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</si>
  <si>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</si>
  <si>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</si>
  <si>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</si>
  <si>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</si>
  <si>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</si>
  <si>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</si>
  <si>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</si>
  <si>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</si>
  <si>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</si>
  <si>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</si>
  <si>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</si>
  <si>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</si>
  <si>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</si>
  <si>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</si>
  <si>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</si>
  <si>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</si>
  <si>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</si>
  <si>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</si>
  <si>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</si>
  <si>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</si>
  <si>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</si>
  <si>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</si>
  <si>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</si>
  <si>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</si>
  <si>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</si>
  <si>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</si>
  <si>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</si>
  <si>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</si>
  <si>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</si>
  <si>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</si>
  <si>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</si>
  <si>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</si>
  <si>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</si>
  <si>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</si>
  <si>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</si>
  <si>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</si>
  <si>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</si>
  <si>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</si>
  <si>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</si>
  <si>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</si>
  <si>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</si>
  <si>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</si>
  <si>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</si>
  <si>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</si>
  <si>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</si>
  <si>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</si>
  <si>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</si>
  <si>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</si>
  <si>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</si>
  <si>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</si>
  <si>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</si>
  <si>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</si>
  <si>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</si>
  <si>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</si>
  <si>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</si>
  <si>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</si>
  <si>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</si>
  <si>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</si>
  <si>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</si>
  <si>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</si>
  <si>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</si>
  <si>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</si>
  <si>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</si>
  <si>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</si>
  <si>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</si>
  <si>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</si>
  <si>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</si>
  <si>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</si>
  <si>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</si>
  <si>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</si>
  <si>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</si>
  <si>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</si>
  <si>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</si>
  <si>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</si>
  <si>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</si>
  <si>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</si>
  <si>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</si>
  <si>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</si>
  <si>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</si>
  <si>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</si>
  <si>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</si>
  <si>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</si>
  <si>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</si>
  <si>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</si>
  <si>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</si>
  <si>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</si>
  <si>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</si>
  <si>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</si>
  <si>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</si>
  <si>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</si>
  <si>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</si>
  <si>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</si>
  <si>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</si>
  <si>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</si>
  <si>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</si>
  <si>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</si>
  <si>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</si>
  <si>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</si>
  <si>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</si>
  <si>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</si>
  <si>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</si>
  <si>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</si>
  <si>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</si>
  <si>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</si>
  <si>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</si>
  <si>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</si>
  <si>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</si>
  <si>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</si>
  <si>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</si>
  <si>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</si>
  <si>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</si>
  <si>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</si>
  <si>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</si>
  <si>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</si>
  <si>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</si>
  <si>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</si>
  <si>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</si>
  <si>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</si>
  <si>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</si>
  <si>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</si>
  <si>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</si>
  <si>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</si>
  <si>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</si>
  <si>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</si>
  <si>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</si>
  <si>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</si>
  <si>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</si>
  <si>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</si>
  <si>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</si>
  <si>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</si>
  <si>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</si>
  <si>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</si>
  <si>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</si>
  <si>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</si>
  <si>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</si>
  <si>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</si>
  <si>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</si>
  <si>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</si>
  <si>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</si>
  <si>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</si>
  <si>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</si>
  <si>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</si>
  <si>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</si>
  <si>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</si>
  <si>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</si>
  <si>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</si>
  <si>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</si>
  <si>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</si>
  <si>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</si>
  <si>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</si>
  <si>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</si>
  <si>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</si>
  <si>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</si>
  <si>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</si>
  <si>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</si>
  <si>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</si>
  <si>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</si>
  <si>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</si>
  <si>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</si>
  <si>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</si>
  <si>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</si>
  <si>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</si>
  <si>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</si>
  <si>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</si>
  <si>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</si>
  <si>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</si>
  <si>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</si>
  <si>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</si>
  <si>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</si>
  <si>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</si>
  <si>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</si>
  <si>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</si>
  <si>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</si>
  <si>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</si>
  <si>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</si>
  <si>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</si>
  <si>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</si>
  <si>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</si>
  <si>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</si>
  <si>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</si>
  <si>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</si>
  <si>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</si>
  <si>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</si>
  <si>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</si>
  <si>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</si>
  <si>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</si>
  <si>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</si>
  <si>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</si>
  <si>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</si>
  <si>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</si>
  <si>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</si>
  <si>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</si>
  <si>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</si>
  <si>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</si>
  <si>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</si>
  <si>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</si>
  <si>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</si>
  <si>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</si>
  <si>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</si>
  <si>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</si>
  <si>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</si>
  <si>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</si>
  <si>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</si>
  <si>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</si>
  <si>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</si>
  <si>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</si>
  <si>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</si>
  <si>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</si>
  <si>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</si>
  <si>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</si>
  <si>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</si>
  <si>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</si>
  <si>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</si>
  <si>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</si>
  <si>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</si>
  <si>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</si>
  <si>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</si>
  <si>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</si>
  <si>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</si>
  <si>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</si>
  <si>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</si>
  <si>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</si>
  <si>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</si>
  <si>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</si>
  <si>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</si>
  <si>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경찰교육원 경찰견종합훈련센터 신축공사</t>
    <phoneticPr fontId="2" type="noConversion"/>
  </si>
  <si>
    <t>기타</t>
  </si>
  <si>
    <t>대전시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</si>
  <si>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</si>
  <si>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</si>
  <si>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</si>
  <si>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폐기물처리비,골재비및운반비,작업부산물,기타공사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</si>
  <si>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</si>
  <si>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</si>
  <si>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</si>
  <si>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우수공사,오수공사</t>
    <phoneticPr fontId="2" type="noConversion"/>
  </si>
  <si>
    <t>상수도공사,사급자재비,기타공사</t>
    <phoneticPr fontId="2" type="noConversion"/>
  </si>
  <si>
    <t>포장공사</t>
    <phoneticPr fontId="2" type="noConversion"/>
  </si>
  <si>
    <t>조경시설물</t>
    <phoneticPr fontId="2" type="noConversion"/>
  </si>
  <si>
    <t>옥외소화배관공사</t>
    <phoneticPr fontId="2" type="noConversion"/>
  </si>
  <si>
    <t>난방배관공사,기타공사, 바닥난방공사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</si>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</sst>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4174.3500000000004</v>
      </c>
      <c r="D7" s="36">
        <f>+C7/3.3058</f>
        <v>1262.7351926916331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904750</v>
      </c>
      <c r="E25" s="59">
        <f t="shared" si="0"/>
        <v>2990920</v>
      </c>
    </row>
    <row r="26" spans="1:5" x14ac:dyDescent="0.3">
      <c r="B26" s="2">
        <v>3</v>
      </c>
      <c r="C26" s="35" t="s">
        <v>95</v>
      </c>
      <c r="D26" s="45">
        <f>+D66</f>
        <v>9950</v>
      </c>
      <c r="E26" s="59">
        <f t="shared" si="0"/>
        <v>32890</v>
      </c>
    </row>
    <row r="27" spans="1:5" x14ac:dyDescent="0.3">
      <c r="B27" s="2">
        <v>4</v>
      </c>
      <c r="C27" s="35" t="s">
        <v>96</v>
      </c>
      <c r="D27" s="45">
        <f>+D95</f>
        <v>102840</v>
      </c>
      <c r="E27" s="59">
        <f t="shared" si="0"/>
        <v>339960</v>
      </c>
    </row>
    <row r="28" spans="1:5" x14ac:dyDescent="0.3">
      <c r="B28" s="2">
        <v>5</v>
      </c>
      <c r="C28" s="35" t="s">
        <v>97</v>
      </c>
      <c r="D28" s="45">
        <f>+D119</f>
        <v>168830</v>
      </c>
      <c r="E28" s="59">
        <f t="shared" si="0"/>
        <v>558110</v>
      </c>
    </row>
    <row r="29" spans="1:5" x14ac:dyDescent="0.3">
      <c r="B29" s="2">
        <v>6</v>
      </c>
      <c r="C29" s="35" t="s">
        <v>98</v>
      </c>
      <c r="D29" s="45">
        <f>+D133</f>
        <v>96350</v>
      </c>
      <c r="E29" s="59">
        <f t="shared" si="0"/>
        <v>318510</v>
      </c>
    </row>
    <row r="30" spans="1:5" x14ac:dyDescent="0.3">
      <c r="B30" s="2">
        <v>7</v>
      </c>
      <c r="C30" s="35" t="s">
        <v>99</v>
      </c>
      <c r="D30" s="45">
        <f>+D146</f>
        <v>13740</v>
      </c>
      <c r="E30" s="59">
        <f t="shared" si="0"/>
        <v>45420</v>
      </c>
    </row>
    <row r="31" spans="1:5" x14ac:dyDescent="0.3">
      <c r="B31" s="2">
        <v>8</v>
      </c>
      <c r="C31" s="35" t="s">
        <v>100</v>
      </c>
      <c r="D31" s="45">
        <f>+D154</f>
        <v>94390</v>
      </c>
      <c r="E31" s="59">
        <f t="shared" si="0"/>
        <v>312030</v>
      </c>
    </row>
    <row r="32" spans="1:5" x14ac:dyDescent="0.3">
      <c r="B32" s="2">
        <v>9</v>
      </c>
      <c r="C32" s="35" t="s">
        <v>101</v>
      </c>
      <c r="D32" s="45">
        <f>+D161</f>
        <v>60070</v>
      </c>
      <c r="E32" s="59">
        <f t="shared" si="0"/>
        <v>198570</v>
      </c>
    </row>
    <row r="33" spans="1:7" x14ac:dyDescent="0.3">
      <c r="B33" s="2">
        <v>10</v>
      </c>
      <c r="C33" s="35" t="s">
        <v>154</v>
      </c>
      <c r="D33" s="53">
        <f>TRUNC(SUM(D24:D32)*0.275,-1)</f>
        <v>399000</v>
      </c>
      <c r="E33" s="60">
        <f t="shared" si="0"/>
        <v>1319010</v>
      </c>
    </row>
    <row r="34" spans="1:7" x14ac:dyDescent="0.3">
      <c r="C34" s="35" t="s">
        <v>112</v>
      </c>
      <c r="D34" s="44">
        <f>SUM(D24:D33)</f>
        <v>1849920</v>
      </c>
      <c r="E34" s="44">
        <f>SUM(E24:E33)</f>
        <v>6115420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264</v>
      </c>
      <c r="C39" s="56" t="s">
        <v>265</v>
      </c>
      <c r="D39" s="57" t="s">
        <v>266</v>
      </c>
      <c r="E39" s="57" t="s">
        <v>267</v>
      </c>
      <c r="G39" s="55"/>
    </row>
    <row r="40" spans="1:7" x14ac:dyDescent="0.3">
      <c r="A40" s="2">
        <v>1</v>
      </c>
      <c r="C40" s="38" t="s">
        <v>15</v>
      </c>
      <c r="D40" s="40">
        <f>TRUNC(40438,-1)</f>
        <v>40430</v>
      </c>
      <c r="E40" s="62">
        <f t="shared" ref="E40:E59" si="1">TRUNC(+D40*3.3058,-1)</f>
        <v>133650</v>
      </c>
    </row>
    <row r="41" spans="1:7" x14ac:dyDescent="0.3">
      <c r="A41" s="2">
        <v>2</v>
      </c>
      <c r="C41" s="38" t="s">
        <v>13</v>
      </c>
      <c r="D41" s="42">
        <f>TRUNC(119341,-1)</f>
        <v>119340</v>
      </c>
      <c r="E41" s="63">
        <f t="shared" si="1"/>
        <v>394510</v>
      </c>
    </row>
    <row r="42" spans="1:7" x14ac:dyDescent="0.3">
      <c r="A42" s="2">
        <v>3</v>
      </c>
      <c r="C42" s="38" t="s">
        <v>14</v>
      </c>
      <c r="D42" s="42">
        <f>TRUNC(20423,-1)</f>
        <v>20420</v>
      </c>
      <c r="E42" s="63">
        <f t="shared" si="1"/>
        <v>67500</v>
      </c>
    </row>
    <row r="43" spans="1:7" x14ac:dyDescent="0.3">
      <c r="A43" s="2">
        <v>4</v>
      </c>
      <c r="C43" s="38" t="s">
        <v>16</v>
      </c>
      <c r="D43" s="42">
        <f>TRUNC(34410,-1)</f>
        <v>34410</v>
      </c>
      <c r="E43" s="63">
        <f t="shared" si="1"/>
        <v>113750</v>
      </c>
    </row>
    <row r="44" spans="1:7" x14ac:dyDescent="0.3">
      <c r="A44" s="2">
        <v>5</v>
      </c>
      <c r="C44" s="38" t="s">
        <v>17</v>
      </c>
      <c r="D44" s="42">
        <f>TRUNC(24913,-1)</f>
        <v>24910</v>
      </c>
      <c r="E44" s="63">
        <f t="shared" si="1"/>
        <v>82340</v>
      </c>
    </row>
    <row r="45" spans="1:7" x14ac:dyDescent="0.3">
      <c r="A45" s="2">
        <v>6</v>
      </c>
      <c r="C45" s="38" t="s">
        <v>18</v>
      </c>
      <c r="D45" s="42">
        <f>TRUNC(28986,-1)</f>
        <v>28980</v>
      </c>
      <c r="E45" s="63">
        <f t="shared" si="1"/>
        <v>95800</v>
      </c>
    </row>
    <row r="46" spans="1:7" x14ac:dyDescent="0.3">
      <c r="A46" s="2">
        <v>7</v>
      </c>
      <c r="C46" s="38" t="s">
        <v>19</v>
      </c>
      <c r="D46" s="42">
        <f>TRUNC(6026,-1)</f>
        <v>6020</v>
      </c>
      <c r="E46" s="63">
        <f t="shared" si="1"/>
        <v>19900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TRUNC(117570,-1)</f>
        <v>117570</v>
      </c>
      <c r="E48" s="63">
        <f t="shared" si="1"/>
        <v>388660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TRUNC(33482,-1)</f>
        <v>33480</v>
      </c>
      <c r="E49" s="63">
        <f t="shared" si="1"/>
        <v>110670</v>
      </c>
    </row>
    <row r="50" spans="1:7" x14ac:dyDescent="0.3">
      <c r="A50" s="2">
        <v>11</v>
      </c>
      <c r="C50" s="38" t="s">
        <v>155</v>
      </c>
      <c r="D50" s="42">
        <f>TRUNC(53148,-1)</f>
        <v>53140</v>
      </c>
      <c r="E50" s="63">
        <f t="shared" si="1"/>
        <v>175670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TRUNC(8634,-1)</f>
        <v>8630</v>
      </c>
      <c r="E52" s="63">
        <f t="shared" si="1"/>
        <v>28520</v>
      </c>
    </row>
    <row r="53" spans="1:7" x14ac:dyDescent="0.3">
      <c r="A53" s="2">
        <v>14</v>
      </c>
      <c r="C53" s="38" t="s">
        <v>25</v>
      </c>
      <c r="D53" s="42">
        <f>TRUNC(51893,-1)</f>
        <v>51890</v>
      </c>
      <c r="E53" s="63">
        <f t="shared" si="1"/>
        <v>171530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TRUNC(849+10090-815+48118,-1)</f>
        <v>58240</v>
      </c>
      <c r="E58" s="63">
        <f t="shared" si="1"/>
        <v>192520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TRUNC(307293,-1)</f>
        <v>307290</v>
      </c>
      <c r="E59" s="64">
        <f t="shared" si="1"/>
        <v>1015830</v>
      </c>
    </row>
    <row r="60" spans="1:7" x14ac:dyDescent="0.3">
      <c r="A60" s="2">
        <v>21</v>
      </c>
      <c r="C60" s="27" t="s">
        <v>112</v>
      </c>
      <c r="D60" s="39">
        <f>SUM(D40:D59)</f>
        <v>904750</v>
      </c>
      <c r="E60" s="39">
        <f>SUM(E40:E59)</f>
        <v>2990850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TRUNC(9959,-1)</f>
        <v>9950</v>
      </c>
      <c r="E63" s="62">
        <f>TRUNC(+D63*3.3058,-1)</f>
        <v>32890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9950</v>
      </c>
      <c r="E66" s="65">
        <f>SUM(E63:E65)</f>
        <v>32890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TRUNC(11674,-1)</f>
        <v>11670</v>
      </c>
      <c r="E69" s="62">
        <f t="shared" ref="E69:E94" si="2">TRUNC(+D69*3.3058,-1)</f>
        <v>38570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TRUNC(18766,-1)</f>
        <v>18760</v>
      </c>
      <c r="E71" s="63">
        <f t="shared" si="2"/>
        <v>62010</v>
      </c>
    </row>
    <row r="72" spans="1:7" x14ac:dyDescent="0.3">
      <c r="A72" s="2">
        <v>4</v>
      </c>
      <c r="C72" s="38" t="s">
        <v>33</v>
      </c>
      <c r="D72" s="42">
        <f>TRUNC(10632,-1)</f>
        <v>10630</v>
      </c>
      <c r="E72" s="63">
        <f t="shared" si="2"/>
        <v>35140</v>
      </c>
    </row>
    <row r="73" spans="1:7" x14ac:dyDescent="0.3">
      <c r="A73" s="2">
        <v>5</v>
      </c>
      <c r="C73" s="38" t="s">
        <v>34</v>
      </c>
      <c r="D73" s="42">
        <f>TRUNC(18324,-1)</f>
        <v>18320</v>
      </c>
      <c r="E73" s="63">
        <f t="shared" si="2"/>
        <v>60560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TRUNC(7059,-1)</f>
        <v>7050</v>
      </c>
      <c r="E89" s="63">
        <f t="shared" si="2"/>
        <v>23300</v>
      </c>
    </row>
    <row r="90" spans="1:7" x14ac:dyDescent="0.3">
      <c r="A90" s="2">
        <v>22</v>
      </c>
      <c r="C90" s="38" t="s">
        <v>36</v>
      </c>
      <c r="D90" s="42">
        <f>TRUNC(4550,-1)</f>
        <v>4550</v>
      </c>
      <c r="E90" s="63">
        <f t="shared" si="2"/>
        <v>15040</v>
      </c>
    </row>
    <row r="91" spans="1:7" x14ac:dyDescent="0.3">
      <c r="A91" s="2">
        <v>23</v>
      </c>
      <c r="C91" s="38" t="s">
        <v>37</v>
      </c>
      <c r="D91" s="42">
        <f>TRUNC(18170,-1)</f>
        <v>18170</v>
      </c>
      <c r="E91" s="63">
        <f t="shared" si="2"/>
        <v>60060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TRUNC(5520+7676+498,-1)</f>
        <v>13690</v>
      </c>
      <c r="E94" s="64">
        <f t="shared" si="2"/>
        <v>45250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102840</v>
      </c>
      <c r="E95" s="39">
        <f>SUM(E69:E94)</f>
        <v>339930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TRUNC(11244,-1)</f>
        <v>11240</v>
      </c>
      <c r="E98" s="62">
        <f t="shared" ref="E98:E118" si="3">TRUNC(+D98*3.3058,-1)</f>
        <v>37150</v>
      </c>
    </row>
    <row r="99" spans="1:7" x14ac:dyDescent="0.3">
      <c r="A99" s="2">
        <v>2</v>
      </c>
      <c r="C99" s="38" t="s">
        <v>40</v>
      </c>
      <c r="D99" s="42">
        <f>TRUNC(7392,-1)</f>
        <v>7390</v>
      </c>
      <c r="E99" s="63">
        <f t="shared" si="3"/>
        <v>24420</v>
      </c>
    </row>
    <row r="100" spans="1:7" x14ac:dyDescent="0.3">
      <c r="A100" s="2">
        <v>3</v>
      </c>
      <c r="C100" s="38" t="s">
        <v>41</v>
      </c>
      <c r="D100" s="42">
        <f>TRUNC(30985,-1)</f>
        <v>30980</v>
      </c>
      <c r="E100" s="63">
        <f t="shared" si="3"/>
        <v>102410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TRUNC(7835,-1)</f>
        <v>7830</v>
      </c>
      <c r="E102" s="63">
        <f t="shared" si="3"/>
        <v>25880</v>
      </c>
    </row>
    <row r="103" spans="1:7" x14ac:dyDescent="0.3">
      <c r="A103" s="2">
        <v>6</v>
      </c>
      <c r="C103" s="38" t="s">
        <v>44</v>
      </c>
      <c r="D103" s="42">
        <f>TRUNC(2341,-1)</f>
        <v>2340</v>
      </c>
      <c r="E103" s="63">
        <f t="shared" si="3"/>
        <v>7730</v>
      </c>
    </row>
    <row r="104" spans="1:7" x14ac:dyDescent="0.3">
      <c r="A104" s="2">
        <v>7</v>
      </c>
      <c r="C104" s="38" t="s">
        <v>45</v>
      </c>
      <c r="D104" s="42">
        <f>TRUNC(4928,-1)</f>
        <v>4920</v>
      </c>
      <c r="E104" s="63">
        <f t="shared" si="3"/>
        <v>16260</v>
      </c>
    </row>
    <row r="105" spans="1:7" x14ac:dyDescent="0.3">
      <c r="A105" s="2">
        <v>8</v>
      </c>
      <c r="C105" s="38" t="s">
        <v>46</v>
      </c>
      <c r="D105" s="42">
        <f>TRUNC(1525,-1)</f>
        <v>1520</v>
      </c>
      <c r="E105" s="63">
        <f t="shared" si="3"/>
        <v>5020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TRUNC(6495,-1)</f>
        <v>6490</v>
      </c>
      <c r="E114" s="63">
        <f t="shared" si="3"/>
        <v>21450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TRUNC(26269,-1)</f>
        <v>26260</v>
      </c>
      <c r="E116" s="63">
        <f t="shared" si="3"/>
        <v>86810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TRUNC(69865,-1)</f>
        <v>69860</v>
      </c>
      <c r="E117" s="63">
        <f t="shared" si="3"/>
        <v>230940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168830</v>
      </c>
      <c r="E119" s="39">
        <f>SUM(E98:E118)</f>
        <v>558070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TRUNC(2635,-1)</f>
        <v>2630</v>
      </c>
      <c r="E122" s="62">
        <f t="shared" ref="E122:E132" si="4">TRUNC(+D122*3.3058,-1)</f>
        <v>8690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TRUNC(431,-1)</f>
        <v>430</v>
      </c>
      <c r="E124" s="63">
        <f t="shared" si="4"/>
        <v>1420</v>
      </c>
    </row>
    <row r="125" spans="1:7" x14ac:dyDescent="0.3">
      <c r="A125" s="2">
        <v>4</v>
      </c>
      <c r="C125" s="38" t="s">
        <v>138</v>
      </c>
      <c r="D125" s="42">
        <f>TRUNC(3227,-1)</f>
        <v>3220</v>
      </c>
      <c r="E125" s="63">
        <f t="shared" si="4"/>
        <v>10640</v>
      </c>
    </row>
    <row r="126" spans="1:7" x14ac:dyDescent="0.3">
      <c r="A126" s="2">
        <v>5</v>
      </c>
      <c r="C126" s="38" t="s">
        <v>53</v>
      </c>
      <c r="D126" s="42">
        <f>TRUNC(13319,-1)</f>
        <v>13310</v>
      </c>
      <c r="E126" s="63">
        <f t="shared" si="4"/>
        <v>44000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TRUNC(2425,-1)</f>
        <v>2420</v>
      </c>
      <c r="E128" s="63">
        <f t="shared" si="4"/>
        <v>8000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TRUNC(8495,-1)</f>
        <v>8490</v>
      </c>
      <c r="E130" s="63">
        <f t="shared" si="4"/>
        <v>28060</v>
      </c>
    </row>
    <row r="131" spans="1:7" x14ac:dyDescent="0.3">
      <c r="A131" s="2">
        <v>10</v>
      </c>
      <c r="C131" s="38" t="s">
        <v>148</v>
      </c>
      <c r="D131" s="42">
        <f>TRUNC(62946,-1)</f>
        <v>62940</v>
      </c>
      <c r="E131" s="63">
        <f t="shared" si="4"/>
        <v>208060</v>
      </c>
    </row>
    <row r="132" spans="1:7" ht="18" thickBot="1" x14ac:dyDescent="0.35">
      <c r="A132" s="2">
        <v>11</v>
      </c>
      <c r="C132" s="38" t="s">
        <v>47</v>
      </c>
      <c r="D132" s="43">
        <f>TRUNC(2918,-1)</f>
        <v>2910</v>
      </c>
      <c r="E132" s="64">
        <f t="shared" si="4"/>
        <v>9610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96350</v>
      </c>
      <c r="E133" s="39">
        <f>SUM(E122:E132)</f>
        <v>318480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TRUNC(3743,-1)</f>
        <v>3740</v>
      </c>
      <c r="E137" s="63">
        <f t="shared" si="5"/>
        <v>12360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TRUNC(150,-1)</f>
        <v>150</v>
      </c>
      <c r="E140" s="63">
        <f t="shared" si="5"/>
        <v>490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TRUNC(5372,-1)</f>
        <v>5370</v>
      </c>
      <c r="E143" s="63">
        <f t="shared" si="5"/>
        <v>17750</v>
      </c>
    </row>
    <row r="144" spans="1:7" x14ac:dyDescent="0.3">
      <c r="A144" s="2">
        <v>9</v>
      </c>
      <c r="C144" s="38" t="s">
        <v>63</v>
      </c>
      <c r="D144" s="42">
        <f>TRUNC(4483,-1)</f>
        <v>4480</v>
      </c>
      <c r="E144" s="63">
        <f t="shared" si="5"/>
        <v>14800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13740</v>
      </c>
      <c r="E146" s="39">
        <f>SUM(E136:E145)</f>
        <v>45400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TRUNC(49134+13351,-1)</f>
        <v>62480</v>
      </c>
      <c r="E149" s="62">
        <f>TRUNC(+D149*3.3058,-1)</f>
        <v>206540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TRUNC(11187,-1)</f>
        <v>11180</v>
      </c>
      <c r="E150" s="63">
        <f>TRUNC(+D150*3.3058,-1)</f>
        <v>36950</v>
      </c>
    </row>
    <row r="151" spans="1:7" x14ac:dyDescent="0.3">
      <c r="A151" s="2">
        <v>3</v>
      </c>
      <c r="C151" s="38" t="s">
        <v>50</v>
      </c>
      <c r="D151" s="42">
        <f>TRUNC(4695,-1)</f>
        <v>4690</v>
      </c>
      <c r="E151" s="63">
        <f>TRUNC(+D151*3.3058,-1)</f>
        <v>15500</v>
      </c>
    </row>
    <row r="152" spans="1:7" x14ac:dyDescent="0.3">
      <c r="A152" s="2">
        <v>4</v>
      </c>
      <c r="C152" s="38" t="s">
        <v>47</v>
      </c>
      <c r="D152" s="42">
        <f>TRUNC(2193+3158+10694,-1)</f>
        <v>16040</v>
      </c>
      <c r="E152" s="63">
        <f>TRUNC(+D152*3.3058,-1)</f>
        <v>53020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94390</v>
      </c>
      <c r="E154" s="39">
        <f>SUM(E149:E153)</f>
        <v>312010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TRUNC(43495,-1)</f>
        <v>43490</v>
      </c>
      <c r="E157" s="62">
        <f>TRUNC(+D157*3.3058,-1)</f>
        <v>143760</v>
      </c>
    </row>
    <row r="158" spans="1:7" x14ac:dyDescent="0.3">
      <c r="A158" s="2">
        <v>2</v>
      </c>
      <c r="C158" s="38" t="s">
        <v>52</v>
      </c>
      <c r="D158" s="42">
        <f>TRUNC(10070,-1)</f>
        <v>10070</v>
      </c>
      <c r="E158" s="63">
        <f>TRUNC(+D158*3.3058,-1)</f>
        <v>33280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TRUNC(6512,-1)</f>
        <v>6510</v>
      </c>
      <c r="E159" s="63">
        <f>TRUNC(+D159*3.3058,-1)</f>
        <v>21520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60070</v>
      </c>
      <c r="E161" s="39">
        <f>SUM(E157:E160)</f>
        <v>198560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2020-12-08T01:54:29Z</dcterms:modified>
</cp:coreProperties>
</file>