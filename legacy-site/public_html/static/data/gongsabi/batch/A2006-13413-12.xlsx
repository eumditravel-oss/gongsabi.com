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8" i="4" l="1"/>
  <c r="E157" i="4"/>
  <c r="E149" i="4"/>
  <c r="E145" i="4"/>
  <c r="E144" i="4"/>
  <c r="E143" i="4"/>
  <c r="E142" i="4"/>
  <c r="E141" i="4"/>
  <c r="E140" i="4"/>
  <c r="E139" i="4"/>
  <c r="E138" i="4"/>
  <c r="E130" i="4"/>
  <c r="E129" i="4"/>
  <c r="E127" i="4"/>
  <c r="E126" i="4"/>
  <c r="E124" i="4"/>
  <c r="E123" i="4"/>
  <c r="E116" i="4"/>
  <c r="E114" i="4"/>
  <c r="E113" i="4"/>
  <c r="E112" i="4"/>
  <c r="E111" i="4"/>
  <c r="E110" i="4"/>
  <c r="E109" i="4"/>
  <c r="E108" i="4"/>
  <c r="E107" i="4"/>
  <c r="E106" i="4"/>
  <c r="E104" i="4"/>
  <c r="E103" i="4"/>
  <c r="E101" i="4"/>
  <c r="E91" i="4"/>
  <c r="E88" i="4"/>
  <c r="E87" i="4"/>
  <c r="E86" i="4"/>
  <c r="E85" i="4"/>
  <c r="E84" i="4"/>
  <c r="E83" i="4"/>
  <c r="E82" i="4"/>
  <c r="E81" i="4"/>
  <c r="E80" i="4"/>
  <c r="E79" i="4"/>
  <c r="E77" i="4"/>
  <c r="E76" i="4"/>
  <c r="E74" i="4"/>
  <c r="E72" i="4"/>
  <c r="E65" i="4"/>
  <c r="E64" i="4"/>
  <c r="E57" i="4"/>
  <c r="E56" i="4"/>
  <c r="D59" i="4" l="1"/>
  <c r="E59" i="4" s="1"/>
  <c r="D48" i="4"/>
  <c r="E48" i="4" s="1"/>
  <c r="D160" i="4"/>
  <c r="E160" i="4" s="1"/>
  <c r="D159" i="4"/>
  <c r="E159" i="4" s="1"/>
  <c r="E161" i="4" s="1"/>
  <c r="D153" i="4"/>
  <c r="E153" i="4" s="1"/>
  <c r="D152" i="4"/>
  <c r="E152" i="4" s="1"/>
  <c r="D151" i="4"/>
  <c r="E151" i="4" s="1"/>
  <c r="D150" i="4"/>
  <c r="E150" i="4" s="1"/>
  <c r="D137" i="4"/>
  <c r="E137" i="4" s="1"/>
  <c r="D136" i="4"/>
  <c r="D132" i="4"/>
  <c r="E132" i="4" s="1"/>
  <c r="D131" i="4"/>
  <c r="E131" i="4" s="1"/>
  <c r="D128" i="4"/>
  <c r="E128" i="4" s="1"/>
  <c r="D125" i="4"/>
  <c r="E125" i="4" s="1"/>
  <c r="D122" i="4"/>
  <c r="E122" i="4" s="1"/>
  <c r="D118" i="4"/>
  <c r="E118" i="4" s="1"/>
  <c r="D117" i="4"/>
  <c r="E117" i="4" s="1"/>
  <c r="D115" i="4"/>
  <c r="E115" i="4" s="1"/>
  <c r="D105" i="4"/>
  <c r="E105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0" i="4"/>
  <c r="E90" i="4" s="1"/>
  <c r="D89" i="4"/>
  <c r="E89" i="4" s="1"/>
  <c r="D78" i="4"/>
  <c r="E78" i="4" s="1"/>
  <c r="D75" i="4"/>
  <c r="E75" i="4" s="1"/>
  <c r="D73" i="4"/>
  <c r="E73" i="4" s="1"/>
  <c r="D71" i="4"/>
  <c r="E71" i="4" s="1"/>
  <c r="D70" i="4"/>
  <c r="E70" i="4" s="1"/>
  <c r="D69" i="4"/>
  <c r="E69" i="4" s="1"/>
  <c r="D63" i="4"/>
  <c r="E63" i="4" s="1"/>
  <c r="E66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33" i="4"/>
  <c r="D29" i="4" s="1"/>
  <c r="E29" i="4" s="1"/>
  <c r="D66" i="4"/>
  <c r="D26" i="4" s="1"/>
  <c r="E26" i="4" s="1"/>
  <c r="D60" i="4"/>
  <c r="D25" i="4" s="1"/>
  <c r="E25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54" i="4" l="1"/>
  <c r="D31" i="4" s="1"/>
  <c r="E31" i="4" s="1"/>
  <c r="D95" i="4"/>
  <c r="D27" i="4" s="1"/>
  <c r="E27" i="4" s="1"/>
  <c r="E95" i="4"/>
  <c r="D24" i="4"/>
  <c r="E24" i="4" s="1"/>
  <c r="D119" i="4"/>
  <c r="D28" i="4" s="1"/>
  <c r="E28" i="4" s="1"/>
  <c r="D161" i="4"/>
  <c r="D32" i="4" s="1"/>
  <c r="E32" i="4" s="1"/>
  <c r="E136" i="4"/>
  <c r="E146" i="4" s="1"/>
  <c r="D146" i="4"/>
  <c r="D30" i="4" s="1"/>
  <c r="E60" i="4"/>
  <c r="E119" i="4"/>
  <c r="E133" i="4"/>
  <c r="E154" i="4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<sst xmlns="http://schemas.openxmlformats.org/spreadsheetml/2006/main" count="394" uniqueCount="269">
  <si>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</si>
  <si>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</si>
  <si>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</si>
  <si>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</si>
  <si>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</si>
  <si>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</si>
  <si>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</si>
  <si>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</si>
  <si>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</si>
  <si>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</si>
  <si>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</si>
  <si>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</si>
  <si>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</si>
  <si>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</si>
  <si>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</si>
  <si>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</si>
  <si>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</si>
  <si>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</si>
  <si>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</si>
  <si>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</si>
  <si>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</si>
  <si>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</si>
  <si>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</si>
  <si>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</si>
  <si>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</si>
  <si>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</si>
  <si>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</si>
  <si>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</si>
  <si>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</si>
  <si>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</si>
  <si>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</si>
  <si>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</si>
  <si>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</si>
  <si>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</si>
  <si>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</si>
  <si>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</si>
  <si>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</si>
  <si>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</si>
  <si>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</si>
  <si>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</si>
  <si>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</si>
  <si>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</si>
  <si>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</si>
  <si>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</si>
  <si>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</si>
  <si>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</si>
  <si>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</si>
  <si>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</si>
  <si>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</si>
  <si>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</si>
  <si>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</si>
  <si>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</si>
  <si>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</si>
  <si>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</si>
  <si>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</si>
  <si>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</si>
  <si>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</si>
  <si>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</si>
  <si>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</si>
  <si>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</si>
  <si>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</si>
  <si>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</si>
  <si>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</si>
  <si>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</si>
  <si>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</si>
  <si>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</si>
  <si>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</si>
  <si>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</si>
  <si>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</si>
  <si>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</si>
  <si>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</si>
  <si>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</si>
  <si>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</si>
  <si>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</si>
  <si>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</si>
  <si>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</si>
  <si>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</si>
  <si>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</si>
  <si>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</si>
  <si>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</si>
  <si>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</si>
  <si>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</si>
  <si>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</si>
  <si>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</si>
  <si>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</si>
  <si>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</si>
  <si>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</si>
  <si>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</si>
  <si>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</si>
  <si>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</si>
  <si>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</si>
  <si>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</si>
  <si>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</si>
  <si>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</si>
  <si>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</si>
  <si>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</si>
  <si>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</si>
  <si>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</si>
  <si>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</si>
  <si>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</si>
  <si>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</si>
  <si>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</si>
  <si>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</si>
  <si>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</si>
  <si>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</si>
  <si>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</si>
  <si>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</si>
  <si>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</si>
  <si>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</si>
  <si>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</si>
  <si>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</si>
  <si>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</si>
  <si>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</si>
  <si>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</si>
  <si>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</si>
  <si>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</si>
  <si>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</si>
  <si>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</si>
  <si>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</si>
  <si>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</si>
  <si>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</si>
  <si>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</si>
  <si>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</si>
  <si>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</si>
  <si>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</si>
  <si>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</si>
  <si>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</si>
  <si>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</si>
  <si>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</si>
  <si>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</si>
  <si>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</si>
  <si>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</si>
  <si>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</si>
  <si>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</si>
  <si>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</si>
  <si>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</si>
  <si>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</si>
  <si>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</si>
  <si>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</si>
  <si>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</si>
  <si>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</si>
  <si>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</si>
  <si>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</si>
  <si>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</si>
  <si>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</si>
  <si>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</si>
  <si>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</si>
  <si>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</si>
  <si>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</si>
  <si>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</si>
  <si>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</si>
  <si>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</si>
  <si>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</si>
  <si>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</si>
  <si>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</si>
  <si>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</si>
  <si>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</si>
  <si>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</si>
  <si>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</si>
  <si>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</si>
  <si>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</si>
  <si>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</si>
  <si>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</si>
  <si>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</si>
  <si>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</si>
  <si>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</si>
  <si>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</si>
  <si>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</si>
  <si>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</si>
  <si>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</si>
  <si>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</si>
  <si>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</si>
  <si>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</si>
  <si>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</si>
  <si>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</si>
  <si>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</si>
  <si>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</si>
  <si>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</si>
  <si>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</si>
  <si>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</si>
  <si>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</si>
  <si>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</si>
  <si>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</si>
  <si>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</si>
  <si>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</si>
  <si>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</si>
  <si>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</si>
  <si>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</si>
  <si>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</si>
  <si>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</si>
  <si>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</si>
  <si>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</si>
  <si>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</si>
  <si>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</si>
  <si>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</si>
  <si>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</si>
  <si>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</si>
  <si>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</si>
  <si>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</si>
  <si>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</si>
  <si>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</si>
  <si>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</si>
  <si>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</si>
  <si>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</si>
  <si>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</si>
  <si>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</si>
  <si>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</si>
  <si>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</si>
  <si>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</si>
  <si>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</si>
  <si>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</si>
  <si>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</si>
  <si>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</si>
  <si>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</si>
  <si>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</si>
  <si>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</si>
  <si>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</si>
  <si>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</si>
  <si>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</si>
  <si>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</si>
  <si>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</si>
  <si>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</si>
  <si>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</si>
  <si>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</si>
  <si>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</si>
  <si>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</si>
  <si>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</si>
  <si>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</si>
  <si>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</si>
  <si>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</si>
  <si>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</si>
  <si>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</si>
  <si>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</si>
  <si>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</si>
  <si>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</si>
  <si>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</si>
  <si>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</si>
  <si>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</si>
  <si>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</si>
  <si>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</si>
  <si>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</si>
  <si>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</si>
  <si>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</si>
  <si>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</si>
  <si>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</si>
  <si>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</si>
  <si>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</si>
  <si>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</si>
  <si>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</si>
  <si>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신안군 신청사 건립공사</t>
    <phoneticPr fontId="2" type="noConversion"/>
  </si>
  <si>
    <t>전라도</t>
  </si>
  <si>
    <t xml:space="preserve">지정공사, 기타공사, 자재대 및 운반공사, 작업부산물 </t>
    <phoneticPr fontId="2" type="noConversion"/>
  </si>
  <si>
    <t>도급자설치관급, 관급자설치관급</t>
    <phoneticPr fontId="2" type="noConversion"/>
  </si>
  <si>
    <t>배수공사, 부대공사, 사급자재대</t>
    <phoneticPr fontId="2" type="noConversion"/>
  </si>
  <si>
    <t>조경공사</t>
    <phoneticPr fontId="2" type="noConversion"/>
  </si>
  <si>
    <t>오배수통기배관공사</t>
  </si>
  <si>
    <t>공조배관공사, 주방배관공사, 가스배관공사, 우수배관공사</t>
    <phoneticPr fontId="2" type="noConversion"/>
  </si>
  <si>
    <t>전기소방공사</t>
  </si>
  <si>
    <t>옥외 및 수변전실공사</t>
  </si>
  <si>
    <t>경관조명설비공사, 운반비</t>
    <phoneticPr fontId="2" type="noConversion"/>
  </si>
  <si>
    <t>도급자설치관급자재, 관급자설치관급자재</t>
    <phoneticPr fontId="2" type="noConversion"/>
  </si>
  <si>
    <t>통신공사, 운반비</t>
    <phoneticPr fontId="2" type="noConversion"/>
  </si>
  <si>
    <t>관급자설치관급자재</t>
  </si>
  <si>
    <t>관급자선치관급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</si>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</sst>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11378</v>
      </c>
      <c r="D7" s="36">
        <f>+C7/3.3058</f>
        <v>3441.8295117671969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10240</v>
      </c>
      <c r="E24" s="58">
        <f t="shared" ref="E24:E33" si="0">TRUNC(+D24*3.3058,-1)</f>
        <v>33850</v>
      </c>
    </row>
    <row r="25" spans="1:5" x14ac:dyDescent="0.3">
      <c r="B25" s="2">
        <v>2</v>
      </c>
      <c r="C25" s="35" t="s">
        <v>111</v>
      </c>
      <c r="D25" s="45">
        <f>+D60</f>
        <v>782620</v>
      </c>
      <c r="E25" s="59">
        <f t="shared" si="0"/>
        <v>2587180</v>
      </c>
    </row>
    <row r="26" spans="1:5" x14ac:dyDescent="0.3">
      <c r="B26" s="2">
        <v>3</v>
      </c>
      <c r="C26" s="35" t="s">
        <v>95</v>
      </c>
      <c r="D26" s="45">
        <f>+D66</f>
        <v>123790</v>
      </c>
      <c r="E26" s="59">
        <f t="shared" si="0"/>
        <v>409220</v>
      </c>
    </row>
    <row r="27" spans="1:5" x14ac:dyDescent="0.3">
      <c r="B27" s="2">
        <v>4</v>
      </c>
      <c r="C27" s="35" t="s">
        <v>96</v>
      </c>
      <c r="D27" s="45">
        <f>+D95</f>
        <v>300510</v>
      </c>
      <c r="E27" s="59">
        <f t="shared" si="0"/>
        <v>993420</v>
      </c>
    </row>
    <row r="28" spans="1:5" x14ac:dyDescent="0.3">
      <c r="B28" s="2">
        <v>5</v>
      </c>
      <c r="C28" s="35" t="s">
        <v>97</v>
      </c>
      <c r="D28" s="45">
        <f>+D119</f>
        <v>174180</v>
      </c>
      <c r="E28" s="59">
        <f t="shared" si="0"/>
        <v>575800</v>
      </c>
    </row>
    <row r="29" spans="1:5" x14ac:dyDescent="0.3">
      <c r="B29" s="2">
        <v>6</v>
      </c>
      <c r="C29" s="35" t="s">
        <v>98</v>
      </c>
      <c r="D29" s="45">
        <f>+D133</f>
        <v>75520</v>
      </c>
      <c r="E29" s="59">
        <f t="shared" si="0"/>
        <v>249650</v>
      </c>
    </row>
    <row r="30" spans="1:5" x14ac:dyDescent="0.3">
      <c r="B30" s="2">
        <v>7</v>
      </c>
      <c r="C30" s="35" t="s">
        <v>99</v>
      </c>
      <c r="D30" s="45">
        <f>+D146</f>
        <v>15120</v>
      </c>
      <c r="E30" s="59">
        <f t="shared" si="0"/>
        <v>49980</v>
      </c>
    </row>
    <row r="31" spans="1:5" x14ac:dyDescent="0.3">
      <c r="B31" s="2">
        <v>8</v>
      </c>
      <c r="C31" s="35" t="s">
        <v>100</v>
      </c>
      <c r="D31" s="45">
        <f>+D154</f>
        <v>66240</v>
      </c>
      <c r="E31" s="59">
        <f t="shared" si="0"/>
        <v>218970</v>
      </c>
    </row>
    <row r="32" spans="1:5" x14ac:dyDescent="0.3">
      <c r="B32" s="2">
        <v>9</v>
      </c>
      <c r="C32" s="35" t="s">
        <v>101</v>
      </c>
      <c r="D32" s="45">
        <f>+D161</f>
        <v>35700</v>
      </c>
      <c r="E32" s="59">
        <f t="shared" si="0"/>
        <v>118010</v>
      </c>
    </row>
    <row r="33" spans="1:7" x14ac:dyDescent="0.3">
      <c r="B33" s="2">
        <v>10</v>
      </c>
      <c r="C33" s="35" t="s">
        <v>154</v>
      </c>
      <c r="D33" s="53">
        <f>TRUNC(SUM(D24:D32)*0.275,-1)</f>
        <v>435570</v>
      </c>
      <c r="E33" s="60">
        <f t="shared" si="0"/>
        <v>1439900</v>
      </c>
    </row>
    <row r="34" spans="1:7" x14ac:dyDescent="0.3">
      <c r="C34" s="35" t="s">
        <v>112</v>
      </c>
      <c r="D34" s="44">
        <f>SUM(D24:D33)</f>
        <v>2019490</v>
      </c>
      <c r="E34" s="44">
        <f>SUM(E24:E33)</f>
        <v>6675980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TRUNC(10246.14492881,-1)</f>
        <v>10240</v>
      </c>
      <c r="E37" s="61">
        <f>TRUNC(+D37*3.3058,-1)</f>
        <v>33850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TRUNC(26001.0021972227,-1)</f>
        <v>26000</v>
      </c>
      <c r="E40" s="62">
        <f t="shared" ref="E40:E59" si="1">TRUNC(+D40*3.3058,-1)</f>
        <v>85950</v>
      </c>
    </row>
    <row r="41" spans="1:7" x14ac:dyDescent="0.3">
      <c r="A41" s="2">
        <v>2</v>
      </c>
      <c r="C41" s="38" t="s">
        <v>13</v>
      </c>
      <c r="D41" s="42">
        <f>TRUNC(65266.5548426789,-1)</f>
        <v>65260</v>
      </c>
      <c r="E41" s="63">
        <f t="shared" si="1"/>
        <v>215730</v>
      </c>
    </row>
    <row r="42" spans="1:7" x14ac:dyDescent="0.3">
      <c r="A42" s="2">
        <v>3</v>
      </c>
      <c r="C42" s="38" t="s">
        <v>14</v>
      </c>
      <c r="D42" s="42">
        <f>TRUNC(96722.494199332,-1)</f>
        <v>96720</v>
      </c>
      <c r="E42" s="63">
        <f t="shared" si="1"/>
        <v>319730</v>
      </c>
    </row>
    <row r="43" spans="1:7" x14ac:dyDescent="0.3">
      <c r="A43" s="2">
        <v>4</v>
      </c>
      <c r="C43" s="38" t="s">
        <v>16</v>
      </c>
      <c r="D43" s="42">
        <f>TRUNC(9666.3987519775,-1)</f>
        <v>9660</v>
      </c>
      <c r="E43" s="63">
        <f t="shared" si="1"/>
        <v>31930</v>
      </c>
    </row>
    <row r="44" spans="1:7" x14ac:dyDescent="0.3">
      <c r="A44" s="2">
        <v>5</v>
      </c>
      <c r="C44" s="38" t="s">
        <v>17</v>
      </c>
      <c r="D44" s="42">
        <f>TRUNC(12011.184215152,-1)</f>
        <v>12010</v>
      </c>
      <c r="E44" s="63">
        <f t="shared" si="1"/>
        <v>39700</v>
      </c>
    </row>
    <row r="45" spans="1:7" x14ac:dyDescent="0.3">
      <c r="A45" s="2">
        <v>6</v>
      </c>
      <c r="C45" s="38" t="s">
        <v>18</v>
      </c>
      <c r="D45" s="42">
        <f>TRUNC(4454.75953594656,-1)</f>
        <v>4450</v>
      </c>
      <c r="E45" s="63">
        <f t="shared" si="1"/>
        <v>14710</v>
      </c>
    </row>
    <row r="46" spans="1:7" x14ac:dyDescent="0.3">
      <c r="A46" s="2">
        <v>7</v>
      </c>
      <c r="C46" s="38" t="s">
        <v>19</v>
      </c>
      <c r="D46" s="42">
        <f>TRUNC(40095.106521357,-1)</f>
        <v>40090</v>
      </c>
      <c r="E46" s="63">
        <f t="shared" si="1"/>
        <v>132520</v>
      </c>
    </row>
    <row r="47" spans="1:7" x14ac:dyDescent="0.3">
      <c r="A47" s="2">
        <v>8</v>
      </c>
      <c r="C47" s="38" t="s">
        <v>20</v>
      </c>
      <c r="D47" s="42">
        <f>TRUNC(5098.5459658991,-1)</f>
        <v>5090</v>
      </c>
      <c r="E47" s="63">
        <f t="shared" si="1"/>
        <v>16820</v>
      </c>
    </row>
    <row r="48" spans="1:7" x14ac:dyDescent="0.3">
      <c r="A48" s="2">
        <v>9</v>
      </c>
      <c r="C48" s="38" t="s">
        <v>21</v>
      </c>
      <c r="D48" s="42">
        <f>TRUNC(108757.099226578,-1)</f>
        <v>108750</v>
      </c>
      <c r="E48" s="63">
        <f t="shared" si="1"/>
        <v>359500</v>
      </c>
    </row>
    <row r="49" spans="1:7" x14ac:dyDescent="0.3">
      <c r="A49" s="2">
        <v>10</v>
      </c>
      <c r="C49" s="38" t="s">
        <v>22</v>
      </c>
      <c r="D49" s="42">
        <f>TRUNC(15509.3002285112,-1)</f>
        <v>15500</v>
      </c>
      <c r="E49" s="63">
        <f t="shared" si="1"/>
        <v>51230</v>
      </c>
    </row>
    <row r="50" spans="1:7" x14ac:dyDescent="0.3">
      <c r="A50" s="2">
        <v>11</v>
      </c>
      <c r="C50" s="38" t="s">
        <v>155</v>
      </c>
      <c r="D50" s="42">
        <f>TRUNC(46467.1676041484,-1)</f>
        <v>46460</v>
      </c>
      <c r="E50" s="63">
        <f t="shared" si="1"/>
        <v>153580</v>
      </c>
    </row>
    <row r="51" spans="1:7" x14ac:dyDescent="0.3">
      <c r="A51" s="2">
        <v>12</v>
      </c>
      <c r="C51" s="38" t="s">
        <v>23</v>
      </c>
      <c r="D51" s="42">
        <f>TRUNC(10811.6606609246,-1)</f>
        <v>10810</v>
      </c>
      <c r="E51" s="63">
        <f t="shared" si="1"/>
        <v>35730</v>
      </c>
    </row>
    <row r="52" spans="1:7" x14ac:dyDescent="0.3">
      <c r="A52" s="2">
        <v>13</v>
      </c>
      <c r="C52" s="38" t="s">
        <v>24</v>
      </c>
      <c r="D52" s="42">
        <f>TRUNC(6340.74784672174,-1)</f>
        <v>6340</v>
      </c>
      <c r="E52" s="63">
        <f t="shared" si="1"/>
        <v>20950</v>
      </c>
    </row>
    <row r="53" spans="1:7" x14ac:dyDescent="0.3">
      <c r="A53" s="2">
        <v>14</v>
      </c>
      <c r="C53" s="38" t="s">
        <v>25</v>
      </c>
      <c r="D53" s="42">
        <f>TRUNC(19026.9305677623,-1)</f>
        <v>19020</v>
      </c>
      <c r="E53" s="63">
        <f t="shared" si="1"/>
        <v>62870</v>
      </c>
    </row>
    <row r="54" spans="1:7" x14ac:dyDescent="0.3">
      <c r="A54" s="2">
        <v>15</v>
      </c>
      <c r="C54" s="38" t="s">
        <v>147</v>
      </c>
      <c r="D54" s="42">
        <f>TRUNC(34867.0207417823,-1)</f>
        <v>34860</v>
      </c>
      <c r="E54" s="63">
        <f t="shared" si="1"/>
        <v>115240</v>
      </c>
    </row>
    <row r="55" spans="1:7" x14ac:dyDescent="0.3">
      <c r="A55" s="2">
        <v>16</v>
      </c>
      <c r="C55" s="38" t="s">
        <v>144</v>
      </c>
      <c r="D55" s="42">
        <f>TRUNC(517.024872561083,-1)</f>
        <v>510</v>
      </c>
      <c r="E55" s="63">
        <f t="shared" si="1"/>
        <v>1680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TRUNC(28482.5064158903+2814.42995253999+10245.9325892072-1052.59975391106,-1)</f>
        <v>40490</v>
      </c>
      <c r="E58" s="63">
        <f t="shared" si="1"/>
        <v>133850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TRUNC(218273.020390227+22332.5716294604,-1)</f>
        <v>240600</v>
      </c>
      <c r="E59" s="64">
        <f t="shared" si="1"/>
        <v>795370</v>
      </c>
      <c r="F59" s="2" t="s">
        <v>252</v>
      </c>
    </row>
    <row r="60" spans="1:7" x14ac:dyDescent="0.3">
      <c r="A60" s="2">
        <v>21</v>
      </c>
      <c r="C60" s="27" t="s">
        <v>112</v>
      </c>
      <c r="D60" s="39">
        <f>SUM(D40:D59)</f>
        <v>782620</v>
      </c>
      <c r="E60" s="39">
        <f>SUM(E40:E59)</f>
        <v>2587090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TRUNC(123797.647389699,-1)</f>
        <v>123790</v>
      </c>
      <c r="E63" s="62">
        <f>TRUNC(+D63*3.3058,-1)</f>
        <v>409220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123790</v>
      </c>
      <c r="E66" s="65">
        <f>SUM(E63:E65)</f>
        <v>409220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TRUNC(7896.19555282123,-1)</f>
        <v>7890</v>
      </c>
      <c r="E69" s="62">
        <f>TRUNC(+D69*3.3058,-1)</f>
        <v>26080</v>
      </c>
    </row>
    <row r="70" spans="1:7" ht="16.5" customHeight="1" x14ac:dyDescent="0.3">
      <c r="A70" s="2">
        <v>2</v>
      </c>
      <c r="C70" s="38" t="s">
        <v>31</v>
      </c>
      <c r="D70" s="42">
        <f>TRUNC(3510.53708911935,-1)</f>
        <v>3510</v>
      </c>
      <c r="E70" s="63">
        <f>TRUNC(+D70*3.3058,-1)</f>
        <v>11600</v>
      </c>
    </row>
    <row r="71" spans="1:7" x14ac:dyDescent="0.3">
      <c r="A71" s="2">
        <v>3</v>
      </c>
      <c r="C71" s="38" t="s">
        <v>32</v>
      </c>
      <c r="D71" s="42">
        <f>TRUNC(23270.2075936017,-1)</f>
        <v>23270</v>
      </c>
      <c r="E71" s="63">
        <f t="shared" ref="E71:E73" si="2">TRUNC(+D71*3.3058,-1)</f>
        <v>76920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TRUNC(4814.20697837933,-1)</f>
        <v>4810</v>
      </c>
      <c r="E73" s="63">
        <f t="shared" si="2"/>
        <v>15900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TRUNC(5563.79091228687,-1)</f>
        <v>5560</v>
      </c>
      <c r="E75" s="63">
        <f>TRUNC(+D75*3.3058,-1)</f>
        <v>18380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TRUNC(48945.0108103357,-1)</f>
        <v>48940</v>
      </c>
      <c r="E78" s="63">
        <f t="shared" si="3"/>
        <v>161780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f>TRUNC(3447.67902970645,-1)</f>
        <v>3440</v>
      </c>
      <c r="E89" s="63">
        <f t="shared" si="3"/>
        <v>11370</v>
      </c>
      <c r="F89" s="2" t="s">
        <v>255</v>
      </c>
    </row>
    <row r="90" spans="1:7" x14ac:dyDescent="0.3">
      <c r="A90" s="2">
        <v>22</v>
      </c>
      <c r="C90" s="38" t="s">
        <v>36</v>
      </c>
      <c r="D90" s="42">
        <f>TRUNC(787.635788363508,-1)</f>
        <v>780</v>
      </c>
      <c r="E90" s="63">
        <f>TRUNC(+D90*3.3058,-1)</f>
        <v>2570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TRUNC(3311.59448057655,-1)</f>
        <v>3310</v>
      </c>
      <c r="E92" s="63">
        <f>TRUNC(+D92*3.3058,-1)</f>
        <v>10940</v>
      </c>
    </row>
    <row r="93" spans="1:7" x14ac:dyDescent="0.3">
      <c r="A93" s="2">
        <v>25</v>
      </c>
      <c r="C93" s="38" t="s">
        <v>148</v>
      </c>
      <c r="D93" s="42">
        <f>TRUNC(167726.665494815,-1)</f>
        <v>167720</v>
      </c>
      <c r="E93" s="63">
        <f>TRUNC(+D93*3.3058,-1)</f>
        <v>554440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TRUNC(25906.7338723853+1024.75355950079+2337.50887677975+2013.749516611,-1)</f>
        <v>31280</v>
      </c>
      <c r="E94" s="64">
        <f>TRUNC(+D94*3.3058,-1)</f>
        <v>103400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300510</v>
      </c>
      <c r="E95" s="39">
        <f>SUM(E69:E94)</f>
        <v>993380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TRUNC(15359.1271752505,-1)</f>
        <v>15350</v>
      </c>
      <c r="E98" s="62">
        <f t="shared" ref="E98:E118" si="4">TRUNC(+D98*3.3058,-1)</f>
        <v>50740</v>
      </c>
    </row>
    <row r="99" spans="1:7" x14ac:dyDescent="0.3">
      <c r="A99" s="2">
        <v>2</v>
      </c>
      <c r="C99" s="38" t="s">
        <v>40</v>
      </c>
      <c r="D99" s="42">
        <f>TRUNC(7608.45526454561,-1)</f>
        <v>7600</v>
      </c>
      <c r="E99" s="63">
        <f t="shared" si="4"/>
        <v>25120</v>
      </c>
    </row>
    <row r="100" spans="1:7" x14ac:dyDescent="0.3">
      <c r="A100" s="2">
        <v>3</v>
      </c>
      <c r="C100" s="38" t="s">
        <v>41</v>
      </c>
      <c r="D100" s="42">
        <f>TRUNC(20486.0863069081,-1)</f>
        <v>20480</v>
      </c>
      <c r="E100" s="63">
        <f t="shared" si="4"/>
        <v>67700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TRUNC(7400.1722622605,-1)</f>
        <v>7400</v>
      </c>
      <c r="E102" s="63">
        <f t="shared" si="4"/>
        <v>24460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TRUNC(3994.16611003691,-1)</f>
        <v>3990</v>
      </c>
      <c r="E105" s="63">
        <f t="shared" si="4"/>
        <v>13190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TRUNC(5951.16461592547,-1)</f>
        <v>5950</v>
      </c>
      <c r="E115" s="63">
        <f t="shared" si="4"/>
        <v>19660</v>
      </c>
      <c r="F115" s="2" t="s">
        <v>258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TRUNC(44027.9486728775+65181.0511513447,-1)</f>
        <v>109200</v>
      </c>
      <c r="E117" s="63">
        <f t="shared" si="4"/>
        <v>360990</v>
      </c>
      <c r="F117" s="2" t="s">
        <v>260</v>
      </c>
    </row>
    <row r="118" spans="1:7" ht="17.25" thickBot="1" x14ac:dyDescent="0.35">
      <c r="A118" s="2">
        <v>21</v>
      </c>
      <c r="C118" s="38" t="s">
        <v>47</v>
      </c>
      <c r="D118" s="43">
        <f>TRUNC(4120.70407804535+96.6777992617332,-1)</f>
        <v>4210</v>
      </c>
      <c r="E118" s="64">
        <f t="shared" si="4"/>
        <v>13910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174180</v>
      </c>
      <c r="E119" s="39">
        <f>SUM(E98:E118)</f>
        <v>575770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TRUNC(1345.24336438741,-1)</f>
        <v>1340</v>
      </c>
      <c r="E122" s="62">
        <f t="shared" ref="E122:E132" si="5">TRUNC(+D122*3.3058,-1)</f>
        <v>4420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TRUNC(4322.55765512392,-1)</f>
        <v>4320</v>
      </c>
      <c r="E125" s="63">
        <f t="shared" si="5"/>
        <v>14280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TRUNC(2977.87827386184,-1)</f>
        <v>2970</v>
      </c>
      <c r="E128" s="63">
        <f t="shared" si="5"/>
        <v>9810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TRUNC(48769.5552821234,-1)</f>
        <v>48760</v>
      </c>
      <c r="E131" s="63">
        <f t="shared" si="5"/>
        <v>161190</v>
      </c>
      <c r="F131" s="2" t="s">
        <v>262</v>
      </c>
    </row>
    <row r="132" spans="1:7" ht="18" thickBot="1" x14ac:dyDescent="0.35">
      <c r="A132" s="2">
        <v>11</v>
      </c>
      <c r="C132" s="38" t="s">
        <v>47</v>
      </c>
      <c r="D132" s="43">
        <f>TRUNC(18042.6606609246+96.6777992617332,-1)</f>
        <v>18130</v>
      </c>
      <c r="E132" s="64">
        <f t="shared" si="5"/>
        <v>59930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75520</v>
      </c>
      <c r="E133" s="39">
        <f>SUM(E122:E132)</f>
        <v>249630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TRUNC(9555.96185621375,-1)</f>
        <v>9550</v>
      </c>
      <c r="E136" s="62">
        <f t="shared" ref="E136:E145" si="6">TRUNC(+D136*3.3058,-1)</f>
        <v>31570</v>
      </c>
    </row>
    <row r="137" spans="1:7" x14ac:dyDescent="0.3">
      <c r="A137" s="2">
        <v>2</v>
      </c>
      <c r="C137" s="38" t="s">
        <v>47</v>
      </c>
      <c r="D137" s="42">
        <f>TRUNC(5572.01072244683,-1)</f>
        <v>5570</v>
      </c>
      <c r="E137" s="63">
        <f t="shared" si="6"/>
        <v>18410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15120</v>
      </c>
      <c r="E146" s="39">
        <f>SUM(E136:E145)</f>
        <v>49980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TRUNC(8869.97855510635,-1)</f>
        <v>8860</v>
      </c>
      <c r="E150" s="63">
        <f>TRUNC(+D150*3.3058,-1)</f>
        <v>29280</v>
      </c>
    </row>
    <row r="151" spans="1:7" x14ac:dyDescent="0.3">
      <c r="A151" s="2">
        <v>3</v>
      </c>
      <c r="C151" s="38" t="s">
        <v>50</v>
      </c>
      <c r="D151" s="42">
        <f>TRUNC(9064.00052733345,-1)</f>
        <v>9060</v>
      </c>
      <c r="E151" s="63">
        <f>TRUNC(+D151*3.3058,-1)</f>
        <v>29950</v>
      </c>
    </row>
    <row r="152" spans="1:7" x14ac:dyDescent="0.3">
      <c r="A152" s="2">
        <v>4</v>
      </c>
      <c r="C152" s="38" t="s">
        <v>47</v>
      </c>
      <c r="D152" s="42">
        <f>TRUNC(5430.0041307787+8693.99367199859+4216.73404816312,-1)</f>
        <v>18340</v>
      </c>
      <c r="E152" s="63">
        <f>TRUNC(+D152*3.3058,-1)</f>
        <v>60620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TRUNC(29980.1371066971,-1)</f>
        <v>29980</v>
      </c>
      <c r="E153" s="64">
        <f>TRUNC(+D153*3.3058,-1)</f>
        <v>99100</v>
      </c>
    </row>
    <row r="154" spans="1:7" x14ac:dyDescent="0.3">
      <c r="A154" s="2">
        <v>6</v>
      </c>
      <c r="C154" s="27" t="s">
        <v>112</v>
      </c>
      <c r="D154" s="39">
        <f>SUM(D149:D153)</f>
        <v>66240</v>
      </c>
      <c r="E154" s="39">
        <f>SUM(E149:E153)</f>
        <v>218950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TRUNC(30209.1561785903,-1)</f>
        <v>30200</v>
      </c>
      <c r="E159" s="63">
        <f>TRUNC(+D159*3.3058,-1)</f>
        <v>99830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f>TRUNC(5503.25188961153,-1)</f>
        <v>5500</v>
      </c>
      <c r="E160" s="64">
        <f>TRUNC(+D160*3.3058,-1)</f>
        <v>18180</v>
      </c>
    </row>
    <row r="161" spans="1:5" x14ac:dyDescent="0.3">
      <c r="A161" s="2">
        <v>5</v>
      </c>
      <c r="C161" s="27" t="s">
        <v>112</v>
      </c>
      <c r="D161" s="39">
        <f>SUM(D157:D160)</f>
        <v>35700</v>
      </c>
      <c r="E161" s="39">
        <f>SUM(E157:E160)</f>
        <v>118010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2020-12-07T09:14:25Z</dcterms:modified>
</cp:coreProperties>
</file>