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2" i="4"/>
  <c r="D151" i="4"/>
  <c r="D150" i="4"/>
  <c r="D149" i="4"/>
  <c r="D137" i="4"/>
  <c r="D144" i="4"/>
  <c r="D143" i="4"/>
  <c r="D139" i="4"/>
  <c r="D141" i="4"/>
  <c r="D142" i="4"/>
  <c r="D140" i="4"/>
  <c r="D132" i="4"/>
  <c r="D128" i="4"/>
  <c r="D124" i="4"/>
  <c r="D125" i="4"/>
  <c r="D122" i="4"/>
  <c r="D130" i="4"/>
  <c r="D126" i="4"/>
  <c r="D118" i="4"/>
  <c r="D105" i="4"/>
  <c r="D103" i="4"/>
  <c r="D102" i="4"/>
  <c r="D101" i="4"/>
  <c r="D100" i="4"/>
  <c r="D99" i="4"/>
  <c r="D114" i="4"/>
  <c r="D98" i="4"/>
  <c r="D116" i="4"/>
  <c r="D92" i="4"/>
  <c r="D91" i="4"/>
  <c r="D89" i="4"/>
  <c r="D73" i="4"/>
  <c r="D72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31" i="4"/>
  <c r="D117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95" i="4"/>
  <c r="E60" i="4"/>
  <c r="E133" i="4"/>
  <c r="E119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D24" i="4"/>
  <c r="E24" i="4" s="1"/>
  <c r="D27" i="4"/>
  <c r="E27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<sst xmlns="http://schemas.openxmlformats.org/spreadsheetml/2006/main" count="392" uniqueCount="268">
  <si>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</si>
  <si>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</si>
  <si>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</si>
  <si>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</si>
  <si>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</si>
  <si>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</si>
  <si>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</si>
  <si>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</si>
  <si>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</si>
  <si>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</si>
  <si>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</si>
  <si>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</si>
  <si>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</si>
  <si>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</si>
  <si>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</si>
  <si>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</si>
  <si>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</si>
  <si>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</si>
  <si>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</si>
  <si>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</si>
  <si>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</si>
  <si>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</si>
  <si>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</si>
  <si>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</si>
  <si>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</si>
  <si>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</si>
  <si>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</si>
  <si>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</si>
  <si>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</si>
  <si>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</si>
  <si>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</si>
  <si>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</si>
  <si>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</si>
  <si>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</si>
  <si>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</si>
  <si>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</si>
  <si>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</si>
  <si>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</si>
  <si>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</si>
  <si>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</si>
  <si>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</si>
  <si>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</si>
  <si>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</si>
  <si>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</si>
  <si>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</si>
  <si>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</si>
  <si>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</si>
  <si>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</si>
  <si>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</si>
  <si>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</si>
  <si>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</si>
  <si>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</si>
  <si>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</si>
  <si>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</si>
  <si>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</si>
  <si>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</si>
  <si>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</si>
  <si>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</si>
  <si>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</si>
  <si>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</si>
  <si>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</si>
  <si>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</si>
  <si>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</si>
  <si>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</si>
  <si>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</si>
  <si>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</si>
  <si>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</si>
  <si>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</si>
  <si>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</si>
  <si>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</si>
  <si>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</si>
  <si>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</si>
  <si>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</si>
  <si>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</si>
  <si>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</si>
  <si>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</si>
  <si>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</si>
  <si>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</si>
  <si>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</si>
  <si>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</si>
  <si>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</si>
  <si>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</si>
  <si>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</si>
  <si>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</si>
  <si>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</si>
  <si>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</si>
  <si>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</si>
  <si>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</si>
  <si>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</si>
  <si>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</si>
  <si>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</si>
  <si>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</si>
  <si>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</si>
  <si>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</si>
  <si>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</si>
  <si>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</si>
  <si>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</si>
  <si>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</si>
  <si>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</si>
  <si>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</si>
  <si>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</si>
  <si>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</si>
  <si>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</si>
  <si>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</si>
  <si>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</si>
  <si>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</si>
  <si>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</si>
  <si>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</si>
  <si>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</si>
  <si>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</si>
  <si>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</si>
  <si>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</si>
  <si>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</si>
  <si>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</si>
  <si>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</si>
  <si>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</si>
  <si>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</si>
  <si>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</si>
  <si>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</si>
  <si>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</si>
  <si>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</si>
  <si>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</si>
  <si>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</si>
  <si>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</si>
  <si>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</si>
  <si>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</si>
  <si>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</si>
  <si>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</si>
  <si>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</si>
  <si>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</si>
  <si>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</si>
  <si>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</si>
  <si>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</si>
  <si>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</si>
  <si>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</si>
  <si>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</si>
  <si>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</si>
  <si>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</si>
  <si>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</si>
  <si>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</si>
  <si>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</si>
  <si>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</si>
  <si>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</si>
  <si>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</si>
  <si>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</si>
  <si>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</si>
  <si>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</si>
  <si>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</si>
  <si>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</si>
  <si>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</si>
  <si>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</si>
  <si>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</si>
  <si>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</si>
  <si>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</si>
  <si>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</si>
  <si>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</si>
  <si>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</si>
  <si>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</si>
  <si>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</si>
  <si>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</si>
  <si>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</si>
  <si>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</si>
  <si>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</si>
  <si>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</si>
  <si>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</si>
  <si>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</si>
  <si>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</si>
  <si>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</si>
  <si>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</si>
  <si>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</si>
  <si>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</si>
  <si>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</si>
  <si>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</si>
  <si>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</si>
  <si>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</si>
  <si>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</si>
  <si>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</si>
  <si>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</si>
  <si>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</si>
  <si>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</si>
  <si>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</si>
  <si>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</si>
  <si>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</si>
  <si>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</si>
  <si>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</si>
  <si>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</si>
  <si>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</si>
  <si>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</si>
  <si>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</si>
  <si>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</si>
  <si>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</si>
  <si>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</si>
  <si>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</si>
  <si>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</si>
  <si>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</si>
  <si>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</si>
  <si>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</si>
  <si>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</si>
  <si>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</si>
  <si>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</si>
  <si>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</si>
  <si>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</si>
  <si>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</si>
  <si>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</si>
  <si>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</si>
  <si>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</si>
  <si>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</si>
  <si>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</si>
  <si>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</si>
  <si>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</si>
  <si>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</si>
  <si>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</si>
  <si>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</si>
  <si>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</si>
  <si>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</si>
  <si>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</si>
  <si>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</si>
  <si>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</si>
  <si>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</si>
  <si>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</si>
  <si>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</si>
  <si>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</si>
  <si>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</si>
  <si>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</si>
  <si>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</si>
  <si>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</si>
  <si>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</si>
  <si>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</si>
  <si>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</si>
  <si>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</si>
  <si>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</si>
  <si>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</si>
  <si>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</si>
  <si>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</si>
  <si>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</si>
  <si>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</si>
  <si>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</si>
  <si>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</si>
  <si>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</si>
  <si>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</si>
  <si>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</si>
  <si>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</si>
  <si>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</si>
  <si>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</si>
  <si>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</si>
  <si>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</si>
  <si>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</si>
  <si>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</si>
  <si>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 xml:space="preserve">한국교원대 부설유치원 신축 공사 </t>
    <phoneticPr fontId="2" type="noConversion"/>
  </si>
  <si>
    <t>기타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</si>
  <si>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</si>
  <si>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</si>
  <si>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</si>
  <si>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</si>
  <si>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기초공사,해체및철거공사,골재비및운반비,작업부산물</t>
    <phoneticPr fontId="2" type="noConversion"/>
  </si>
  <si>
    <t xml:space="preserve">전기인입 및 수변전 설비공사  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</si>
  <si>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</si>
  <si>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</si>
  <si>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기타공사</t>
    <phoneticPr fontId="2" type="noConversion"/>
  </si>
  <si>
    <t>우수공사,오수공사</t>
    <phoneticPr fontId="2" type="noConversion"/>
  </si>
  <si>
    <t>사급자재비,기타공사</t>
    <phoneticPr fontId="2" type="noConversion"/>
  </si>
  <si>
    <t>건축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</si>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</sst>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2679.61</v>
      </c>
      <c r="D7" s="36">
        <f>+C7/3.3058</f>
        <v>810.57837739730178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835840</v>
      </c>
      <c r="E25" s="59">
        <f t="shared" si="0"/>
        <v>2763110</v>
      </c>
    </row>
    <row r="26" spans="1:5" x14ac:dyDescent="0.3">
      <c r="B26" s="2">
        <v>3</v>
      </c>
      <c r="C26" s="35" t="s">
        <v>95</v>
      </c>
      <c r="D26" s="45">
        <f>+D66</f>
        <v>13020</v>
      </c>
      <c r="E26" s="59">
        <f t="shared" si="0"/>
        <v>43040</v>
      </c>
    </row>
    <row r="27" spans="1:5" x14ac:dyDescent="0.3">
      <c r="B27" s="2">
        <v>4</v>
      </c>
      <c r="C27" s="35" t="s">
        <v>96</v>
      </c>
      <c r="D27" s="45">
        <f>+D95</f>
        <v>68880</v>
      </c>
      <c r="E27" s="59">
        <f t="shared" si="0"/>
        <v>227700</v>
      </c>
    </row>
    <row r="28" spans="1:5" x14ac:dyDescent="0.3">
      <c r="B28" s="2">
        <v>5</v>
      </c>
      <c r="C28" s="35" t="s">
        <v>97</v>
      </c>
      <c r="D28" s="45">
        <f>+D119</f>
        <v>215000</v>
      </c>
      <c r="E28" s="59">
        <f t="shared" si="0"/>
        <v>710740</v>
      </c>
    </row>
    <row r="29" spans="1:5" x14ac:dyDescent="0.3">
      <c r="B29" s="2">
        <v>6</v>
      </c>
      <c r="C29" s="35" t="s">
        <v>98</v>
      </c>
      <c r="D29" s="45">
        <f>+D133</f>
        <v>52080</v>
      </c>
      <c r="E29" s="59">
        <f t="shared" si="0"/>
        <v>172160</v>
      </c>
    </row>
    <row r="30" spans="1:5" x14ac:dyDescent="0.3">
      <c r="B30" s="2">
        <v>7</v>
      </c>
      <c r="C30" s="35" t="s">
        <v>99</v>
      </c>
      <c r="D30" s="45">
        <f>+D146</f>
        <v>79100</v>
      </c>
      <c r="E30" s="59">
        <f t="shared" si="0"/>
        <v>261480</v>
      </c>
    </row>
    <row r="31" spans="1:5" x14ac:dyDescent="0.3">
      <c r="B31" s="2">
        <v>8</v>
      </c>
      <c r="C31" s="35" t="s">
        <v>100</v>
      </c>
      <c r="D31" s="45">
        <f>+D154</f>
        <v>33210</v>
      </c>
      <c r="E31" s="59">
        <f t="shared" si="0"/>
        <v>109780</v>
      </c>
    </row>
    <row r="32" spans="1:5" x14ac:dyDescent="0.3">
      <c r="B32" s="2">
        <v>9</v>
      </c>
      <c r="C32" s="35" t="s">
        <v>101</v>
      </c>
      <c r="D32" s="45">
        <f>+D161</f>
        <v>14600</v>
      </c>
      <c r="E32" s="59">
        <f t="shared" si="0"/>
        <v>48260</v>
      </c>
    </row>
    <row r="33" spans="1:7" x14ac:dyDescent="0.3">
      <c r="B33" s="2">
        <v>10</v>
      </c>
      <c r="C33" s="35" t="s">
        <v>154</v>
      </c>
      <c r="D33" s="53">
        <f>TRUNC(SUM(D24:D32)*0.275,-1)</f>
        <v>360720</v>
      </c>
      <c r="E33" s="60">
        <f t="shared" si="0"/>
        <v>1192460</v>
      </c>
    </row>
    <row r="34" spans="1:7" x14ac:dyDescent="0.3">
      <c r="C34" s="35" t="s">
        <v>112</v>
      </c>
      <c r="D34" s="44">
        <f>SUM(D24:D33)</f>
        <v>1672450</v>
      </c>
      <c r="E34" s="44">
        <f>SUM(E24:E33)</f>
        <v>5528730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261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TRUNC(52746,-1)</f>
        <v>52740</v>
      </c>
      <c r="E40" s="62">
        <f t="shared" ref="E40:E59" si="1">TRUNC(+D40*3.3058,-1)</f>
        <v>174340</v>
      </c>
    </row>
    <row r="41" spans="1:7" x14ac:dyDescent="0.3">
      <c r="A41" s="2">
        <v>2</v>
      </c>
      <c r="C41" s="38" t="s">
        <v>13</v>
      </c>
      <c r="D41" s="42">
        <f>TRUNC(158623,-1)</f>
        <v>158620</v>
      </c>
      <c r="E41" s="63">
        <f t="shared" si="1"/>
        <v>524360</v>
      </c>
    </row>
    <row r="42" spans="1:7" x14ac:dyDescent="0.3">
      <c r="A42" s="2">
        <v>3</v>
      </c>
      <c r="C42" s="38" t="s">
        <v>14</v>
      </c>
      <c r="D42" s="42">
        <f>TRUNC(11571,-1)</f>
        <v>11570</v>
      </c>
      <c r="E42" s="63">
        <f t="shared" si="1"/>
        <v>38240</v>
      </c>
    </row>
    <row r="43" spans="1:7" x14ac:dyDescent="0.3">
      <c r="A43" s="2">
        <v>4</v>
      </c>
      <c r="C43" s="38" t="s">
        <v>16</v>
      </c>
      <c r="D43" s="42">
        <f>TRUNC(17262,-1)</f>
        <v>17260</v>
      </c>
      <c r="E43" s="63">
        <f t="shared" si="1"/>
        <v>57050</v>
      </c>
    </row>
    <row r="44" spans="1:7" x14ac:dyDescent="0.3">
      <c r="A44" s="2">
        <v>5</v>
      </c>
      <c r="C44" s="38" t="s">
        <v>17</v>
      </c>
      <c r="D44" s="42">
        <f>TRUNC(21058,-1)</f>
        <v>21050</v>
      </c>
      <c r="E44" s="63">
        <f t="shared" si="1"/>
        <v>69580</v>
      </c>
    </row>
    <row r="45" spans="1:7" x14ac:dyDescent="0.3">
      <c r="A45" s="2">
        <v>6</v>
      </c>
      <c r="C45" s="38" t="s">
        <v>18</v>
      </c>
      <c r="D45" s="42">
        <f>TRUNC(18154,-1)</f>
        <v>18150</v>
      </c>
      <c r="E45" s="63">
        <f t="shared" si="1"/>
        <v>60000</v>
      </c>
    </row>
    <row r="46" spans="1:7" x14ac:dyDescent="0.3">
      <c r="A46" s="2">
        <v>7</v>
      </c>
      <c r="C46" s="38" t="s">
        <v>19</v>
      </c>
      <c r="D46" s="42">
        <f>TRUNC(2417,-1)</f>
        <v>2410</v>
      </c>
      <c r="E46" s="63">
        <f t="shared" si="1"/>
        <v>7960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TRUNC(33408,-1)</f>
        <v>33400</v>
      </c>
      <c r="E48" s="63">
        <f t="shared" si="1"/>
        <v>110410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TRUNC(32006,-1)</f>
        <v>32000</v>
      </c>
      <c r="E49" s="63">
        <f t="shared" si="1"/>
        <v>105780</v>
      </c>
    </row>
    <row r="50" spans="1:7" x14ac:dyDescent="0.3">
      <c r="A50" s="2">
        <v>11</v>
      </c>
      <c r="C50" s="38" t="s">
        <v>155</v>
      </c>
      <c r="D50" s="42">
        <f>TRUNC(61930,-1)</f>
        <v>61930</v>
      </c>
      <c r="E50" s="63">
        <f t="shared" si="1"/>
        <v>204720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TRUNC(11598,-1)</f>
        <v>11590</v>
      </c>
      <c r="E52" s="63">
        <f t="shared" si="1"/>
        <v>38310</v>
      </c>
    </row>
    <row r="53" spans="1:7" x14ac:dyDescent="0.3">
      <c r="A53" s="2">
        <v>14</v>
      </c>
      <c r="C53" s="38" t="s">
        <v>25</v>
      </c>
      <c r="D53" s="42">
        <f>TRUNC(130384,-1)</f>
        <v>130380</v>
      </c>
      <c r="E53" s="63">
        <f t="shared" si="1"/>
        <v>431010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TRUNC(3915+1928+2129-605,-1)</f>
        <v>7360</v>
      </c>
      <c r="E58" s="63">
        <f t="shared" si="1"/>
        <v>24330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TRUNC(277381,-1)</f>
        <v>277380</v>
      </c>
      <c r="E59" s="64">
        <f t="shared" si="1"/>
        <v>916960</v>
      </c>
    </row>
    <row r="60" spans="1:7" x14ac:dyDescent="0.3">
      <c r="A60" s="2">
        <v>21</v>
      </c>
      <c r="C60" s="27" t="s">
        <v>112</v>
      </c>
      <c r="D60" s="39">
        <f>SUM(D40:D59)</f>
        <v>835840</v>
      </c>
      <c r="E60" s="39">
        <f>SUM(E40:E59)</f>
        <v>2763050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TRUNC(13027,-1)</f>
        <v>13020</v>
      </c>
      <c r="E63" s="62">
        <f>TRUNC(+D63*3.3058,-1)</f>
        <v>43040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13020</v>
      </c>
      <c r="E66" s="65">
        <f>SUM(E63:E65)</f>
        <v>43040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TRUNC(6618,-1)</f>
        <v>6610</v>
      </c>
      <c r="E69" s="62">
        <f t="shared" ref="E69:E94" si="2">TRUNC(+D69*3.3058,-1)</f>
        <v>21850</v>
      </c>
    </row>
    <row r="70" spans="1:7" ht="16.5" customHeight="1" x14ac:dyDescent="0.3">
      <c r="A70" s="2">
        <v>2</v>
      </c>
      <c r="C70" s="38" t="s">
        <v>31</v>
      </c>
      <c r="D70" s="42">
        <f>TRUNC(307,-1)</f>
        <v>300</v>
      </c>
      <c r="E70" s="63">
        <f t="shared" si="2"/>
        <v>990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TRUNC(5607,-1)</f>
        <v>5600</v>
      </c>
      <c r="E72" s="63">
        <f t="shared" si="2"/>
        <v>18510</v>
      </c>
    </row>
    <row r="73" spans="1:7" x14ac:dyDescent="0.3">
      <c r="A73" s="2">
        <v>5</v>
      </c>
      <c r="C73" s="38" t="s">
        <v>34</v>
      </c>
      <c r="D73" s="42">
        <f>TRUNC(29274,-1)</f>
        <v>29270</v>
      </c>
      <c r="E73" s="63">
        <f t="shared" si="2"/>
        <v>96760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TRUNC(9163,-1)</f>
        <v>9160</v>
      </c>
      <c r="E89" s="63">
        <f t="shared" si="2"/>
        <v>30280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TRUNC(4000,-1)</f>
        <v>4000</v>
      </c>
      <c r="E91" s="63">
        <f t="shared" si="2"/>
        <v>13220</v>
      </c>
    </row>
    <row r="92" spans="1:7" x14ac:dyDescent="0.3">
      <c r="A92" s="2">
        <v>24</v>
      </c>
      <c r="C92" s="38" t="s">
        <v>38</v>
      </c>
      <c r="D92" s="42">
        <f>TRUNC(13940,-1)</f>
        <v>13940</v>
      </c>
      <c r="E92" s="63">
        <f t="shared" si="2"/>
        <v>46080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68880</v>
      </c>
      <c r="E95" s="39">
        <f>SUM(E69:E94)</f>
        <v>227690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TRUNC(6376,-1)</f>
        <v>6370</v>
      </c>
      <c r="E98" s="62">
        <f t="shared" ref="E98:E118" si="3">TRUNC(+D98*3.3058,-1)</f>
        <v>21050</v>
      </c>
    </row>
    <row r="99" spans="1:7" x14ac:dyDescent="0.3">
      <c r="A99" s="2">
        <v>2</v>
      </c>
      <c r="C99" s="38" t="s">
        <v>40</v>
      </c>
      <c r="D99" s="42">
        <f>TRUNC(5331,-1)</f>
        <v>5330</v>
      </c>
      <c r="E99" s="63">
        <f t="shared" si="3"/>
        <v>17610</v>
      </c>
    </row>
    <row r="100" spans="1:7" x14ac:dyDescent="0.3">
      <c r="A100" s="2">
        <v>3</v>
      </c>
      <c r="C100" s="38" t="s">
        <v>41</v>
      </c>
      <c r="D100" s="42">
        <f>TRUNC(28716,-1)</f>
        <v>28710</v>
      </c>
      <c r="E100" s="63">
        <f t="shared" si="3"/>
        <v>94900</v>
      </c>
    </row>
    <row r="101" spans="1:7" x14ac:dyDescent="0.3">
      <c r="A101" s="2">
        <v>4</v>
      </c>
      <c r="C101" s="38" t="s">
        <v>42</v>
      </c>
      <c r="D101" s="42">
        <f>TRUNC(1683,-1)</f>
        <v>1680</v>
      </c>
      <c r="E101" s="63">
        <f t="shared" si="3"/>
        <v>5550</v>
      </c>
    </row>
    <row r="102" spans="1:7" x14ac:dyDescent="0.3">
      <c r="A102" s="2">
        <v>5</v>
      </c>
      <c r="C102" s="38" t="s">
        <v>43</v>
      </c>
      <c r="D102" s="42">
        <f>TRUNC(18258,-1)</f>
        <v>18250</v>
      </c>
      <c r="E102" s="63">
        <f t="shared" si="3"/>
        <v>60330</v>
      </c>
    </row>
    <row r="103" spans="1:7" x14ac:dyDescent="0.3">
      <c r="A103" s="2">
        <v>6</v>
      </c>
      <c r="C103" s="38" t="s">
        <v>44</v>
      </c>
      <c r="D103" s="42">
        <f>TRUNC(14921,-1)</f>
        <v>14920</v>
      </c>
      <c r="E103" s="63">
        <f t="shared" si="3"/>
        <v>49320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f>TRUNC(6346,-1)</f>
        <v>6340</v>
      </c>
      <c r="E105" s="63">
        <f t="shared" si="3"/>
        <v>20950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TRUNC(3095,-1)</f>
        <v>3090</v>
      </c>
      <c r="E114" s="63">
        <f t="shared" si="3"/>
        <v>10210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TRUNC(20127,-1)</f>
        <v>20120</v>
      </c>
      <c r="E116" s="63">
        <f t="shared" si="3"/>
        <v>66510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TRUNC(108766,-1)</f>
        <v>108760</v>
      </c>
      <c r="E117" s="63">
        <f t="shared" si="3"/>
        <v>359530</v>
      </c>
    </row>
    <row r="118" spans="1:7" ht="17.25" thickBot="1" x14ac:dyDescent="0.35">
      <c r="A118" s="2">
        <v>21</v>
      </c>
      <c r="C118" s="38" t="s">
        <v>47</v>
      </c>
      <c r="D118" s="43">
        <f>TRUNC(1434,-1)</f>
        <v>1430</v>
      </c>
      <c r="E118" s="64">
        <f t="shared" si="3"/>
        <v>4720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215000</v>
      </c>
      <c r="E119" s="39">
        <f>SUM(E98:E118)</f>
        <v>710680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TRUNC(3546,-1)</f>
        <v>3540</v>
      </c>
      <c r="E122" s="62">
        <f t="shared" ref="E122:E132" si="4">TRUNC(+D122*3.3058,-1)</f>
        <v>11700</v>
      </c>
      <c r="F122" s="2" t="s">
        <v>257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TRUNC(1433,-1)</f>
        <v>1430</v>
      </c>
      <c r="E124" s="63">
        <f t="shared" si="4"/>
        <v>4720</v>
      </c>
    </row>
    <row r="125" spans="1:7" x14ac:dyDescent="0.3">
      <c r="A125" s="2">
        <v>4</v>
      </c>
      <c r="C125" s="38" t="s">
        <v>138</v>
      </c>
      <c r="D125" s="42">
        <f>TRUNC(7161,-1)</f>
        <v>7160</v>
      </c>
      <c r="E125" s="63">
        <f t="shared" si="4"/>
        <v>23660</v>
      </c>
    </row>
    <row r="126" spans="1:7" x14ac:dyDescent="0.3">
      <c r="A126" s="2">
        <v>5</v>
      </c>
      <c r="C126" s="38" t="s">
        <v>53</v>
      </c>
      <c r="D126" s="42">
        <f>TRUNC(10236,-1)</f>
        <v>10230</v>
      </c>
      <c r="E126" s="63">
        <f t="shared" si="4"/>
        <v>33810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TRUNC(2205,-1)</f>
        <v>2200</v>
      </c>
      <c r="E128" s="63">
        <f t="shared" si="4"/>
        <v>7270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TRUNC(9705,-1)</f>
        <v>9700</v>
      </c>
      <c r="E130" s="63">
        <f t="shared" si="4"/>
        <v>32060</v>
      </c>
    </row>
    <row r="131" spans="1:7" x14ac:dyDescent="0.3">
      <c r="A131" s="2">
        <v>10</v>
      </c>
      <c r="C131" s="38" t="s">
        <v>148</v>
      </c>
      <c r="D131" s="42">
        <f>TRUNC(15462,-1)</f>
        <v>15460</v>
      </c>
      <c r="E131" s="63">
        <f t="shared" si="4"/>
        <v>51100</v>
      </c>
    </row>
    <row r="132" spans="1:7" ht="18" thickBot="1" x14ac:dyDescent="0.35">
      <c r="A132" s="2">
        <v>11</v>
      </c>
      <c r="C132" s="38" t="s">
        <v>47</v>
      </c>
      <c r="D132" s="43">
        <f>TRUNC(2369,-1)</f>
        <v>2360</v>
      </c>
      <c r="E132" s="64">
        <f t="shared" si="4"/>
        <v>7800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52080</v>
      </c>
      <c r="E133" s="39">
        <f>SUM(E122:E132)</f>
        <v>172120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TRUNC(11606,-1)</f>
        <v>11600</v>
      </c>
      <c r="E137" s="63">
        <f t="shared" si="5"/>
        <v>38340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TRUNC(5872,-1)</f>
        <v>5870</v>
      </c>
      <c r="E139" s="63">
        <f t="shared" si="5"/>
        <v>19400</v>
      </c>
    </row>
    <row r="140" spans="1:7" x14ac:dyDescent="0.3">
      <c r="A140" s="2">
        <v>5</v>
      </c>
      <c r="C140" s="38" t="s">
        <v>57</v>
      </c>
      <c r="D140" s="42">
        <f>TRUNC(14149,-1)</f>
        <v>14140</v>
      </c>
      <c r="E140" s="63">
        <f t="shared" si="5"/>
        <v>46740</v>
      </c>
    </row>
    <row r="141" spans="1:7" x14ac:dyDescent="0.3">
      <c r="A141" s="2">
        <v>6</v>
      </c>
      <c r="C141" s="38" t="s">
        <v>59</v>
      </c>
      <c r="D141" s="42">
        <f>TRUNC(30380,-1)</f>
        <v>30380</v>
      </c>
      <c r="E141" s="63">
        <f t="shared" si="5"/>
        <v>100430</v>
      </c>
    </row>
    <row r="142" spans="1:7" x14ac:dyDescent="0.3">
      <c r="A142" s="2">
        <v>7</v>
      </c>
      <c r="C142" s="38" t="s">
        <v>58</v>
      </c>
      <c r="D142" s="42">
        <f>TRUNC(1410,-1)</f>
        <v>1410</v>
      </c>
      <c r="E142" s="63">
        <f t="shared" si="5"/>
        <v>4660</v>
      </c>
    </row>
    <row r="143" spans="1:7" x14ac:dyDescent="0.3">
      <c r="A143" s="2">
        <v>8</v>
      </c>
      <c r="C143" s="38" t="s">
        <v>62</v>
      </c>
      <c r="D143" s="42">
        <f>TRUNC(5100,-1)</f>
        <v>5100</v>
      </c>
      <c r="E143" s="63">
        <f t="shared" si="5"/>
        <v>16850</v>
      </c>
    </row>
    <row r="144" spans="1:7" x14ac:dyDescent="0.3">
      <c r="A144" s="2">
        <v>9</v>
      </c>
      <c r="C144" s="38" t="s">
        <v>63</v>
      </c>
      <c r="D144" s="42">
        <f>TRUNC(10601,-1)</f>
        <v>10600</v>
      </c>
      <c r="E144" s="63">
        <f t="shared" si="5"/>
        <v>35040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79100</v>
      </c>
      <c r="E146" s="39">
        <f>SUM(E136:E145)</f>
        <v>261460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TRUNC(6502+2868,-1)</f>
        <v>9370</v>
      </c>
      <c r="E149" s="62">
        <f>TRUNC(+D149*3.3058,-1)</f>
        <v>30970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TRUNC(7245,-1)</f>
        <v>7240</v>
      </c>
      <c r="E150" s="63">
        <f>TRUNC(+D150*3.3058,-1)</f>
        <v>23930</v>
      </c>
    </row>
    <row r="151" spans="1:7" x14ac:dyDescent="0.3">
      <c r="A151" s="2">
        <v>3</v>
      </c>
      <c r="C151" s="38" t="s">
        <v>50</v>
      </c>
      <c r="D151" s="42">
        <f>TRUNC(7177,-1)</f>
        <v>7170</v>
      </c>
      <c r="E151" s="63">
        <f>TRUNC(+D151*3.3058,-1)</f>
        <v>23700</v>
      </c>
    </row>
    <row r="152" spans="1:7" x14ac:dyDescent="0.3">
      <c r="A152" s="2">
        <v>4</v>
      </c>
      <c r="C152" s="38" t="s">
        <v>47</v>
      </c>
      <c r="D152" s="42">
        <f>TRUNC(8353+1077,-1)</f>
        <v>9430</v>
      </c>
      <c r="E152" s="63">
        <f>TRUNC(+D152*3.3058,-1)</f>
        <v>31170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33210</v>
      </c>
      <c r="E154" s="39">
        <f>SUM(E149:E153)</f>
        <v>109770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TRUNC(14600,-1)</f>
        <v>14600</v>
      </c>
      <c r="E157" s="62">
        <f>TRUNC(+D157*3.3058,-1)</f>
        <v>48260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14600</v>
      </c>
      <c r="E161" s="39">
        <f>SUM(E157:E160)</f>
        <v>48260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2020-12-08T02:06:34Z</dcterms:modified>
</cp:coreProperties>
</file>