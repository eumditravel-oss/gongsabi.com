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20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58" i="4" l="1"/>
  <c r="E145" i="4"/>
  <c r="E138" i="4"/>
  <c r="E136" i="4"/>
  <c r="E129" i="4"/>
  <c r="E127" i="4"/>
  <c r="E123" i="4"/>
  <c r="E115" i="4"/>
  <c r="E113" i="4"/>
  <c r="E112" i="4"/>
  <c r="E111" i="4"/>
  <c r="E110" i="4"/>
  <c r="E109" i="4"/>
  <c r="E108" i="4"/>
  <c r="E107" i="4"/>
  <c r="E106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4" i="4"/>
  <c r="E71" i="4"/>
  <c r="E65" i="4"/>
  <c r="E64" i="4"/>
  <c r="E57" i="4"/>
  <c r="E56" i="4"/>
  <c r="E55" i="4"/>
  <c r="E54" i="4"/>
  <c r="E51" i="4"/>
  <c r="E47" i="4"/>
  <c r="E37" i="4"/>
  <c r="D160" i="4" l="1"/>
  <c r="E160" i="4" s="1"/>
  <c r="D159" i="4"/>
  <c r="E159" i="4" s="1"/>
  <c r="D157" i="4"/>
  <c r="E157" i="4" s="1"/>
  <c r="D153" i="4"/>
  <c r="E153" i="4" s="1"/>
  <c r="D152" i="4"/>
  <c r="E152" i="4" s="1"/>
  <c r="D151" i="4"/>
  <c r="E151" i="4" s="1"/>
  <c r="D150" i="4"/>
  <c r="E150" i="4" s="1"/>
  <c r="D149" i="4"/>
  <c r="E149" i="4" s="1"/>
  <c r="D144" i="4"/>
  <c r="E144" i="4" s="1"/>
  <c r="D143" i="4"/>
  <c r="E143" i="4" s="1"/>
  <c r="D142" i="4"/>
  <c r="E142" i="4" s="1"/>
  <c r="D141" i="4"/>
  <c r="E141" i="4" s="1"/>
  <c r="D140" i="4"/>
  <c r="E140" i="4" s="1"/>
  <c r="D139" i="4"/>
  <c r="E139" i="4" s="1"/>
  <c r="D137" i="4"/>
  <c r="E137" i="4" s="1"/>
  <c r="E146" i="4" s="1"/>
  <c r="D132" i="4"/>
  <c r="E132" i="4" s="1"/>
  <c r="D131" i="4"/>
  <c r="E131" i="4" s="1"/>
  <c r="D130" i="4"/>
  <c r="E130" i="4" s="1"/>
  <c r="D128" i="4"/>
  <c r="E128" i="4" s="1"/>
  <c r="D126" i="4"/>
  <c r="E126" i="4" s="1"/>
  <c r="D125" i="4"/>
  <c r="E125" i="4" s="1"/>
  <c r="D124" i="4"/>
  <c r="E124" i="4" s="1"/>
  <c r="D122" i="4"/>
  <c r="E122" i="4" s="1"/>
  <c r="D118" i="4"/>
  <c r="E118" i="4" s="1"/>
  <c r="D117" i="4"/>
  <c r="E117" i="4" s="1"/>
  <c r="D116" i="4"/>
  <c r="E116" i="4" s="1"/>
  <c r="D114" i="4"/>
  <c r="E114" i="4" s="1"/>
  <c r="D105" i="4"/>
  <c r="E105" i="4" s="1"/>
  <c r="D104" i="4"/>
  <c r="E104" i="4" s="1"/>
  <c r="D103" i="4"/>
  <c r="E103" i="4" s="1"/>
  <c r="D102" i="4"/>
  <c r="E102" i="4" s="1"/>
  <c r="D101" i="4"/>
  <c r="E101" i="4" s="1"/>
  <c r="D100" i="4"/>
  <c r="E100" i="4" s="1"/>
  <c r="D99" i="4"/>
  <c r="E99" i="4" s="1"/>
  <c r="E119" i="4" s="1"/>
  <c r="D98" i="4"/>
  <c r="E98" i="4" s="1"/>
  <c r="D94" i="4"/>
  <c r="E94" i="4" s="1"/>
  <c r="D93" i="4"/>
  <c r="E93" i="4" s="1"/>
  <c r="D92" i="4"/>
  <c r="E92" i="4" s="1"/>
  <c r="D91" i="4"/>
  <c r="E91" i="4" s="1"/>
  <c r="D90" i="4"/>
  <c r="E90" i="4" s="1"/>
  <c r="D89" i="4"/>
  <c r="E89" i="4" s="1"/>
  <c r="D75" i="4"/>
  <c r="E75" i="4" s="1"/>
  <c r="D73" i="4"/>
  <c r="E73" i="4" s="1"/>
  <c r="D72" i="4"/>
  <c r="E72" i="4" s="1"/>
  <c r="D70" i="4"/>
  <c r="E70" i="4" s="1"/>
  <c r="D69" i="4"/>
  <c r="E69" i="4" s="1"/>
  <c r="E95" i="4" s="1"/>
  <c r="D63" i="4"/>
  <c r="E63" i="4" s="1"/>
  <c r="E66" i="4" s="1"/>
  <c r="D59" i="4"/>
  <c r="E59" i="4" s="1"/>
  <c r="D58" i="4"/>
  <c r="E58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E133" i="4" l="1"/>
  <c r="E154" i="4"/>
  <c r="E161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<sst xmlns="http://schemas.openxmlformats.org/spreadsheetml/2006/main" count="389" uniqueCount="264">
  <si>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</si>
  <si>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</si>
  <si>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</si>
  <si>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</si>
  <si>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</si>
  <si>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</si>
  <si>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</si>
  <si>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</si>
  <si>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</si>
  <si>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</si>
  <si>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</si>
  <si>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</si>
  <si>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</si>
  <si>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</si>
  <si>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</si>
  <si>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</si>
  <si>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</si>
  <si>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</si>
  <si>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</si>
  <si>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</si>
  <si>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</si>
  <si>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</si>
  <si>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</si>
  <si>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</si>
  <si>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</si>
  <si>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</si>
  <si>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</si>
  <si>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</si>
  <si>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</si>
  <si>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</si>
  <si>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</si>
  <si>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</si>
  <si>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</si>
  <si>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</si>
  <si>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</si>
  <si>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</si>
  <si>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</si>
  <si>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</si>
  <si>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</si>
  <si>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</si>
  <si>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</si>
  <si>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</si>
  <si>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</si>
  <si>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</si>
  <si>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</si>
  <si>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</si>
  <si>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</si>
  <si>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</si>
  <si>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</si>
  <si>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</si>
  <si>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</si>
  <si>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</si>
  <si>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</si>
  <si>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</si>
  <si>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</si>
  <si>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</si>
  <si>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</si>
  <si>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</si>
  <si>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</si>
  <si>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</si>
  <si>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</si>
  <si>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</si>
  <si>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</si>
  <si>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</si>
  <si>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</si>
  <si>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</si>
  <si>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</si>
  <si>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</si>
  <si>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</si>
  <si>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</si>
  <si>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</si>
  <si>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</si>
  <si>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</si>
  <si>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</si>
  <si>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</si>
  <si>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</si>
  <si>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</si>
  <si>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</si>
  <si>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</si>
  <si>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</si>
  <si>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</si>
  <si>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</si>
  <si>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</si>
  <si>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</si>
  <si>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</si>
  <si>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</si>
  <si>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</si>
  <si>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</si>
  <si>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</si>
  <si>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</si>
  <si>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</si>
  <si>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</si>
  <si>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</si>
  <si>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</si>
  <si>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</si>
  <si>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</si>
  <si>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</si>
  <si>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</si>
  <si>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</si>
  <si>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</si>
  <si>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</si>
  <si>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</si>
  <si>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</si>
  <si>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</si>
  <si>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</si>
  <si>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</si>
  <si>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</si>
  <si>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</si>
  <si>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</si>
  <si>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</si>
  <si>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</si>
  <si>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</si>
  <si>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</si>
  <si>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</si>
  <si>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</si>
  <si>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</si>
  <si>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</si>
  <si>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</si>
  <si>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</si>
  <si>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</si>
  <si>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</si>
  <si>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</si>
  <si>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</si>
  <si>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</si>
  <si>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</si>
  <si>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</si>
  <si>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</si>
  <si>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</si>
  <si>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</si>
  <si>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</si>
  <si>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</si>
  <si>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</si>
  <si>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</si>
  <si>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</si>
  <si>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</si>
  <si>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</si>
  <si>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</si>
  <si>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</si>
  <si>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</si>
  <si>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</si>
  <si>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</si>
  <si>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</si>
  <si>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</si>
  <si>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</si>
  <si>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</si>
  <si>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</si>
  <si>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</si>
  <si>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</si>
  <si>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</si>
  <si>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</si>
  <si>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</si>
  <si>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</si>
  <si>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</si>
  <si>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</si>
  <si>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</si>
  <si>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</si>
  <si>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</si>
  <si>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</si>
  <si>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</si>
  <si>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</si>
  <si>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</si>
  <si>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</si>
  <si>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</si>
  <si>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</si>
  <si>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</si>
  <si>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</si>
  <si>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</si>
  <si>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</si>
  <si>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</si>
  <si>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</si>
  <si>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</si>
  <si>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</si>
  <si>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</si>
  <si>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</si>
  <si>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</si>
  <si>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</si>
  <si>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</si>
  <si>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</si>
  <si>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</si>
  <si>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</si>
  <si>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</si>
  <si>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</si>
  <si>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</si>
  <si>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</si>
  <si>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</si>
  <si>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</si>
  <si>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</si>
  <si>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</si>
  <si>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</si>
  <si>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</si>
  <si>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</si>
  <si>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</si>
  <si>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</si>
  <si>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</si>
  <si>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</si>
  <si>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</si>
  <si>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</si>
  <si>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</si>
  <si>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</si>
  <si>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</si>
  <si>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</si>
  <si>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</si>
  <si>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</si>
  <si>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</si>
  <si>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</si>
  <si>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</si>
  <si>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</si>
  <si>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</si>
  <si>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</si>
  <si>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</si>
  <si>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</si>
  <si>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</si>
  <si>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</si>
  <si>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</si>
  <si>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</si>
  <si>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</si>
  <si>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</si>
  <si>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</si>
  <si>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</si>
  <si>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</si>
  <si>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</si>
  <si>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</si>
  <si>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</si>
  <si>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</si>
  <si>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</si>
  <si>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</si>
  <si>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</si>
  <si>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</si>
  <si>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</si>
  <si>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</si>
  <si>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</si>
  <si>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</si>
  <si>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</si>
  <si>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</si>
  <si>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</si>
  <si>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</si>
  <si>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</si>
  <si>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</si>
  <si>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</si>
  <si>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</si>
  <si>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</si>
  <si>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</si>
  <si>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</si>
  <si>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</si>
  <si>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</si>
  <si>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</si>
  <si>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</si>
  <si>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</si>
  <si>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나성중학교 신축공사</t>
    <phoneticPr fontId="2" type="noConversion"/>
  </si>
  <si>
    <t>세종시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</si>
  <si>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</si>
  <si>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</si>
  <si>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</si>
  <si>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 골재비및운반비, 작업부산물, 품질시험비, 기타공사</t>
    <phoneticPr fontId="2" type="noConversion"/>
  </si>
  <si>
    <t>공조배관공사, 난방배관공사, 기타공사</t>
    <phoneticPr fontId="2" type="noConversion"/>
  </si>
  <si>
    <t>옥외보안등설비공사</t>
    <phoneticPr fontId="2" type="noConversion"/>
  </si>
  <si>
    <t>사급자재비, 운반비, 기타공사</t>
    <phoneticPr fontId="2" type="noConversion"/>
  </si>
  <si>
    <t>포장공사</t>
    <phoneticPr fontId="2" type="noConversion"/>
  </si>
  <si>
    <t>원 /평</t>
    <phoneticPr fontId="2" type="noConversion"/>
  </si>
  <si>
    <t>원 /평</t>
    <phoneticPr fontId="2" type="noConversion"/>
  </si>
  <si>
    <t>원/ m2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</si>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</sst>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155</v>
      </c>
      <c r="B2" s="72" t="s">
        <v>0</v>
      </c>
      <c r="C2" s="73"/>
      <c r="D2" s="72" t="s">
        <v>1</v>
      </c>
      <c r="E2" s="73"/>
      <c r="F2" s="72" t="s">
        <v>156</v>
      </c>
      <c r="G2" s="73"/>
      <c r="H2" s="72" t="s">
        <v>2</v>
      </c>
      <c r="I2" s="73"/>
      <c r="J2" s="72" t="s">
        <v>3</v>
      </c>
      <c r="K2" s="73"/>
      <c r="L2" s="72" t="s">
        <v>157</v>
      </c>
      <c r="M2" s="73"/>
      <c r="N2" s="72" t="s">
        <v>158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235</v>
      </c>
    </row>
    <row r="7" spans="1:4" ht="17.25" thickBot="1" x14ac:dyDescent="0.35">
      <c r="C7" s="37">
        <v>9512.81</v>
      </c>
      <c r="D7" s="36">
        <f>+C7/3.3058</f>
        <v>2877.6120757456588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236</v>
      </c>
      <c r="E23" s="35" t="s">
        <v>258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886130</v>
      </c>
      <c r="E25" s="59">
        <f t="shared" si="0"/>
        <v>2929360</v>
      </c>
    </row>
    <row r="26" spans="1:5" x14ac:dyDescent="0.3">
      <c r="B26" s="2">
        <v>3</v>
      </c>
      <c r="C26" s="35" t="s">
        <v>95</v>
      </c>
      <c r="D26" s="45">
        <f>+D66</f>
        <v>5850</v>
      </c>
      <c r="E26" s="59">
        <f t="shared" si="0"/>
        <v>19330</v>
      </c>
    </row>
    <row r="27" spans="1:5" x14ac:dyDescent="0.3">
      <c r="B27" s="2">
        <v>4</v>
      </c>
      <c r="C27" s="35" t="s">
        <v>96</v>
      </c>
      <c r="D27" s="45">
        <f>+D95</f>
        <v>214830</v>
      </c>
      <c r="E27" s="59">
        <f t="shared" si="0"/>
        <v>710180</v>
      </c>
    </row>
    <row r="28" spans="1:5" x14ac:dyDescent="0.3">
      <c r="B28" s="2">
        <v>5</v>
      </c>
      <c r="C28" s="35" t="s">
        <v>97</v>
      </c>
      <c r="D28" s="45">
        <f>+D119</f>
        <v>196590</v>
      </c>
      <c r="E28" s="59">
        <f t="shared" si="0"/>
        <v>649880</v>
      </c>
    </row>
    <row r="29" spans="1:5" x14ac:dyDescent="0.3">
      <c r="B29" s="2">
        <v>6</v>
      </c>
      <c r="C29" s="35" t="s">
        <v>98</v>
      </c>
      <c r="D29" s="45">
        <f>+D133</f>
        <v>86660</v>
      </c>
      <c r="E29" s="59">
        <f t="shared" si="0"/>
        <v>286480</v>
      </c>
    </row>
    <row r="30" spans="1:5" x14ac:dyDescent="0.3">
      <c r="B30" s="2">
        <v>7</v>
      </c>
      <c r="C30" s="35" t="s">
        <v>99</v>
      </c>
      <c r="D30" s="45">
        <f>+D146</f>
        <v>54430</v>
      </c>
      <c r="E30" s="59">
        <f t="shared" si="0"/>
        <v>179930</v>
      </c>
    </row>
    <row r="31" spans="1:5" x14ac:dyDescent="0.3">
      <c r="B31" s="2">
        <v>8</v>
      </c>
      <c r="C31" s="35" t="s">
        <v>100</v>
      </c>
      <c r="D31" s="45">
        <f>+D154</f>
        <v>89770</v>
      </c>
      <c r="E31" s="59">
        <f t="shared" si="0"/>
        <v>296760</v>
      </c>
    </row>
    <row r="32" spans="1:5" x14ac:dyDescent="0.3">
      <c r="B32" s="2">
        <v>9</v>
      </c>
      <c r="C32" s="35" t="s">
        <v>101</v>
      </c>
      <c r="D32" s="45">
        <f>+D161</f>
        <v>34060</v>
      </c>
      <c r="E32" s="59">
        <f t="shared" si="0"/>
        <v>112590</v>
      </c>
    </row>
    <row r="33" spans="1:7" x14ac:dyDescent="0.3">
      <c r="B33" s="2">
        <v>10</v>
      </c>
      <c r="C33" s="35" t="s">
        <v>153</v>
      </c>
      <c r="D33" s="53">
        <f>TRUNC(SUM(D24:D32)*0.275,-1)</f>
        <v>431280</v>
      </c>
      <c r="E33" s="60">
        <f t="shared" si="0"/>
        <v>1425720</v>
      </c>
    </row>
    <row r="34" spans="1:7" x14ac:dyDescent="0.3">
      <c r="C34" s="35" t="s">
        <v>112</v>
      </c>
      <c r="D34" s="44">
        <f>SUM(D24:D33)</f>
        <v>1999600</v>
      </c>
      <c r="E34" s="44">
        <f>SUM(E24:E33)</f>
        <v>6610230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237</v>
      </c>
      <c r="D36" s="57" t="s">
        <v>234</v>
      </c>
      <c r="E36" s="57" t="s">
        <v>258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113</v>
      </c>
      <c r="D39" s="57" t="s">
        <v>260</v>
      </c>
      <c r="E39" s="57" t="s">
        <v>258</v>
      </c>
      <c r="G39" s="55"/>
    </row>
    <row r="40" spans="1:7" x14ac:dyDescent="0.3">
      <c r="A40" s="2">
        <v>1</v>
      </c>
      <c r="C40" s="38" t="s">
        <v>15</v>
      </c>
      <c r="D40" s="40">
        <f>TRUNC(56785,-1)</f>
        <v>56780</v>
      </c>
      <c r="E40" s="62">
        <f>TRUNC(+D40*3.3058,-1)</f>
        <v>187700</v>
      </c>
    </row>
    <row r="41" spans="1:7" x14ac:dyDescent="0.3">
      <c r="A41" s="2">
        <v>2</v>
      </c>
      <c r="C41" s="38" t="s">
        <v>13</v>
      </c>
      <c r="D41" s="42">
        <f>TRUNC(185801,-1)</f>
        <v>185800</v>
      </c>
      <c r="E41" s="63">
        <f t="shared" ref="E41:E59" si="1">TRUNC(+D41*3.3058,-1)</f>
        <v>614210</v>
      </c>
    </row>
    <row r="42" spans="1:7" x14ac:dyDescent="0.3">
      <c r="A42" s="2">
        <v>3</v>
      </c>
      <c r="C42" s="38" t="s">
        <v>14</v>
      </c>
      <c r="D42" s="42">
        <f>TRUNC(9549,-1)</f>
        <v>9540</v>
      </c>
      <c r="E42" s="63">
        <f t="shared" si="1"/>
        <v>31530</v>
      </c>
    </row>
    <row r="43" spans="1:7" x14ac:dyDescent="0.3">
      <c r="A43" s="2">
        <v>4</v>
      </c>
      <c r="C43" s="38" t="s">
        <v>16</v>
      </c>
      <c r="D43" s="42">
        <f>TRUNC(46146,-1)</f>
        <v>46140</v>
      </c>
      <c r="E43" s="63">
        <f t="shared" si="1"/>
        <v>152520</v>
      </c>
    </row>
    <row r="44" spans="1:7" x14ac:dyDescent="0.3">
      <c r="A44" s="2">
        <v>5</v>
      </c>
      <c r="C44" s="38" t="s">
        <v>17</v>
      </c>
      <c r="D44" s="42">
        <f>TRUNC(20439,-1)</f>
        <v>20430</v>
      </c>
      <c r="E44" s="63">
        <f t="shared" si="1"/>
        <v>67530</v>
      </c>
    </row>
    <row r="45" spans="1:7" x14ac:dyDescent="0.3">
      <c r="A45" s="2">
        <v>6</v>
      </c>
      <c r="C45" s="38" t="s">
        <v>18</v>
      </c>
      <c r="D45" s="42">
        <f>TRUNC(8986,-1)</f>
        <v>8980</v>
      </c>
      <c r="E45" s="63">
        <f t="shared" si="1"/>
        <v>29680</v>
      </c>
    </row>
    <row r="46" spans="1:7" x14ac:dyDescent="0.3">
      <c r="A46" s="2">
        <v>7</v>
      </c>
      <c r="C46" s="38" t="s">
        <v>19</v>
      </c>
      <c r="D46" s="42">
        <f>TRUNC(31678,-1)</f>
        <v>31670</v>
      </c>
      <c r="E46" s="63">
        <f t="shared" si="1"/>
        <v>104690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TRUNC(55367,-1)</f>
        <v>55360</v>
      </c>
      <c r="E48" s="63">
        <f t="shared" si="1"/>
        <v>183000</v>
      </c>
      <c r="F48" s="2" t="s">
        <v>250</v>
      </c>
    </row>
    <row r="49" spans="1:7" x14ac:dyDescent="0.3">
      <c r="A49" s="2">
        <v>10</v>
      </c>
      <c r="C49" s="38" t="s">
        <v>22</v>
      </c>
      <c r="D49" s="42">
        <f>TRUNC(16146,-1)</f>
        <v>16140</v>
      </c>
      <c r="E49" s="63">
        <f t="shared" si="1"/>
        <v>53350</v>
      </c>
    </row>
    <row r="50" spans="1:7" x14ac:dyDescent="0.3">
      <c r="A50" s="2">
        <v>11</v>
      </c>
      <c r="C50" s="38" t="s">
        <v>154</v>
      </c>
      <c r="D50" s="42">
        <f>TRUNC(55591,-1)</f>
        <v>55590</v>
      </c>
      <c r="E50" s="63">
        <f t="shared" si="1"/>
        <v>183760</v>
      </c>
      <c r="F50" s="2" t="s">
        <v>251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TRUNC(8238,-1)</f>
        <v>8230</v>
      </c>
      <c r="E52" s="63">
        <f t="shared" si="1"/>
        <v>27200</v>
      </c>
    </row>
    <row r="53" spans="1:7" x14ac:dyDescent="0.3">
      <c r="A53" s="2">
        <v>14</v>
      </c>
      <c r="C53" s="38" t="s">
        <v>25</v>
      </c>
      <c r="D53" s="42">
        <f>TRUNC(66654,-1)</f>
        <v>66650</v>
      </c>
      <c r="E53" s="63">
        <f t="shared" si="1"/>
        <v>220330</v>
      </c>
      <c r="F53" s="2" t="s">
        <v>252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TRUNC(44971+8162-781+6373+10490,-1)</f>
        <v>69210</v>
      </c>
      <c r="E58" s="63">
        <f t="shared" si="1"/>
        <v>228790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TRUNC(255617,-1)</f>
        <v>255610</v>
      </c>
      <c r="E59" s="64">
        <f t="shared" si="1"/>
        <v>844990</v>
      </c>
    </row>
    <row r="60" spans="1:7" x14ac:dyDescent="0.3">
      <c r="A60" s="2">
        <v>21</v>
      </c>
      <c r="C60" s="27" t="s">
        <v>112</v>
      </c>
      <c r="D60" s="39">
        <f>SUM(D40:D59)</f>
        <v>886130</v>
      </c>
      <c r="E60" s="39">
        <f>SUM(E40:E59)</f>
        <v>2929280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238</v>
      </c>
      <c r="C62" s="56" t="s">
        <v>239</v>
      </c>
      <c r="D62" s="57" t="s">
        <v>236</v>
      </c>
      <c r="E62" s="57" t="s">
        <v>259</v>
      </c>
      <c r="G62" s="55"/>
    </row>
    <row r="63" spans="1:7" x14ac:dyDescent="0.3">
      <c r="A63" s="2">
        <v>1</v>
      </c>
      <c r="C63" s="38" t="s">
        <v>27</v>
      </c>
      <c r="D63" s="40">
        <f>TRUNC(5850,-1)</f>
        <v>5850</v>
      </c>
      <c r="E63" s="62">
        <f>TRUNC(+D63*3.3058,-1)</f>
        <v>19330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5850</v>
      </c>
      <c r="E66" s="65">
        <f>SUM(E63:E65)</f>
        <v>19330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240</v>
      </c>
      <c r="C68" s="56" t="s">
        <v>241</v>
      </c>
      <c r="D68" s="57" t="s">
        <v>234</v>
      </c>
      <c r="E68" s="57" t="s">
        <v>259</v>
      </c>
      <c r="G68" s="55"/>
    </row>
    <row r="69" spans="1:7" x14ac:dyDescent="0.3">
      <c r="A69" s="2">
        <v>1</v>
      </c>
      <c r="C69" s="38" t="s">
        <v>30</v>
      </c>
      <c r="D69" s="40">
        <f>TRUNC(8523,-1)</f>
        <v>8520</v>
      </c>
      <c r="E69" s="62">
        <f t="shared" ref="E69:E94" si="2">TRUNC(+D69*3.3058,-1)</f>
        <v>28160</v>
      </c>
    </row>
    <row r="70" spans="1:7" ht="16.5" customHeight="1" x14ac:dyDescent="0.3">
      <c r="A70" s="2">
        <v>2</v>
      </c>
      <c r="C70" s="38" t="s">
        <v>31</v>
      </c>
      <c r="D70" s="42">
        <f>TRUNC(2566,-1)</f>
        <v>2560</v>
      </c>
      <c r="E70" s="63">
        <f t="shared" si="2"/>
        <v>8460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TRUNC(3257,-1)</f>
        <v>3250</v>
      </c>
      <c r="E72" s="63">
        <f t="shared" si="2"/>
        <v>10740</v>
      </c>
    </row>
    <row r="73" spans="1:7" x14ac:dyDescent="0.3">
      <c r="A73" s="2">
        <v>5</v>
      </c>
      <c r="C73" s="38" t="s">
        <v>34</v>
      </c>
      <c r="D73" s="42">
        <f>TRUNC(19582,-1)</f>
        <v>19580</v>
      </c>
      <c r="E73" s="63">
        <f t="shared" si="2"/>
        <v>64720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TRUNC(439,-1)</f>
        <v>430</v>
      </c>
      <c r="E75" s="63">
        <f t="shared" si="2"/>
        <v>1420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TRUNC(8938,-1)</f>
        <v>8930</v>
      </c>
      <c r="E89" s="63">
        <f t="shared" si="2"/>
        <v>29520</v>
      </c>
    </row>
    <row r="90" spans="1:7" x14ac:dyDescent="0.3">
      <c r="A90" s="2">
        <v>22</v>
      </c>
      <c r="C90" s="38" t="s">
        <v>36</v>
      </c>
      <c r="D90" s="42">
        <f>TRUNC(64,-1)</f>
        <v>60</v>
      </c>
      <c r="E90" s="63">
        <f t="shared" si="2"/>
        <v>190</v>
      </c>
    </row>
    <row r="91" spans="1:7" x14ac:dyDescent="0.3">
      <c r="A91" s="2">
        <v>23</v>
      </c>
      <c r="C91" s="38" t="s">
        <v>37</v>
      </c>
      <c r="D91" s="42">
        <f>TRUNC(4196,-1)</f>
        <v>4190</v>
      </c>
      <c r="E91" s="63">
        <f t="shared" si="2"/>
        <v>13850</v>
      </c>
    </row>
    <row r="92" spans="1:7" x14ac:dyDescent="0.3">
      <c r="A92" s="2">
        <v>24</v>
      </c>
      <c r="C92" s="38" t="s">
        <v>38</v>
      </c>
      <c r="D92" s="42">
        <f>TRUNC(9119,-1)</f>
        <v>9110</v>
      </c>
      <c r="E92" s="63">
        <f t="shared" si="2"/>
        <v>30110</v>
      </c>
    </row>
    <row r="93" spans="1:7" x14ac:dyDescent="0.3">
      <c r="A93" s="2">
        <v>25</v>
      </c>
      <c r="C93" s="38" t="s">
        <v>148</v>
      </c>
      <c r="D93" s="42">
        <f>TRUNC(100720,-1)</f>
        <v>100720</v>
      </c>
      <c r="E93" s="63">
        <f t="shared" si="2"/>
        <v>332960</v>
      </c>
    </row>
    <row r="94" spans="1:7" ht="17.25" thickBot="1" x14ac:dyDescent="0.35">
      <c r="A94" s="2">
        <v>26</v>
      </c>
      <c r="C94" s="38" t="s">
        <v>47</v>
      </c>
      <c r="D94" s="43">
        <f>TRUNC(1592+36440+19455,-1)</f>
        <v>57480</v>
      </c>
      <c r="E94" s="64">
        <f t="shared" si="2"/>
        <v>190010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214830</v>
      </c>
      <c r="E95" s="39">
        <f>SUM(E69:E94)</f>
        <v>710140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242</v>
      </c>
      <c r="C97" s="56" t="s">
        <v>241</v>
      </c>
      <c r="D97" s="57" t="s">
        <v>234</v>
      </c>
      <c r="E97" s="57" t="s">
        <v>259</v>
      </c>
      <c r="G97" s="55"/>
    </row>
    <row r="98" spans="1:7" x14ac:dyDescent="0.3">
      <c r="A98" s="2">
        <v>1</v>
      </c>
      <c r="C98" s="38" t="s">
        <v>39</v>
      </c>
      <c r="D98" s="40">
        <f>TRUNC(9342,-1)</f>
        <v>9340</v>
      </c>
      <c r="E98" s="62">
        <f t="shared" ref="E98:E118" si="3">TRUNC(+D98*3.3058,-1)</f>
        <v>30870</v>
      </c>
    </row>
    <row r="99" spans="1:7" x14ac:dyDescent="0.3">
      <c r="A99" s="2">
        <v>2</v>
      </c>
      <c r="C99" s="38" t="s">
        <v>40</v>
      </c>
      <c r="D99" s="42">
        <f>TRUNC(6647,-1)</f>
        <v>6640</v>
      </c>
      <c r="E99" s="63">
        <f t="shared" si="3"/>
        <v>21950</v>
      </c>
    </row>
    <row r="100" spans="1:7" x14ac:dyDescent="0.3">
      <c r="A100" s="2">
        <v>3</v>
      </c>
      <c r="C100" s="38" t="s">
        <v>41</v>
      </c>
      <c r="D100" s="42">
        <f>TRUNC(26765,-1)</f>
        <v>26760</v>
      </c>
      <c r="E100" s="63">
        <f t="shared" si="3"/>
        <v>88460</v>
      </c>
    </row>
    <row r="101" spans="1:7" x14ac:dyDescent="0.3">
      <c r="A101" s="2">
        <v>4</v>
      </c>
      <c r="C101" s="38" t="s">
        <v>42</v>
      </c>
      <c r="D101" s="42">
        <f>TRUNC(821,-1)</f>
        <v>820</v>
      </c>
      <c r="E101" s="63">
        <f t="shared" si="3"/>
        <v>2710</v>
      </c>
    </row>
    <row r="102" spans="1:7" x14ac:dyDescent="0.3">
      <c r="A102" s="2">
        <v>5</v>
      </c>
      <c r="C102" s="38" t="s">
        <v>43</v>
      </c>
      <c r="D102" s="42">
        <f>TRUNC(17349,-1)</f>
        <v>17340</v>
      </c>
      <c r="E102" s="63">
        <f t="shared" si="3"/>
        <v>57320</v>
      </c>
    </row>
    <row r="103" spans="1:7" x14ac:dyDescent="0.3">
      <c r="A103" s="2">
        <v>6</v>
      </c>
      <c r="C103" s="38" t="s">
        <v>44</v>
      </c>
      <c r="D103" s="42">
        <f>TRUNC(10095,-1)</f>
        <v>10090</v>
      </c>
      <c r="E103" s="63">
        <f t="shared" si="3"/>
        <v>33350</v>
      </c>
    </row>
    <row r="104" spans="1:7" x14ac:dyDescent="0.3">
      <c r="A104" s="2">
        <v>7</v>
      </c>
      <c r="C104" s="38" t="s">
        <v>45</v>
      </c>
      <c r="D104" s="42">
        <f>TRUNC(4815,-1)</f>
        <v>4810</v>
      </c>
      <c r="E104" s="63">
        <f t="shared" si="3"/>
        <v>15900</v>
      </c>
    </row>
    <row r="105" spans="1:7" x14ac:dyDescent="0.3">
      <c r="A105" s="2">
        <v>8</v>
      </c>
      <c r="C105" s="38" t="s">
        <v>46</v>
      </c>
      <c r="D105" s="42">
        <f>TRUNC(8282,-1)</f>
        <v>8280</v>
      </c>
      <c r="E105" s="63">
        <f t="shared" si="3"/>
        <v>27370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TRUNC(4068,-1)</f>
        <v>4060</v>
      </c>
      <c r="E114" s="63">
        <f t="shared" si="3"/>
        <v>13420</v>
      </c>
      <c r="F114" s="2" t="s">
        <v>255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TRUNC(4149,-1)</f>
        <v>4140</v>
      </c>
      <c r="E116" s="63">
        <f t="shared" si="3"/>
        <v>13680</v>
      </c>
    </row>
    <row r="117" spans="1:7" x14ac:dyDescent="0.3">
      <c r="A117" s="2">
        <v>20</v>
      </c>
      <c r="C117" s="38" t="s">
        <v>148</v>
      </c>
      <c r="D117" s="42">
        <f>TRUNC(87994,-1)</f>
        <v>87990</v>
      </c>
      <c r="E117" s="63">
        <f t="shared" si="3"/>
        <v>290870</v>
      </c>
    </row>
    <row r="118" spans="1:7" ht="17.25" thickBot="1" x14ac:dyDescent="0.35">
      <c r="A118" s="2">
        <v>21</v>
      </c>
      <c r="C118" s="38" t="s">
        <v>47</v>
      </c>
      <c r="D118" s="43">
        <f>TRUNC(16327,-1)</f>
        <v>16320</v>
      </c>
      <c r="E118" s="64">
        <f t="shared" si="3"/>
        <v>53950</v>
      </c>
    </row>
    <row r="119" spans="1:7" x14ac:dyDescent="0.3">
      <c r="A119" s="2">
        <v>22</v>
      </c>
      <c r="C119" s="27" t="s">
        <v>112</v>
      </c>
      <c r="D119" s="39">
        <f>SUM(D98:D118)</f>
        <v>196590</v>
      </c>
      <c r="E119" s="39">
        <f>SUM(E98:E118)</f>
        <v>649850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243</v>
      </c>
      <c r="C121" s="56" t="s">
        <v>241</v>
      </c>
      <c r="D121" s="57" t="s">
        <v>234</v>
      </c>
      <c r="E121" s="57" t="s">
        <v>259</v>
      </c>
      <c r="G121" s="55"/>
    </row>
    <row r="122" spans="1:7" x14ac:dyDescent="0.3">
      <c r="A122" s="2">
        <v>1</v>
      </c>
      <c r="C122" s="38" t="s">
        <v>55</v>
      </c>
      <c r="D122" s="40">
        <f>TRUNC(4332,-1)</f>
        <v>4330</v>
      </c>
      <c r="E122" s="62">
        <f t="shared" ref="E122:E132" si="4">TRUNC(+D122*3.3058,-1)</f>
        <v>14310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TRUNC(1363,-1)</f>
        <v>1360</v>
      </c>
      <c r="E124" s="63">
        <f t="shared" si="4"/>
        <v>4490</v>
      </c>
    </row>
    <row r="125" spans="1:7" x14ac:dyDescent="0.3">
      <c r="A125" s="2">
        <v>4</v>
      </c>
      <c r="C125" s="38" t="s">
        <v>138</v>
      </c>
      <c r="D125" s="42">
        <f>TRUNC(13742,-1)</f>
        <v>13740</v>
      </c>
      <c r="E125" s="63">
        <f t="shared" si="4"/>
        <v>45420</v>
      </c>
    </row>
    <row r="126" spans="1:7" x14ac:dyDescent="0.3">
      <c r="A126" s="2">
        <v>5</v>
      </c>
      <c r="C126" s="38" t="s">
        <v>53</v>
      </c>
      <c r="D126" s="42">
        <f>TRUNC(1510,-1)</f>
        <v>1510</v>
      </c>
      <c r="E126" s="63">
        <f t="shared" si="4"/>
        <v>4990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TRUNC(8845,-1)</f>
        <v>8840</v>
      </c>
      <c r="E128" s="63">
        <f t="shared" si="4"/>
        <v>29220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TRUNC(14367,-1)</f>
        <v>14360</v>
      </c>
      <c r="E130" s="63">
        <f t="shared" si="4"/>
        <v>47470</v>
      </c>
    </row>
    <row r="131" spans="1:7" x14ac:dyDescent="0.3">
      <c r="A131" s="2">
        <v>10</v>
      </c>
      <c r="C131" s="38" t="s">
        <v>148</v>
      </c>
      <c r="D131" s="42">
        <f>TRUNC(37954,-1)</f>
        <v>37950</v>
      </c>
      <c r="E131" s="63">
        <f t="shared" si="4"/>
        <v>125450</v>
      </c>
    </row>
    <row r="132" spans="1:7" ht="18" thickBot="1" x14ac:dyDescent="0.35">
      <c r="A132" s="2">
        <v>11</v>
      </c>
      <c r="C132" s="38" t="s">
        <v>47</v>
      </c>
      <c r="D132" s="43">
        <f>TRUNC(4576,-1)</f>
        <v>4570</v>
      </c>
      <c r="E132" s="64">
        <f t="shared" si="4"/>
        <v>15100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86660</v>
      </c>
      <c r="E133" s="39">
        <f>SUM(E122:E132)</f>
        <v>286450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244</v>
      </c>
      <c r="C135" s="56" t="s">
        <v>241</v>
      </c>
      <c r="D135" s="57" t="s">
        <v>234</v>
      </c>
      <c r="E135" s="57" t="s">
        <v>259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TRUNC(209,-1)</f>
        <v>200</v>
      </c>
      <c r="E137" s="63">
        <f t="shared" si="5"/>
        <v>660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TRUNC(1349,-1)</f>
        <v>1340</v>
      </c>
      <c r="E139" s="63">
        <f t="shared" si="5"/>
        <v>4420</v>
      </c>
    </row>
    <row r="140" spans="1:7" x14ac:dyDescent="0.3">
      <c r="A140" s="2">
        <v>5</v>
      </c>
      <c r="C140" s="38" t="s">
        <v>57</v>
      </c>
      <c r="D140" s="42">
        <f>TRUNC(5362,-1)</f>
        <v>5360</v>
      </c>
      <c r="E140" s="63">
        <f t="shared" si="5"/>
        <v>17710</v>
      </c>
    </row>
    <row r="141" spans="1:7" x14ac:dyDescent="0.3">
      <c r="A141" s="2">
        <v>6</v>
      </c>
      <c r="C141" s="38" t="s">
        <v>59</v>
      </c>
      <c r="D141" s="42">
        <f>TRUNC(6988,-1)</f>
        <v>6980</v>
      </c>
      <c r="E141" s="63">
        <f t="shared" si="5"/>
        <v>23070</v>
      </c>
    </row>
    <row r="142" spans="1:7" x14ac:dyDescent="0.3">
      <c r="A142" s="2">
        <v>7</v>
      </c>
      <c r="C142" s="38" t="s">
        <v>58</v>
      </c>
      <c r="D142" s="42">
        <f>TRUNC(6950,-1)</f>
        <v>6950</v>
      </c>
      <c r="E142" s="63">
        <f t="shared" si="5"/>
        <v>22970</v>
      </c>
    </row>
    <row r="143" spans="1:7" x14ac:dyDescent="0.3">
      <c r="A143" s="2">
        <v>8</v>
      </c>
      <c r="C143" s="38" t="s">
        <v>62</v>
      </c>
      <c r="D143" s="42">
        <f>TRUNC(7926,-1)</f>
        <v>7920</v>
      </c>
      <c r="E143" s="63">
        <f t="shared" si="5"/>
        <v>26180</v>
      </c>
    </row>
    <row r="144" spans="1:7" x14ac:dyDescent="0.3">
      <c r="A144" s="2">
        <v>9</v>
      </c>
      <c r="C144" s="38" t="s">
        <v>63</v>
      </c>
      <c r="D144" s="42">
        <f>TRUNC(25685,-1)</f>
        <v>25680</v>
      </c>
      <c r="E144" s="63">
        <f t="shared" si="5"/>
        <v>84890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54430</v>
      </c>
      <c r="E146" s="39">
        <f>SUM(E136:E145)</f>
        <v>179900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245</v>
      </c>
      <c r="C148" s="56" t="s">
        <v>241</v>
      </c>
      <c r="D148" s="57" t="s">
        <v>234</v>
      </c>
      <c r="E148" s="57" t="s">
        <v>259</v>
      </c>
      <c r="G148" s="55"/>
    </row>
    <row r="149" spans="1:7" x14ac:dyDescent="0.3">
      <c r="A149" s="2">
        <v>1</v>
      </c>
      <c r="C149" s="38" t="s">
        <v>48</v>
      </c>
      <c r="D149" s="40">
        <f>TRUNC(8829+2300,-1)</f>
        <v>11120</v>
      </c>
      <c r="E149" s="62">
        <f>TRUNC(+D149*3.3058,-1)</f>
        <v>36760</v>
      </c>
    </row>
    <row r="150" spans="1:7" x14ac:dyDescent="0.3">
      <c r="A150" s="2">
        <v>2</v>
      </c>
      <c r="C150" s="38" t="s">
        <v>49</v>
      </c>
      <c r="D150" s="42">
        <f>TRUNC(9243,-1)</f>
        <v>9240</v>
      </c>
      <c r="E150" s="63">
        <f>TRUNC(+D150*3.3058,-1)</f>
        <v>30540</v>
      </c>
    </row>
    <row r="151" spans="1:7" x14ac:dyDescent="0.3">
      <c r="A151" s="2">
        <v>3</v>
      </c>
      <c r="C151" s="38" t="s">
        <v>50</v>
      </c>
      <c r="D151" s="42">
        <f>TRUNC(8105,-1)</f>
        <v>8100</v>
      </c>
      <c r="E151" s="63">
        <f>TRUNC(+D151*3.3058,-1)</f>
        <v>26770</v>
      </c>
    </row>
    <row r="152" spans="1:7" x14ac:dyDescent="0.3">
      <c r="A152" s="2">
        <v>4</v>
      </c>
      <c r="C152" s="38" t="s">
        <v>47</v>
      </c>
      <c r="D152" s="42">
        <f>TRUNC(7715+71+7084,-1)</f>
        <v>14870</v>
      </c>
      <c r="E152" s="63">
        <f>TRUNC(+D152*3.3058,-1)</f>
        <v>49150</v>
      </c>
      <c r="F152" s="2" t="s">
        <v>256</v>
      </c>
    </row>
    <row r="153" spans="1:7" ht="17.25" thickBot="1" x14ac:dyDescent="0.35">
      <c r="A153" s="2">
        <v>5</v>
      </c>
      <c r="C153" s="38" t="s">
        <v>148</v>
      </c>
      <c r="D153" s="43">
        <f>TRUNC(46445,-1)</f>
        <v>46440</v>
      </c>
      <c r="E153" s="64">
        <f>TRUNC(+D153*3.3058,-1)</f>
        <v>153520</v>
      </c>
    </row>
    <row r="154" spans="1:7" x14ac:dyDescent="0.3">
      <c r="A154" s="2">
        <v>6</v>
      </c>
      <c r="C154" s="27" t="s">
        <v>112</v>
      </c>
      <c r="D154" s="39">
        <f>SUM(D149:D153)</f>
        <v>89770</v>
      </c>
      <c r="E154" s="39">
        <f>SUM(E149:E153)</f>
        <v>296740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246</v>
      </c>
      <c r="C156" s="56" t="s">
        <v>241</v>
      </c>
      <c r="D156" s="57" t="s">
        <v>234</v>
      </c>
      <c r="E156" s="57" t="s">
        <v>259</v>
      </c>
      <c r="G156" s="55"/>
    </row>
    <row r="157" spans="1:7" x14ac:dyDescent="0.3">
      <c r="A157" s="2">
        <v>1</v>
      </c>
      <c r="C157" s="38" t="s">
        <v>51</v>
      </c>
      <c r="D157" s="40">
        <f>TRUNC(26898,-1)</f>
        <v>26890</v>
      </c>
      <c r="E157" s="62">
        <f>TRUNC(+D157*3.3058,-1)</f>
        <v>88890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TRUNC(4692,-1)</f>
        <v>4690</v>
      </c>
      <c r="E159" s="63">
        <f>TRUNC(+D159*3.3058,-1)</f>
        <v>15500</v>
      </c>
      <c r="F159" s="2" t="s">
        <v>257</v>
      </c>
    </row>
    <row r="160" spans="1:7" ht="17.25" thickBot="1" x14ac:dyDescent="0.35">
      <c r="A160" s="2">
        <v>4</v>
      </c>
      <c r="C160" s="38" t="s">
        <v>148</v>
      </c>
      <c r="D160" s="43">
        <f>TRUNC(2486,-1)</f>
        <v>2480</v>
      </c>
      <c r="E160" s="64">
        <f>TRUNC(+D160*3.3058,-1)</f>
        <v>8190</v>
      </c>
    </row>
    <row r="161" spans="1:5" x14ac:dyDescent="0.3">
      <c r="A161" s="2">
        <v>5</v>
      </c>
      <c r="C161" s="27" t="s">
        <v>112</v>
      </c>
      <c r="D161" s="39">
        <f>SUM(D157:D160)</f>
        <v>34060</v>
      </c>
      <c r="E161" s="39">
        <f>SUM(E157:E160)</f>
        <v>112580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2020-12-08T02:10:00Z</dcterms:modified>
</cp:coreProperties>
</file>