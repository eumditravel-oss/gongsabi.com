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84" i="4"/>
  <c r="D124" i="4" l="1"/>
  <c r="D122" i="4"/>
  <c r="D130" i="4"/>
  <c r="D125" i="4"/>
  <c r="D132" i="4"/>
  <c r="D104" i="4"/>
  <c r="D102" i="4"/>
  <c r="D100" i="4"/>
  <c r="D108" i="4"/>
  <c r="D99" i="4"/>
  <c r="D101" i="4"/>
  <c r="D98" i="4"/>
  <c r="D115" i="4"/>
  <c r="D116" i="4"/>
  <c r="D118" i="4"/>
  <c r="D79" i="4"/>
  <c r="D69" i="4"/>
  <c r="D81" i="4"/>
  <c r="D70" i="4"/>
  <c r="D72" i="4"/>
  <c r="D58" i="4"/>
  <c r="D55" i="4"/>
  <c r="D53" i="4"/>
  <c r="D52" i="4"/>
  <c r="D50" i="4"/>
  <c r="D49" i="4"/>
  <c r="D48" i="4"/>
  <c r="D47" i="4"/>
  <c r="D46" i="4"/>
  <c r="D45" i="4"/>
  <c r="D44" i="4"/>
  <c r="D43" i="4"/>
  <c r="D42" i="4"/>
  <c r="D41" i="4"/>
  <c r="D40" i="4"/>
  <c r="D137" i="4"/>
  <c r="D136" i="4"/>
  <c r="D159" i="4"/>
  <c r="D15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46" i="4"/>
  <c r="E133" i="4"/>
  <c r="E119" i="4"/>
  <c r="E95" i="4"/>
  <c r="E60" i="4"/>
  <c r="E154" i="4"/>
  <c r="D161" i="4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<sst xmlns="http://schemas.openxmlformats.org/spreadsheetml/2006/main" count="393" uniqueCount="268">
  <si>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</si>
  <si>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</si>
  <si>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</si>
  <si>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</si>
  <si>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</si>
  <si>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</si>
  <si>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</si>
  <si>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</si>
  <si>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</si>
  <si>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</si>
  <si>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</si>
  <si>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</si>
  <si>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</si>
  <si>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</si>
  <si>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</si>
  <si>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</si>
  <si>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</si>
  <si>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</si>
  <si>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</si>
  <si>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</si>
  <si>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</si>
  <si>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</si>
  <si>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</si>
  <si>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</si>
  <si>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</si>
  <si>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</si>
  <si>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</si>
  <si>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</si>
  <si>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</si>
  <si>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</si>
  <si>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</si>
  <si>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</si>
  <si>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</si>
  <si>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</si>
  <si>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</si>
  <si>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</si>
  <si>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</si>
  <si>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</si>
  <si>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</si>
  <si>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</si>
  <si>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</si>
  <si>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</si>
  <si>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</si>
  <si>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</si>
  <si>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</si>
  <si>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</si>
  <si>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</si>
  <si>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</si>
  <si>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</si>
  <si>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</si>
  <si>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</si>
  <si>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</si>
  <si>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</si>
  <si>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</si>
  <si>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</si>
  <si>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</si>
  <si>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</si>
  <si>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</si>
  <si>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</si>
  <si>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</si>
  <si>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</si>
  <si>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</si>
  <si>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</si>
  <si>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</si>
  <si>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</si>
  <si>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</si>
  <si>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</si>
  <si>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</si>
  <si>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</si>
  <si>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</si>
  <si>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</si>
  <si>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</si>
  <si>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</si>
  <si>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</si>
  <si>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</si>
  <si>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</si>
  <si>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</si>
  <si>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</si>
  <si>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</si>
  <si>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</si>
  <si>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</si>
  <si>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</si>
  <si>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</si>
  <si>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</si>
  <si>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</si>
  <si>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</si>
  <si>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</si>
  <si>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</si>
  <si>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</si>
  <si>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</si>
  <si>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</si>
  <si>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</si>
  <si>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</si>
  <si>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</si>
  <si>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</si>
  <si>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</si>
  <si>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</si>
  <si>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</si>
  <si>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</si>
  <si>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</si>
  <si>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</si>
  <si>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</si>
  <si>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</si>
  <si>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</si>
  <si>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</si>
  <si>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</si>
  <si>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</si>
  <si>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</si>
  <si>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</si>
  <si>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</si>
  <si>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</si>
  <si>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</si>
  <si>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</si>
  <si>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</si>
  <si>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</si>
  <si>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</si>
  <si>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</si>
  <si>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</si>
  <si>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</si>
  <si>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</si>
  <si>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</si>
  <si>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</si>
  <si>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</si>
  <si>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</si>
  <si>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</si>
  <si>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</si>
  <si>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</si>
  <si>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</si>
  <si>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</si>
  <si>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</si>
  <si>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</si>
  <si>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</si>
  <si>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</si>
  <si>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</si>
  <si>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</si>
  <si>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</si>
  <si>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</si>
  <si>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</si>
  <si>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</si>
  <si>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</si>
  <si>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</si>
  <si>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</si>
  <si>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</si>
  <si>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</si>
  <si>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</si>
  <si>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</si>
  <si>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</si>
  <si>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</si>
  <si>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</si>
  <si>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</si>
  <si>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</si>
  <si>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</si>
  <si>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</si>
  <si>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</si>
  <si>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</si>
  <si>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</si>
  <si>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</si>
  <si>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</si>
  <si>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</si>
  <si>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</si>
  <si>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</si>
  <si>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</si>
  <si>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</si>
  <si>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</si>
  <si>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</si>
  <si>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</si>
  <si>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</si>
  <si>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</si>
  <si>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</si>
  <si>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</si>
  <si>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</si>
  <si>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</si>
  <si>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</si>
  <si>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</si>
  <si>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</si>
  <si>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</si>
  <si>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</si>
  <si>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</si>
  <si>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</si>
  <si>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</si>
  <si>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</si>
  <si>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</si>
  <si>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</si>
  <si>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</si>
  <si>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</si>
  <si>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</si>
  <si>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</si>
  <si>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</si>
  <si>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</si>
  <si>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</si>
  <si>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</si>
  <si>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</si>
  <si>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</si>
  <si>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</si>
  <si>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</si>
  <si>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</si>
  <si>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</si>
  <si>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</si>
  <si>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</si>
  <si>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</si>
  <si>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</si>
  <si>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</si>
  <si>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</si>
  <si>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</si>
  <si>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</si>
  <si>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</si>
  <si>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</si>
  <si>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</si>
  <si>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</si>
  <si>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</si>
  <si>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</si>
  <si>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</si>
  <si>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</si>
  <si>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</si>
  <si>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</si>
  <si>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</si>
  <si>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</si>
  <si>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</si>
  <si>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</si>
  <si>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</si>
  <si>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</si>
  <si>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</si>
  <si>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</si>
  <si>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</si>
  <si>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</si>
  <si>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</si>
  <si>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</si>
  <si>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</si>
  <si>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</si>
  <si>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</si>
  <si>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</si>
  <si>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</si>
  <si>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</si>
  <si>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</si>
  <si>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</si>
  <si>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</si>
  <si>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</si>
  <si>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</si>
  <si>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</si>
  <si>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</si>
  <si>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</si>
  <si>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</si>
  <si>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</si>
  <si>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</si>
  <si>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</si>
  <si>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</si>
  <si>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</si>
  <si>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</si>
  <si>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0000신축 및 부대시설공사</t>
    <phoneticPr fontId="2" type="noConversion"/>
  </si>
  <si>
    <t>교육연구</t>
  </si>
  <si>
    <t>경기도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</si>
  <si>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</si>
  <si>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</si>
  <si>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</si>
  <si>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</si>
  <si>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창호및유리공사</t>
    <phoneticPr fontId="2" type="noConversion"/>
  </si>
  <si>
    <t>토및지정공사,기타공사,골재비,부대공사,운반비,작업부산물</t>
    <phoneticPr fontId="2" type="noConversion"/>
  </si>
  <si>
    <t>옥외인입설비공사</t>
    <phoneticPr fontId="2" type="noConversion"/>
  </si>
  <si>
    <t>선풍기설비공사,태양광발전설비공사,단위세대설비공사</t>
    <phoneticPr fontId="2" type="noConversion"/>
  </si>
  <si>
    <t>옥외인입설비공사,옥외CCTV설비공사,CCTV설비공사</t>
    <phoneticPr fontId="2" type="noConversion"/>
  </si>
  <si>
    <t>옥외방송설비공사,방송설비공사</t>
    <phoneticPr fontId="2" type="noConversion"/>
  </si>
  <si>
    <t>냉난방기설치공사</t>
    <phoneticPr fontId="2" type="noConversion"/>
  </si>
  <si>
    <t>전기난방공사, 난방배관공사,우수배관공사,위생배관공사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</si>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</sst>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6" sqref="G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12627</v>
      </c>
      <c r="D7" s="36">
        <f>+C7/3.3058</f>
        <v>3819.6503115735977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465010</v>
      </c>
      <c r="E25" s="59">
        <f t="shared" si="0"/>
        <v>1537230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117740</v>
      </c>
      <c r="E27" s="59">
        <f t="shared" si="0"/>
        <v>389220</v>
      </c>
    </row>
    <row r="28" spans="1:5" x14ac:dyDescent="0.3">
      <c r="B28" s="2">
        <v>5</v>
      </c>
      <c r="C28" s="35" t="s">
        <v>97</v>
      </c>
      <c r="D28" s="45">
        <f>+D119</f>
        <v>55310</v>
      </c>
      <c r="E28" s="59">
        <f t="shared" si="0"/>
        <v>182840</v>
      </c>
    </row>
    <row r="29" spans="1:5" x14ac:dyDescent="0.3">
      <c r="B29" s="2">
        <v>6</v>
      </c>
      <c r="C29" s="35" t="s">
        <v>98</v>
      </c>
      <c r="D29" s="45">
        <f>+D133</f>
        <v>28000</v>
      </c>
      <c r="E29" s="59">
        <f t="shared" si="0"/>
        <v>92560</v>
      </c>
    </row>
    <row r="30" spans="1:5" x14ac:dyDescent="0.3">
      <c r="B30" s="2">
        <v>7</v>
      </c>
      <c r="C30" s="35" t="s">
        <v>99</v>
      </c>
      <c r="D30" s="45">
        <f>+D146</f>
        <v>24690</v>
      </c>
      <c r="E30" s="59">
        <f t="shared" si="0"/>
        <v>81620</v>
      </c>
    </row>
    <row r="31" spans="1:5" x14ac:dyDescent="0.3">
      <c r="B31" s="2">
        <v>8</v>
      </c>
      <c r="C31" s="35" t="s">
        <v>100</v>
      </c>
      <c r="D31" s="45">
        <f>+D154</f>
        <v>24980</v>
      </c>
      <c r="E31" s="59">
        <f t="shared" si="0"/>
        <v>82570</v>
      </c>
    </row>
    <row r="32" spans="1:5" x14ac:dyDescent="0.3">
      <c r="B32" s="2">
        <v>9</v>
      </c>
      <c r="C32" s="35" t="s">
        <v>101</v>
      </c>
      <c r="D32" s="45">
        <f>+D161</f>
        <v>20450</v>
      </c>
      <c r="E32" s="59">
        <f t="shared" si="0"/>
        <v>67600</v>
      </c>
    </row>
    <row r="33" spans="1:7" x14ac:dyDescent="0.3">
      <c r="B33" s="2">
        <v>10</v>
      </c>
      <c r="C33" s="35" t="s">
        <v>154</v>
      </c>
      <c r="D33" s="53">
        <f>TRUNC(SUM(D24:D32)*0.275,-1)</f>
        <v>202440</v>
      </c>
      <c r="E33" s="60">
        <f t="shared" si="0"/>
        <v>669220</v>
      </c>
    </row>
    <row r="34" spans="1:7" x14ac:dyDescent="0.3">
      <c r="C34" s="35" t="s">
        <v>112</v>
      </c>
      <c r="D34" s="44">
        <f>SUM(D24:D33)</f>
        <v>938620</v>
      </c>
      <c r="E34" s="44">
        <f>SUM(E24:E33)</f>
        <v>3102860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TRUNC(37403,-1)</f>
        <v>37400</v>
      </c>
      <c r="E40" s="62">
        <f t="shared" ref="E40:E59" si="1">TRUNC(+D40*3.3058,-1)</f>
        <v>123630</v>
      </c>
    </row>
    <row r="41" spans="1:7" x14ac:dyDescent="0.3">
      <c r="A41" s="2">
        <v>2</v>
      </c>
      <c r="C41" s="38" t="s">
        <v>13</v>
      </c>
      <c r="D41" s="42">
        <f>TRUNC(152408,-1)</f>
        <v>152400</v>
      </c>
      <c r="E41" s="63">
        <f t="shared" si="1"/>
        <v>503800</v>
      </c>
    </row>
    <row r="42" spans="1:7" x14ac:dyDescent="0.3">
      <c r="A42" s="2">
        <v>3</v>
      </c>
      <c r="C42" s="38" t="s">
        <v>14</v>
      </c>
      <c r="D42" s="42">
        <f>TRUNC(6740,-1)</f>
        <v>6740</v>
      </c>
      <c r="E42" s="63">
        <f t="shared" si="1"/>
        <v>22280</v>
      </c>
    </row>
    <row r="43" spans="1:7" x14ac:dyDescent="0.3">
      <c r="A43" s="2">
        <v>4</v>
      </c>
      <c r="C43" s="38" t="s">
        <v>16</v>
      </c>
      <c r="D43" s="42">
        <f>TRUNC(33237,-1)</f>
        <v>33230</v>
      </c>
      <c r="E43" s="63">
        <f t="shared" si="1"/>
        <v>109850</v>
      </c>
    </row>
    <row r="44" spans="1:7" x14ac:dyDescent="0.3">
      <c r="A44" s="2">
        <v>5</v>
      </c>
      <c r="C44" s="38" t="s">
        <v>17</v>
      </c>
      <c r="D44" s="42">
        <f>TRUNC(12363,-1)</f>
        <v>12360</v>
      </c>
      <c r="E44" s="63">
        <f t="shared" si="1"/>
        <v>40850</v>
      </c>
    </row>
    <row r="45" spans="1:7" x14ac:dyDescent="0.3">
      <c r="A45" s="2">
        <v>6</v>
      </c>
      <c r="C45" s="38" t="s">
        <v>18</v>
      </c>
      <c r="D45" s="42">
        <f>TRUNC(10641,-1)</f>
        <v>10640</v>
      </c>
      <c r="E45" s="63">
        <f t="shared" si="1"/>
        <v>35170</v>
      </c>
    </row>
    <row r="46" spans="1:7" x14ac:dyDescent="0.3">
      <c r="A46" s="2">
        <v>7</v>
      </c>
      <c r="C46" s="38" t="s">
        <v>19</v>
      </c>
      <c r="D46" s="42">
        <f>TRUNC(20911,-1)</f>
        <v>20910</v>
      </c>
      <c r="E46" s="63">
        <f t="shared" si="1"/>
        <v>69120</v>
      </c>
    </row>
    <row r="47" spans="1:7" x14ac:dyDescent="0.3">
      <c r="A47" s="2">
        <v>8</v>
      </c>
      <c r="C47" s="38" t="s">
        <v>20</v>
      </c>
      <c r="D47" s="42">
        <f>TRUNC(23418,-1)</f>
        <v>23410</v>
      </c>
      <c r="E47" s="63">
        <f t="shared" si="1"/>
        <v>77380</v>
      </c>
    </row>
    <row r="48" spans="1:7" x14ac:dyDescent="0.3">
      <c r="A48" s="2">
        <v>9</v>
      </c>
      <c r="C48" s="38" t="s">
        <v>21</v>
      </c>
      <c r="D48" s="42">
        <f>TRUNC(58358,-1)</f>
        <v>58350</v>
      </c>
      <c r="E48" s="63">
        <f t="shared" si="1"/>
        <v>192890</v>
      </c>
    </row>
    <row r="49" spans="1:7" x14ac:dyDescent="0.3">
      <c r="A49" s="2">
        <v>10</v>
      </c>
      <c r="C49" s="38" t="s">
        <v>22</v>
      </c>
      <c r="D49" s="42">
        <f>TRUNC(15687,-1)</f>
        <v>15680</v>
      </c>
      <c r="E49" s="63">
        <f t="shared" si="1"/>
        <v>51830</v>
      </c>
    </row>
    <row r="50" spans="1:7" x14ac:dyDescent="0.3">
      <c r="A50" s="2">
        <v>11</v>
      </c>
      <c r="C50" s="38" t="s">
        <v>155</v>
      </c>
      <c r="D50" s="42">
        <f>TRUNC(31383,-1)</f>
        <v>31380</v>
      </c>
      <c r="E50" s="63">
        <f t="shared" si="1"/>
        <v>103730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TRUNC(7159,-1)</f>
        <v>7150</v>
      </c>
      <c r="E52" s="63">
        <f t="shared" si="1"/>
        <v>23630</v>
      </c>
    </row>
    <row r="53" spans="1:7" x14ac:dyDescent="0.3">
      <c r="A53" s="2">
        <v>14</v>
      </c>
      <c r="C53" s="38" t="s">
        <v>25</v>
      </c>
      <c r="D53" s="42">
        <f>TRUNC(24426,-1)</f>
        <v>24420</v>
      </c>
      <c r="E53" s="63">
        <f t="shared" si="1"/>
        <v>80720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TRUNC(9676,-1)</f>
        <v>9670</v>
      </c>
      <c r="E55" s="63">
        <f t="shared" si="1"/>
        <v>31960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TRUNC(10927+2497+4586+3442+736-911,-1)</f>
        <v>21270</v>
      </c>
      <c r="E58" s="63">
        <f t="shared" si="1"/>
        <v>70310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465010</v>
      </c>
      <c r="E60" s="39">
        <f>SUM(E40:E59)</f>
        <v>1537150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TRUNC(4855,-1)</f>
        <v>4850</v>
      </c>
      <c r="E69" s="62">
        <f t="shared" ref="E69:E94" si="2">TRUNC(+D69*3.3058,-1)</f>
        <v>16030</v>
      </c>
    </row>
    <row r="70" spans="1:7" ht="16.5" customHeight="1" x14ac:dyDescent="0.3">
      <c r="A70" s="2">
        <v>2</v>
      </c>
      <c r="C70" s="38" t="s">
        <v>31</v>
      </c>
      <c r="D70" s="42">
        <f>TRUNC(1730,-1)</f>
        <v>1730</v>
      </c>
      <c r="E70" s="63">
        <f t="shared" si="2"/>
        <v>5710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TRUNC(3867,-1)</f>
        <v>3860</v>
      </c>
      <c r="E72" s="63">
        <f t="shared" si="2"/>
        <v>12760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TRUNC(2889,-1)</f>
        <v>2880</v>
      </c>
      <c r="E79" s="63">
        <f t="shared" si="2"/>
        <v>9520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TRUNC(713,-1)</f>
        <v>710</v>
      </c>
      <c r="E81" s="63">
        <f t="shared" si="2"/>
        <v>2340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TRUNC(69580,-1)</f>
        <v>69580</v>
      </c>
      <c r="E84" s="63">
        <f t="shared" si="2"/>
        <v>230010</v>
      </c>
      <c r="F84" s="2" t="s">
        <v>261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TRUNC(1444+1711+3464+27520,-1)</f>
        <v>34130</v>
      </c>
      <c r="E94" s="64">
        <f t="shared" si="2"/>
        <v>112820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117740</v>
      </c>
      <c r="E95" s="39">
        <f>SUM(E69:E94)</f>
        <v>389190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TRUNC(11978,-1)</f>
        <v>11970</v>
      </c>
      <c r="E98" s="62">
        <f t="shared" ref="E98:E118" si="3">TRUNC(+D98*3.3058,-1)</f>
        <v>39570</v>
      </c>
    </row>
    <row r="99" spans="1:7" x14ac:dyDescent="0.3">
      <c r="A99" s="2">
        <v>2</v>
      </c>
      <c r="C99" s="38" t="s">
        <v>40</v>
      </c>
      <c r="D99" s="42">
        <f>TRUNC(691,-1)</f>
        <v>690</v>
      </c>
      <c r="E99" s="63">
        <f t="shared" si="3"/>
        <v>2280</v>
      </c>
    </row>
    <row r="100" spans="1:7" x14ac:dyDescent="0.3">
      <c r="A100" s="2">
        <v>3</v>
      </c>
      <c r="C100" s="38" t="s">
        <v>41</v>
      </c>
      <c r="D100" s="42">
        <f>TRUNC(15694,-1)</f>
        <v>15690</v>
      </c>
      <c r="E100" s="63">
        <f t="shared" si="3"/>
        <v>51860</v>
      </c>
    </row>
    <row r="101" spans="1:7" x14ac:dyDescent="0.3">
      <c r="A101" s="2">
        <v>4</v>
      </c>
      <c r="C101" s="38" t="s">
        <v>42</v>
      </c>
      <c r="D101" s="42">
        <f>TRUNC(2339,-1)</f>
        <v>2330</v>
      </c>
      <c r="E101" s="63">
        <f t="shared" si="3"/>
        <v>7700</v>
      </c>
    </row>
    <row r="102" spans="1:7" x14ac:dyDescent="0.3">
      <c r="A102" s="2">
        <v>5</v>
      </c>
      <c r="C102" s="38" t="s">
        <v>43</v>
      </c>
      <c r="D102" s="42">
        <f>TRUNC(8469,-1)</f>
        <v>8460</v>
      </c>
      <c r="E102" s="63">
        <f t="shared" si="3"/>
        <v>27960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TRUNC(2383,-1)</f>
        <v>2380</v>
      </c>
      <c r="E104" s="63">
        <f t="shared" si="3"/>
        <v>7860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TRUNC(3365,-1)</f>
        <v>3360</v>
      </c>
      <c r="E108" s="63">
        <f t="shared" si="3"/>
        <v>11100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TRUNC(324,-1)</f>
        <v>320</v>
      </c>
      <c r="E115" s="63">
        <f t="shared" si="3"/>
        <v>1050</v>
      </c>
    </row>
    <row r="116" spans="1:7" x14ac:dyDescent="0.3">
      <c r="A116" s="2">
        <v>19</v>
      </c>
      <c r="C116" s="38" t="s">
        <v>115</v>
      </c>
      <c r="D116" s="42">
        <f>TRUNC(1575,-1)</f>
        <v>1570</v>
      </c>
      <c r="E116" s="63">
        <f t="shared" si="3"/>
        <v>5190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TRUNC(2488+756+5301,-1)</f>
        <v>8540</v>
      </c>
      <c r="E118" s="64">
        <f t="shared" si="3"/>
        <v>28230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55310</v>
      </c>
      <c r="E119" s="39">
        <f>SUM(E98:E118)</f>
        <v>182800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TRUNC(3534,-1)</f>
        <v>3530</v>
      </c>
      <c r="E122" s="62">
        <f t="shared" ref="E122:E132" si="4">TRUNC(+D122*3.3058,-1)</f>
        <v>11660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TRUNC(820,-1)</f>
        <v>820</v>
      </c>
      <c r="E124" s="63">
        <f t="shared" si="4"/>
        <v>2710</v>
      </c>
    </row>
    <row r="125" spans="1:7" x14ac:dyDescent="0.3">
      <c r="A125" s="2">
        <v>4</v>
      </c>
      <c r="C125" s="38" t="s">
        <v>138</v>
      </c>
      <c r="D125" s="42">
        <f>TRUNC(456+6253,-1)</f>
        <v>6700</v>
      </c>
      <c r="E125" s="63">
        <f t="shared" si="4"/>
        <v>22140</v>
      </c>
      <c r="F125" s="2" t="s">
        <v>260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TRUNC(13807,-1)</f>
        <v>13800</v>
      </c>
      <c r="E130" s="63">
        <f t="shared" si="4"/>
        <v>45620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TRUNC(1600+859+695,-1)</f>
        <v>3150</v>
      </c>
      <c r="E132" s="64">
        <f t="shared" si="4"/>
        <v>10410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28000</v>
      </c>
      <c r="E133" s="39">
        <f>SUM(E122:E132)</f>
        <v>92540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TRUNC(14499,-1)</f>
        <v>14490</v>
      </c>
      <c r="E136" s="62">
        <f t="shared" ref="E136:E145" si="5">TRUNC(+D136*3.3058,-1)</f>
        <v>47900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TRUNC(10200,-1)</f>
        <v>10200</v>
      </c>
      <c r="E137" s="63">
        <f t="shared" si="5"/>
        <v>33710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24690</v>
      </c>
      <c r="E146" s="39">
        <f>SUM(E136:E145)</f>
        <v>81610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TRUNC(24981,-1)</f>
        <v>24980</v>
      </c>
      <c r="E152" s="63">
        <f>TRUNC(+D152*3.3058,-1)</f>
        <v>82570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24980</v>
      </c>
      <c r="E154" s="39">
        <f>SUM(E149:E153)</f>
        <v>82570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TRUNC(20458,-1)</f>
        <v>20450</v>
      </c>
      <c r="E159" s="63">
        <f>TRUNC(+D159*3.3058,-1)</f>
        <v>67600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20450</v>
      </c>
      <c r="E161" s="39">
        <f>SUM(E157:E160)</f>
        <v>67600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2020-12-07T09:42:30Z</dcterms:modified>
</cp:coreProperties>
</file>