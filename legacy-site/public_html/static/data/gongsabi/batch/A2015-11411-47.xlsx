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2" i="4"/>
  <c r="D141" i="4"/>
  <c r="D140" i="4"/>
  <c r="D138" i="4"/>
  <c r="D132" i="4"/>
  <c r="D131" i="4"/>
  <c r="D130" i="4"/>
  <c r="D128" i="4"/>
  <c r="D127" i="4"/>
  <c r="D125" i="4"/>
  <c r="D124" i="4"/>
  <c r="D117" i="4"/>
  <c r="D116" i="4"/>
  <c r="D114" i="4"/>
  <c r="D105" i="4"/>
  <c r="D104" i="4"/>
  <c r="D101" i="4"/>
  <c r="D100" i="4"/>
  <c r="D99" i="4"/>
  <c r="D98" i="4"/>
  <c r="D94" i="4"/>
  <c r="D93" i="4"/>
  <c r="D92" i="4"/>
  <c r="D91" i="4"/>
  <c r="D89" i="4"/>
  <c r="D76" i="4"/>
  <c r="D75" i="4"/>
  <c r="D73" i="4"/>
  <c r="D72" i="4"/>
  <c r="D71" i="4"/>
  <c r="D70" i="4"/>
  <c r="D69" i="4"/>
  <c r="D65" i="4"/>
  <c r="D63" i="4"/>
  <c r="D59" i="4"/>
  <c r="D58" i="4"/>
  <c r="D53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<sst xmlns="http://schemas.openxmlformats.org/spreadsheetml/2006/main" count="393" uniqueCount="269">
  <si>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</si>
  <si>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</si>
  <si>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</si>
  <si>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</si>
  <si>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</si>
  <si>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</si>
  <si>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</si>
  <si>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</si>
  <si>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</si>
  <si>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</si>
  <si>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</si>
  <si>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</si>
  <si>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</si>
  <si>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</si>
  <si>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</si>
  <si>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</si>
  <si>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</si>
  <si>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</si>
  <si>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</si>
  <si>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</si>
  <si>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</si>
  <si>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</si>
  <si>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</si>
  <si>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</si>
  <si>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</si>
  <si>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</si>
  <si>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</si>
  <si>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</si>
  <si>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</si>
  <si>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</si>
  <si>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</si>
  <si>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</si>
  <si>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</si>
  <si>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</si>
  <si>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</si>
  <si>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</si>
  <si>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</si>
  <si>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</si>
  <si>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</si>
  <si>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</si>
  <si>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</si>
  <si>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</si>
  <si>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</si>
  <si>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</si>
  <si>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</si>
  <si>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</si>
  <si>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</si>
  <si>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</si>
  <si>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</si>
  <si>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</si>
  <si>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</si>
  <si>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</si>
  <si>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</si>
  <si>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</si>
  <si>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</si>
  <si>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</si>
  <si>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</si>
  <si>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</si>
  <si>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</si>
  <si>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</si>
  <si>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</si>
  <si>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</si>
  <si>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</si>
  <si>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</si>
  <si>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</si>
  <si>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</si>
  <si>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</si>
  <si>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</si>
  <si>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</si>
  <si>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</si>
  <si>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</si>
  <si>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</si>
  <si>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</si>
  <si>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</si>
  <si>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</si>
  <si>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</si>
  <si>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</si>
  <si>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</si>
  <si>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</si>
  <si>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</si>
  <si>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</si>
  <si>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</si>
  <si>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</si>
  <si>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</si>
  <si>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</si>
  <si>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</si>
  <si>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</si>
  <si>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</si>
  <si>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</si>
  <si>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</si>
  <si>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</si>
  <si>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</si>
  <si>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</si>
  <si>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</si>
  <si>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</si>
  <si>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</si>
  <si>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</si>
  <si>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</si>
  <si>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</si>
  <si>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</si>
  <si>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</si>
  <si>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</si>
  <si>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</si>
  <si>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</si>
  <si>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</si>
  <si>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</si>
  <si>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</si>
  <si>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</si>
  <si>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</si>
  <si>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</si>
  <si>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</si>
  <si>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</si>
  <si>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</si>
  <si>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</si>
  <si>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</si>
  <si>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</si>
  <si>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</si>
  <si>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</si>
  <si>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</si>
  <si>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</si>
  <si>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</si>
  <si>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</si>
  <si>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</si>
  <si>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</si>
  <si>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</si>
  <si>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</si>
  <si>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</si>
  <si>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</si>
  <si>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</si>
  <si>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</si>
  <si>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</si>
  <si>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</si>
  <si>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</si>
  <si>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</si>
  <si>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</si>
  <si>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</si>
  <si>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</si>
  <si>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</si>
  <si>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</si>
  <si>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</si>
  <si>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</si>
  <si>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</si>
  <si>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</si>
  <si>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</si>
  <si>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</si>
  <si>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</si>
  <si>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</si>
  <si>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</si>
  <si>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</si>
  <si>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</si>
  <si>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</si>
  <si>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</si>
  <si>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</si>
  <si>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</si>
  <si>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</si>
  <si>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</si>
  <si>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</si>
  <si>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</si>
  <si>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</si>
  <si>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</si>
  <si>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</si>
  <si>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</si>
  <si>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</si>
  <si>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</si>
  <si>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</si>
  <si>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</si>
  <si>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</si>
  <si>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</si>
  <si>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</si>
  <si>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</si>
  <si>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</si>
  <si>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</si>
  <si>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</si>
  <si>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</si>
  <si>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</si>
  <si>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</si>
  <si>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</si>
  <si>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</si>
  <si>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</si>
  <si>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</si>
  <si>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</si>
  <si>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</si>
  <si>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</si>
  <si>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</si>
  <si>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</si>
  <si>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</si>
  <si>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</si>
  <si>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</si>
  <si>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</si>
  <si>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</si>
  <si>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</si>
  <si>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</si>
  <si>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</si>
  <si>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</si>
  <si>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</si>
  <si>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</si>
  <si>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</si>
  <si>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</si>
  <si>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</si>
  <si>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</si>
  <si>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</si>
  <si>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</si>
  <si>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</si>
  <si>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</si>
  <si>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</si>
  <si>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</si>
  <si>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</si>
  <si>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</si>
  <si>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</si>
  <si>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</si>
  <si>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</si>
  <si>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</si>
  <si>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</si>
  <si>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</si>
  <si>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</si>
  <si>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</si>
  <si>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</si>
  <si>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</si>
  <si>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</si>
  <si>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</si>
  <si>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</si>
  <si>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</si>
  <si>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</si>
  <si>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</si>
  <si>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</si>
  <si>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</si>
  <si>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</si>
  <si>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</si>
  <si>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</si>
  <si>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</si>
  <si>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</si>
  <si>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</si>
  <si>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</si>
  <si>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</si>
  <si>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</si>
  <si>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</si>
  <si>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</si>
  <si>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</si>
  <si>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</si>
  <si>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</si>
  <si>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</si>
  <si>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</si>
  <si>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</si>
  <si>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</si>
  <si>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</si>
  <si>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</si>
  <si>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</si>
  <si>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</si>
  <si>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</si>
  <si>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</si>
  <si>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</si>
  <si>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</si>
  <si>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</si>
  <si>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</si>
  <si>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</si>
  <si>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</si>
  <si>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</si>
  <si>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</si>
  <si>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한국교원대학교 미래도서관 신축공사</t>
    <phoneticPr fontId="2" type="noConversion"/>
  </si>
  <si>
    <t>충청도</t>
  </si>
  <si>
    <t>기초공사, 해체및철거공사, 골재비및운반비, 작업부산물, 품질시험비, 기타공사</t>
    <phoneticPr fontId="2" type="noConversion"/>
  </si>
  <si>
    <t>바닥난방공사,기타공사</t>
    <phoneticPr fontId="2" type="noConversion"/>
  </si>
  <si>
    <t>옥외보안등설비공사</t>
    <phoneticPr fontId="2" type="noConversion"/>
  </si>
  <si>
    <t>펌프실배관공사</t>
    <phoneticPr fontId="2" type="noConversion"/>
  </si>
  <si>
    <t>사급자재비,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</si>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</sst>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14195.59</v>
      </c>
      <c r="D7" s="36">
        <f>+C7/3.3058</f>
        <v>4294.1466513400692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735360</v>
      </c>
      <c r="E25" s="59">
        <f t="shared" si="0"/>
        <v>2430950</v>
      </c>
    </row>
    <row r="26" spans="1:5" x14ac:dyDescent="0.3">
      <c r="B26" s="2">
        <v>3</v>
      </c>
      <c r="C26" s="35" t="s">
        <v>95</v>
      </c>
      <c r="D26" s="45">
        <f>+D66</f>
        <v>23910</v>
      </c>
      <c r="E26" s="59">
        <f t="shared" si="0"/>
        <v>79040</v>
      </c>
    </row>
    <row r="27" spans="1:5" x14ac:dyDescent="0.3">
      <c r="B27" s="2">
        <v>4</v>
      </c>
      <c r="C27" s="35" t="s">
        <v>96</v>
      </c>
      <c r="D27" s="45">
        <f>+D95</f>
        <v>298930</v>
      </c>
      <c r="E27" s="59">
        <f t="shared" si="0"/>
        <v>988200</v>
      </c>
    </row>
    <row r="28" spans="1:5" x14ac:dyDescent="0.3">
      <c r="B28" s="2">
        <v>5</v>
      </c>
      <c r="C28" s="35" t="s">
        <v>97</v>
      </c>
      <c r="D28" s="45">
        <f>+D119</f>
        <v>159730</v>
      </c>
      <c r="E28" s="59">
        <f t="shared" si="0"/>
        <v>528030</v>
      </c>
    </row>
    <row r="29" spans="1:5" x14ac:dyDescent="0.3">
      <c r="B29" s="2">
        <v>6</v>
      </c>
      <c r="C29" s="35" t="s">
        <v>98</v>
      </c>
      <c r="D29" s="45">
        <f>+D133</f>
        <v>125520</v>
      </c>
      <c r="E29" s="59">
        <f t="shared" si="0"/>
        <v>414940</v>
      </c>
    </row>
    <row r="30" spans="1:5" x14ac:dyDescent="0.3">
      <c r="B30" s="2">
        <v>7</v>
      </c>
      <c r="C30" s="35" t="s">
        <v>99</v>
      </c>
      <c r="D30" s="45">
        <f>+D146</f>
        <v>37730</v>
      </c>
      <c r="E30" s="59">
        <f t="shared" si="0"/>
        <v>124720</v>
      </c>
    </row>
    <row r="31" spans="1:5" x14ac:dyDescent="0.3">
      <c r="B31" s="2">
        <v>8</v>
      </c>
      <c r="C31" s="35" t="s">
        <v>100</v>
      </c>
      <c r="D31" s="45">
        <f>+D154</f>
        <v>31010</v>
      </c>
      <c r="E31" s="59">
        <f t="shared" si="0"/>
        <v>102510</v>
      </c>
    </row>
    <row r="32" spans="1:5" x14ac:dyDescent="0.3">
      <c r="B32" s="2">
        <v>9</v>
      </c>
      <c r="C32" s="35" t="s">
        <v>101</v>
      </c>
      <c r="D32" s="45">
        <f>+D161</f>
        <v>34020</v>
      </c>
      <c r="E32" s="59">
        <f t="shared" si="0"/>
        <v>112460</v>
      </c>
    </row>
    <row r="33" spans="1:7" x14ac:dyDescent="0.3">
      <c r="B33" s="2">
        <v>10</v>
      </c>
      <c r="C33" s="35" t="s">
        <v>154</v>
      </c>
      <c r="D33" s="53">
        <f>TRUNC(SUM(D24:D32)*0.275,-1)</f>
        <v>397700</v>
      </c>
      <c r="E33" s="60">
        <f t="shared" si="0"/>
        <v>1314710</v>
      </c>
    </row>
    <row r="34" spans="1:7" x14ac:dyDescent="0.3">
      <c r="C34" s="35" t="s">
        <v>112</v>
      </c>
      <c r="D34" s="44">
        <f>SUM(D24:D33)</f>
        <v>1843910</v>
      </c>
      <c r="E34" s="44">
        <f>SUM(E24:E33)</f>
        <v>6095560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TRUNC(61482,-1)</f>
        <v>61480</v>
      </c>
      <c r="E40" s="62">
        <f t="shared" ref="E40:E59" si="1">TRUNC(+D40*3.3058,-1)</f>
        <v>203240</v>
      </c>
    </row>
    <row r="41" spans="1:7" x14ac:dyDescent="0.3">
      <c r="A41" s="2">
        <v>2</v>
      </c>
      <c r="C41" s="38" t="s">
        <v>13</v>
      </c>
      <c r="D41" s="42">
        <f>TRUNC(116178,-1)</f>
        <v>116170</v>
      </c>
      <c r="E41" s="63">
        <f t="shared" si="1"/>
        <v>384030</v>
      </c>
    </row>
    <row r="42" spans="1:7" x14ac:dyDescent="0.3">
      <c r="A42" s="2">
        <v>3</v>
      </c>
      <c r="C42" s="38" t="s">
        <v>14</v>
      </c>
      <c r="D42" s="42">
        <f>TRUNC(19426,-1)</f>
        <v>19420</v>
      </c>
      <c r="E42" s="63">
        <f t="shared" si="1"/>
        <v>64190</v>
      </c>
    </row>
    <row r="43" spans="1:7" x14ac:dyDescent="0.3">
      <c r="A43" s="2">
        <v>4</v>
      </c>
      <c r="C43" s="38" t="s">
        <v>16</v>
      </c>
      <c r="D43" s="42">
        <f>TRUNC(9625,-1)</f>
        <v>9620</v>
      </c>
      <c r="E43" s="63">
        <f t="shared" si="1"/>
        <v>31800</v>
      </c>
    </row>
    <row r="44" spans="1:7" x14ac:dyDescent="0.3">
      <c r="A44" s="2">
        <v>5</v>
      </c>
      <c r="C44" s="38" t="s">
        <v>17</v>
      </c>
      <c r="D44" s="42">
        <f>TRUNC(20501,-1)</f>
        <v>20500</v>
      </c>
      <c r="E44" s="63">
        <f t="shared" si="1"/>
        <v>67760</v>
      </c>
    </row>
    <row r="45" spans="1:7" x14ac:dyDescent="0.3">
      <c r="A45" s="2">
        <v>6</v>
      </c>
      <c r="C45" s="38" t="s">
        <v>18</v>
      </c>
      <c r="D45" s="42">
        <f>TRUNC(5035,-1)</f>
        <v>5030</v>
      </c>
      <c r="E45" s="63">
        <f t="shared" si="1"/>
        <v>16620</v>
      </c>
    </row>
    <row r="46" spans="1:7" x14ac:dyDescent="0.3">
      <c r="A46" s="2">
        <v>7</v>
      </c>
      <c r="C46" s="38" t="s">
        <v>19</v>
      </c>
      <c r="D46" s="42">
        <v>9040</v>
      </c>
      <c r="E46" s="63">
        <f t="shared" si="1"/>
        <v>29880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TRUNC(7147,-1)</f>
        <v>7140</v>
      </c>
      <c r="E48" s="63">
        <f t="shared" si="1"/>
        <v>23600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TRUNC(10384,-1)</f>
        <v>10380</v>
      </c>
      <c r="E49" s="63">
        <f t="shared" si="1"/>
        <v>34310</v>
      </c>
    </row>
    <row r="50" spans="1:7" x14ac:dyDescent="0.3">
      <c r="A50" s="2">
        <v>11</v>
      </c>
      <c r="C50" s="38" t="s">
        <v>155</v>
      </c>
      <c r="D50" s="42">
        <f>TRUNC(42312,-1)</f>
        <v>42310</v>
      </c>
      <c r="E50" s="63">
        <f t="shared" si="1"/>
        <v>139860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5200</v>
      </c>
      <c r="E52" s="63">
        <f t="shared" si="1"/>
        <v>17190</v>
      </c>
    </row>
    <row r="53" spans="1:7" x14ac:dyDescent="0.3">
      <c r="A53" s="2">
        <v>14</v>
      </c>
      <c r="C53" s="38" t="s">
        <v>25</v>
      </c>
      <c r="D53" s="42">
        <f>TRUNC(184818,-1)</f>
        <v>184810</v>
      </c>
      <c r="E53" s="63">
        <f t="shared" si="1"/>
        <v>610940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TRUNC(4072+352+4189-612+309+33068,-1)</f>
        <v>41370</v>
      </c>
      <c r="E58" s="63">
        <f t="shared" si="1"/>
        <v>136760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TRUNC(202892,-1)</f>
        <v>202890</v>
      </c>
      <c r="E59" s="64">
        <f t="shared" si="1"/>
        <v>670710</v>
      </c>
    </row>
    <row r="60" spans="1:7" x14ac:dyDescent="0.3">
      <c r="A60" s="2">
        <v>21</v>
      </c>
      <c r="C60" s="27" t="s">
        <v>112</v>
      </c>
      <c r="D60" s="39">
        <f>SUM(D40:D59)</f>
        <v>735360</v>
      </c>
      <c r="E60" s="39">
        <f>SUM(E40:E59)</f>
        <v>2430890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TRUNC(10653,-1)</f>
        <v>10650</v>
      </c>
      <c r="E63" s="62">
        <f>TRUNC(+D63*3.3058,-1)</f>
        <v>35200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TRUNC(13264,-1)</f>
        <v>13260</v>
      </c>
      <c r="E65" s="64">
        <f>TRUNC(+D65*3.3058,-1)</f>
        <v>43830</v>
      </c>
    </row>
    <row r="66" spans="1:7" x14ac:dyDescent="0.3">
      <c r="A66" s="2">
        <v>4</v>
      </c>
      <c r="C66" s="27" t="s">
        <v>112</v>
      </c>
      <c r="D66" s="39">
        <f>SUM(D63:D65)</f>
        <v>23910</v>
      </c>
      <c r="E66" s="65">
        <f>SUM(E63:E65)</f>
        <v>79030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TRUNC(2831,-1)</f>
        <v>2830</v>
      </c>
      <c r="E69" s="62">
        <f t="shared" ref="E69:E94" si="2">TRUNC(+D69*3.3058,-1)</f>
        <v>9350</v>
      </c>
    </row>
    <row r="70" spans="1:7" ht="16.5" customHeight="1" x14ac:dyDescent="0.3">
      <c r="A70" s="2">
        <v>2</v>
      </c>
      <c r="C70" s="38" t="s">
        <v>31</v>
      </c>
      <c r="D70" s="42">
        <f>TRUNC(708,-1)</f>
        <v>700</v>
      </c>
      <c r="E70" s="63">
        <f t="shared" si="2"/>
        <v>2310</v>
      </c>
    </row>
    <row r="71" spans="1:7" x14ac:dyDescent="0.3">
      <c r="A71" s="2">
        <v>3</v>
      </c>
      <c r="C71" s="38" t="s">
        <v>32</v>
      </c>
      <c r="D71" s="42">
        <f>TRUNC(4081,-1)</f>
        <v>4080</v>
      </c>
      <c r="E71" s="63">
        <f t="shared" si="2"/>
        <v>13480</v>
      </c>
    </row>
    <row r="72" spans="1:7" x14ac:dyDescent="0.3">
      <c r="A72" s="2">
        <v>4</v>
      </c>
      <c r="C72" s="38" t="s">
        <v>33</v>
      </c>
      <c r="D72" s="42">
        <f>TRUNC(3663,-1)</f>
        <v>3660</v>
      </c>
      <c r="E72" s="63">
        <f t="shared" si="2"/>
        <v>12090</v>
      </c>
    </row>
    <row r="73" spans="1:7" x14ac:dyDescent="0.3">
      <c r="A73" s="2">
        <v>5</v>
      </c>
      <c r="C73" s="38" t="s">
        <v>34</v>
      </c>
      <c r="D73" s="42">
        <f>TRUNC(10158,-1)</f>
        <v>10150</v>
      </c>
      <c r="E73" s="63">
        <f t="shared" si="2"/>
        <v>33550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TRUNC(3005,-1)</f>
        <v>3000</v>
      </c>
      <c r="E75" s="63">
        <f t="shared" si="2"/>
        <v>9910</v>
      </c>
    </row>
    <row r="76" spans="1:7" x14ac:dyDescent="0.3">
      <c r="A76" s="2">
        <v>8</v>
      </c>
      <c r="C76" s="38" t="s">
        <v>119</v>
      </c>
      <c r="D76" s="42">
        <f>TRUNC(39683,-1)</f>
        <v>39680</v>
      </c>
      <c r="E76" s="63">
        <f t="shared" si="2"/>
        <v>131170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TRUNC(3529,-1)</f>
        <v>3520</v>
      </c>
      <c r="E89" s="63">
        <f t="shared" si="2"/>
        <v>11630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TRUNC(30628,-1)</f>
        <v>30620</v>
      </c>
      <c r="E91" s="63">
        <f t="shared" si="2"/>
        <v>101220</v>
      </c>
    </row>
    <row r="92" spans="1:7" x14ac:dyDescent="0.3">
      <c r="A92" s="2">
        <v>24</v>
      </c>
      <c r="C92" s="38" t="s">
        <v>38</v>
      </c>
      <c r="D92" s="42">
        <f>TRUNC(3965,-1)</f>
        <v>3960</v>
      </c>
      <c r="E92" s="63">
        <f t="shared" si="2"/>
        <v>13090</v>
      </c>
    </row>
    <row r="93" spans="1:7" x14ac:dyDescent="0.3">
      <c r="A93" s="2">
        <v>25</v>
      </c>
      <c r="C93" s="38" t="s">
        <v>148</v>
      </c>
      <c r="D93" s="42">
        <f>TRUNC(188966,-1)</f>
        <v>188960</v>
      </c>
      <c r="E93" s="63">
        <f t="shared" si="2"/>
        <v>624660</v>
      </c>
    </row>
    <row r="94" spans="1:7" ht="17.25" thickBot="1" x14ac:dyDescent="0.35">
      <c r="A94" s="2">
        <v>26</v>
      </c>
      <c r="C94" s="38" t="s">
        <v>47</v>
      </c>
      <c r="D94" s="43">
        <f>TRUNC(583+7192,-1)</f>
        <v>7770</v>
      </c>
      <c r="E94" s="64">
        <f t="shared" si="2"/>
        <v>25680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298930</v>
      </c>
      <c r="E95" s="39">
        <f>SUM(E69:E94)</f>
        <v>988140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TRUNC(21072,-1)</f>
        <v>21070</v>
      </c>
      <c r="E98" s="62">
        <f t="shared" ref="E98:E118" si="3">TRUNC(+D98*3.3058,-1)</f>
        <v>69650</v>
      </c>
    </row>
    <row r="99" spans="1:7" x14ac:dyDescent="0.3">
      <c r="A99" s="2">
        <v>2</v>
      </c>
      <c r="C99" s="38" t="s">
        <v>40</v>
      </c>
      <c r="D99" s="42">
        <f>TRUNC(6241,-1)</f>
        <v>6240</v>
      </c>
      <c r="E99" s="63">
        <f t="shared" si="3"/>
        <v>20620</v>
      </c>
    </row>
    <row r="100" spans="1:7" x14ac:dyDescent="0.3">
      <c r="A100" s="2">
        <v>3</v>
      </c>
      <c r="C100" s="38" t="s">
        <v>41</v>
      </c>
      <c r="D100" s="42">
        <f>TRUNC(15139,-1)</f>
        <v>15130</v>
      </c>
      <c r="E100" s="63">
        <f t="shared" si="3"/>
        <v>50010</v>
      </c>
    </row>
    <row r="101" spans="1:7" x14ac:dyDescent="0.3">
      <c r="A101" s="2">
        <v>4</v>
      </c>
      <c r="C101" s="38" t="s">
        <v>42</v>
      </c>
      <c r="D101" s="42">
        <f>TRUNC(613,-1)</f>
        <v>610</v>
      </c>
      <c r="E101" s="63">
        <f t="shared" si="3"/>
        <v>2010</v>
      </c>
    </row>
    <row r="102" spans="1:7" x14ac:dyDescent="0.3">
      <c r="A102" s="2">
        <v>5</v>
      </c>
      <c r="C102" s="38" t="s">
        <v>43</v>
      </c>
      <c r="D102" s="42">
        <v>10310</v>
      </c>
      <c r="E102" s="63">
        <f t="shared" si="3"/>
        <v>34080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TRUNC(2832,-1)</f>
        <v>2830</v>
      </c>
      <c r="E104" s="63">
        <f t="shared" si="3"/>
        <v>9350</v>
      </c>
    </row>
    <row r="105" spans="1:7" x14ac:dyDescent="0.3">
      <c r="A105" s="2">
        <v>8</v>
      </c>
      <c r="C105" s="38" t="s">
        <v>46</v>
      </c>
      <c r="D105" s="42">
        <f>TRUNC(2877,-1)</f>
        <v>2870</v>
      </c>
      <c r="E105" s="63">
        <f t="shared" si="3"/>
        <v>9480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TRUNC(491,-1)</f>
        <v>490</v>
      </c>
      <c r="E114" s="63">
        <f t="shared" si="3"/>
        <v>1610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TRUNC(4597,-1)</f>
        <v>4590</v>
      </c>
      <c r="E116" s="63">
        <f t="shared" si="3"/>
        <v>15170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TRUNC(95443,-1)</f>
        <v>95440</v>
      </c>
      <c r="E117" s="63">
        <f t="shared" si="3"/>
        <v>315500</v>
      </c>
    </row>
    <row r="118" spans="1:7" ht="17.25" thickBot="1" x14ac:dyDescent="0.35">
      <c r="A118" s="2">
        <v>21</v>
      </c>
      <c r="C118" s="38" t="s">
        <v>47</v>
      </c>
      <c r="D118" s="43">
        <v>150</v>
      </c>
      <c r="E118" s="64">
        <f t="shared" si="3"/>
        <v>490</v>
      </c>
    </row>
    <row r="119" spans="1:7" x14ac:dyDescent="0.3">
      <c r="A119" s="2">
        <v>22</v>
      </c>
      <c r="C119" s="27" t="s">
        <v>112</v>
      </c>
      <c r="D119" s="39">
        <f>SUM(D98:D118)</f>
        <v>159730</v>
      </c>
      <c r="E119" s="39">
        <f>SUM(E98:E118)</f>
        <v>527970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1290</v>
      </c>
      <c r="E122" s="62">
        <f t="shared" ref="E122:E132" si="4">TRUNC(+D122*3.3058,-1)</f>
        <v>4260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TRUNC(774,-1)</f>
        <v>770</v>
      </c>
      <c r="E124" s="63">
        <f t="shared" si="4"/>
        <v>2540</v>
      </c>
    </row>
    <row r="125" spans="1:7" x14ac:dyDescent="0.3">
      <c r="A125" s="2">
        <v>4</v>
      </c>
      <c r="C125" s="38" t="s">
        <v>138</v>
      </c>
      <c r="D125" s="42">
        <f>TRUNC(3814,-1)</f>
        <v>3810</v>
      </c>
      <c r="E125" s="63">
        <f t="shared" si="4"/>
        <v>12590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TRUNC(833,-1)</f>
        <v>830</v>
      </c>
      <c r="E127" s="63">
        <f t="shared" si="4"/>
        <v>2740</v>
      </c>
    </row>
    <row r="128" spans="1:7" x14ac:dyDescent="0.3">
      <c r="A128" s="2">
        <v>7</v>
      </c>
      <c r="C128" s="38" t="s">
        <v>46</v>
      </c>
      <c r="D128" s="42">
        <f>TRUNC(1047,-1)</f>
        <v>1040</v>
      </c>
      <c r="E128" s="63">
        <f t="shared" si="4"/>
        <v>3430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TRUNC(13452,-1)</f>
        <v>13450</v>
      </c>
      <c r="E130" s="63">
        <f t="shared" si="4"/>
        <v>44460</v>
      </c>
    </row>
    <row r="131" spans="1:7" x14ac:dyDescent="0.3">
      <c r="A131" s="2">
        <v>10</v>
      </c>
      <c r="C131" s="38" t="s">
        <v>148</v>
      </c>
      <c r="D131" s="42">
        <f>TRUNC(102716,-1)</f>
        <v>102710</v>
      </c>
      <c r="E131" s="63">
        <f t="shared" si="4"/>
        <v>339530</v>
      </c>
    </row>
    <row r="132" spans="1:7" ht="18" thickBot="1" x14ac:dyDescent="0.35">
      <c r="A132" s="2">
        <v>11</v>
      </c>
      <c r="C132" s="38" t="s">
        <v>47</v>
      </c>
      <c r="D132" s="43">
        <f>TRUNC(1622,-1)</f>
        <v>1620</v>
      </c>
      <c r="E132" s="64">
        <f t="shared" si="4"/>
        <v>5350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125520</v>
      </c>
      <c r="E133" s="39">
        <f>SUM(E122:E132)</f>
        <v>414900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1390</v>
      </c>
      <c r="E137" s="63">
        <f t="shared" si="5"/>
        <v>4590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f>TRUNC(3743,-1)</f>
        <v>3740</v>
      </c>
      <c r="E138" s="63">
        <f t="shared" si="5"/>
        <v>12360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TRUNC(1412,-1)</f>
        <v>1410</v>
      </c>
      <c r="E140" s="63">
        <f t="shared" si="5"/>
        <v>4660</v>
      </c>
    </row>
    <row r="141" spans="1:7" x14ac:dyDescent="0.3">
      <c r="A141" s="2">
        <v>6</v>
      </c>
      <c r="C141" s="38" t="s">
        <v>59</v>
      </c>
      <c r="D141" s="42">
        <f>TRUNC(14304,-1)</f>
        <v>14300</v>
      </c>
      <c r="E141" s="63">
        <f t="shared" si="5"/>
        <v>47270</v>
      </c>
    </row>
    <row r="142" spans="1:7" x14ac:dyDescent="0.3">
      <c r="A142" s="2">
        <v>7</v>
      </c>
      <c r="C142" s="38" t="s">
        <v>58</v>
      </c>
      <c r="D142" s="42">
        <f>TRUNC(4909,-1)</f>
        <v>4900</v>
      </c>
      <c r="E142" s="63">
        <f t="shared" si="5"/>
        <v>16190</v>
      </c>
    </row>
    <row r="143" spans="1:7" x14ac:dyDescent="0.3">
      <c r="A143" s="2">
        <v>8</v>
      </c>
      <c r="C143" s="38" t="s">
        <v>62</v>
      </c>
      <c r="D143" s="42">
        <f>TRUNC(2106,-1)</f>
        <v>2100</v>
      </c>
      <c r="E143" s="63">
        <f t="shared" si="5"/>
        <v>6940</v>
      </c>
    </row>
    <row r="144" spans="1:7" x14ac:dyDescent="0.3">
      <c r="A144" s="2">
        <v>9</v>
      </c>
      <c r="C144" s="38" t="s">
        <v>63</v>
      </c>
      <c r="D144" s="42">
        <f>TRUNC(9892,-1)</f>
        <v>9890</v>
      </c>
      <c r="E144" s="63">
        <f t="shared" si="5"/>
        <v>32690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37730</v>
      </c>
      <c r="E146" s="39">
        <f>SUM(E136:E145)</f>
        <v>124700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TRUNC(2832+589,-1)</f>
        <v>3420</v>
      </c>
      <c r="E149" s="62">
        <f>TRUNC(+D149*3.3058,-1)</f>
        <v>11300</v>
      </c>
    </row>
    <row r="150" spans="1:7" x14ac:dyDescent="0.3">
      <c r="A150" s="2">
        <v>2</v>
      </c>
      <c r="C150" s="38" t="s">
        <v>49</v>
      </c>
      <c r="D150" s="42">
        <f>TRUNC(1963,-1)</f>
        <v>1960</v>
      </c>
      <c r="E150" s="63">
        <f>TRUNC(+D150*3.3058,-1)</f>
        <v>6470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TRUNC(4125+1794,-1)</f>
        <v>5910</v>
      </c>
      <c r="E152" s="63">
        <f>TRUNC(+D152*3.3058,-1)</f>
        <v>19530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f>TRUNC(19726,-1)</f>
        <v>19720</v>
      </c>
      <c r="E153" s="64">
        <f>TRUNC(+D153*3.3058,-1)</f>
        <v>65190</v>
      </c>
    </row>
    <row r="154" spans="1:7" x14ac:dyDescent="0.3">
      <c r="A154" s="2">
        <v>6</v>
      </c>
      <c r="C154" s="27" t="s">
        <v>112</v>
      </c>
      <c r="D154" s="39">
        <f>SUM(D149:D153)</f>
        <v>31010</v>
      </c>
      <c r="E154" s="39">
        <f>SUM(E149:E153)</f>
        <v>102490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TRUNC(9503,-1)</f>
        <v>9500</v>
      </c>
      <c r="E157" s="62">
        <f>TRUNC(+D157*3.3058,-1)</f>
        <v>31400</v>
      </c>
    </row>
    <row r="158" spans="1:7" x14ac:dyDescent="0.3">
      <c r="A158" s="2">
        <v>2</v>
      </c>
      <c r="C158" s="38" t="s">
        <v>52</v>
      </c>
      <c r="D158" s="42">
        <f>TRUNC(17206,-1)</f>
        <v>17200</v>
      </c>
      <c r="E158" s="63">
        <f>TRUNC(+D158*3.3058,-1)</f>
        <v>56850</v>
      </c>
    </row>
    <row r="159" spans="1:7" x14ac:dyDescent="0.3">
      <c r="A159" s="2">
        <v>3</v>
      </c>
      <c r="C159" s="38" t="s">
        <v>47</v>
      </c>
      <c r="D159" s="42">
        <f>TRUNC(7224+101,-1)</f>
        <v>7320</v>
      </c>
      <c r="E159" s="63">
        <f>TRUNC(+D159*3.3058,-1)</f>
        <v>24190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34020</v>
      </c>
      <c r="E161" s="39">
        <f>SUM(E157:E160)</f>
        <v>112440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2020-12-07T10:14:08Z</dcterms:modified>
</cp:coreProperties>
</file>