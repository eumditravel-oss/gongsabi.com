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2" i="4"/>
  <c r="D151" i="4"/>
  <c r="D150" i="4"/>
  <c r="D149" i="4"/>
  <c r="D144" i="4"/>
  <c r="D143" i="4"/>
  <c r="D142" i="4"/>
  <c r="D141" i="4"/>
  <c r="D140" i="4"/>
  <c r="D137" i="4"/>
  <c r="D132" i="4"/>
  <c r="D128" i="4"/>
  <c r="D126" i="4"/>
  <c r="D125" i="4"/>
  <c r="D124" i="4"/>
  <c r="D122" i="4"/>
  <c r="D118" i="4"/>
  <c r="D116" i="4"/>
  <c r="D114" i="4"/>
  <c r="D105" i="4"/>
  <c r="D104" i="4"/>
  <c r="D102" i="4"/>
  <c r="D100" i="4"/>
  <c r="D98" i="4"/>
  <c r="D94" i="4"/>
  <c r="D91" i="4"/>
  <c r="D90" i="4"/>
  <c r="D73" i="4"/>
  <c r="D72" i="4"/>
  <c r="D71" i="4"/>
  <c r="D69" i="4"/>
  <c r="D63" i="4"/>
  <c r="D53" i="4"/>
  <c r="D49" i="4"/>
  <c r="D48" i="4"/>
  <c r="D46" i="4"/>
  <c r="D44" i="4"/>
  <c r="D43" i="4"/>
  <c r="D42" i="4"/>
  <c r="D40" i="4"/>
  <c r="D58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<sst xmlns="http://schemas.openxmlformats.org/spreadsheetml/2006/main" count="391" uniqueCount="267">
  <si>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</si>
  <si>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</si>
  <si>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</si>
  <si>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</si>
  <si>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</si>
  <si>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</si>
  <si>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</si>
  <si>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</si>
  <si>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</si>
  <si>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</si>
  <si>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</si>
  <si>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</si>
  <si>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</si>
  <si>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</si>
  <si>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</si>
  <si>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</si>
  <si>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</si>
  <si>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</si>
  <si>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</si>
  <si>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</si>
  <si>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</si>
  <si>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</si>
  <si>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</si>
  <si>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</si>
  <si>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</si>
  <si>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</si>
  <si>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</si>
  <si>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</si>
  <si>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</si>
  <si>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</si>
  <si>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</si>
  <si>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</si>
  <si>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</si>
  <si>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</si>
  <si>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</si>
  <si>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</si>
  <si>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</si>
  <si>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</si>
  <si>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</si>
  <si>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</si>
  <si>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</si>
  <si>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</si>
  <si>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</si>
  <si>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</si>
  <si>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</si>
  <si>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</si>
  <si>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</si>
  <si>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</si>
  <si>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</si>
  <si>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</si>
  <si>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</si>
  <si>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</si>
  <si>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</si>
  <si>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</si>
  <si>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</si>
  <si>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</si>
  <si>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</si>
  <si>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</si>
  <si>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</si>
  <si>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</si>
  <si>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</si>
  <si>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</si>
  <si>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</si>
  <si>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</si>
  <si>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</si>
  <si>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</si>
  <si>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</si>
  <si>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</si>
  <si>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</si>
  <si>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</si>
  <si>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</si>
  <si>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</si>
  <si>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</si>
  <si>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</si>
  <si>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</si>
  <si>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</si>
  <si>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</si>
  <si>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</si>
  <si>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</si>
  <si>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</si>
  <si>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</si>
  <si>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</si>
  <si>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</si>
  <si>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</si>
  <si>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</si>
  <si>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</si>
  <si>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</si>
  <si>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</si>
  <si>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</si>
  <si>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</si>
  <si>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</si>
  <si>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</si>
  <si>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</si>
  <si>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</si>
  <si>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</si>
  <si>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</si>
  <si>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</si>
  <si>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</si>
  <si>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</si>
  <si>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</si>
  <si>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</si>
  <si>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</si>
  <si>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</si>
  <si>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</si>
  <si>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</si>
  <si>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</si>
  <si>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</si>
  <si>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</si>
  <si>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</si>
  <si>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</si>
  <si>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</si>
  <si>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</si>
  <si>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</si>
  <si>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</si>
  <si>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</si>
  <si>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</si>
  <si>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</si>
  <si>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</si>
  <si>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</si>
  <si>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</si>
  <si>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</si>
  <si>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</si>
  <si>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</si>
  <si>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</si>
  <si>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</si>
  <si>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</si>
  <si>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</si>
  <si>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</si>
  <si>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</si>
  <si>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</si>
  <si>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</si>
  <si>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</si>
  <si>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</si>
  <si>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</si>
  <si>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</si>
  <si>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</si>
  <si>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</si>
  <si>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</si>
  <si>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</si>
  <si>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</si>
  <si>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</si>
  <si>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</si>
  <si>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</si>
  <si>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</si>
  <si>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</si>
  <si>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</si>
  <si>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</si>
  <si>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</si>
  <si>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</si>
  <si>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</si>
  <si>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</si>
  <si>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</si>
  <si>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</si>
  <si>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</si>
  <si>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</si>
  <si>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</si>
  <si>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</si>
  <si>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</si>
  <si>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</si>
  <si>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</si>
  <si>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</si>
  <si>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</si>
  <si>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</si>
  <si>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</si>
  <si>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</si>
  <si>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</si>
  <si>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</si>
  <si>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</si>
  <si>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</si>
  <si>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</si>
  <si>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</si>
  <si>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</si>
  <si>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</si>
  <si>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</si>
  <si>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</si>
  <si>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</si>
  <si>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</si>
  <si>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</si>
  <si>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</si>
  <si>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</si>
  <si>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</si>
  <si>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</si>
  <si>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</si>
  <si>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</si>
  <si>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</si>
  <si>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</si>
  <si>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</si>
  <si>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</si>
  <si>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</si>
  <si>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</si>
  <si>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</si>
  <si>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</si>
  <si>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</si>
  <si>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</si>
  <si>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</si>
  <si>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</si>
  <si>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</si>
  <si>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</si>
  <si>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</si>
  <si>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</si>
  <si>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</si>
  <si>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</si>
  <si>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</si>
  <si>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</si>
  <si>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</si>
  <si>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</si>
  <si>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</si>
  <si>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</si>
  <si>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</si>
  <si>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</si>
  <si>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</si>
  <si>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</si>
  <si>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</si>
  <si>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</si>
  <si>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</si>
  <si>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</si>
  <si>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</si>
  <si>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</si>
  <si>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</si>
  <si>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</si>
  <si>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</si>
  <si>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</si>
  <si>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</si>
  <si>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</si>
  <si>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</si>
  <si>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</si>
  <si>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</si>
  <si>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</si>
  <si>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</si>
  <si>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</si>
  <si>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</si>
  <si>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</si>
  <si>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</si>
  <si>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</si>
  <si>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</si>
  <si>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</si>
  <si>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</si>
  <si>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</si>
  <si>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</si>
  <si>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</si>
  <si>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</si>
  <si>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</si>
  <si>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</si>
  <si>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</si>
  <si>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</si>
  <si>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</si>
  <si>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</si>
  <si>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</si>
  <si>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</si>
  <si>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</si>
  <si>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</si>
  <si>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</si>
  <si>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</si>
  <si>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</si>
  <si>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</si>
  <si>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</si>
  <si>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</si>
  <si>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운동</t>
  </si>
  <si>
    <t>예산군민체육관 건립공사</t>
    <phoneticPr fontId="2" type="noConversion"/>
  </si>
  <si>
    <t>충청도</t>
  </si>
  <si>
    <t>기초공사, 해체및철거공사, 골재비및운반비, 작업부산물, 품질시험비, 기타공사</t>
    <phoneticPr fontId="2" type="noConversion"/>
  </si>
  <si>
    <t>CCTV설비공사</t>
    <phoneticPr fontId="2" type="noConversion"/>
  </si>
  <si>
    <t>상수도공사, 사급자재비, 운반비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</si>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</sst>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8501.9599999999991</v>
      </c>
      <c r="D7" s="36">
        <f>+C7/3.3058</f>
        <v>2571.8313267590293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690390</v>
      </c>
      <c r="E25" s="59">
        <f t="shared" si="0"/>
        <v>2282290</v>
      </c>
    </row>
    <row r="26" spans="1:5" x14ac:dyDescent="0.3">
      <c r="B26" s="2">
        <v>3</v>
      </c>
      <c r="C26" s="35" t="s">
        <v>95</v>
      </c>
      <c r="D26" s="45">
        <f>+D66</f>
        <v>53770</v>
      </c>
      <c r="E26" s="59">
        <f t="shared" si="0"/>
        <v>177750</v>
      </c>
    </row>
    <row r="27" spans="1:5" x14ac:dyDescent="0.3">
      <c r="B27" s="2">
        <v>4</v>
      </c>
      <c r="C27" s="35" t="s">
        <v>96</v>
      </c>
      <c r="D27" s="45">
        <f>+D95</f>
        <v>101810</v>
      </c>
      <c r="E27" s="59">
        <f t="shared" si="0"/>
        <v>336560</v>
      </c>
    </row>
    <row r="28" spans="1:5" x14ac:dyDescent="0.3">
      <c r="B28" s="2">
        <v>5</v>
      </c>
      <c r="C28" s="35" t="s">
        <v>97</v>
      </c>
      <c r="D28" s="45">
        <f>+D119</f>
        <v>59270</v>
      </c>
      <c r="E28" s="59">
        <f t="shared" si="0"/>
        <v>195930</v>
      </c>
    </row>
    <row r="29" spans="1:5" x14ac:dyDescent="0.3">
      <c r="B29" s="2">
        <v>6</v>
      </c>
      <c r="C29" s="35" t="s">
        <v>98</v>
      </c>
      <c r="D29" s="45">
        <f>+D133</f>
        <v>29290</v>
      </c>
      <c r="E29" s="59">
        <f t="shared" si="0"/>
        <v>96820</v>
      </c>
    </row>
    <row r="30" spans="1:5" x14ac:dyDescent="0.3">
      <c r="B30" s="2">
        <v>7</v>
      </c>
      <c r="C30" s="35" t="s">
        <v>99</v>
      </c>
      <c r="D30" s="45">
        <f>+D146</f>
        <v>56870</v>
      </c>
      <c r="E30" s="59">
        <f t="shared" si="0"/>
        <v>188000</v>
      </c>
    </row>
    <row r="31" spans="1:5" x14ac:dyDescent="0.3">
      <c r="B31" s="2">
        <v>8</v>
      </c>
      <c r="C31" s="35" t="s">
        <v>100</v>
      </c>
      <c r="D31" s="45">
        <f>+D154</f>
        <v>28960</v>
      </c>
      <c r="E31" s="59">
        <f t="shared" si="0"/>
        <v>95730</v>
      </c>
    </row>
    <row r="32" spans="1:5" x14ac:dyDescent="0.3">
      <c r="B32" s="2">
        <v>9</v>
      </c>
      <c r="C32" s="35" t="s">
        <v>101</v>
      </c>
      <c r="D32" s="45">
        <f>+D161</f>
        <v>11210</v>
      </c>
      <c r="E32" s="59">
        <f t="shared" si="0"/>
        <v>37050</v>
      </c>
    </row>
    <row r="33" spans="1:7" x14ac:dyDescent="0.3">
      <c r="B33" s="2">
        <v>10</v>
      </c>
      <c r="C33" s="35" t="s">
        <v>154</v>
      </c>
      <c r="D33" s="53">
        <f>TRUNC(SUM(D24:D32)*0.275,-1)</f>
        <v>283680</v>
      </c>
      <c r="E33" s="60">
        <f t="shared" si="0"/>
        <v>937780</v>
      </c>
    </row>
    <row r="34" spans="1:7" x14ac:dyDescent="0.3">
      <c r="C34" s="35" t="s">
        <v>112</v>
      </c>
      <c r="D34" s="44">
        <f>SUM(D24:D33)</f>
        <v>1315250</v>
      </c>
      <c r="E34" s="44">
        <f>SUM(E24:E33)</f>
        <v>4347910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TRUNC(53122,-1)</f>
        <v>53120</v>
      </c>
      <c r="E40" s="62">
        <f t="shared" ref="E40:E59" si="1">TRUNC(+D40*3.3058,-1)</f>
        <v>175600</v>
      </c>
    </row>
    <row r="41" spans="1:7" x14ac:dyDescent="0.3">
      <c r="A41" s="2">
        <v>2</v>
      </c>
      <c r="C41" s="38" t="s">
        <v>13</v>
      </c>
      <c r="D41" s="42">
        <v>131070</v>
      </c>
      <c r="E41" s="63">
        <f t="shared" si="1"/>
        <v>433290</v>
      </c>
    </row>
    <row r="42" spans="1:7" x14ac:dyDescent="0.3">
      <c r="A42" s="2">
        <v>3</v>
      </c>
      <c r="C42" s="38" t="s">
        <v>14</v>
      </c>
      <c r="D42" s="42">
        <f>TRUNC(80966,-1)</f>
        <v>80960</v>
      </c>
      <c r="E42" s="63">
        <f t="shared" si="1"/>
        <v>267630</v>
      </c>
    </row>
    <row r="43" spans="1:7" x14ac:dyDescent="0.3">
      <c r="A43" s="2">
        <v>4</v>
      </c>
      <c r="C43" s="38" t="s">
        <v>16</v>
      </c>
      <c r="D43" s="42">
        <f>TRUNC(24124,-1)</f>
        <v>24120</v>
      </c>
      <c r="E43" s="63">
        <f t="shared" si="1"/>
        <v>79730</v>
      </c>
    </row>
    <row r="44" spans="1:7" x14ac:dyDescent="0.3">
      <c r="A44" s="2">
        <v>5</v>
      </c>
      <c r="C44" s="38" t="s">
        <v>17</v>
      </c>
      <c r="D44" s="42">
        <f>TRUNC(20352,-1)</f>
        <v>20350</v>
      </c>
      <c r="E44" s="63">
        <f t="shared" si="1"/>
        <v>67270</v>
      </c>
    </row>
    <row r="45" spans="1:7" x14ac:dyDescent="0.3">
      <c r="A45" s="2">
        <v>6</v>
      </c>
      <c r="C45" s="38" t="s">
        <v>18</v>
      </c>
      <c r="D45" s="42">
        <v>5120</v>
      </c>
      <c r="E45" s="63">
        <f t="shared" si="1"/>
        <v>16920</v>
      </c>
    </row>
    <row r="46" spans="1:7" x14ac:dyDescent="0.3">
      <c r="A46" s="2">
        <v>7</v>
      </c>
      <c r="C46" s="38" t="s">
        <v>19</v>
      </c>
      <c r="D46" s="42">
        <f>TRUNC(15931,-1)</f>
        <v>15930</v>
      </c>
      <c r="E46" s="63">
        <f t="shared" si="1"/>
        <v>52660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TRUNC(201367,-1)</f>
        <v>201360</v>
      </c>
      <c r="E48" s="63">
        <f t="shared" si="1"/>
        <v>665650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TRUNC(16289,-1)</f>
        <v>16280</v>
      </c>
      <c r="E49" s="63">
        <f t="shared" si="1"/>
        <v>53810</v>
      </c>
    </row>
    <row r="50" spans="1:7" x14ac:dyDescent="0.3">
      <c r="A50" s="2">
        <v>11</v>
      </c>
      <c r="C50" s="38" t="s">
        <v>155</v>
      </c>
      <c r="D50" s="42">
        <v>44240</v>
      </c>
      <c r="E50" s="63">
        <f t="shared" si="1"/>
        <v>146240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16920</v>
      </c>
      <c r="E52" s="63">
        <f t="shared" si="1"/>
        <v>55930</v>
      </c>
    </row>
    <row r="53" spans="1:7" x14ac:dyDescent="0.3">
      <c r="A53" s="2">
        <v>14</v>
      </c>
      <c r="C53" s="38" t="s">
        <v>25</v>
      </c>
      <c r="D53" s="42">
        <f>TRUNC(65514,-1)</f>
        <v>65510</v>
      </c>
      <c r="E53" s="63">
        <f t="shared" si="1"/>
        <v>216560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826+856+5212-1411+624+9303</f>
        <v>15410</v>
      </c>
      <c r="E58" s="63">
        <f t="shared" si="1"/>
        <v>50940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690390</v>
      </c>
      <c r="E60" s="39">
        <f>SUM(E40:E59)</f>
        <v>2282230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TRUNC(53773,-1)</f>
        <v>53770</v>
      </c>
      <c r="E63" s="62">
        <f>TRUNC(+D63*3.3058,-1)</f>
        <v>177750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53770</v>
      </c>
      <c r="E66" s="65">
        <f>SUM(E63:E65)</f>
        <v>177750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TRUNC(10021,-1)</f>
        <v>10020</v>
      </c>
      <c r="E69" s="62">
        <f t="shared" ref="E69:E94" si="2">TRUNC(+D69*3.3058,-1)</f>
        <v>33120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TRUNC(5369,-1)</f>
        <v>5360</v>
      </c>
      <c r="E71" s="63">
        <f t="shared" si="2"/>
        <v>17710</v>
      </c>
    </row>
    <row r="72" spans="1:7" x14ac:dyDescent="0.3">
      <c r="A72" s="2">
        <v>4</v>
      </c>
      <c r="C72" s="38" t="s">
        <v>33</v>
      </c>
      <c r="D72" s="42">
        <f>TRUNC(12345,-1)</f>
        <v>12340</v>
      </c>
      <c r="E72" s="63">
        <f t="shared" si="2"/>
        <v>40790</v>
      </c>
    </row>
    <row r="73" spans="1:7" x14ac:dyDescent="0.3">
      <c r="A73" s="2">
        <v>5</v>
      </c>
      <c r="C73" s="38" t="s">
        <v>34</v>
      </c>
      <c r="D73" s="42">
        <f>TRUNC(6281,-1)</f>
        <v>6280</v>
      </c>
      <c r="E73" s="63">
        <f t="shared" si="2"/>
        <v>20760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6000</v>
      </c>
      <c r="E89" s="63">
        <f t="shared" si="2"/>
        <v>19830</v>
      </c>
    </row>
    <row r="90" spans="1:7" x14ac:dyDescent="0.3">
      <c r="A90" s="2">
        <v>22</v>
      </c>
      <c r="C90" s="38" t="s">
        <v>36</v>
      </c>
      <c r="D90" s="42">
        <f>TRUNC(1023,-1)</f>
        <v>1020</v>
      </c>
      <c r="E90" s="63">
        <f t="shared" si="2"/>
        <v>3370</v>
      </c>
    </row>
    <row r="91" spans="1:7" x14ac:dyDescent="0.3">
      <c r="A91" s="2">
        <v>23</v>
      </c>
      <c r="C91" s="38" t="s">
        <v>37</v>
      </c>
      <c r="D91" s="42">
        <f>TRUNC(52718,-1)</f>
        <v>52710</v>
      </c>
      <c r="E91" s="63">
        <f t="shared" si="2"/>
        <v>174240</v>
      </c>
    </row>
    <row r="92" spans="1:7" x14ac:dyDescent="0.3">
      <c r="A92" s="2">
        <v>24</v>
      </c>
      <c r="C92" s="38" t="s">
        <v>38</v>
      </c>
      <c r="D92" s="42">
        <v>4800</v>
      </c>
      <c r="E92" s="63">
        <f t="shared" si="2"/>
        <v>15860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TRUNC(3289,-1)</f>
        <v>3280</v>
      </c>
      <c r="E94" s="64">
        <f t="shared" si="2"/>
        <v>10840</v>
      </c>
    </row>
    <row r="95" spans="1:7" x14ac:dyDescent="0.3">
      <c r="A95" s="2">
        <v>27</v>
      </c>
      <c r="C95" s="27" t="s">
        <v>112</v>
      </c>
      <c r="D95" s="39">
        <f>SUM(D69:D94)</f>
        <v>101810</v>
      </c>
      <c r="E95" s="39">
        <f>SUM(E69:E94)</f>
        <v>336520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TRUNC(7874,-1)</f>
        <v>7870</v>
      </c>
      <c r="E98" s="62">
        <f t="shared" ref="E98:E118" si="3">TRUNC(+D98*3.3058,-1)</f>
        <v>26010</v>
      </c>
    </row>
    <row r="99" spans="1:7" x14ac:dyDescent="0.3">
      <c r="A99" s="2">
        <v>2</v>
      </c>
      <c r="C99" s="38" t="s">
        <v>40</v>
      </c>
      <c r="D99" s="42">
        <v>4430</v>
      </c>
      <c r="E99" s="63">
        <f t="shared" si="3"/>
        <v>14640</v>
      </c>
    </row>
    <row r="100" spans="1:7" x14ac:dyDescent="0.3">
      <c r="A100" s="2">
        <v>3</v>
      </c>
      <c r="C100" s="38" t="s">
        <v>41</v>
      </c>
      <c r="D100" s="42">
        <f>TRUNC(15448,-1)</f>
        <v>15440</v>
      </c>
      <c r="E100" s="63">
        <f t="shared" si="3"/>
        <v>51040</v>
      </c>
    </row>
    <row r="101" spans="1:7" x14ac:dyDescent="0.3">
      <c r="A101" s="2">
        <v>4</v>
      </c>
      <c r="C101" s="38" t="s">
        <v>42</v>
      </c>
      <c r="D101" s="42">
        <v>200</v>
      </c>
      <c r="E101" s="63">
        <f t="shared" si="3"/>
        <v>660</v>
      </c>
    </row>
    <row r="102" spans="1:7" x14ac:dyDescent="0.3">
      <c r="A102" s="2">
        <v>5</v>
      </c>
      <c r="C102" s="38" t="s">
        <v>43</v>
      </c>
      <c r="D102" s="42">
        <f>TRUNC(4518,-1)</f>
        <v>4510</v>
      </c>
      <c r="E102" s="63">
        <f t="shared" si="3"/>
        <v>14900</v>
      </c>
    </row>
    <row r="103" spans="1:7" x14ac:dyDescent="0.3">
      <c r="A103" s="2">
        <v>6</v>
      </c>
      <c r="C103" s="38" t="s">
        <v>44</v>
      </c>
      <c r="D103" s="42">
        <v>910</v>
      </c>
      <c r="E103" s="63">
        <f t="shared" si="3"/>
        <v>3000</v>
      </c>
    </row>
    <row r="104" spans="1:7" x14ac:dyDescent="0.3">
      <c r="A104" s="2">
        <v>7</v>
      </c>
      <c r="C104" s="38" t="s">
        <v>45</v>
      </c>
      <c r="D104" s="42">
        <f>TRUNC(4251,-1)</f>
        <v>4250</v>
      </c>
      <c r="E104" s="63">
        <f t="shared" si="3"/>
        <v>14040</v>
      </c>
    </row>
    <row r="105" spans="1:7" x14ac:dyDescent="0.3">
      <c r="A105" s="2">
        <v>8</v>
      </c>
      <c r="C105" s="38" t="s">
        <v>46</v>
      </c>
      <c r="D105" s="42">
        <f>TRUNC(5743,-1)</f>
        <v>5740</v>
      </c>
      <c r="E105" s="63">
        <f t="shared" si="3"/>
        <v>18970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TRUNC(1534,-1)</f>
        <v>1530</v>
      </c>
      <c r="E114" s="63">
        <f t="shared" si="3"/>
        <v>5050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TRUNC(7495,-1)</f>
        <v>7490</v>
      </c>
      <c r="E116" s="63">
        <f t="shared" si="3"/>
        <v>24760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TRUNC(6904,-1)</f>
        <v>6900</v>
      </c>
      <c r="E118" s="64">
        <f t="shared" si="3"/>
        <v>22810</v>
      </c>
    </row>
    <row r="119" spans="1:7" x14ac:dyDescent="0.3">
      <c r="A119" s="2">
        <v>22</v>
      </c>
      <c r="C119" s="27" t="s">
        <v>112</v>
      </c>
      <c r="D119" s="39">
        <f>SUM(D98:D118)</f>
        <v>59270</v>
      </c>
      <c r="E119" s="39">
        <f>SUM(E98:E118)</f>
        <v>195880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TRUNC(3705,-1)</f>
        <v>3700</v>
      </c>
      <c r="E122" s="62">
        <f t="shared" ref="E122:E132" si="4">TRUNC(+D122*3.3058,-1)</f>
        <v>12230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TRUNC(5006,-1)</f>
        <v>5000</v>
      </c>
      <c r="E124" s="63">
        <f t="shared" si="4"/>
        <v>16520</v>
      </c>
    </row>
    <row r="125" spans="1:7" x14ac:dyDescent="0.3">
      <c r="A125" s="2">
        <v>4</v>
      </c>
      <c r="C125" s="38" t="s">
        <v>138</v>
      </c>
      <c r="D125" s="42">
        <f>TRUNC(7473,-1)</f>
        <v>7470</v>
      </c>
      <c r="E125" s="63">
        <f t="shared" si="4"/>
        <v>24690</v>
      </c>
    </row>
    <row r="126" spans="1:7" x14ac:dyDescent="0.3">
      <c r="A126" s="2">
        <v>5</v>
      </c>
      <c r="C126" s="38" t="s">
        <v>53</v>
      </c>
      <c r="D126" s="42">
        <f>TRUNC(10608,-1)</f>
        <v>10600</v>
      </c>
      <c r="E126" s="63">
        <f t="shared" si="4"/>
        <v>35040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TRUNC(978,-1)</f>
        <v>970</v>
      </c>
      <c r="E128" s="63">
        <f t="shared" si="4"/>
        <v>3200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TRUNC(1559,-1)</f>
        <v>1550</v>
      </c>
      <c r="E132" s="64">
        <f t="shared" si="4"/>
        <v>5120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29290</v>
      </c>
      <c r="E133" s="39">
        <f>SUM(E122:E132)</f>
        <v>96800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TRUNC(494+2182,-1)</f>
        <v>2670</v>
      </c>
      <c r="E137" s="63">
        <f t="shared" si="5"/>
        <v>8820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TRUNC(258,-1)</f>
        <v>250</v>
      </c>
      <c r="E140" s="63">
        <f t="shared" si="5"/>
        <v>820</v>
      </c>
    </row>
    <row r="141" spans="1:7" x14ac:dyDescent="0.3">
      <c r="A141" s="2">
        <v>6</v>
      </c>
      <c r="C141" s="38" t="s">
        <v>59</v>
      </c>
      <c r="D141" s="42">
        <f>TRUNC(32118,-1)</f>
        <v>32110</v>
      </c>
      <c r="E141" s="63">
        <f t="shared" si="5"/>
        <v>106140</v>
      </c>
    </row>
    <row r="142" spans="1:7" x14ac:dyDescent="0.3">
      <c r="A142" s="2">
        <v>7</v>
      </c>
      <c r="C142" s="38" t="s">
        <v>58</v>
      </c>
      <c r="D142" s="42">
        <f>TRUNC(4543,-1)</f>
        <v>4540</v>
      </c>
      <c r="E142" s="63">
        <f t="shared" si="5"/>
        <v>15000</v>
      </c>
    </row>
    <row r="143" spans="1:7" x14ac:dyDescent="0.3">
      <c r="A143" s="2">
        <v>8</v>
      </c>
      <c r="C143" s="38" t="s">
        <v>62</v>
      </c>
      <c r="D143" s="42">
        <f>TRUNC(4013,-1)</f>
        <v>4010</v>
      </c>
      <c r="E143" s="63">
        <f t="shared" si="5"/>
        <v>13250</v>
      </c>
    </row>
    <row r="144" spans="1:7" x14ac:dyDescent="0.3">
      <c r="A144" s="2">
        <v>9</v>
      </c>
      <c r="C144" s="38" t="s">
        <v>63</v>
      </c>
      <c r="D144" s="42">
        <f>TRUNC(13296,-1)</f>
        <v>13290</v>
      </c>
      <c r="E144" s="63">
        <f t="shared" si="5"/>
        <v>43930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56870</v>
      </c>
      <c r="E146" s="39">
        <f>SUM(E136:E145)</f>
        <v>187960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TRUNC(8243+1160,-1)</f>
        <v>9400</v>
      </c>
      <c r="E149" s="62">
        <f>TRUNC(+D149*3.3058,-1)</f>
        <v>31070</v>
      </c>
    </row>
    <row r="150" spans="1:7" x14ac:dyDescent="0.3">
      <c r="A150" s="2">
        <v>2</v>
      </c>
      <c r="C150" s="38" t="s">
        <v>49</v>
      </c>
      <c r="D150" s="42">
        <f>TRUNC(1811,-1)</f>
        <v>1810</v>
      </c>
      <c r="E150" s="63">
        <f>TRUNC(+D150*3.3058,-1)</f>
        <v>5980</v>
      </c>
    </row>
    <row r="151" spans="1:7" x14ac:dyDescent="0.3">
      <c r="A151" s="2">
        <v>3</v>
      </c>
      <c r="C151" s="38" t="s">
        <v>50</v>
      </c>
      <c r="D151" s="42">
        <f>TRUNC(10347,-1)</f>
        <v>10340</v>
      </c>
      <c r="E151" s="63">
        <f>TRUNC(+D151*3.3058,-1)</f>
        <v>34180</v>
      </c>
    </row>
    <row r="152" spans="1:7" x14ac:dyDescent="0.3">
      <c r="A152" s="2">
        <v>4</v>
      </c>
      <c r="C152" s="38" t="s">
        <v>47</v>
      </c>
      <c r="D152" s="42">
        <f>TRUNC(317+6721+372,-1)</f>
        <v>7410</v>
      </c>
      <c r="E152" s="63">
        <f>TRUNC(+D152*3.3058,-1)</f>
        <v>24490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28960</v>
      </c>
      <c r="E154" s="39">
        <f>SUM(E149:E153)</f>
        <v>95720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4200</v>
      </c>
      <c r="E157" s="62">
        <f>TRUNC(+D157*3.3058,-1)</f>
        <v>13880</v>
      </c>
    </row>
    <row r="158" spans="1:7" x14ac:dyDescent="0.3">
      <c r="A158" s="2">
        <v>2</v>
      </c>
      <c r="C158" s="38" t="s">
        <v>52</v>
      </c>
      <c r="D158" s="42">
        <f>TRUNC(4694,-1)</f>
        <v>4690</v>
      </c>
      <c r="E158" s="63">
        <f>TRUNC(+D158*3.3058,-1)</f>
        <v>15500</v>
      </c>
    </row>
    <row r="159" spans="1:7" x14ac:dyDescent="0.3">
      <c r="A159" s="2">
        <v>3</v>
      </c>
      <c r="C159" s="38" t="s">
        <v>47</v>
      </c>
      <c r="D159" s="42">
        <f>TRUNC(2302+19,-1)</f>
        <v>2320</v>
      </c>
      <c r="E159" s="63">
        <f>TRUNC(+D159*3.3058,-1)</f>
        <v>7660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11210</v>
      </c>
      <c r="E161" s="39">
        <f>SUM(E157:E160)</f>
        <v>37040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2020-12-07T10:18:25Z</dcterms:modified>
</cp:coreProperties>
</file>