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4" i="4"/>
  <c r="D142" i="4"/>
  <c r="D139" i="4"/>
  <c r="D137" i="4"/>
  <c r="D131" i="4"/>
  <c r="D128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8" i="4"/>
  <c r="D92" i="4"/>
  <c r="D91" i="4"/>
  <c r="D89" i="4"/>
  <c r="D90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<sst xmlns="http://schemas.openxmlformats.org/spreadsheetml/2006/main" count="388" uniqueCount="264">
  <si>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</si>
  <si>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</si>
  <si>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</si>
  <si>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</si>
  <si>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</si>
  <si>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</si>
  <si>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</si>
  <si>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</si>
  <si>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</si>
  <si>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</si>
  <si>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</si>
  <si>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</si>
  <si>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</si>
  <si>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</si>
  <si>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</si>
  <si>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</si>
  <si>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</si>
  <si>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</si>
  <si>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</si>
  <si>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</si>
  <si>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</si>
  <si>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</si>
  <si>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</si>
  <si>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</si>
  <si>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</si>
  <si>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</si>
  <si>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</si>
  <si>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</si>
  <si>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</si>
  <si>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</si>
  <si>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</si>
  <si>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</si>
  <si>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</si>
  <si>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</si>
  <si>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</si>
  <si>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</si>
  <si>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</si>
  <si>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</si>
  <si>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</si>
  <si>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</si>
  <si>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</si>
  <si>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</si>
  <si>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</si>
  <si>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</si>
  <si>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</si>
  <si>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</si>
  <si>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</si>
  <si>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</si>
  <si>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</si>
  <si>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</si>
  <si>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</si>
  <si>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</si>
  <si>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</si>
  <si>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</si>
  <si>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</si>
  <si>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</si>
  <si>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</si>
  <si>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</si>
  <si>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</si>
  <si>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</si>
  <si>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</si>
  <si>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</si>
  <si>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</si>
  <si>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</si>
  <si>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</si>
  <si>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</si>
  <si>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</si>
  <si>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</si>
  <si>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</si>
  <si>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</si>
  <si>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</si>
  <si>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</si>
  <si>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</si>
  <si>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</si>
  <si>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</si>
  <si>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</si>
  <si>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</si>
  <si>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</si>
  <si>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</si>
  <si>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</si>
  <si>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</si>
  <si>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</si>
  <si>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</si>
  <si>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</si>
  <si>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</si>
  <si>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</si>
  <si>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</si>
  <si>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</si>
  <si>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</si>
  <si>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</si>
  <si>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</si>
  <si>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</si>
  <si>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</si>
  <si>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</si>
  <si>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</si>
  <si>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</si>
  <si>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</si>
  <si>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</si>
  <si>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</si>
  <si>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</si>
  <si>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</si>
  <si>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</si>
  <si>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</si>
  <si>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</si>
  <si>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</si>
  <si>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</si>
  <si>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</si>
  <si>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</si>
  <si>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</si>
  <si>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</si>
  <si>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</si>
  <si>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</si>
  <si>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</si>
  <si>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</si>
  <si>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</si>
  <si>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</si>
  <si>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</si>
  <si>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</si>
  <si>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</si>
  <si>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</si>
  <si>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</si>
  <si>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</si>
  <si>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</si>
  <si>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</si>
  <si>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</si>
  <si>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</si>
  <si>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</si>
  <si>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</si>
  <si>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</si>
  <si>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</si>
  <si>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</si>
  <si>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</si>
  <si>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</si>
  <si>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</si>
  <si>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</si>
  <si>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</si>
  <si>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</si>
  <si>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</si>
  <si>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</si>
  <si>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</si>
  <si>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</si>
  <si>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</si>
  <si>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</si>
  <si>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</si>
  <si>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</si>
  <si>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</si>
  <si>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</si>
  <si>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</si>
  <si>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</si>
  <si>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</si>
  <si>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</si>
  <si>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</si>
  <si>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</si>
  <si>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</si>
  <si>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</si>
  <si>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</si>
  <si>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</si>
  <si>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</si>
  <si>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</si>
  <si>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</si>
  <si>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</si>
  <si>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</si>
  <si>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</si>
  <si>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</si>
  <si>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</si>
  <si>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</si>
  <si>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</si>
  <si>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</si>
  <si>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</si>
  <si>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</si>
  <si>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</si>
  <si>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</si>
  <si>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</si>
  <si>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</si>
  <si>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</si>
  <si>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</si>
  <si>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</si>
  <si>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</si>
  <si>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</si>
  <si>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</si>
  <si>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</si>
  <si>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</si>
  <si>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</si>
  <si>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</si>
  <si>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</si>
  <si>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</si>
  <si>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</si>
  <si>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</si>
  <si>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</si>
  <si>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</si>
  <si>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</si>
  <si>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</si>
  <si>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</si>
  <si>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</si>
  <si>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</si>
  <si>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</si>
  <si>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</si>
  <si>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</si>
  <si>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</si>
  <si>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</si>
  <si>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</si>
  <si>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</si>
  <si>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</si>
  <si>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</si>
  <si>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</si>
  <si>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</si>
  <si>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</si>
  <si>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</si>
  <si>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</si>
  <si>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</si>
  <si>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</si>
  <si>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</si>
  <si>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</si>
  <si>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</si>
  <si>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</si>
  <si>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</si>
  <si>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</si>
  <si>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</si>
  <si>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</si>
  <si>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</si>
  <si>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</si>
  <si>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</si>
  <si>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</si>
  <si>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</si>
  <si>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</si>
  <si>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</si>
  <si>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</si>
  <si>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</si>
  <si>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</si>
  <si>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</si>
  <si>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</si>
  <si>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</si>
  <si>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</si>
  <si>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</si>
  <si>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</si>
  <si>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</si>
  <si>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</si>
  <si>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</si>
  <si>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</si>
  <si>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</si>
  <si>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</si>
  <si>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</si>
  <si>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</si>
  <si>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</si>
  <si>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</si>
  <si>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</si>
  <si>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</si>
  <si>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</si>
  <si>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</si>
  <si>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</si>
  <si>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남양주가평지사 사옥 신축공사</t>
    <phoneticPr fontId="2" type="noConversion"/>
  </si>
  <si>
    <t>목공사및수장공사(인테리어공사 포함)</t>
    <phoneticPr fontId="2" type="noConversion"/>
  </si>
  <si>
    <t>기초공사, 폐기물처리비, 골재비및운반비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</si>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</sst>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3456.82</v>
      </c>
      <c r="D7" s="36">
        <f>+C7/3.3058</f>
        <v>1045.6833444249501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1148830</v>
      </c>
      <c r="E25" s="59">
        <f t="shared" si="0"/>
        <v>3797800</v>
      </c>
    </row>
    <row r="26" spans="1:5" x14ac:dyDescent="0.3">
      <c r="B26" s="2">
        <v>3</v>
      </c>
      <c r="C26" s="35" t="s">
        <v>95</v>
      </c>
      <c r="D26" s="45">
        <f>+D66</f>
        <v>14120</v>
      </c>
      <c r="E26" s="59">
        <f t="shared" si="0"/>
        <v>46670</v>
      </c>
    </row>
    <row r="27" spans="1:5" x14ac:dyDescent="0.3">
      <c r="B27" s="2">
        <v>4</v>
      </c>
      <c r="C27" s="35" t="s">
        <v>96</v>
      </c>
      <c r="D27" s="45">
        <f>+D95</f>
        <v>63850</v>
      </c>
      <c r="E27" s="59">
        <f t="shared" si="0"/>
        <v>211070</v>
      </c>
    </row>
    <row r="28" spans="1:5" x14ac:dyDescent="0.3">
      <c r="B28" s="2">
        <v>5</v>
      </c>
      <c r="C28" s="35" t="s">
        <v>97</v>
      </c>
      <c r="D28" s="45">
        <f>+D119</f>
        <v>271950</v>
      </c>
      <c r="E28" s="59">
        <f t="shared" si="0"/>
        <v>899010</v>
      </c>
    </row>
    <row r="29" spans="1:5" x14ac:dyDescent="0.3">
      <c r="B29" s="2">
        <v>6</v>
      </c>
      <c r="C29" s="35" t="s">
        <v>98</v>
      </c>
      <c r="D29" s="45">
        <f>+D133</f>
        <v>106830</v>
      </c>
      <c r="E29" s="59">
        <f t="shared" si="0"/>
        <v>353150</v>
      </c>
    </row>
    <row r="30" spans="1:5" x14ac:dyDescent="0.3">
      <c r="B30" s="2">
        <v>7</v>
      </c>
      <c r="C30" s="35" t="s">
        <v>99</v>
      </c>
      <c r="D30" s="45">
        <f>+D146</f>
        <v>34630</v>
      </c>
      <c r="E30" s="59">
        <f t="shared" si="0"/>
        <v>114470</v>
      </c>
    </row>
    <row r="31" spans="1:5" x14ac:dyDescent="0.3">
      <c r="B31" s="2">
        <v>8</v>
      </c>
      <c r="C31" s="35" t="s">
        <v>100</v>
      </c>
      <c r="D31" s="45">
        <f>+D154</f>
        <v>55940</v>
      </c>
      <c r="E31" s="59">
        <f t="shared" si="0"/>
        <v>184920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466440</v>
      </c>
      <c r="E33" s="60">
        <f t="shared" si="0"/>
        <v>1541950</v>
      </c>
    </row>
    <row r="34" spans="1:7" x14ac:dyDescent="0.3">
      <c r="C34" s="35" t="s">
        <v>112</v>
      </c>
      <c r="D34" s="44">
        <f>SUM(D24:D33)</f>
        <v>2162590</v>
      </c>
      <c r="E34" s="44">
        <f>SUM(E24:E33)</f>
        <v>7149040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258</v>
      </c>
      <c r="D39" s="57" t="s">
        <v>259</v>
      </c>
      <c r="E39" s="57" t="s">
        <v>260</v>
      </c>
      <c r="G39" s="55"/>
    </row>
    <row r="40" spans="1:7" x14ac:dyDescent="0.3">
      <c r="A40" s="2">
        <v>1</v>
      </c>
      <c r="C40" s="38" t="s">
        <v>15</v>
      </c>
      <c r="D40" s="40">
        <f>TRUNC(51597,-1)</f>
        <v>51590</v>
      </c>
      <c r="E40" s="62">
        <f t="shared" ref="E40:E59" si="1">TRUNC(+D40*3.3058,-1)</f>
        <v>170540</v>
      </c>
    </row>
    <row r="41" spans="1:7" x14ac:dyDescent="0.3">
      <c r="A41" s="2">
        <v>2</v>
      </c>
      <c r="C41" s="38" t="s">
        <v>13</v>
      </c>
      <c r="D41" s="42">
        <f>TRUNC(151464,-1)</f>
        <v>151460</v>
      </c>
      <c r="E41" s="63">
        <f t="shared" si="1"/>
        <v>500690</v>
      </c>
    </row>
    <row r="42" spans="1:7" x14ac:dyDescent="0.3">
      <c r="A42" s="2">
        <v>3</v>
      </c>
      <c r="C42" s="38" t="s">
        <v>14</v>
      </c>
      <c r="D42" s="42">
        <f>TRUNC(22380,-1)</f>
        <v>22380</v>
      </c>
      <c r="E42" s="63">
        <f t="shared" si="1"/>
        <v>73980</v>
      </c>
    </row>
    <row r="43" spans="1:7" x14ac:dyDescent="0.3">
      <c r="A43" s="2">
        <v>4</v>
      </c>
      <c r="C43" s="38" t="s">
        <v>16</v>
      </c>
      <c r="D43" s="42">
        <f>TRUNC(16729,-1)</f>
        <v>16720</v>
      </c>
      <c r="E43" s="63">
        <f t="shared" si="1"/>
        <v>55270</v>
      </c>
    </row>
    <row r="44" spans="1:7" x14ac:dyDescent="0.3">
      <c r="A44" s="2">
        <v>5</v>
      </c>
      <c r="C44" s="38" t="s">
        <v>17</v>
      </c>
      <c r="D44" s="42">
        <f>TRUNC(21773,-1)</f>
        <v>21770</v>
      </c>
      <c r="E44" s="63">
        <f t="shared" si="1"/>
        <v>71960</v>
      </c>
    </row>
    <row r="45" spans="1:7" x14ac:dyDescent="0.3">
      <c r="A45" s="2">
        <v>6</v>
      </c>
      <c r="C45" s="38" t="s">
        <v>18</v>
      </c>
      <c r="D45" s="42">
        <f>TRUNC(12209,-1)</f>
        <v>12200</v>
      </c>
      <c r="E45" s="63">
        <f t="shared" si="1"/>
        <v>40330</v>
      </c>
    </row>
    <row r="46" spans="1:7" x14ac:dyDescent="0.3">
      <c r="A46" s="2">
        <v>7</v>
      </c>
      <c r="C46" s="38" t="s">
        <v>19</v>
      </c>
      <c r="D46" s="42">
        <f>TRUNC(144297,-1)</f>
        <v>144290</v>
      </c>
      <c r="E46" s="63">
        <f t="shared" si="1"/>
        <v>476990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TRUNC(25995,-1)</f>
        <v>25990</v>
      </c>
      <c r="E48" s="63">
        <f t="shared" si="1"/>
        <v>85910</v>
      </c>
    </row>
    <row r="49" spans="1:7" x14ac:dyDescent="0.3">
      <c r="A49" s="2">
        <v>10</v>
      </c>
      <c r="C49" s="38" t="s">
        <v>22</v>
      </c>
      <c r="D49" s="42">
        <f>TRUNC(9357,-1)</f>
        <v>9350</v>
      </c>
      <c r="E49" s="63">
        <f t="shared" si="1"/>
        <v>30900</v>
      </c>
    </row>
    <row r="50" spans="1:7" x14ac:dyDescent="0.3">
      <c r="A50" s="2">
        <v>11</v>
      </c>
      <c r="C50" s="38" t="s">
        <v>155</v>
      </c>
      <c r="D50" s="42">
        <f>TRUNC(48334,-1)</f>
        <v>48330</v>
      </c>
      <c r="E50" s="63">
        <f t="shared" si="1"/>
        <v>159760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TRUNC(10218,-1)</f>
        <v>10210</v>
      </c>
      <c r="E52" s="63">
        <f t="shared" si="1"/>
        <v>33750</v>
      </c>
    </row>
    <row r="53" spans="1:7" x14ac:dyDescent="0.3">
      <c r="A53" s="2">
        <v>14</v>
      </c>
      <c r="C53" s="38" t="s">
        <v>25</v>
      </c>
      <c r="D53" s="42">
        <f>TRUNC(155957,-1)</f>
        <v>155950</v>
      </c>
      <c r="E53" s="63">
        <f t="shared" si="1"/>
        <v>515530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TRUNC(21186+895+6201-694+34726,-1)</f>
        <v>62310</v>
      </c>
      <c r="E58" s="63">
        <f t="shared" si="1"/>
        <v>205980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TRUNC(416287,-1)</f>
        <v>416280</v>
      </c>
      <c r="E59" s="64">
        <f t="shared" si="1"/>
        <v>1376130</v>
      </c>
    </row>
    <row r="60" spans="1:7" x14ac:dyDescent="0.3">
      <c r="A60" s="2">
        <v>21</v>
      </c>
      <c r="C60" s="27" t="s">
        <v>112</v>
      </c>
      <c r="D60" s="39">
        <f>SUM(D40:D59)</f>
        <v>1148830</v>
      </c>
      <c r="E60" s="39">
        <f>SUM(E40:E59)</f>
        <v>3797720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TRUNC(14129,-1)</f>
        <v>14120</v>
      </c>
      <c r="E63" s="62">
        <f>TRUNC(+D63*3.3058,-1)</f>
        <v>46670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14120</v>
      </c>
      <c r="E66" s="65">
        <f>SUM(E63:E65)</f>
        <v>46670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TRUNC(10951,-1)</f>
        <v>10950</v>
      </c>
      <c r="E69" s="62">
        <f t="shared" ref="E69:E94" si="2">TRUNC(+D69*3.3058,-1)</f>
        <v>36190</v>
      </c>
    </row>
    <row r="70" spans="1:7" ht="16.5" customHeight="1" x14ac:dyDescent="0.3">
      <c r="A70" s="2">
        <v>2</v>
      </c>
      <c r="C70" s="38" t="s">
        <v>31</v>
      </c>
      <c r="D70" s="42">
        <f>TRUNC(1686,-1)</f>
        <v>1680</v>
      </c>
      <c r="E70" s="63">
        <f t="shared" si="2"/>
        <v>5550</v>
      </c>
    </row>
    <row r="71" spans="1:7" x14ac:dyDescent="0.3">
      <c r="A71" s="2">
        <v>3</v>
      </c>
      <c r="C71" s="38" t="s">
        <v>32</v>
      </c>
      <c r="D71" s="42">
        <f>TRUNC(7103,-1)</f>
        <v>7100</v>
      </c>
      <c r="E71" s="63">
        <f t="shared" si="2"/>
        <v>23470</v>
      </c>
    </row>
    <row r="72" spans="1:7" x14ac:dyDescent="0.3">
      <c r="A72" s="2">
        <v>4</v>
      </c>
      <c r="C72" s="38" t="s">
        <v>33</v>
      </c>
      <c r="D72" s="42">
        <f>TRUNC(4495,-1)</f>
        <v>4490</v>
      </c>
      <c r="E72" s="63">
        <f t="shared" si="2"/>
        <v>14840</v>
      </c>
    </row>
    <row r="73" spans="1:7" x14ac:dyDescent="0.3">
      <c r="A73" s="2">
        <v>5</v>
      </c>
      <c r="C73" s="38" t="s">
        <v>34</v>
      </c>
      <c r="D73" s="42">
        <f>TRUNC(11230,-1)</f>
        <v>11230</v>
      </c>
      <c r="E73" s="63">
        <f t="shared" si="2"/>
        <v>37120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TRUNC(4818,-1)</f>
        <v>4810</v>
      </c>
      <c r="E89" s="63">
        <f t="shared" si="2"/>
        <v>15900</v>
      </c>
    </row>
    <row r="90" spans="1:7" x14ac:dyDescent="0.3">
      <c r="A90" s="2">
        <v>22</v>
      </c>
      <c r="C90" s="38" t="s">
        <v>36</v>
      </c>
      <c r="D90" s="42">
        <f>TRUNC(4137,-1)</f>
        <v>4130</v>
      </c>
      <c r="E90" s="63">
        <f t="shared" si="2"/>
        <v>13650</v>
      </c>
    </row>
    <row r="91" spans="1:7" x14ac:dyDescent="0.3">
      <c r="A91" s="2">
        <v>23</v>
      </c>
      <c r="C91" s="38" t="s">
        <v>37</v>
      </c>
      <c r="D91" s="42">
        <f>TRUNC(7357,-1)</f>
        <v>7350</v>
      </c>
      <c r="E91" s="63">
        <f t="shared" si="2"/>
        <v>24290</v>
      </c>
    </row>
    <row r="92" spans="1:7" x14ac:dyDescent="0.3">
      <c r="A92" s="2">
        <v>24</v>
      </c>
      <c r="C92" s="38" t="s">
        <v>38</v>
      </c>
      <c r="D92" s="42">
        <f>TRUNC(12117,-1)</f>
        <v>12110</v>
      </c>
      <c r="E92" s="63">
        <f t="shared" si="2"/>
        <v>40030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63850</v>
      </c>
      <c r="E95" s="39">
        <f>SUM(E69:E94)</f>
        <v>211040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TRUNC(8481,-1)</f>
        <v>8480</v>
      </c>
      <c r="E98" s="62">
        <f t="shared" ref="E98:E118" si="3">TRUNC(+D98*3.3058,-1)</f>
        <v>28030</v>
      </c>
    </row>
    <row r="99" spans="1:7" x14ac:dyDescent="0.3">
      <c r="A99" s="2">
        <v>2</v>
      </c>
      <c r="C99" s="38" t="s">
        <v>40</v>
      </c>
      <c r="D99" s="42">
        <v>1630</v>
      </c>
      <c r="E99" s="63">
        <f t="shared" si="3"/>
        <v>5380</v>
      </c>
    </row>
    <row r="100" spans="1:7" x14ac:dyDescent="0.3">
      <c r="A100" s="2">
        <v>3</v>
      </c>
      <c r="C100" s="38" t="s">
        <v>41</v>
      </c>
      <c r="D100" s="42">
        <f>TRUNC(42733,-1)</f>
        <v>42730</v>
      </c>
      <c r="E100" s="63">
        <f t="shared" si="3"/>
        <v>141250</v>
      </c>
    </row>
    <row r="101" spans="1:7" x14ac:dyDescent="0.3">
      <c r="A101" s="2">
        <v>4</v>
      </c>
      <c r="C101" s="38" t="s">
        <v>42</v>
      </c>
      <c r="D101" s="42">
        <v>2630</v>
      </c>
      <c r="E101" s="63">
        <f t="shared" si="3"/>
        <v>8690</v>
      </c>
    </row>
    <row r="102" spans="1:7" x14ac:dyDescent="0.3">
      <c r="A102" s="2">
        <v>5</v>
      </c>
      <c r="C102" s="38" t="s">
        <v>43</v>
      </c>
      <c r="D102" s="42">
        <f>TRUNC(19676,-1)</f>
        <v>19670</v>
      </c>
      <c r="E102" s="63">
        <f t="shared" si="3"/>
        <v>65020</v>
      </c>
    </row>
    <row r="103" spans="1:7" x14ac:dyDescent="0.3">
      <c r="A103" s="2">
        <v>6</v>
      </c>
      <c r="C103" s="38" t="s">
        <v>44</v>
      </c>
      <c r="D103" s="42">
        <f>TRUNC(6986,-1)</f>
        <v>6980</v>
      </c>
      <c r="E103" s="63">
        <f t="shared" si="3"/>
        <v>23070</v>
      </c>
    </row>
    <row r="104" spans="1:7" x14ac:dyDescent="0.3">
      <c r="A104" s="2">
        <v>7</v>
      </c>
      <c r="C104" s="38" t="s">
        <v>45</v>
      </c>
      <c r="D104" s="42">
        <f>TRUNC(4724,-1)</f>
        <v>4720</v>
      </c>
      <c r="E104" s="63">
        <f t="shared" si="3"/>
        <v>15600</v>
      </c>
    </row>
    <row r="105" spans="1:7" x14ac:dyDescent="0.3">
      <c r="A105" s="2">
        <v>8</v>
      </c>
      <c r="C105" s="38" t="s">
        <v>46</v>
      </c>
      <c r="D105" s="42">
        <f>TRUNC(2446,-1)</f>
        <v>2440</v>
      </c>
      <c r="E105" s="63">
        <f t="shared" si="3"/>
        <v>8060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TRUNC(2862,-1)</f>
        <v>2860</v>
      </c>
      <c r="E114" s="63">
        <f t="shared" si="3"/>
        <v>9450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TRUNC(6516,-1)</f>
        <v>6510</v>
      </c>
      <c r="E116" s="63">
        <f t="shared" si="3"/>
        <v>21520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TRUNC(166612,-1)</f>
        <v>166610</v>
      </c>
      <c r="E117" s="63">
        <f t="shared" si="3"/>
        <v>550770</v>
      </c>
    </row>
    <row r="118" spans="1:7" ht="17.25" thickBot="1" x14ac:dyDescent="0.35">
      <c r="A118" s="2">
        <v>21</v>
      </c>
      <c r="C118" s="38" t="s">
        <v>47</v>
      </c>
      <c r="D118" s="43">
        <f>TRUNC(6697,-1)</f>
        <v>6690</v>
      </c>
      <c r="E118" s="64">
        <f t="shared" si="3"/>
        <v>22110</v>
      </c>
    </row>
    <row r="119" spans="1:7" x14ac:dyDescent="0.3">
      <c r="A119" s="2">
        <v>22</v>
      </c>
      <c r="C119" s="27" t="s">
        <v>112</v>
      </c>
      <c r="D119" s="39">
        <f>SUM(D98:D118)</f>
        <v>271950</v>
      </c>
      <c r="E119" s="39">
        <f>SUM(E98:E118)</f>
        <v>898950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TRUNC(6417,-1)</f>
        <v>6410</v>
      </c>
      <c r="E122" s="62">
        <f t="shared" ref="E122:E132" si="4">TRUNC(+D122*3.3058,-1)</f>
        <v>21190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TRUNC(2072,-1)</f>
        <v>2070</v>
      </c>
      <c r="E124" s="63">
        <f t="shared" si="4"/>
        <v>6840</v>
      </c>
    </row>
    <row r="125" spans="1:7" x14ac:dyDescent="0.3">
      <c r="A125" s="2">
        <v>4</v>
      </c>
      <c r="C125" s="38" t="s">
        <v>138</v>
      </c>
      <c r="D125" s="42">
        <f>TRUNC(8746,-1)</f>
        <v>8740</v>
      </c>
      <c r="E125" s="63">
        <f t="shared" si="4"/>
        <v>28890</v>
      </c>
    </row>
    <row r="126" spans="1:7" x14ac:dyDescent="0.3">
      <c r="A126" s="2">
        <v>5</v>
      </c>
      <c r="C126" s="38" t="s">
        <v>53</v>
      </c>
      <c r="D126" s="42">
        <f>TRUNC(39691,-1)</f>
        <v>39690</v>
      </c>
      <c r="E126" s="63">
        <f t="shared" si="4"/>
        <v>131200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TRUNC(2974,-1)</f>
        <v>2970</v>
      </c>
      <c r="E128" s="63">
        <f t="shared" si="4"/>
        <v>9810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TRUNC(46952,-1)</f>
        <v>46950</v>
      </c>
      <c r="E131" s="63">
        <f t="shared" si="4"/>
        <v>155200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106830</v>
      </c>
      <c r="E133" s="39">
        <f>SUM(E122:E132)</f>
        <v>353130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TRUNC(2596+280,-1)</f>
        <v>2870</v>
      </c>
      <c r="E137" s="63">
        <f t="shared" si="5"/>
        <v>9480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TRUNC(918,-1)</f>
        <v>910</v>
      </c>
      <c r="E139" s="63">
        <f t="shared" si="5"/>
        <v>3000</v>
      </c>
    </row>
    <row r="140" spans="1:7" x14ac:dyDescent="0.3">
      <c r="A140" s="2">
        <v>5</v>
      </c>
      <c r="C140" s="38" t="s">
        <v>57</v>
      </c>
      <c r="D140" s="42">
        <v>2830</v>
      </c>
      <c r="E140" s="63">
        <f t="shared" si="5"/>
        <v>9350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TRUNC(4793,-1)</f>
        <v>4790</v>
      </c>
      <c r="E142" s="63">
        <f t="shared" si="5"/>
        <v>15830</v>
      </c>
    </row>
    <row r="143" spans="1:7" x14ac:dyDescent="0.3">
      <c r="A143" s="2">
        <v>8</v>
      </c>
      <c r="C143" s="38" t="s">
        <v>62</v>
      </c>
      <c r="D143" s="42">
        <v>3410</v>
      </c>
      <c r="E143" s="63">
        <f t="shared" si="5"/>
        <v>11270</v>
      </c>
    </row>
    <row r="144" spans="1:7" x14ac:dyDescent="0.3">
      <c r="A144" s="2">
        <v>9</v>
      </c>
      <c r="C144" s="38" t="s">
        <v>63</v>
      </c>
      <c r="D144" s="42">
        <f>TRUNC(19822,-1)</f>
        <v>19820</v>
      </c>
      <c r="E144" s="63">
        <f t="shared" si="5"/>
        <v>65520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34630</v>
      </c>
      <c r="E146" s="39">
        <f>SUM(E136:E145)</f>
        <v>114450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TRUNC(5010+1964,-1)</f>
        <v>6970</v>
      </c>
      <c r="E149" s="62">
        <f>TRUNC(+D149*3.3058,-1)</f>
        <v>23040</v>
      </c>
    </row>
    <row r="150" spans="1:7" x14ac:dyDescent="0.3">
      <c r="A150" s="2">
        <v>2</v>
      </c>
      <c r="C150" s="38" t="s">
        <v>49</v>
      </c>
      <c r="D150" s="42">
        <f>TRUNC(31027,-1)</f>
        <v>31020</v>
      </c>
      <c r="E150" s="63">
        <f>TRUNC(+D150*3.3058,-1)</f>
        <v>102540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TRUNC(261+17695,-1)</f>
        <v>17950</v>
      </c>
      <c r="E152" s="63">
        <f>TRUNC(+D152*3.3058,-1)</f>
        <v>59330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55940</v>
      </c>
      <c r="E154" s="39">
        <f>SUM(E149:E153)</f>
        <v>184910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2020-12-08T01:45:26Z</dcterms:modified>
</cp:coreProperties>
</file>