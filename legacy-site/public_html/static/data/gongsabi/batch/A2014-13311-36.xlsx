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7" i="4" l="1"/>
  <c r="D37" i="4"/>
  <c r="D40" i="4"/>
  <c r="E40" i="4" s="1"/>
  <c r="D41" i="4"/>
  <c r="E41" i="4" s="1"/>
  <c r="D42" i="4"/>
  <c r="E42" i="4" s="1"/>
  <c r="D43" i="4"/>
  <c r="E43" i="4" s="1"/>
  <c r="D44" i="4"/>
  <c r="E44" i="4"/>
  <c r="D45" i="4"/>
  <c r="E45" i="4"/>
  <c r="D46" i="4"/>
  <c r="E46" i="4"/>
  <c r="D47" i="4"/>
  <c r="E47" i="4"/>
  <c r="D48" i="4"/>
  <c r="E48" i="4" s="1"/>
  <c r="D49" i="4"/>
  <c r="E49" i="4" s="1"/>
  <c r="D50" i="4"/>
  <c r="E50" i="4" s="1"/>
  <c r="D51" i="4"/>
  <c r="E51" i="4" s="1"/>
  <c r="D52" i="4"/>
  <c r="E52" i="4"/>
  <c r="D53" i="4"/>
  <c r="E53" i="4" s="1"/>
  <c r="D54" i="4"/>
  <c r="E54" i="4" s="1"/>
  <c r="D55" i="4"/>
  <c r="E55" i="4" s="1"/>
  <c r="E56" i="4"/>
  <c r="E57" i="4"/>
  <c r="D58" i="4"/>
  <c r="E58" i="4" s="1"/>
  <c r="D59" i="4"/>
  <c r="E59" i="4" s="1"/>
  <c r="D60" i="4"/>
  <c r="D25" i="4" s="1"/>
  <c r="E25" i="4" s="1"/>
  <c r="E63" i="4"/>
  <c r="E64" i="4"/>
  <c r="E66" i="4" s="1"/>
  <c r="E65" i="4"/>
  <c r="D66" i="4"/>
  <c r="D26" i="4" s="1"/>
  <c r="E26" i="4" s="1"/>
  <c r="D69" i="4"/>
  <c r="E69" i="4" s="1"/>
  <c r="D70" i="4"/>
  <c r="E70" i="4" s="1"/>
  <c r="D71" i="4"/>
  <c r="E71" i="4" s="1"/>
  <c r="D72" i="4"/>
  <c r="E72" i="4" s="1"/>
  <c r="E73" i="4"/>
  <c r="E74" i="4"/>
  <c r="D75" i="4"/>
  <c r="E75" i="4" s="1"/>
  <c r="E76" i="4"/>
  <c r="E77" i="4"/>
  <c r="D78" i="4"/>
  <c r="E78" i="4" s="1"/>
  <c r="E79" i="4"/>
  <c r="E80" i="4"/>
  <c r="D81" i="4"/>
  <c r="E81" i="4"/>
  <c r="E82" i="4"/>
  <c r="E83" i="4"/>
  <c r="D84" i="4"/>
  <c r="E84" i="4"/>
  <c r="D85" i="4"/>
  <c r="E85" i="4"/>
  <c r="E86" i="4"/>
  <c r="E87" i="4"/>
  <c r="E88" i="4"/>
  <c r="E89" i="4"/>
  <c r="D90" i="4"/>
  <c r="E90" i="4"/>
  <c r="E91" i="4"/>
  <c r="E92" i="4"/>
  <c r="D93" i="4"/>
  <c r="E93" i="4" s="1"/>
  <c r="D94" i="4"/>
  <c r="E94" i="4" s="1"/>
  <c r="D98" i="4"/>
  <c r="E98" i="4"/>
  <c r="D99" i="4"/>
  <c r="E99" i="4" s="1"/>
  <c r="D100" i="4"/>
  <c r="E100" i="4" s="1"/>
  <c r="E101" i="4"/>
  <c r="D102" i="4"/>
  <c r="E102" i="4" s="1"/>
  <c r="E103" i="4"/>
  <c r="D104" i="4"/>
  <c r="E104" i="4"/>
  <c r="D105" i="4"/>
  <c r="E105" i="4" s="1"/>
  <c r="E106" i="4"/>
  <c r="E107" i="4"/>
  <c r="D108" i="4"/>
  <c r="E108" i="4" s="1"/>
  <c r="E109" i="4"/>
  <c r="E110" i="4"/>
  <c r="E111" i="4"/>
  <c r="E112" i="4"/>
  <c r="E113" i="4"/>
  <c r="D114" i="4"/>
  <c r="E114" i="4" s="1"/>
  <c r="D115" i="4"/>
  <c r="E116" i="4"/>
  <c r="D117" i="4"/>
  <c r="E117" i="4" s="1"/>
  <c r="D118" i="4"/>
  <c r="E118" i="4"/>
  <c r="D122" i="4"/>
  <c r="E122" i="4"/>
  <c r="D123" i="4"/>
  <c r="E123" i="4" s="1"/>
  <c r="E124" i="4"/>
  <c r="D125" i="4"/>
  <c r="E126" i="4"/>
  <c r="E127" i="4"/>
  <c r="D128" i="4"/>
  <c r="E128" i="4" s="1"/>
  <c r="E129" i="4"/>
  <c r="D130" i="4"/>
  <c r="E130" i="4" s="1"/>
  <c r="D131" i="4"/>
  <c r="E131" i="4" s="1"/>
  <c r="D132" i="4"/>
  <c r="E132" i="4" s="1"/>
  <c r="E136" i="4"/>
  <c r="D137" i="4"/>
  <c r="D146" i="4" s="1"/>
  <c r="D30" i="4" s="1"/>
  <c r="E30" i="4" s="1"/>
  <c r="E138" i="4"/>
  <c r="E139" i="4"/>
  <c r="E140" i="4"/>
  <c r="E141" i="4"/>
  <c r="E142" i="4"/>
  <c r="E143" i="4"/>
  <c r="E144" i="4"/>
  <c r="E145" i="4"/>
  <c r="E149" i="4"/>
  <c r="E150" i="4"/>
  <c r="E151" i="4"/>
  <c r="D152" i="4"/>
  <c r="E152" i="4" s="1"/>
  <c r="E153" i="4"/>
  <c r="E157" i="4"/>
  <c r="E158" i="4"/>
  <c r="D159" i="4"/>
  <c r="E159" i="4"/>
  <c r="E160" i="4"/>
  <c r="D161" i="4"/>
  <c r="D32" i="4" s="1"/>
  <c r="E32" i="4" s="1"/>
  <c r="E137" i="4" l="1"/>
  <c r="D95" i="4"/>
  <c r="D27" i="4" s="1"/>
  <c r="E27" i="4" s="1"/>
  <c r="E154" i="4"/>
  <c r="E161" i="4"/>
  <c r="D154" i="4"/>
  <c r="D31" i="4" s="1"/>
  <c r="E31" i="4" s="1"/>
  <c r="E146" i="4"/>
  <c r="D119" i="4"/>
  <c r="D28" i="4" s="1"/>
  <c r="E28" i="4" s="1"/>
  <c r="E115" i="4"/>
  <c r="E125" i="4"/>
  <c r="D133" i="4"/>
  <c r="D29" i="4" s="1"/>
  <c r="E29" i="4" s="1"/>
  <c r="E95" i="4"/>
  <c r="E60" i="4"/>
  <c r="D24" i="4"/>
  <c r="E3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119" i="4" l="1"/>
  <c r="E133" i="4"/>
  <c r="E24" i="4"/>
  <c r="D33" i="4"/>
  <c r="E33" i="4" s="1"/>
  <c r="E34" i="4" l="1"/>
  <c r="D34" i="4"/>
</calcChain>
</file>

<file path=xl/sharedStrings.xml><?xml version="1.0" encoding="utf-8"?>
<sst xmlns="http://schemas.openxmlformats.org/spreadsheetml/2006/main" count="391" uniqueCount="266">
  <si>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</si>
  <si>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</si>
  <si>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</si>
  <si>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</si>
  <si>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</si>
  <si>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</si>
  <si>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</si>
  <si>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</si>
  <si>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</si>
  <si>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</si>
  <si>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</si>
  <si>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</si>
  <si>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</si>
  <si>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</si>
  <si>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</si>
  <si>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</si>
  <si>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</si>
  <si>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</si>
  <si>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</si>
  <si>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</si>
  <si>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</si>
  <si>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</si>
  <si>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</si>
  <si>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</si>
  <si>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</si>
  <si>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</si>
  <si>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</si>
  <si>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</si>
  <si>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</si>
  <si>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</si>
  <si>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</si>
  <si>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</si>
  <si>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</si>
  <si>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</si>
  <si>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</si>
  <si>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</si>
  <si>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</si>
  <si>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</si>
  <si>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</si>
  <si>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</si>
  <si>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</si>
  <si>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</si>
  <si>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</si>
  <si>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</si>
  <si>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</si>
  <si>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</si>
  <si>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</si>
  <si>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</si>
  <si>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</si>
  <si>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</si>
  <si>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</si>
  <si>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</si>
  <si>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</si>
  <si>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</si>
  <si>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</si>
  <si>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</si>
  <si>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</si>
  <si>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</si>
  <si>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</si>
  <si>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</si>
  <si>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</si>
  <si>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</si>
  <si>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</si>
  <si>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</si>
  <si>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</si>
  <si>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</si>
  <si>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</si>
  <si>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</si>
  <si>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</si>
  <si>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</si>
  <si>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</si>
  <si>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</si>
  <si>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</si>
  <si>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</si>
  <si>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</si>
  <si>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</si>
  <si>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</si>
  <si>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</si>
  <si>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</si>
  <si>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</si>
  <si>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</si>
  <si>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</si>
  <si>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</si>
  <si>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</si>
  <si>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</si>
  <si>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</si>
  <si>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</si>
  <si>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</si>
  <si>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</si>
  <si>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</si>
  <si>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</si>
  <si>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</si>
  <si>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</si>
  <si>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</si>
  <si>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</si>
  <si>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</si>
  <si>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</si>
  <si>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</si>
  <si>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</si>
  <si>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</si>
  <si>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</si>
  <si>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</si>
  <si>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</si>
  <si>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</si>
  <si>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</si>
  <si>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</si>
  <si>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</si>
  <si>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</si>
  <si>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</si>
  <si>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</si>
  <si>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</si>
  <si>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</si>
  <si>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</si>
  <si>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</si>
  <si>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</si>
  <si>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</si>
  <si>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</si>
  <si>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</si>
  <si>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</si>
  <si>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</si>
  <si>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</si>
  <si>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</si>
  <si>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</si>
  <si>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</si>
  <si>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</si>
  <si>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</si>
  <si>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</si>
  <si>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</si>
  <si>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</si>
  <si>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</si>
  <si>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</si>
  <si>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</si>
  <si>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</si>
  <si>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</si>
  <si>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</si>
  <si>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</si>
  <si>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</si>
  <si>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</si>
  <si>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</si>
  <si>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</si>
  <si>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</si>
  <si>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</si>
  <si>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</si>
  <si>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</si>
  <si>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</si>
  <si>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</si>
  <si>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</si>
  <si>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</si>
  <si>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</si>
  <si>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</si>
  <si>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</si>
  <si>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</si>
  <si>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</si>
  <si>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</si>
  <si>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</si>
  <si>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</si>
  <si>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</si>
  <si>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</si>
  <si>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</si>
  <si>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</si>
  <si>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</si>
  <si>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</si>
  <si>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</si>
  <si>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</si>
  <si>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</si>
  <si>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</si>
  <si>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</si>
  <si>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</si>
  <si>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</si>
  <si>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</si>
  <si>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</si>
  <si>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</si>
  <si>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</si>
  <si>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</si>
  <si>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</si>
  <si>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</si>
  <si>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</si>
  <si>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</si>
  <si>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</si>
  <si>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</si>
  <si>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</si>
  <si>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</si>
  <si>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</si>
  <si>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</si>
  <si>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</si>
  <si>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</si>
  <si>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</si>
  <si>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</si>
  <si>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</si>
  <si>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</si>
  <si>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</si>
  <si>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</si>
  <si>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</si>
  <si>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</si>
  <si>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</si>
  <si>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</si>
  <si>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</si>
  <si>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</si>
  <si>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</si>
  <si>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</si>
  <si>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</si>
  <si>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</si>
  <si>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</si>
  <si>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</si>
  <si>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</si>
  <si>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</si>
  <si>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</si>
  <si>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</si>
  <si>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</si>
  <si>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</si>
  <si>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</si>
  <si>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</si>
  <si>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</si>
  <si>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</si>
  <si>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</si>
  <si>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</si>
  <si>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</si>
  <si>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</si>
  <si>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</si>
  <si>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</si>
  <si>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</si>
  <si>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</si>
  <si>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</si>
  <si>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</si>
  <si>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</si>
  <si>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</si>
  <si>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</si>
  <si>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</si>
  <si>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</si>
  <si>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</si>
  <si>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</si>
  <si>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</si>
  <si>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</si>
  <si>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</si>
  <si>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</si>
  <si>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</si>
  <si>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</si>
  <si>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</si>
  <si>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</si>
  <si>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</si>
  <si>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원 /평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</si>
  <si>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</si>
  <si>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</si>
  <si>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</si>
  <si>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</si>
  <si>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</si>
  <si>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</si>
  <si>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</si>
  <si>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00우체국 건립공사</t>
    <phoneticPr fontId="2" type="noConversion"/>
  </si>
  <si>
    <t>업무</t>
  </si>
  <si>
    <t>충청도</t>
  </si>
  <si>
    <t>부대토목공사(흙막이공사포함)</t>
    <phoneticPr fontId="2" type="noConversion"/>
  </si>
  <si>
    <t>부대조경공사</t>
    <phoneticPr fontId="2" type="noConversion"/>
  </si>
  <si>
    <t>토및지정공사,기타공사,주요자재비,운반비,작업부산물,품질시험비</t>
    <phoneticPr fontId="2" type="noConversion"/>
  </si>
  <si>
    <t>공조배관공사,위생배관공사,전열환기설비공사</t>
    <phoneticPr fontId="2" type="noConversion"/>
  </si>
  <si>
    <t>기계 소화배관공사,전기 소방공사</t>
    <phoneticPr fontId="2" type="noConversion"/>
  </si>
  <si>
    <t>전등공사,집배구분대(전등설비공사)</t>
    <phoneticPr fontId="2" type="noConversion"/>
  </si>
  <si>
    <t>주차관제설비공사,자동제어설비공사,태양광발전설비공사,가설공사</t>
    <phoneticPr fontId="2" type="noConversion"/>
  </si>
  <si>
    <t>공시청 및 CABLE TV 설비공사</t>
    <phoneticPr fontId="2" type="noConversion"/>
  </si>
  <si>
    <t>구내방송설비공사</t>
    <phoneticPr fontId="2" type="noConversion"/>
  </si>
  <si>
    <t>CCTV설비공사,가설공사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</si>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</sst>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235</v>
      </c>
    </row>
    <row r="7" spans="1:4" ht="17.25" thickBot="1" x14ac:dyDescent="0.35">
      <c r="C7" s="37">
        <v>9494</v>
      </c>
      <c r="D7" s="36">
        <f>+C7/3.3058</f>
        <v>2871.9220763506564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236</v>
      </c>
      <c r="E23" s="35" t="s">
        <v>240</v>
      </c>
    </row>
    <row r="24" spans="1:5" x14ac:dyDescent="0.3">
      <c r="B24" s="2">
        <v>1</v>
      </c>
      <c r="C24" s="35" t="s">
        <v>110</v>
      </c>
      <c r="D24" s="41">
        <f>+D37</f>
        <v>13020</v>
      </c>
      <c r="E24" s="58">
        <f t="shared" ref="E24:E33" si="0">TRUNC(+D24*3.3058,-1)</f>
        <v>43040</v>
      </c>
    </row>
    <row r="25" spans="1:5" x14ac:dyDescent="0.3">
      <c r="B25" s="2">
        <v>2</v>
      </c>
      <c r="C25" s="35" t="s">
        <v>111</v>
      </c>
      <c r="D25" s="45">
        <f>+D60</f>
        <v>638920</v>
      </c>
      <c r="E25" s="59">
        <f t="shared" si="0"/>
        <v>2112140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219360</v>
      </c>
      <c r="E27" s="59">
        <f t="shared" si="0"/>
        <v>725160</v>
      </c>
    </row>
    <row r="28" spans="1:5" x14ac:dyDescent="0.3">
      <c r="B28" s="2">
        <v>5</v>
      </c>
      <c r="C28" s="35" t="s">
        <v>97</v>
      </c>
      <c r="D28" s="45">
        <f>+D119</f>
        <v>206690</v>
      </c>
      <c r="E28" s="59">
        <f t="shared" si="0"/>
        <v>683270</v>
      </c>
    </row>
    <row r="29" spans="1:5" x14ac:dyDescent="0.3">
      <c r="B29" s="2">
        <v>6</v>
      </c>
      <c r="C29" s="35" t="s">
        <v>98</v>
      </c>
      <c r="D29" s="45">
        <f>+D133</f>
        <v>63520</v>
      </c>
      <c r="E29" s="59">
        <f t="shared" si="0"/>
        <v>209980</v>
      </c>
    </row>
    <row r="30" spans="1:5" x14ac:dyDescent="0.3">
      <c r="B30" s="2">
        <v>7</v>
      </c>
      <c r="C30" s="35" t="s">
        <v>99</v>
      </c>
      <c r="D30" s="45">
        <f>+D146</f>
        <v>31240</v>
      </c>
      <c r="E30" s="59">
        <f t="shared" si="0"/>
        <v>103270</v>
      </c>
    </row>
    <row r="31" spans="1:5" x14ac:dyDescent="0.3">
      <c r="B31" s="2">
        <v>8</v>
      </c>
      <c r="C31" s="35" t="s">
        <v>100</v>
      </c>
      <c r="D31" s="45">
        <f>+D154</f>
        <v>100850</v>
      </c>
      <c r="E31" s="59">
        <f t="shared" si="0"/>
        <v>333380</v>
      </c>
    </row>
    <row r="32" spans="1:5" x14ac:dyDescent="0.3">
      <c r="B32" s="2">
        <v>9</v>
      </c>
      <c r="C32" s="35" t="s">
        <v>101</v>
      </c>
      <c r="D32" s="45">
        <f>+D161</f>
        <v>38920</v>
      </c>
      <c r="E32" s="59">
        <f t="shared" si="0"/>
        <v>128660</v>
      </c>
    </row>
    <row r="33" spans="1:7" x14ac:dyDescent="0.3">
      <c r="B33" s="2">
        <v>10</v>
      </c>
      <c r="C33" s="35" t="s">
        <v>153</v>
      </c>
      <c r="D33" s="53">
        <f>TRUNC(SUM(D24:D32)*0.275,-1)</f>
        <v>360940</v>
      </c>
      <c r="E33" s="60">
        <f t="shared" si="0"/>
        <v>1193190</v>
      </c>
    </row>
    <row r="34" spans="1:7" x14ac:dyDescent="0.3">
      <c r="C34" s="35" t="s">
        <v>112</v>
      </c>
      <c r="D34" s="44">
        <f>SUM(D24:D33)</f>
        <v>1673460</v>
      </c>
      <c r="E34" s="44">
        <f>SUM(E24:E33)</f>
        <v>5532090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237</v>
      </c>
      <c r="D36" s="57" t="s">
        <v>234</v>
      </c>
      <c r="E36" s="57" t="s">
        <v>240</v>
      </c>
      <c r="G36" s="55"/>
    </row>
    <row r="37" spans="1:7" ht="17.25" thickBot="1" x14ac:dyDescent="0.35">
      <c r="C37" s="38" t="s">
        <v>143</v>
      </c>
      <c r="D37" s="52">
        <f>TRUNC(13029,-1)</f>
        <v>13020</v>
      </c>
      <c r="E37" s="61">
        <f>TRUNC(+D37*3.3058,-1)</f>
        <v>43040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TRUNC(22625,-1)</f>
        <v>22620</v>
      </c>
      <c r="E40" s="62">
        <f t="shared" ref="E40:E59" si="1">TRUNC(+D40*3.3058,-1)</f>
        <v>74770</v>
      </c>
    </row>
    <row r="41" spans="1:7" x14ac:dyDescent="0.3">
      <c r="A41" s="2">
        <v>2</v>
      </c>
      <c r="C41" s="38" t="s">
        <v>13</v>
      </c>
      <c r="D41" s="42">
        <f>TRUNC(90185,-1)</f>
        <v>90180</v>
      </c>
      <c r="E41" s="63">
        <f t="shared" si="1"/>
        <v>298110</v>
      </c>
    </row>
    <row r="42" spans="1:7" x14ac:dyDescent="0.3">
      <c r="A42" s="2">
        <v>3</v>
      </c>
      <c r="C42" s="38" t="s">
        <v>14</v>
      </c>
      <c r="D42" s="42">
        <f>TRUNC(552,-1)</f>
        <v>550</v>
      </c>
      <c r="E42" s="63">
        <f t="shared" si="1"/>
        <v>1810</v>
      </c>
    </row>
    <row r="43" spans="1:7" x14ac:dyDescent="0.3">
      <c r="A43" s="2">
        <v>4</v>
      </c>
      <c r="C43" s="38" t="s">
        <v>16</v>
      </c>
      <c r="D43" s="42">
        <f>TRUNC(8077,-1)</f>
        <v>8070</v>
      </c>
      <c r="E43" s="63">
        <f t="shared" si="1"/>
        <v>26670</v>
      </c>
    </row>
    <row r="44" spans="1:7" x14ac:dyDescent="0.3">
      <c r="A44" s="2">
        <v>5</v>
      </c>
      <c r="C44" s="38" t="s">
        <v>17</v>
      </c>
      <c r="D44" s="42">
        <f>TRUNC(37085,-1)</f>
        <v>37080</v>
      </c>
      <c r="E44" s="63">
        <f t="shared" si="1"/>
        <v>122570</v>
      </c>
    </row>
    <row r="45" spans="1:7" x14ac:dyDescent="0.3">
      <c r="A45" s="2">
        <v>6</v>
      </c>
      <c r="C45" s="38" t="s">
        <v>18</v>
      </c>
      <c r="D45" s="42">
        <f>TRUNC(4593,-1)</f>
        <v>4590</v>
      </c>
      <c r="E45" s="63">
        <f t="shared" si="1"/>
        <v>15170</v>
      </c>
    </row>
    <row r="46" spans="1:7" x14ac:dyDescent="0.3">
      <c r="A46" s="2">
        <v>7</v>
      </c>
      <c r="C46" s="38" t="s">
        <v>19</v>
      </c>
      <c r="D46" s="42">
        <f>TRUNC(6547,-1)</f>
        <v>6540</v>
      </c>
      <c r="E46" s="63">
        <f t="shared" si="1"/>
        <v>21610</v>
      </c>
    </row>
    <row r="47" spans="1:7" x14ac:dyDescent="0.3">
      <c r="A47" s="2">
        <v>8</v>
      </c>
      <c r="C47" s="38" t="s">
        <v>20</v>
      </c>
      <c r="D47" s="42">
        <f>TRUNC(1151,-1)</f>
        <v>1150</v>
      </c>
      <c r="E47" s="63">
        <f t="shared" si="1"/>
        <v>3800</v>
      </c>
    </row>
    <row r="48" spans="1:7" x14ac:dyDescent="0.3">
      <c r="A48" s="2">
        <v>9</v>
      </c>
      <c r="C48" s="38" t="s">
        <v>21</v>
      </c>
      <c r="D48" s="42">
        <f>TRUNC(63213,-1)</f>
        <v>63210</v>
      </c>
      <c r="E48" s="63">
        <f t="shared" si="1"/>
        <v>208950</v>
      </c>
    </row>
    <row r="49" spans="1:7" x14ac:dyDescent="0.3">
      <c r="A49" s="2">
        <v>10</v>
      </c>
      <c r="C49" s="38" t="s">
        <v>22</v>
      </c>
      <c r="D49" s="42">
        <f>TRUNC(27367,-1)</f>
        <v>27360</v>
      </c>
      <c r="E49" s="63">
        <f t="shared" si="1"/>
        <v>90440</v>
      </c>
    </row>
    <row r="50" spans="1:7" x14ac:dyDescent="0.3">
      <c r="A50" s="2">
        <v>11</v>
      </c>
      <c r="C50" s="38" t="s">
        <v>154</v>
      </c>
      <c r="D50" s="42">
        <f>TRUNC(29030,-1)</f>
        <v>29030</v>
      </c>
      <c r="E50" s="63">
        <f t="shared" si="1"/>
        <v>95960</v>
      </c>
    </row>
    <row r="51" spans="1:7" x14ac:dyDescent="0.3">
      <c r="A51" s="2">
        <v>12</v>
      </c>
      <c r="C51" s="38" t="s">
        <v>23</v>
      </c>
      <c r="D51" s="42">
        <f>TRUNC(8076,-1)</f>
        <v>8070</v>
      </c>
      <c r="E51" s="63">
        <f t="shared" si="1"/>
        <v>26670</v>
      </c>
    </row>
    <row r="52" spans="1:7" x14ac:dyDescent="0.3">
      <c r="A52" s="2">
        <v>13</v>
      </c>
      <c r="C52" s="38" t="s">
        <v>24</v>
      </c>
      <c r="D52" s="42">
        <f>TRUNC(5211,-1)</f>
        <v>5210</v>
      </c>
      <c r="E52" s="63">
        <f t="shared" si="1"/>
        <v>17220</v>
      </c>
    </row>
    <row r="53" spans="1:7" x14ac:dyDescent="0.3">
      <c r="A53" s="2">
        <v>14</v>
      </c>
      <c r="C53" s="38" t="s">
        <v>25</v>
      </c>
      <c r="D53" s="42">
        <f>TRUNC(76608,-1)</f>
        <v>76600</v>
      </c>
      <c r="E53" s="63">
        <f t="shared" si="1"/>
        <v>253220</v>
      </c>
    </row>
    <row r="54" spans="1:7" x14ac:dyDescent="0.3">
      <c r="A54" s="2">
        <v>15</v>
      </c>
      <c r="C54" s="38" t="s">
        <v>147</v>
      </c>
      <c r="D54" s="42">
        <f>TRUNC(16252,-1)</f>
        <v>16250</v>
      </c>
      <c r="E54" s="63">
        <f t="shared" si="1"/>
        <v>53710</v>
      </c>
    </row>
    <row r="55" spans="1:7" x14ac:dyDescent="0.3">
      <c r="A55" s="2">
        <v>16</v>
      </c>
      <c r="C55" s="38" t="s">
        <v>144</v>
      </c>
      <c r="D55" s="42">
        <f>TRUNC(1101,-1)</f>
        <v>1100</v>
      </c>
      <c r="E55" s="63">
        <f t="shared" si="1"/>
        <v>3630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TRUNC(10587+4902+1080+1437-700+936,-1)</f>
        <v>18240</v>
      </c>
      <c r="E58" s="63">
        <f t="shared" si="1"/>
        <v>60290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TRUNC(223077,-1)</f>
        <v>223070</v>
      </c>
      <c r="E59" s="64">
        <f t="shared" si="1"/>
        <v>737420</v>
      </c>
    </row>
    <row r="60" spans="1:7" x14ac:dyDescent="0.3">
      <c r="A60" s="2">
        <v>21</v>
      </c>
      <c r="C60" s="27" t="s">
        <v>112</v>
      </c>
      <c r="D60" s="39">
        <f>SUM(D40:D59)</f>
        <v>638920</v>
      </c>
      <c r="E60" s="39">
        <f>SUM(E40:E59)</f>
        <v>2112020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238</v>
      </c>
      <c r="C62" s="56" t="s">
        <v>239</v>
      </c>
      <c r="D62" s="57" t="s">
        <v>236</v>
      </c>
      <c r="E62" s="57" t="s">
        <v>240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234</v>
      </c>
      <c r="E68" s="57" t="s">
        <v>240</v>
      </c>
      <c r="G68" s="55"/>
    </row>
    <row r="69" spans="1:7" x14ac:dyDescent="0.3">
      <c r="A69" s="2">
        <v>1</v>
      </c>
      <c r="C69" s="38" t="s">
        <v>30</v>
      </c>
      <c r="D69" s="40">
        <f>TRUNC(14022,-1)</f>
        <v>14020</v>
      </c>
      <c r="E69" s="62">
        <f t="shared" ref="E69:E94" si="2">TRUNC(+D69*3.3058,-1)</f>
        <v>46340</v>
      </c>
    </row>
    <row r="70" spans="1:7" ht="16.5" customHeight="1" x14ac:dyDescent="0.3">
      <c r="A70" s="2">
        <v>2</v>
      </c>
      <c r="C70" s="38" t="s">
        <v>31</v>
      </c>
      <c r="D70" s="42">
        <f>TRUNC(1403,-1)</f>
        <v>1400</v>
      </c>
      <c r="E70" s="63">
        <f t="shared" si="2"/>
        <v>4620</v>
      </c>
    </row>
    <row r="71" spans="1:7" x14ac:dyDescent="0.3">
      <c r="A71" s="2">
        <v>3</v>
      </c>
      <c r="C71" s="38" t="s">
        <v>32</v>
      </c>
      <c r="D71" s="42">
        <f>TRUNC(13013,-1)</f>
        <v>13010</v>
      </c>
      <c r="E71" s="63">
        <f t="shared" si="2"/>
        <v>43000</v>
      </c>
    </row>
    <row r="72" spans="1:7" x14ac:dyDescent="0.3">
      <c r="A72" s="2">
        <v>4</v>
      </c>
      <c r="C72" s="38" t="s">
        <v>33</v>
      </c>
      <c r="D72" s="42">
        <f>TRUNC(5480,-1)</f>
        <v>5480</v>
      </c>
      <c r="E72" s="63">
        <f t="shared" si="2"/>
        <v>18110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TRUNC(851,-1)</f>
        <v>850</v>
      </c>
      <c r="E75" s="63">
        <f t="shared" si="2"/>
        <v>2800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f>TRUNC(26718,-1)</f>
        <v>26710</v>
      </c>
      <c r="E78" s="63">
        <f t="shared" si="2"/>
        <v>88290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f>TRUNC(14449,-1)</f>
        <v>14440</v>
      </c>
      <c r="E81" s="63">
        <f t="shared" si="2"/>
        <v>47730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TRUNC(15781,-1)</f>
        <v>15780</v>
      </c>
      <c r="E84" s="63">
        <f t="shared" si="2"/>
        <v>52160</v>
      </c>
    </row>
    <row r="85" spans="1:7" x14ac:dyDescent="0.3">
      <c r="A85" s="2">
        <v>17</v>
      </c>
      <c r="C85" s="38" t="s">
        <v>123</v>
      </c>
      <c r="D85" s="42">
        <f>TRUNC(2711,-1)</f>
        <v>2710</v>
      </c>
      <c r="E85" s="63">
        <f t="shared" si="2"/>
        <v>8950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f>TRUNC(6415,-1)</f>
        <v>6410</v>
      </c>
      <c r="E90" s="63">
        <f t="shared" si="2"/>
        <v>21190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f>TRUNC(62950,-1)</f>
        <v>62950</v>
      </c>
      <c r="E93" s="63">
        <f t="shared" si="2"/>
        <v>208100</v>
      </c>
    </row>
    <row r="94" spans="1:7" ht="17.25" thickBot="1" x14ac:dyDescent="0.35">
      <c r="A94" s="2">
        <v>26</v>
      </c>
      <c r="C94" s="38" t="s">
        <v>47</v>
      </c>
      <c r="D94" s="43">
        <f>TRUNC(21977+31330+2295,-1)</f>
        <v>55600</v>
      </c>
      <c r="E94" s="64">
        <f t="shared" si="2"/>
        <v>183800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219360</v>
      </c>
      <c r="E95" s="39">
        <f>SUM(E69:E94)</f>
        <v>725090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234</v>
      </c>
      <c r="E97" s="57" t="s">
        <v>240</v>
      </c>
      <c r="G97" s="55"/>
    </row>
    <row r="98" spans="1:7" x14ac:dyDescent="0.3">
      <c r="A98" s="2">
        <v>1</v>
      </c>
      <c r="C98" s="38" t="s">
        <v>39</v>
      </c>
      <c r="D98" s="40">
        <f>TRUNC(13026,-1)</f>
        <v>13020</v>
      </c>
      <c r="E98" s="62">
        <f t="shared" ref="E98:E118" si="3">TRUNC(+D98*3.3058,-1)</f>
        <v>43040</v>
      </c>
    </row>
    <row r="99" spans="1:7" x14ac:dyDescent="0.3">
      <c r="A99" s="2">
        <v>2</v>
      </c>
      <c r="C99" s="38" t="s">
        <v>40</v>
      </c>
      <c r="D99" s="42">
        <f>TRUNC(7093,-1)</f>
        <v>7090</v>
      </c>
      <c r="E99" s="63">
        <f t="shared" si="3"/>
        <v>23430</v>
      </c>
    </row>
    <row r="100" spans="1:7" x14ac:dyDescent="0.3">
      <c r="A100" s="2">
        <v>3</v>
      </c>
      <c r="C100" s="38" t="s">
        <v>41</v>
      </c>
      <c r="D100" s="42">
        <f>TRUNC(24866+1780,-1)</f>
        <v>26640</v>
      </c>
      <c r="E100" s="63">
        <f t="shared" si="3"/>
        <v>88060</v>
      </c>
      <c r="F100" s="2" t="s">
        <v>256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TRUNC(10642,-1)</f>
        <v>10640</v>
      </c>
      <c r="E102" s="63">
        <f t="shared" si="3"/>
        <v>35170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TRUNC(5028,-1)</f>
        <v>5020</v>
      </c>
      <c r="E104" s="63">
        <f t="shared" si="3"/>
        <v>16590</v>
      </c>
    </row>
    <row r="105" spans="1:7" x14ac:dyDescent="0.3">
      <c r="A105" s="2">
        <v>8</v>
      </c>
      <c r="C105" s="38" t="s">
        <v>46</v>
      </c>
      <c r="D105" s="42">
        <f>TRUNC(4425,-1)</f>
        <v>4420</v>
      </c>
      <c r="E105" s="63">
        <f t="shared" si="3"/>
        <v>14610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TRUNC(1352,-1)</f>
        <v>1350</v>
      </c>
      <c r="E108" s="63">
        <f t="shared" si="3"/>
        <v>4460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TRUNC(1758,-1)</f>
        <v>1750</v>
      </c>
      <c r="E114" s="63">
        <f t="shared" si="3"/>
        <v>5780</v>
      </c>
    </row>
    <row r="115" spans="1:7" x14ac:dyDescent="0.3">
      <c r="A115" s="2">
        <v>18</v>
      </c>
      <c r="C115" s="38" t="s">
        <v>116</v>
      </c>
      <c r="D115" s="42">
        <f>TRUNC(4534,-1)</f>
        <v>4530</v>
      </c>
      <c r="E115" s="63">
        <f t="shared" si="3"/>
        <v>14970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TRUNC(127586,-1)</f>
        <v>127580</v>
      </c>
      <c r="E117" s="63">
        <f t="shared" si="3"/>
        <v>421750</v>
      </c>
    </row>
    <row r="118" spans="1:7" ht="17.25" thickBot="1" x14ac:dyDescent="0.35">
      <c r="A118" s="2">
        <v>21</v>
      </c>
      <c r="C118" s="38" t="s">
        <v>47</v>
      </c>
      <c r="D118" s="43">
        <f>TRUNC(1466+1902+1102+181,-1)</f>
        <v>4650</v>
      </c>
      <c r="E118" s="64">
        <f t="shared" si="3"/>
        <v>15370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206690</v>
      </c>
      <c r="E119" s="39">
        <f>SUM(E98:E118)</f>
        <v>683230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234</v>
      </c>
      <c r="E121" s="57" t="s">
        <v>240</v>
      </c>
      <c r="G121" s="55"/>
    </row>
    <row r="122" spans="1:7" x14ac:dyDescent="0.3">
      <c r="A122" s="2">
        <v>1</v>
      </c>
      <c r="C122" s="38" t="s">
        <v>55</v>
      </c>
      <c r="D122" s="40">
        <f>TRUNC(2816,-1)</f>
        <v>2810</v>
      </c>
      <c r="E122" s="62">
        <f t="shared" ref="E122:E132" si="4">TRUNC(+D122*3.3058,-1)</f>
        <v>9280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f>TRUNC(2813,-1)</f>
        <v>2810</v>
      </c>
      <c r="E123" s="63">
        <f t="shared" si="4"/>
        <v>9280</v>
      </c>
      <c r="F123" s="2" t="s">
        <v>259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TRUNC(8314,-1)</f>
        <v>8310</v>
      </c>
      <c r="E125" s="63">
        <f t="shared" si="4"/>
        <v>27470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TRUNC(2366,-1)</f>
        <v>2360</v>
      </c>
      <c r="E128" s="63">
        <f t="shared" si="4"/>
        <v>7800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TRUNC(15012,-1)</f>
        <v>15010</v>
      </c>
      <c r="E130" s="63">
        <f t="shared" si="4"/>
        <v>49620</v>
      </c>
    </row>
    <row r="131" spans="1:7" x14ac:dyDescent="0.3">
      <c r="A131" s="2">
        <v>10</v>
      </c>
      <c r="C131" s="38" t="s">
        <v>148</v>
      </c>
      <c r="D131" s="42">
        <f>TRUNC(28541,-1)</f>
        <v>28540</v>
      </c>
      <c r="E131" s="63">
        <f t="shared" si="4"/>
        <v>94340</v>
      </c>
    </row>
    <row r="132" spans="1:7" ht="18" thickBot="1" x14ac:dyDescent="0.35">
      <c r="A132" s="2">
        <v>11</v>
      </c>
      <c r="C132" s="38" t="s">
        <v>47</v>
      </c>
      <c r="D132" s="43">
        <f>TRUNC(3593+92,-1)</f>
        <v>3680</v>
      </c>
      <c r="E132" s="64">
        <f t="shared" si="4"/>
        <v>12160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63520</v>
      </c>
      <c r="E133" s="39">
        <f>SUM(E122:E132)</f>
        <v>209950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234</v>
      </c>
      <c r="E135" s="57" t="s">
        <v>240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TRUNC(14543+16704,-1)</f>
        <v>31240</v>
      </c>
      <c r="E137" s="63">
        <f t="shared" si="5"/>
        <v>103270</v>
      </c>
      <c r="F137" s="2" t="s">
        <v>255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31240</v>
      </c>
      <c r="E146" s="39">
        <f>SUM(E136:E145)</f>
        <v>103270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234</v>
      </c>
      <c r="E148" s="57" t="s">
        <v>240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TRUNC(100856,-1)</f>
        <v>100850</v>
      </c>
      <c r="E152" s="63">
        <f>TRUNC(+D152*3.3058,-1)</f>
        <v>333380</v>
      </c>
      <c r="F152" s="2" t="s">
        <v>251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100850</v>
      </c>
      <c r="E154" s="39">
        <f>SUM(E149:E153)</f>
        <v>333380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234</v>
      </c>
      <c r="E156" s="57" t="s">
        <v>240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TRUNC(38925,-1)</f>
        <v>38920</v>
      </c>
      <c r="E159" s="63">
        <f>TRUNC(+D159*3.3058,-1)</f>
        <v>128660</v>
      </c>
      <c r="F159" s="2" t="s">
        <v>252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38920</v>
      </c>
      <c r="E161" s="39">
        <f>SUM(E157:E160)</f>
        <v>128660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2020-12-07T09:49:08Z</dcterms:modified>
</cp:coreProperties>
</file>