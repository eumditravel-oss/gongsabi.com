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9" i="4"/>
  <c r="E145" i="4"/>
  <c r="E144" i="4"/>
  <c r="E142" i="4"/>
  <c r="E140" i="4"/>
  <c r="E139" i="4"/>
  <c r="E138" i="4"/>
  <c r="E136" i="4"/>
  <c r="E132" i="4"/>
  <c r="E130" i="4"/>
  <c r="E129" i="4"/>
  <c r="E127" i="4"/>
  <c r="E126" i="4"/>
  <c r="E114" i="4"/>
  <c r="E113" i="4"/>
  <c r="E112" i="4"/>
  <c r="E111" i="4"/>
  <c r="E110" i="4"/>
  <c r="E109" i="4"/>
  <c r="E107" i="4"/>
  <c r="E106" i="4"/>
  <c r="E103" i="4"/>
  <c r="E101" i="4"/>
  <c r="E92" i="4"/>
  <c r="E91" i="4"/>
  <c r="E89" i="4"/>
  <c r="E88" i="4"/>
  <c r="E87" i="4"/>
  <c r="E86" i="4"/>
  <c r="E85" i="4"/>
  <c r="E84" i="4"/>
  <c r="E83" i="4"/>
  <c r="E82" i="4"/>
  <c r="E80" i="4"/>
  <c r="E78" i="4"/>
  <c r="E77" i="4"/>
  <c r="E76" i="4"/>
  <c r="E75" i="4"/>
  <c r="E74" i="4"/>
  <c r="E73" i="4"/>
  <c r="E70" i="4"/>
  <c r="E65" i="4"/>
  <c r="E64" i="4"/>
  <c r="E59" i="4"/>
  <c r="E57" i="4"/>
  <c r="E56" i="4"/>
  <c r="E54" i="4"/>
  <c r="D159" i="4" l="1"/>
  <c r="E159" i="4" s="1"/>
  <c r="D158" i="4"/>
  <c r="E158" i="4" s="1"/>
  <c r="D157" i="4"/>
  <c r="E157" i="4" s="1"/>
  <c r="E161" i="4" s="1"/>
  <c r="D152" i="4"/>
  <c r="E152" i="4" s="1"/>
  <c r="E154" i="4" s="1"/>
  <c r="D150" i="4"/>
  <c r="E150" i="4" s="1"/>
  <c r="D143" i="4"/>
  <c r="E143" i="4" s="1"/>
  <c r="D141" i="4"/>
  <c r="E141" i="4" s="1"/>
  <c r="D137" i="4"/>
  <c r="E137" i="4" s="1"/>
  <c r="E146" i="4" s="1"/>
  <c r="D131" i="4"/>
  <c r="E131" i="4" s="1"/>
  <c r="D128" i="4"/>
  <c r="E128" i="4" s="1"/>
  <c r="D125" i="4"/>
  <c r="E125" i="4" s="1"/>
  <c r="D124" i="4"/>
  <c r="E124" i="4" s="1"/>
  <c r="D123" i="4"/>
  <c r="E123" i="4" s="1"/>
  <c r="D122" i="4"/>
  <c r="E122" i="4" s="1"/>
  <c r="D118" i="4"/>
  <c r="E118" i="4" s="1"/>
  <c r="D117" i="4"/>
  <c r="E117" i="4" s="1"/>
  <c r="D116" i="4"/>
  <c r="E116" i="4" s="1"/>
  <c r="D115" i="4"/>
  <c r="E115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E119" i="4" s="1"/>
  <c r="D98" i="4"/>
  <c r="E98" i="4" s="1"/>
  <c r="D94" i="4"/>
  <c r="E94" i="4" s="1"/>
  <c r="D93" i="4"/>
  <c r="E93" i="4" s="1"/>
  <c r="D90" i="4"/>
  <c r="E90" i="4" s="1"/>
  <c r="D81" i="4"/>
  <c r="E81" i="4" s="1"/>
  <c r="D79" i="4"/>
  <c r="E79" i="4" s="1"/>
  <c r="D72" i="4"/>
  <c r="E72" i="4" s="1"/>
  <c r="D71" i="4"/>
  <c r="E71" i="4" s="1"/>
  <c r="D69" i="4"/>
  <c r="E69" i="4" s="1"/>
  <c r="D63" i="4"/>
  <c r="E63" i="4" s="1"/>
  <c r="E66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60" i="4" l="1"/>
  <c r="E95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<sst xmlns="http://schemas.openxmlformats.org/spreadsheetml/2006/main" count="399" uniqueCount="272">
  <si>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</si>
  <si>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</si>
  <si>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</si>
  <si>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</si>
  <si>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</si>
  <si>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</si>
  <si>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</si>
  <si>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</si>
  <si>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</si>
  <si>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</si>
  <si>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</si>
  <si>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</si>
  <si>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</si>
  <si>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</si>
  <si>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</si>
  <si>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</si>
  <si>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</si>
  <si>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</si>
  <si>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</si>
  <si>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</si>
  <si>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</si>
  <si>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</si>
  <si>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</si>
  <si>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</si>
  <si>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</si>
  <si>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</si>
  <si>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</si>
  <si>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</si>
  <si>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</si>
  <si>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</si>
  <si>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</si>
  <si>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</si>
  <si>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</si>
  <si>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</si>
  <si>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</si>
  <si>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</si>
  <si>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</si>
  <si>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</si>
  <si>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</si>
  <si>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</si>
  <si>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</si>
  <si>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</si>
  <si>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</si>
  <si>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</si>
  <si>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</si>
  <si>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</si>
  <si>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</si>
  <si>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</si>
  <si>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</si>
  <si>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</si>
  <si>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</si>
  <si>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</si>
  <si>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</si>
  <si>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</si>
  <si>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</si>
  <si>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</si>
  <si>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</si>
  <si>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</si>
  <si>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</si>
  <si>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</si>
  <si>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</si>
  <si>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</si>
  <si>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</si>
  <si>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</si>
  <si>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</si>
  <si>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</si>
  <si>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</si>
  <si>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</si>
  <si>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</si>
  <si>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</si>
  <si>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</si>
  <si>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</si>
  <si>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</si>
  <si>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</si>
  <si>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</si>
  <si>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</si>
  <si>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</si>
  <si>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</si>
  <si>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</si>
  <si>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</si>
  <si>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</si>
  <si>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</si>
  <si>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</si>
  <si>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</si>
  <si>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</si>
  <si>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</si>
  <si>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</si>
  <si>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</si>
  <si>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</si>
  <si>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</si>
  <si>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</si>
  <si>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</si>
  <si>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</si>
  <si>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</si>
  <si>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</si>
  <si>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</si>
  <si>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</si>
  <si>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</si>
  <si>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</si>
  <si>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</si>
  <si>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</si>
  <si>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</si>
  <si>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</si>
  <si>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</si>
  <si>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</si>
  <si>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</si>
  <si>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</si>
  <si>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</si>
  <si>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</si>
  <si>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</si>
  <si>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</si>
  <si>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</si>
  <si>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</si>
  <si>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</si>
  <si>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</si>
  <si>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</si>
  <si>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</si>
  <si>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</si>
  <si>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</si>
  <si>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</si>
  <si>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</si>
  <si>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</si>
  <si>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</si>
  <si>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</si>
  <si>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</si>
  <si>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</si>
  <si>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</si>
  <si>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</si>
  <si>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</si>
  <si>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</si>
  <si>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</si>
  <si>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</si>
  <si>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</si>
  <si>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</si>
  <si>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</si>
  <si>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</si>
  <si>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</si>
  <si>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</si>
  <si>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</si>
  <si>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</si>
  <si>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</si>
  <si>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</si>
  <si>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</si>
  <si>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</si>
  <si>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</si>
  <si>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</si>
  <si>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</si>
  <si>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</si>
  <si>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</si>
  <si>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</si>
  <si>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</si>
  <si>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</si>
  <si>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</si>
  <si>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</si>
  <si>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</si>
  <si>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</si>
  <si>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</si>
  <si>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</si>
  <si>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</si>
  <si>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</si>
  <si>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</si>
  <si>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</si>
  <si>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</si>
  <si>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</si>
  <si>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</si>
  <si>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</si>
  <si>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</si>
  <si>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</si>
  <si>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</si>
  <si>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</si>
  <si>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</si>
  <si>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</si>
  <si>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</si>
  <si>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</si>
  <si>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</si>
  <si>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</si>
  <si>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</si>
  <si>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</si>
  <si>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</si>
  <si>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</si>
  <si>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</si>
  <si>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</si>
  <si>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</si>
  <si>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</si>
  <si>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</si>
  <si>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</si>
  <si>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</si>
  <si>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</si>
  <si>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</si>
  <si>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</si>
  <si>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</si>
  <si>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</si>
  <si>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</si>
  <si>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</si>
  <si>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</si>
  <si>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</si>
  <si>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</si>
  <si>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</si>
  <si>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</si>
  <si>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</si>
  <si>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</si>
  <si>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</si>
  <si>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</si>
  <si>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</si>
  <si>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</si>
  <si>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</si>
  <si>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</si>
  <si>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</si>
  <si>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</si>
  <si>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</si>
  <si>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</si>
  <si>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</si>
  <si>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</si>
  <si>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</si>
  <si>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</si>
  <si>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</si>
  <si>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</si>
  <si>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</si>
  <si>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</si>
  <si>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</si>
  <si>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</si>
  <si>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</si>
  <si>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</si>
  <si>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</si>
  <si>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</si>
  <si>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</si>
  <si>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</si>
  <si>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</si>
  <si>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</si>
  <si>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</si>
  <si>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</si>
  <si>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</si>
  <si>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</si>
  <si>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</si>
  <si>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</si>
  <si>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</si>
  <si>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</si>
  <si>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</si>
  <si>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</si>
  <si>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</si>
  <si>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</si>
  <si>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</si>
  <si>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</si>
  <si>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</si>
  <si>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</si>
  <si>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</si>
  <si>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</si>
  <si>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</si>
  <si>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00대학교 교육문화센터 신축공사</t>
  </si>
  <si>
    <t>경상도</t>
  </si>
  <si>
    <t>기초및토공사, 잡공사, 부대공사, 사급자재, 운반비, 부산물공제</t>
    <phoneticPr fontId="2" type="noConversion"/>
  </si>
  <si>
    <t>배수공사, 콘크리트깨기공, 운반공사, 사급자재대</t>
    <phoneticPr fontId="2" type="noConversion"/>
  </si>
  <si>
    <t>옥외식재공사, 옥상식재공사</t>
    <phoneticPr fontId="2" type="noConversion"/>
  </si>
  <si>
    <t>옥외시설물공사, 옥상시설물공사</t>
    <phoneticPr fontId="2" type="noConversion"/>
  </si>
  <si>
    <t>사급자재대</t>
    <phoneticPr fontId="2" type="noConversion"/>
  </si>
  <si>
    <t>위생배관공사, 화장실 배관공사, 주방배관공사</t>
    <phoneticPr fontId="2" type="noConversion"/>
  </si>
  <si>
    <t>환기덕트설치공사</t>
  </si>
  <si>
    <t>연도배관공사</t>
  </si>
  <si>
    <t>옥외전력인입공사</t>
  </si>
  <si>
    <t>동력 설비공사,주방동력 설비공사</t>
    <phoneticPr fontId="2" type="noConversion"/>
  </si>
  <si>
    <t>피뢰침 설비공사</t>
  </si>
  <si>
    <t>출입통제 설비공사, 관리시스템 설비공사, 옥외외등 설비공사</t>
    <phoneticPr fontId="2" type="noConversion"/>
  </si>
  <si>
    <t>옥내소화전공사, 소방설비공사, 비상등 설비공사, 간선 설비공사</t>
    <phoneticPr fontId="2" type="noConversion"/>
  </si>
  <si>
    <t>전화설비공사</t>
  </si>
  <si>
    <t>TV공시청 설비공사</t>
  </si>
  <si>
    <t>관급자설치관급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</si>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</sst>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9911</v>
      </c>
      <c r="D7" s="36">
        <f>+C7/3.3058</f>
        <v>2998.0640087119609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266</v>
      </c>
    </row>
    <row r="24" spans="1:5" x14ac:dyDescent="0.3">
      <c r="B24" s="2">
        <v>1</v>
      </c>
      <c r="C24" s="35" t="s">
        <v>110</v>
      </c>
      <c r="D24" s="41">
        <f>+D37</f>
        <v>1440</v>
      </c>
      <c r="E24" s="58">
        <f t="shared" ref="E24:E33" si="0">TRUNC(+D24*3.3058,-1)</f>
        <v>4760</v>
      </c>
    </row>
    <row r="25" spans="1:5" x14ac:dyDescent="0.3">
      <c r="B25" s="2">
        <v>2</v>
      </c>
      <c r="C25" s="35" t="s">
        <v>111</v>
      </c>
      <c r="D25" s="45">
        <f>+D60</f>
        <v>494230</v>
      </c>
      <c r="E25" s="59">
        <f t="shared" si="0"/>
        <v>1633820</v>
      </c>
    </row>
    <row r="26" spans="1:5" x14ac:dyDescent="0.3">
      <c r="B26" s="2">
        <v>3</v>
      </c>
      <c r="C26" s="35" t="s">
        <v>95</v>
      </c>
      <c r="D26" s="45">
        <f>+D66</f>
        <v>11610</v>
      </c>
      <c r="E26" s="59">
        <f t="shared" si="0"/>
        <v>38380</v>
      </c>
    </row>
    <row r="27" spans="1:5" x14ac:dyDescent="0.3">
      <c r="B27" s="2">
        <v>4</v>
      </c>
      <c r="C27" s="35" t="s">
        <v>96</v>
      </c>
      <c r="D27" s="45">
        <f>+D95</f>
        <v>201750</v>
      </c>
      <c r="E27" s="59">
        <f t="shared" si="0"/>
        <v>666940</v>
      </c>
    </row>
    <row r="28" spans="1:5" x14ac:dyDescent="0.3">
      <c r="B28" s="2">
        <v>5</v>
      </c>
      <c r="C28" s="35" t="s">
        <v>97</v>
      </c>
      <c r="D28" s="45">
        <f>+D119</f>
        <v>74220</v>
      </c>
      <c r="E28" s="59">
        <f t="shared" si="0"/>
        <v>245350</v>
      </c>
    </row>
    <row r="29" spans="1:5" x14ac:dyDescent="0.3">
      <c r="B29" s="2">
        <v>6</v>
      </c>
      <c r="C29" s="35" t="s">
        <v>98</v>
      </c>
      <c r="D29" s="45">
        <f>+D133</f>
        <v>33080</v>
      </c>
      <c r="E29" s="59">
        <f t="shared" si="0"/>
        <v>109350</v>
      </c>
    </row>
    <row r="30" spans="1:5" x14ac:dyDescent="0.3">
      <c r="B30" s="2">
        <v>7</v>
      </c>
      <c r="C30" s="35" t="s">
        <v>99</v>
      </c>
      <c r="D30" s="45">
        <f>+D146</f>
        <v>31780</v>
      </c>
      <c r="E30" s="59">
        <f t="shared" si="0"/>
        <v>105050</v>
      </c>
    </row>
    <row r="31" spans="1:5" x14ac:dyDescent="0.3">
      <c r="B31" s="2">
        <v>8</v>
      </c>
      <c r="C31" s="35" t="s">
        <v>100</v>
      </c>
      <c r="D31" s="45">
        <f>+D154</f>
        <v>12750</v>
      </c>
      <c r="E31" s="59">
        <f t="shared" si="0"/>
        <v>42140</v>
      </c>
    </row>
    <row r="32" spans="1:5" x14ac:dyDescent="0.3">
      <c r="B32" s="2">
        <v>9</v>
      </c>
      <c r="C32" s="35" t="s">
        <v>101</v>
      </c>
      <c r="D32" s="45">
        <f>+D161</f>
        <v>12590</v>
      </c>
      <c r="E32" s="59">
        <f t="shared" si="0"/>
        <v>41620</v>
      </c>
    </row>
    <row r="33" spans="1:7" x14ac:dyDescent="0.3">
      <c r="B33" s="2">
        <v>10</v>
      </c>
      <c r="C33" s="35" t="s">
        <v>153</v>
      </c>
      <c r="D33" s="53">
        <f>TRUNC(SUM(D24:D32)*0.275,-1)</f>
        <v>240190</v>
      </c>
      <c r="E33" s="60">
        <f t="shared" si="0"/>
        <v>794020</v>
      </c>
    </row>
    <row r="34" spans="1:7" x14ac:dyDescent="0.3">
      <c r="C34" s="35" t="s">
        <v>112</v>
      </c>
      <c r="D34" s="44">
        <f>SUM(D24:D33)</f>
        <v>1113640</v>
      </c>
      <c r="E34" s="44">
        <f>SUM(E24:E33)</f>
        <v>3681430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266</v>
      </c>
      <c r="G36" s="55"/>
    </row>
    <row r="37" spans="1:7" ht="17.25" thickBot="1" x14ac:dyDescent="0.35">
      <c r="C37" s="38" t="s">
        <v>143</v>
      </c>
      <c r="D37" s="52">
        <f>TRUNC(1449.43678740793,-1)</f>
        <v>1440</v>
      </c>
      <c r="E37" s="61">
        <f>TRUNC(+D37*3.3058,-1)</f>
        <v>4760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TRUNC(30524.2100696196,-1)</f>
        <v>30520</v>
      </c>
      <c r="E40" s="62">
        <f t="shared" ref="E40:E59" si="1">TRUNC(+D40*3.3058,-1)</f>
        <v>100890</v>
      </c>
    </row>
    <row r="41" spans="1:7" x14ac:dyDescent="0.3">
      <c r="A41" s="2">
        <v>2</v>
      </c>
      <c r="C41" s="38" t="s">
        <v>13</v>
      </c>
      <c r="D41" s="42">
        <f>TRUNC(86388.9784078297,-1)</f>
        <v>86380</v>
      </c>
      <c r="E41" s="63">
        <f t="shared" si="1"/>
        <v>285550</v>
      </c>
    </row>
    <row r="42" spans="1:7" x14ac:dyDescent="0.3">
      <c r="A42" s="2">
        <v>3</v>
      </c>
      <c r="C42" s="38" t="s">
        <v>14</v>
      </c>
      <c r="D42" s="42">
        <f>TRUNC(4795.41186560387,-1)</f>
        <v>4790</v>
      </c>
      <c r="E42" s="63">
        <f t="shared" si="1"/>
        <v>15830</v>
      </c>
    </row>
    <row r="43" spans="1:7" x14ac:dyDescent="0.3">
      <c r="A43" s="2">
        <v>4</v>
      </c>
      <c r="C43" s="38" t="s">
        <v>16</v>
      </c>
      <c r="D43" s="42">
        <f>TRUNC(54330.9725557461,-1)</f>
        <v>54330</v>
      </c>
      <c r="E43" s="63">
        <f t="shared" si="1"/>
        <v>179600</v>
      </c>
    </row>
    <row r="44" spans="1:7" x14ac:dyDescent="0.3">
      <c r="A44" s="2">
        <v>5</v>
      </c>
      <c r="C44" s="38" t="s">
        <v>17</v>
      </c>
      <c r="D44" s="42">
        <f>TRUNC(20501.0783977399,-1)</f>
        <v>20500</v>
      </c>
      <c r="E44" s="63">
        <f t="shared" si="1"/>
        <v>67760</v>
      </c>
    </row>
    <row r="45" spans="1:7" x14ac:dyDescent="0.3">
      <c r="A45" s="2">
        <v>6</v>
      </c>
      <c r="C45" s="38" t="s">
        <v>18</v>
      </c>
      <c r="D45" s="42">
        <f>TRUNC(9205.51690041368,-1)</f>
        <v>9200</v>
      </c>
      <c r="E45" s="63">
        <f t="shared" si="1"/>
        <v>30410</v>
      </c>
    </row>
    <row r="46" spans="1:7" x14ac:dyDescent="0.3">
      <c r="A46" s="2">
        <v>7</v>
      </c>
      <c r="C46" s="38" t="s">
        <v>19</v>
      </c>
      <c r="D46" s="42">
        <f>TRUNC(18942.1010997881,-1)</f>
        <v>18940</v>
      </c>
      <c r="E46" s="63">
        <f t="shared" si="1"/>
        <v>62610</v>
      </c>
    </row>
    <row r="47" spans="1:7" x14ac:dyDescent="0.3">
      <c r="A47" s="2">
        <v>8</v>
      </c>
      <c r="C47" s="38" t="s">
        <v>20</v>
      </c>
      <c r="D47" s="42">
        <f>TRUNC(2611.12894763394,-1)</f>
        <v>2610</v>
      </c>
      <c r="E47" s="63">
        <f t="shared" si="1"/>
        <v>8620</v>
      </c>
    </row>
    <row r="48" spans="1:7" x14ac:dyDescent="0.3">
      <c r="A48" s="2">
        <v>9</v>
      </c>
      <c r="C48" s="38" t="s">
        <v>21</v>
      </c>
      <c r="D48" s="42">
        <f>TRUNC(27416.6208253456,-1)</f>
        <v>27410</v>
      </c>
      <c r="E48" s="63">
        <f t="shared" si="1"/>
        <v>90610</v>
      </c>
    </row>
    <row r="49" spans="1:7" x14ac:dyDescent="0.3">
      <c r="A49" s="2">
        <v>10</v>
      </c>
      <c r="C49" s="38" t="s">
        <v>22</v>
      </c>
      <c r="D49" s="42">
        <f>TRUNC(17916.2144082333,-1)</f>
        <v>17910</v>
      </c>
      <c r="E49" s="63">
        <f t="shared" si="1"/>
        <v>59200</v>
      </c>
    </row>
    <row r="50" spans="1:7" x14ac:dyDescent="0.3">
      <c r="A50" s="2">
        <v>11</v>
      </c>
      <c r="C50" s="38" t="s">
        <v>154</v>
      </c>
      <c r="D50" s="42">
        <f>TRUNC(31166.8763999596,-1)</f>
        <v>31160</v>
      </c>
      <c r="E50" s="63">
        <f t="shared" si="1"/>
        <v>103000</v>
      </c>
    </row>
    <row r="51" spans="1:7" x14ac:dyDescent="0.3">
      <c r="A51" s="2">
        <v>12</v>
      </c>
      <c r="C51" s="38" t="s">
        <v>23</v>
      </c>
      <c r="D51" s="42">
        <f>TRUNC(9944.39077792352,-1)</f>
        <v>9940</v>
      </c>
      <c r="E51" s="63">
        <f t="shared" si="1"/>
        <v>32850</v>
      </c>
    </row>
    <row r="52" spans="1:7" x14ac:dyDescent="0.3">
      <c r="A52" s="2">
        <v>13</v>
      </c>
      <c r="C52" s="38" t="s">
        <v>24</v>
      </c>
      <c r="D52" s="42">
        <f>TRUNC(7767.76823731208,-1)</f>
        <v>7760</v>
      </c>
      <c r="E52" s="63">
        <f t="shared" si="1"/>
        <v>25650</v>
      </c>
    </row>
    <row r="53" spans="1:7" x14ac:dyDescent="0.3">
      <c r="A53" s="2">
        <v>14</v>
      </c>
      <c r="C53" s="38" t="s">
        <v>25</v>
      </c>
      <c r="D53" s="42">
        <f>TRUNC(53467.5413177278,-1)</f>
        <v>53460</v>
      </c>
      <c r="E53" s="63">
        <f t="shared" si="1"/>
        <v>176720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TRUNC(2213.84300272425,-1)</f>
        <v>2210</v>
      </c>
      <c r="E55" s="63">
        <f t="shared" si="1"/>
        <v>7300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TRUNC(11030.0937342347+17719.8111189587+760.08102108768+82167.6502875593+5829.97275754212-395.671476137625,-1)</f>
        <v>117110</v>
      </c>
      <c r="E58" s="63">
        <f t="shared" si="1"/>
        <v>387140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494230</v>
      </c>
      <c r="E60" s="39">
        <f>SUM(E40:E59)</f>
        <v>1633740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266</v>
      </c>
      <c r="G62" s="55"/>
    </row>
    <row r="63" spans="1:7" x14ac:dyDescent="0.3">
      <c r="A63" s="2">
        <v>1</v>
      </c>
      <c r="C63" s="38" t="s">
        <v>27</v>
      </c>
      <c r="D63" s="40">
        <f>TRUNC(11613.1458984966,-1)</f>
        <v>11610</v>
      </c>
      <c r="E63" s="62">
        <f>TRUNC(+D63*3.3058,-1)</f>
        <v>38380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11610</v>
      </c>
      <c r="E66" s="65">
        <f>SUM(E63:E65)</f>
        <v>38380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266</v>
      </c>
      <c r="G68" s="55"/>
    </row>
    <row r="69" spans="1:7" x14ac:dyDescent="0.3">
      <c r="A69" s="2">
        <v>1</v>
      </c>
      <c r="C69" s="38" t="s">
        <v>30</v>
      </c>
      <c r="D69" s="40">
        <f>TRUNC(10923.3816971042,-1)</f>
        <v>10920</v>
      </c>
      <c r="E69" s="62">
        <f>TRUNC(+D69*3.3058,-1)</f>
        <v>36090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TRUNC(2047.63949147412,-1)</f>
        <v>2040</v>
      </c>
      <c r="E71" s="63">
        <f t="shared" ref="E71:E73" si="2">TRUNC(+D71*3.3058,-1)</f>
        <v>6740</v>
      </c>
    </row>
    <row r="72" spans="1:7" x14ac:dyDescent="0.3">
      <c r="A72" s="2">
        <v>4</v>
      </c>
      <c r="C72" s="38" t="s">
        <v>33</v>
      </c>
      <c r="D72" s="42">
        <f>TRUNC(5451.61709211987,-1)</f>
        <v>5450</v>
      </c>
      <c r="E72" s="63">
        <f t="shared" si="2"/>
        <v>18010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TRUNC(10481.3578851781,-1)</f>
        <v>10480</v>
      </c>
      <c r="E79" s="63">
        <f t="shared" si="3"/>
        <v>34640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TRUNC(1007.6308142468,-1)</f>
        <v>1000</v>
      </c>
      <c r="E81" s="63">
        <f t="shared" si="3"/>
        <v>3300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TRUNC(649.60680052467,-1)</f>
        <v>640</v>
      </c>
      <c r="E90" s="63">
        <f>TRUNC(+D90*3.3058,-1)</f>
        <v>2110</v>
      </c>
      <c r="F90" s="2" t="s">
        <v>257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TRUNC(146302.088588437,-1)</f>
        <v>146300</v>
      </c>
      <c r="E93" s="63">
        <f>TRUNC(+D93*3.3058,-1)</f>
        <v>483630</v>
      </c>
      <c r="F93" s="2" t="s">
        <v>265</v>
      </c>
    </row>
    <row r="94" spans="1:7" ht="17.25" thickBot="1" x14ac:dyDescent="0.35">
      <c r="A94" s="2">
        <v>26</v>
      </c>
      <c r="C94" s="38" t="s">
        <v>47</v>
      </c>
      <c r="D94" s="43">
        <f>TRUNC(14053.5845020684+7576.19039451115+3294.63747351428,-1)</f>
        <v>24920</v>
      </c>
      <c r="E94" s="64">
        <f>TRUNC(+D94*3.3058,-1)</f>
        <v>82380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201750</v>
      </c>
      <c r="E95" s="39">
        <f>SUM(E69:E94)</f>
        <v>666900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266</v>
      </c>
      <c r="G97" s="55"/>
    </row>
    <row r="98" spans="1:7" x14ac:dyDescent="0.3">
      <c r="A98" s="2">
        <v>1</v>
      </c>
      <c r="C98" s="38" t="s">
        <v>39</v>
      </c>
      <c r="D98" s="40">
        <f>TRUNC(13633.0538795278,-1)</f>
        <v>13630</v>
      </c>
      <c r="E98" s="62">
        <f t="shared" ref="E98:E118" si="4">TRUNC(+D98*3.3058,-1)</f>
        <v>45050</v>
      </c>
    </row>
    <row r="99" spans="1:7" x14ac:dyDescent="0.3">
      <c r="A99" s="2">
        <v>2</v>
      </c>
      <c r="C99" s="38" t="s">
        <v>40</v>
      </c>
      <c r="D99" s="42">
        <f>TRUNC(3203.96720815256+1169.98436081122,-1)</f>
        <v>4370</v>
      </c>
      <c r="E99" s="63">
        <f t="shared" si="4"/>
        <v>14440</v>
      </c>
      <c r="F99" s="2" t="s">
        <v>259</v>
      </c>
    </row>
    <row r="100" spans="1:7" x14ac:dyDescent="0.3">
      <c r="A100" s="2">
        <v>3</v>
      </c>
      <c r="C100" s="38" t="s">
        <v>41</v>
      </c>
      <c r="D100" s="42">
        <f>TRUNC(21494.2368075875,-1)</f>
        <v>21490</v>
      </c>
      <c r="E100" s="63">
        <f t="shared" si="4"/>
        <v>71040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TRUNC(4865.6692563818,-1)</f>
        <v>4860</v>
      </c>
      <c r="E102" s="63">
        <f t="shared" si="4"/>
        <v>16060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TRUNC(481.582383210574,-1)</f>
        <v>480</v>
      </c>
      <c r="E104" s="63">
        <f t="shared" si="4"/>
        <v>1580</v>
      </c>
      <c r="F104" s="2" t="s">
        <v>260</v>
      </c>
    </row>
    <row r="105" spans="1:7" x14ac:dyDescent="0.3">
      <c r="A105" s="2">
        <v>8</v>
      </c>
      <c r="C105" s="38" t="s">
        <v>46</v>
      </c>
      <c r="D105" s="42">
        <f>TRUNC(3374.27827666229,-1)</f>
        <v>3370</v>
      </c>
      <c r="E105" s="63">
        <f t="shared" si="4"/>
        <v>11140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TRUNC(690.357683382101,-1)</f>
        <v>690</v>
      </c>
      <c r="E108" s="63">
        <f t="shared" si="4"/>
        <v>2280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TRUNC(8889.06437291898,-1)</f>
        <v>8880</v>
      </c>
      <c r="E115" s="63">
        <f t="shared" si="4"/>
        <v>29350</v>
      </c>
    </row>
    <row r="116" spans="1:7" x14ac:dyDescent="0.3">
      <c r="A116" s="2">
        <v>19</v>
      </c>
      <c r="C116" s="38" t="s">
        <v>115</v>
      </c>
      <c r="D116" s="42">
        <f>TRUNC(2800.7512864494,-1)</f>
        <v>2800</v>
      </c>
      <c r="E116" s="63">
        <f t="shared" si="4"/>
        <v>9250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TRUNC(4379.98183836142,-1)</f>
        <v>4370</v>
      </c>
      <c r="E117" s="63">
        <f t="shared" si="4"/>
        <v>14440</v>
      </c>
      <c r="F117" s="2" t="s">
        <v>265</v>
      </c>
    </row>
    <row r="118" spans="1:7" ht="17.25" thickBot="1" x14ac:dyDescent="0.35">
      <c r="A118" s="2">
        <v>21</v>
      </c>
      <c r="C118" s="38" t="s">
        <v>47</v>
      </c>
      <c r="D118" s="43">
        <f>TRUNC(5911.91433760468+1911.63121783876+1458.16274846131,-1)</f>
        <v>9280</v>
      </c>
      <c r="E118" s="64">
        <f t="shared" si="4"/>
        <v>30670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74220</v>
      </c>
      <c r="E119" s="39">
        <f>SUM(E98:E118)</f>
        <v>245300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266</v>
      </c>
      <c r="G121" s="55"/>
    </row>
    <row r="122" spans="1:7" x14ac:dyDescent="0.3">
      <c r="A122" s="2">
        <v>1</v>
      </c>
      <c r="C122" s="38" t="s">
        <v>55</v>
      </c>
      <c r="D122" s="40">
        <f>TRUNC(2207.76198163657,-1)</f>
        <v>2200</v>
      </c>
      <c r="E122" s="62">
        <f t="shared" ref="E122:E132" si="5">TRUNC(+D122*3.3058,-1)</f>
        <v>7270</v>
      </c>
      <c r="F122" s="2" t="s">
        <v>264</v>
      </c>
    </row>
    <row r="123" spans="1:7" x14ac:dyDescent="0.3">
      <c r="A123" s="2">
        <v>2</v>
      </c>
      <c r="C123" s="38" t="s">
        <v>124</v>
      </c>
      <c r="D123" s="42">
        <f>TRUNC(4376.43275148825,-1)</f>
        <v>4370</v>
      </c>
      <c r="E123" s="63">
        <f t="shared" si="5"/>
        <v>14440</v>
      </c>
      <c r="F123" s="2" t="s">
        <v>263</v>
      </c>
    </row>
    <row r="124" spans="1:7" x14ac:dyDescent="0.3">
      <c r="A124" s="2">
        <v>3</v>
      </c>
      <c r="C124" s="38" t="s">
        <v>151</v>
      </c>
      <c r="D124" s="42">
        <f>TRUNC(3634.53839168601,-1)</f>
        <v>3630</v>
      </c>
      <c r="E124" s="63">
        <f t="shared" si="5"/>
        <v>12000</v>
      </c>
    </row>
    <row r="125" spans="1:7" x14ac:dyDescent="0.3">
      <c r="A125" s="2">
        <v>4</v>
      </c>
      <c r="C125" s="38" t="s">
        <v>138</v>
      </c>
      <c r="D125" s="42">
        <f>TRUNC(3804.35960044395,-1)</f>
        <v>3800</v>
      </c>
      <c r="E125" s="63">
        <f t="shared" si="5"/>
        <v>12560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TRUNC(1642.98325093331,-1)</f>
        <v>1640</v>
      </c>
      <c r="E128" s="63">
        <f t="shared" si="5"/>
        <v>5420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TRUNC(17448.4915750177,-1)</f>
        <v>17440</v>
      </c>
      <c r="E131" s="63">
        <f t="shared" si="5"/>
        <v>57650</v>
      </c>
      <c r="F131" s="2" t="s">
        <v>265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33080</v>
      </c>
      <c r="E133" s="39">
        <f>SUM(E122:E132)</f>
        <v>109340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266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TRUNC(3502.53667642014+2215.75784481889+3156.4474825951+4242.67833720109,-1)</f>
        <v>13110</v>
      </c>
      <c r="E137" s="63">
        <f t="shared" si="6"/>
        <v>43330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f>TRUNC(15519.9981838361,-1)</f>
        <v>15510</v>
      </c>
      <c r="E141" s="63">
        <f t="shared" si="6"/>
        <v>51270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TRUNC(3161.743618202,-1)</f>
        <v>3160</v>
      </c>
      <c r="E143" s="63">
        <f t="shared" si="6"/>
        <v>10440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31780</v>
      </c>
      <c r="E146" s="39">
        <f>SUM(E136:E145)</f>
        <v>105040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266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TRUNC(7162.27413984462,-1)</f>
        <v>7160</v>
      </c>
      <c r="E150" s="63">
        <f>TRUNC(+D150*3.3058,-1)</f>
        <v>23660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TRUNC(4111.64282110786+304.229946524064+112.55090303703+1070.34718999092,-1)</f>
        <v>5590</v>
      </c>
      <c r="E152" s="63">
        <f>TRUNC(+D152*3.3058,-1)</f>
        <v>18470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12750</v>
      </c>
      <c r="E154" s="39">
        <f>SUM(E149:E153)</f>
        <v>42130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266</v>
      </c>
      <c r="G156" s="55"/>
    </row>
    <row r="157" spans="1:7" x14ac:dyDescent="0.3">
      <c r="A157" s="2">
        <v>1</v>
      </c>
      <c r="C157" s="38" t="s">
        <v>51</v>
      </c>
      <c r="D157" s="40">
        <f>TRUNC(2863.8063767531+796.694783573807,-1)</f>
        <v>3660</v>
      </c>
      <c r="E157" s="62">
        <f>TRUNC(+D157*3.3058,-1)</f>
        <v>12090</v>
      </c>
      <c r="F157" s="2" t="s">
        <v>252</v>
      </c>
    </row>
    <row r="158" spans="1:7" x14ac:dyDescent="0.3">
      <c r="A158" s="2">
        <v>2</v>
      </c>
      <c r="C158" s="38" t="s">
        <v>52</v>
      </c>
      <c r="D158" s="42">
        <f>TRUNC(1800.00292604177+6065.62889718495,-1)</f>
        <v>7860</v>
      </c>
      <c r="E158" s="63">
        <f>TRUNC(+D158*3.3058,-1)</f>
        <v>25980</v>
      </c>
      <c r="F158" s="2" t="s">
        <v>253</v>
      </c>
    </row>
    <row r="159" spans="1:7" x14ac:dyDescent="0.3">
      <c r="A159" s="2">
        <v>3</v>
      </c>
      <c r="C159" s="38" t="s">
        <v>47</v>
      </c>
      <c r="D159" s="42">
        <f>TRUNC(1070.34718999092,-1)</f>
        <v>1070</v>
      </c>
      <c r="E159" s="63">
        <f>TRUNC(+D159*3.3058,-1)</f>
        <v>3530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12590</v>
      </c>
      <c r="E161" s="39">
        <f>SUM(E157:E160)</f>
        <v>41600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2020-12-07T09:12:34Z</dcterms:modified>
</cp:coreProperties>
</file>