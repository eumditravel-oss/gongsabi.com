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1" i="4"/>
  <c r="E145" i="4"/>
  <c r="E141" i="4"/>
  <c r="E138" i="4"/>
  <c r="E136" i="4"/>
  <c r="E129" i="4"/>
  <c r="E127" i="4"/>
  <c r="E126" i="4"/>
  <c r="E123" i="4"/>
  <c r="E116" i="4"/>
  <c r="E113" i="4"/>
  <c r="E112" i="4"/>
  <c r="E111" i="4"/>
  <c r="E110" i="4"/>
  <c r="E109" i="4"/>
  <c r="E108" i="4"/>
  <c r="E107" i="4"/>
  <c r="E106" i="4"/>
  <c r="E103" i="4"/>
  <c r="E101" i="4"/>
  <c r="E94" i="4"/>
  <c r="E93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1" i="4"/>
  <c r="E70" i="4"/>
  <c r="E65" i="4"/>
  <c r="E64" i="4"/>
  <c r="E57" i="4"/>
  <c r="E56" i="4"/>
  <c r="E55" i="4"/>
  <c r="E54" i="4"/>
  <c r="E51" i="4"/>
  <c r="E47" i="4"/>
  <c r="E37" i="4"/>
  <c r="E161" i="4" l="1"/>
  <c r="D43" i="4"/>
  <c r="E43" i="4" s="1"/>
  <c r="D59" i="4"/>
  <c r="E59" i="4" s="1"/>
  <c r="D117" i="4"/>
  <c r="E117" i="4" s="1"/>
  <c r="D131" i="4"/>
  <c r="E131" i="4" s="1"/>
  <c r="D144" i="4"/>
  <c r="E144" i="4" s="1"/>
  <c r="D143" i="4"/>
  <c r="E143" i="4" s="1"/>
  <c r="D142" i="4"/>
  <c r="E142" i="4" s="1"/>
  <c r="D140" i="4"/>
  <c r="E140" i="4" s="1"/>
  <c r="D139" i="4"/>
  <c r="E139" i="4" s="1"/>
  <c r="D137" i="4"/>
  <c r="E137" i="4" s="1"/>
  <c r="E146" i="4" s="1"/>
  <c r="D130" i="4"/>
  <c r="E130" i="4" s="1"/>
  <c r="D128" i="4"/>
  <c r="E128" i="4" s="1"/>
  <c r="D125" i="4"/>
  <c r="E125" i="4" s="1"/>
  <c r="D124" i="4"/>
  <c r="E124" i="4" s="1"/>
  <c r="D122" i="4"/>
  <c r="E122" i="4" s="1"/>
  <c r="D118" i="4"/>
  <c r="E118" i="4" s="1"/>
  <c r="D115" i="4"/>
  <c r="E115" i="4" s="1"/>
  <c r="D114" i="4"/>
  <c r="E114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92" i="4"/>
  <c r="E92" i="4" s="1"/>
  <c r="D91" i="4"/>
  <c r="E91" i="4" s="1"/>
  <c r="D89" i="4"/>
  <c r="E89" i="4" s="1"/>
  <c r="D73" i="4"/>
  <c r="E73" i="4" s="1"/>
  <c r="D72" i="4"/>
  <c r="E72" i="4" s="1"/>
  <c r="D69" i="4"/>
  <c r="E69" i="4" s="1"/>
  <c r="E95" i="4" s="1"/>
  <c r="D63" i="4"/>
  <c r="E63" i="4" s="1"/>
  <c r="E66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2" i="4"/>
  <c r="E42" i="4" s="1"/>
  <c r="D41" i="4"/>
  <c r="E41" i="4" s="1"/>
  <c r="D40" i="4"/>
  <c r="E40" i="4" s="1"/>
  <c r="E60" i="4" s="1"/>
  <c r="D150" i="4"/>
  <c r="E150" i="4" s="1"/>
  <c r="D152" i="4"/>
  <c r="E152" i="4" s="1"/>
  <c r="D149" i="4"/>
  <c r="E149" i="4" s="1"/>
  <c r="E154" i="4" s="1"/>
  <c r="D132" i="4"/>
  <c r="E132" i="4" s="1"/>
  <c r="D58" i="4"/>
  <c r="E58" i="4" s="1"/>
  <c r="E133" i="4" l="1"/>
  <c r="E119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<sst xmlns="http://schemas.openxmlformats.org/spreadsheetml/2006/main" count="389" uniqueCount="264">
  <si>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</si>
  <si>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</si>
  <si>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</si>
  <si>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</si>
  <si>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</si>
  <si>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</si>
  <si>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</si>
  <si>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</si>
  <si>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</si>
  <si>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</si>
  <si>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</si>
  <si>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</si>
  <si>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</si>
  <si>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</si>
  <si>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</si>
  <si>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</si>
  <si>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</si>
  <si>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</si>
  <si>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</si>
  <si>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</si>
  <si>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</si>
  <si>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</si>
  <si>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</si>
  <si>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</si>
  <si>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</si>
  <si>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</si>
  <si>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</si>
  <si>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</si>
  <si>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</si>
  <si>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</si>
  <si>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</si>
  <si>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</si>
  <si>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</si>
  <si>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</si>
  <si>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</si>
  <si>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</si>
  <si>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</si>
  <si>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</si>
  <si>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</si>
  <si>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</si>
  <si>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</si>
  <si>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</si>
  <si>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</si>
  <si>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</si>
  <si>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</si>
  <si>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</si>
  <si>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</si>
  <si>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</si>
  <si>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</si>
  <si>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</si>
  <si>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</si>
  <si>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</si>
  <si>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</si>
  <si>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</si>
  <si>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</si>
  <si>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</si>
  <si>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</si>
  <si>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</si>
  <si>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</si>
  <si>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</si>
  <si>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</si>
  <si>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</si>
  <si>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</si>
  <si>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</si>
  <si>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</si>
  <si>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</si>
  <si>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</si>
  <si>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</si>
  <si>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</si>
  <si>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</si>
  <si>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</si>
  <si>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</si>
  <si>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</si>
  <si>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</si>
  <si>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</si>
  <si>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</si>
  <si>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</si>
  <si>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</si>
  <si>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</si>
  <si>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</si>
  <si>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</si>
  <si>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</si>
  <si>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</si>
  <si>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</si>
  <si>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</si>
  <si>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</si>
  <si>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</si>
  <si>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</si>
  <si>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</si>
  <si>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</si>
  <si>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</si>
  <si>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</si>
  <si>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</si>
  <si>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</si>
  <si>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</si>
  <si>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</si>
  <si>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</si>
  <si>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</si>
  <si>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</si>
  <si>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</si>
  <si>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</si>
  <si>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</si>
  <si>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</si>
  <si>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</si>
  <si>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</si>
  <si>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</si>
  <si>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</si>
  <si>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</si>
  <si>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</si>
  <si>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</si>
  <si>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</si>
  <si>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</si>
  <si>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</si>
  <si>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</si>
  <si>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</si>
  <si>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</si>
  <si>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</si>
  <si>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</si>
  <si>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</si>
  <si>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</si>
  <si>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</si>
  <si>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</si>
  <si>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</si>
  <si>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</si>
  <si>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</si>
  <si>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</si>
  <si>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</si>
  <si>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</si>
  <si>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</si>
  <si>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</si>
  <si>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</si>
  <si>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</si>
  <si>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</si>
  <si>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</si>
  <si>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</si>
  <si>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</si>
  <si>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</si>
  <si>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</si>
  <si>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</si>
  <si>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</si>
  <si>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</si>
  <si>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</si>
  <si>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</si>
  <si>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</si>
  <si>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</si>
  <si>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</si>
  <si>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</si>
  <si>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</si>
  <si>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</si>
  <si>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</si>
  <si>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</si>
  <si>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</si>
  <si>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</si>
  <si>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</si>
  <si>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</si>
  <si>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</si>
  <si>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</si>
  <si>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</si>
  <si>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</si>
  <si>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</si>
  <si>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</si>
  <si>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</si>
  <si>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</si>
  <si>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</si>
  <si>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</si>
  <si>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</si>
  <si>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</si>
  <si>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</si>
  <si>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</si>
  <si>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</si>
  <si>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</si>
  <si>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</si>
  <si>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</si>
  <si>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</si>
  <si>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</si>
  <si>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</si>
  <si>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</si>
  <si>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</si>
  <si>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</si>
  <si>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</si>
  <si>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</si>
  <si>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</si>
  <si>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</si>
  <si>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</si>
  <si>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</si>
  <si>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</si>
  <si>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</si>
  <si>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</si>
  <si>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</si>
  <si>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</si>
  <si>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</si>
  <si>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</si>
  <si>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</si>
  <si>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</si>
  <si>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</si>
  <si>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</si>
  <si>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</si>
  <si>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</si>
  <si>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</si>
  <si>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</si>
  <si>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</si>
  <si>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</si>
  <si>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</si>
  <si>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</si>
  <si>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</si>
  <si>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</si>
  <si>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</si>
  <si>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</si>
  <si>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</si>
  <si>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</si>
  <si>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</si>
  <si>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</si>
  <si>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</si>
  <si>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</si>
  <si>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</si>
  <si>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</si>
  <si>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</si>
  <si>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</si>
  <si>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</si>
  <si>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</si>
  <si>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</si>
  <si>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</si>
  <si>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</si>
  <si>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</si>
  <si>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</si>
  <si>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</si>
  <si>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</si>
  <si>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</si>
  <si>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</si>
  <si>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</si>
  <si>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</si>
  <si>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</si>
  <si>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</si>
  <si>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</si>
  <si>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</si>
  <si>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</si>
  <si>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</si>
  <si>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</si>
  <si>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</si>
  <si>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</si>
  <si>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</si>
  <si>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</si>
  <si>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</si>
  <si>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</si>
  <si>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</si>
  <si>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</si>
  <si>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</si>
  <si>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</si>
  <si>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</si>
  <si>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지붕및홈통공사 포함</t>
    <phoneticPr fontId="2" type="noConversion"/>
  </si>
  <si>
    <t>목공사및수장공사(인테리어공사 포함)</t>
    <phoneticPr fontId="2" type="noConversion"/>
  </si>
  <si>
    <t>국민건강보험공단 시흥지사 사옥 신축공사</t>
    <phoneticPr fontId="2" type="noConversion"/>
  </si>
  <si>
    <t>경기도</t>
  </si>
  <si>
    <t>기초공사,폐기물처리비,골재비및운반비,작업부산물,기타공사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</si>
  <si>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</si>
  <si>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</si>
  <si>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펌프실배관공사</t>
    <phoneticPr fontId="2" type="noConversion"/>
  </si>
  <si>
    <t>상수도공사,기타공사</t>
    <phoneticPr fontId="2" type="noConversion"/>
  </si>
  <si>
    <t>창호및유리공사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</si>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</sst>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3128.78</v>
      </c>
      <c r="D7" s="36">
        <f>+C7/3.3058</f>
        <v>946.45169096739073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1155490</v>
      </c>
      <c r="E25" s="59">
        <f t="shared" si="0"/>
        <v>3819810</v>
      </c>
    </row>
    <row r="26" spans="1:5" x14ac:dyDescent="0.3">
      <c r="B26" s="2">
        <v>3</v>
      </c>
      <c r="C26" s="35" t="s">
        <v>95</v>
      </c>
      <c r="D26" s="45">
        <f>+D66</f>
        <v>9940</v>
      </c>
      <c r="E26" s="59">
        <f t="shared" si="0"/>
        <v>32850</v>
      </c>
    </row>
    <row r="27" spans="1:5" x14ac:dyDescent="0.3">
      <c r="B27" s="2">
        <v>4</v>
      </c>
      <c r="C27" s="35" t="s">
        <v>96</v>
      </c>
      <c r="D27" s="45">
        <f>+D95</f>
        <v>52470</v>
      </c>
      <c r="E27" s="59">
        <f t="shared" si="0"/>
        <v>173450</v>
      </c>
    </row>
    <row r="28" spans="1:5" x14ac:dyDescent="0.3">
      <c r="B28" s="2">
        <v>5</v>
      </c>
      <c r="C28" s="35" t="s">
        <v>97</v>
      </c>
      <c r="D28" s="45">
        <f>+D119</f>
        <v>238680</v>
      </c>
      <c r="E28" s="59">
        <f t="shared" si="0"/>
        <v>789020</v>
      </c>
    </row>
    <row r="29" spans="1:5" x14ac:dyDescent="0.3">
      <c r="B29" s="2">
        <v>6</v>
      </c>
      <c r="C29" s="35" t="s">
        <v>98</v>
      </c>
      <c r="D29" s="45">
        <f>+D133</f>
        <v>87780</v>
      </c>
      <c r="E29" s="59">
        <f t="shared" si="0"/>
        <v>290180</v>
      </c>
    </row>
    <row r="30" spans="1:5" x14ac:dyDescent="0.3">
      <c r="B30" s="2">
        <v>7</v>
      </c>
      <c r="C30" s="35" t="s">
        <v>99</v>
      </c>
      <c r="D30" s="45">
        <f>+D146</f>
        <v>41060</v>
      </c>
      <c r="E30" s="59">
        <f t="shared" si="0"/>
        <v>135730</v>
      </c>
    </row>
    <row r="31" spans="1:5" x14ac:dyDescent="0.3">
      <c r="B31" s="2">
        <v>8</v>
      </c>
      <c r="C31" s="35" t="s">
        <v>100</v>
      </c>
      <c r="D31" s="45">
        <f>+D154</f>
        <v>55970</v>
      </c>
      <c r="E31" s="59">
        <f t="shared" si="0"/>
        <v>185020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451380</v>
      </c>
      <c r="E33" s="60">
        <f t="shared" si="0"/>
        <v>1492170</v>
      </c>
    </row>
    <row r="34" spans="1:7" x14ac:dyDescent="0.3">
      <c r="C34" s="35" t="s">
        <v>112</v>
      </c>
      <c r="D34" s="44">
        <f>SUM(D24:D33)</f>
        <v>2092770</v>
      </c>
      <c r="E34" s="44">
        <f>SUM(E24:E33)</f>
        <v>6918230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TRUNC(57549,-1)</f>
        <v>57540</v>
      </c>
      <c r="E40" s="62">
        <f t="shared" ref="E40:E59" si="1">TRUNC(+D40*3.3058,-1)</f>
        <v>190210</v>
      </c>
    </row>
    <row r="41" spans="1:7" x14ac:dyDescent="0.3">
      <c r="A41" s="2">
        <v>2</v>
      </c>
      <c r="C41" s="38" t="s">
        <v>13</v>
      </c>
      <c r="D41" s="42">
        <f>TRUNC(157346,-1)</f>
        <v>157340</v>
      </c>
      <c r="E41" s="63">
        <f t="shared" si="1"/>
        <v>520130</v>
      </c>
    </row>
    <row r="42" spans="1:7" x14ac:dyDescent="0.3">
      <c r="A42" s="2">
        <v>3</v>
      </c>
      <c r="C42" s="38" t="s">
        <v>14</v>
      </c>
      <c r="D42" s="42">
        <f>TRUNC(10021,-1)</f>
        <v>10020</v>
      </c>
      <c r="E42" s="63">
        <f t="shared" si="1"/>
        <v>33120</v>
      </c>
    </row>
    <row r="43" spans="1:7" x14ac:dyDescent="0.3">
      <c r="A43" s="2">
        <v>4</v>
      </c>
      <c r="C43" s="38" t="s">
        <v>16</v>
      </c>
      <c r="D43" s="42">
        <f>TRUNC(11942,-1)</f>
        <v>11940</v>
      </c>
      <c r="E43" s="63">
        <f t="shared" si="1"/>
        <v>39470</v>
      </c>
    </row>
    <row r="44" spans="1:7" x14ac:dyDescent="0.3">
      <c r="A44" s="2">
        <v>5</v>
      </c>
      <c r="C44" s="38" t="s">
        <v>17</v>
      </c>
      <c r="D44" s="42">
        <f>TRUNC(21303,-1)</f>
        <v>21300</v>
      </c>
      <c r="E44" s="63">
        <f t="shared" si="1"/>
        <v>70410</v>
      </c>
    </row>
    <row r="45" spans="1:7" x14ac:dyDescent="0.3">
      <c r="A45" s="2">
        <v>6</v>
      </c>
      <c r="C45" s="38" t="s">
        <v>18</v>
      </c>
      <c r="D45" s="42">
        <f>TRUNC(10149,-1)</f>
        <v>10140</v>
      </c>
      <c r="E45" s="63">
        <f t="shared" si="1"/>
        <v>33520</v>
      </c>
    </row>
    <row r="46" spans="1:7" x14ac:dyDescent="0.3">
      <c r="A46" s="2">
        <v>7</v>
      </c>
      <c r="C46" s="38" t="s">
        <v>19</v>
      </c>
      <c r="D46" s="42">
        <f>TRUNC(92616,-1)</f>
        <v>92610</v>
      </c>
      <c r="E46" s="63">
        <f t="shared" si="1"/>
        <v>306150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TRUNC(43316,-1)</f>
        <v>43310</v>
      </c>
      <c r="E48" s="63">
        <f t="shared" si="1"/>
        <v>143170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TRUNC(10129,-1)</f>
        <v>10120</v>
      </c>
      <c r="E49" s="63">
        <f t="shared" si="1"/>
        <v>33450</v>
      </c>
    </row>
    <row r="50" spans="1:7" x14ac:dyDescent="0.3">
      <c r="A50" s="2">
        <v>11</v>
      </c>
      <c r="C50" s="38" t="s">
        <v>155</v>
      </c>
      <c r="D50" s="42">
        <f>TRUNC(51034,-1)</f>
        <v>51030</v>
      </c>
      <c r="E50" s="63">
        <f t="shared" si="1"/>
        <v>168690</v>
      </c>
      <c r="F50" s="2" t="s">
        <v>258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TRUNC(8258,-1)</f>
        <v>8250</v>
      </c>
      <c r="E52" s="63">
        <f t="shared" si="1"/>
        <v>27270</v>
      </c>
    </row>
    <row r="53" spans="1:7" x14ac:dyDescent="0.3">
      <c r="A53" s="2">
        <v>14</v>
      </c>
      <c r="C53" s="38" t="s">
        <v>25</v>
      </c>
      <c r="D53" s="42">
        <f>TRUNC(166938,-1)</f>
        <v>166930</v>
      </c>
      <c r="E53" s="63">
        <f t="shared" si="1"/>
        <v>551830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TRUNC(19232+1018+9053-578+45754,-1)</f>
        <v>74470</v>
      </c>
      <c r="E58" s="63">
        <f t="shared" si="1"/>
        <v>246180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TRUNC(440492,-1)</f>
        <v>440490</v>
      </c>
      <c r="E59" s="64">
        <f t="shared" si="1"/>
        <v>1456170</v>
      </c>
    </row>
    <row r="60" spans="1:7" x14ac:dyDescent="0.3">
      <c r="A60" s="2">
        <v>21</v>
      </c>
      <c r="C60" s="27" t="s">
        <v>112</v>
      </c>
      <c r="D60" s="39">
        <f>SUM(D40:D59)</f>
        <v>1155490</v>
      </c>
      <c r="E60" s="39">
        <f>SUM(E40:E59)</f>
        <v>3819770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TRUNC(9944,-1)</f>
        <v>9940</v>
      </c>
      <c r="E63" s="62">
        <f>TRUNC(+D63*3.3058,-1)</f>
        <v>32850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9940</v>
      </c>
      <c r="E66" s="65">
        <f>SUM(E63:E65)</f>
        <v>32850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TRUNC(12547,-1)</f>
        <v>12540</v>
      </c>
      <c r="E69" s="62">
        <f t="shared" ref="E69:E94" si="2">TRUNC(+D69*3.3058,-1)</f>
        <v>41450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TRUNC(1785,-1)</f>
        <v>1780</v>
      </c>
      <c r="E72" s="63">
        <f t="shared" si="2"/>
        <v>5880</v>
      </c>
    </row>
    <row r="73" spans="1:7" x14ac:dyDescent="0.3">
      <c r="A73" s="2">
        <v>5</v>
      </c>
      <c r="C73" s="38" t="s">
        <v>34</v>
      </c>
      <c r="D73" s="42">
        <f>TRUNC(21602,-1)</f>
        <v>21600</v>
      </c>
      <c r="E73" s="63">
        <f t="shared" si="2"/>
        <v>71400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TRUNC(5559,-1)</f>
        <v>5550</v>
      </c>
      <c r="E89" s="63">
        <f t="shared" si="2"/>
        <v>18340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TRUNC(2625,-1)</f>
        <v>2620</v>
      </c>
      <c r="E91" s="63">
        <f t="shared" si="2"/>
        <v>8660</v>
      </c>
    </row>
    <row r="92" spans="1:7" x14ac:dyDescent="0.3">
      <c r="A92" s="2">
        <v>24</v>
      </c>
      <c r="C92" s="38" t="s">
        <v>38</v>
      </c>
      <c r="D92" s="42">
        <f>TRUNC(8386,-1)</f>
        <v>8380</v>
      </c>
      <c r="E92" s="63">
        <f t="shared" si="2"/>
        <v>27700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52470</v>
      </c>
      <c r="E95" s="39">
        <f>SUM(E69:E94)</f>
        <v>173430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TRUNC(6376,-1)</f>
        <v>6370</v>
      </c>
      <c r="E98" s="62">
        <f t="shared" ref="E98:E118" si="3">TRUNC(+D98*3.3058,-1)</f>
        <v>21050</v>
      </c>
    </row>
    <row r="99" spans="1:7" x14ac:dyDescent="0.3">
      <c r="A99" s="2">
        <v>2</v>
      </c>
      <c r="C99" s="38" t="s">
        <v>40</v>
      </c>
      <c r="D99" s="42">
        <f>TRUNC(12294,-1)</f>
        <v>12290</v>
      </c>
      <c r="E99" s="63">
        <f t="shared" si="3"/>
        <v>40620</v>
      </c>
    </row>
    <row r="100" spans="1:7" x14ac:dyDescent="0.3">
      <c r="A100" s="2">
        <v>3</v>
      </c>
      <c r="C100" s="38" t="s">
        <v>41</v>
      </c>
      <c r="D100" s="42">
        <f>TRUNC(39408,-1)</f>
        <v>39400</v>
      </c>
      <c r="E100" s="63">
        <f t="shared" si="3"/>
        <v>130240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TRUNC(25228,-1)</f>
        <v>25220</v>
      </c>
      <c r="E102" s="63">
        <f t="shared" si="3"/>
        <v>83370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TRUNC(7042,-1)</f>
        <v>7040</v>
      </c>
      <c r="E104" s="63">
        <f t="shared" si="3"/>
        <v>23270</v>
      </c>
    </row>
    <row r="105" spans="1:7" x14ac:dyDescent="0.3">
      <c r="A105" s="2">
        <v>8</v>
      </c>
      <c r="C105" s="38" t="s">
        <v>46</v>
      </c>
      <c r="D105" s="42">
        <f>TRUNC(2215,-1)</f>
        <v>2210</v>
      </c>
      <c r="E105" s="63">
        <f t="shared" si="3"/>
        <v>7300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TRUNC(8873,-1)</f>
        <v>8870</v>
      </c>
      <c r="E114" s="63">
        <f t="shared" si="3"/>
        <v>29320</v>
      </c>
    </row>
    <row r="115" spans="1:7" x14ac:dyDescent="0.3">
      <c r="A115" s="2">
        <v>18</v>
      </c>
      <c r="C115" s="38" t="s">
        <v>116</v>
      </c>
      <c r="D115" s="42">
        <f>TRUNC(6415,-1)</f>
        <v>6410</v>
      </c>
      <c r="E115" s="63">
        <f t="shared" si="3"/>
        <v>21190</v>
      </c>
      <c r="F115" s="2" t="s">
        <v>254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TRUNC(130637,-1)</f>
        <v>130630</v>
      </c>
      <c r="E117" s="63">
        <f t="shared" si="3"/>
        <v>431830</v>
      </c>
    </row>
    <row r="118" spans="1:7" ht="17.25" thickBot="1" x14ac:dyDescent="0.35">
      <c r="A118" s="2">
        <v>21</v>
      </c>
      <c r="C118" s="38" t="s">
        <v>47</v>
      </c>
      <c r="D118" s="43">
        <f>TRUNC(246,-1)</f>
        <v>240</v>
      </c>
      <c r="E118" s="64">
        <f t="shared" si="3"/>
        <v>790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238680</v>
      </c>
      <c r="E119" s="39">
        <f>SUM(E98:E118)</f>
        <v>788980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TRUNC(5350,-1)</f>
        <v>5350</v>
      </c>
      <c r="E122" s="62">
        <f t="shared" ref="E122:E132" si="4">TRUNC(+D122*3.3058,-1)</f>
        <v>17680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TRUNC(1914,-1)</f>
        <v>1910</v>
      </c>
      <c r="E124" s="63">
        <f t="shared" si="4"/>
        <v>6310</v>
      </c>
    </row>
    <row r="125" spans="1:7" x14ac:dyDescent="0.3">
      <c r="A125" s="2">
        <v>4</v>
      </c>
      <c r="C125" s="38" t="s">
        <v>138</v>
      </c>
      <c r="D125" s="42">
        <f>TRUNC(8462,-1)</f>
        <v>8460</v>
      </c>
      <c r="E125" s="63">
        <f t="shared" si="4"/>
        <v>27960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TRUNC(2713,-1)</f>
        <v>2710</v>
      </c>
      <c r="E128" s="63">
        <f t="shared" si="4"/>
        <v>8950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TRUNC(35532,-1)</f>
        <v>35530</v>
      </c>
      <c r="E130" s="63">
        <f t="shared" si="4"/>
        <v>117450</v>
      </c>
    </row>
    <row r="131" spans="1:7" x14ac:dyDescent="0.3">
      <c r="A131" s="2">
        <v>10</v>
      </c>
      <c r="C131" s="38" t="s">
        <v>148</v>
      </c>
      <c r="D131" s="42">
        <f>TRUNC(24205,-1)</f>
        <v>24200</v>
      </c>
      <c r="E131" s="63">
        <f t="shared" si="4"/>
        <v>80000</v>
      </c>
    </row>
    <row r="132" spans="1:7" ht="18" thickBot="1" x14ac:dyDescent="0.35">
      <c r="A132" s="2">
        <v>11</v>
      </c>
      <c r="C132" s="38" t="s">
        <v>47</v>
      </c>
      <c r="D132" s="43">
        <f>TRUNC(9370+252,-1)</f>
        <v>9620</v>
      </c>
      <c r="E132" s="64">
        <f t="shared" si="4"/>
        <v>31800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87780</v>
      </c>
      <c r="E133" s="39">
        <f>SUM(E122:E132)</f>
        <v>290150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TRUNC(3774,-1)</f>
        <v>3770</v>
      </c>
      <c r="E137" s="63">
        <f t="shared" si="5"/>
        <v>12460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TRUNC(2414,-1)</f>
        <v>2410</v>
      </c>
      <c r="E139" s="63">
        <f t="shared" si="5"/>
        <v>7960</v>
      </c>
    </row>
    <row r="140" spans="1:7" x14ac:dyDescent="0.3">
      <c r="A140" s="2">
        <v>5</v>
      </c>
      <c r="C140" s="38" t="s">
        <v>57</v>
      </c>
      <c r="D140" s="42">
        <f>TRUNC(3018,-1)</f>
        <v>3010</v>
      </c>
      <c r="E140" s="63">
        <f t="shared" si="5"/>
        <v>9950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TRUNC(2309,-1)</f>
        <v>2300</v>
      </c>
      <c r="E142" s="63">
        <f t="shared" si="5"/>
        <v>7600</v>
      </c>
    </row>
    <row r="143" spans="1:7" x14ac:dyDescent="0.3">
      <c r="A143" s="2">
        <v>8</v>
      </c>
      <c r="C143" s="38" t="s">
        <v>62</v>
      </c>
      <c r="D143" s="42">
        <f>TRUNC(11294,-1)</f>
        <v>11290</v>
      </c>
      <c r="E143" s="63">
        <f t="shared" si="5"/>
        <v>37320</v>
      </c>
    </row>
    <row r="144" spans="1:7" x14ac:dyDescent="0.3">
      <c r="A144" s="2">
        <v>9</v>
      </c>
      <c r="C144" s="38" t="s">
        <v>63</v>
      </c>
      <c r="D144" s="42">
        <f>TRUNC(18281,-1)</f>
        <v>18280</v>
      </c>
      <c r="E144" s="63">
        <f t="shared" si="5"/>
        <v>60430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41060</v>
      </c>
      <c r="E146" s="39">
        <f>SUM(E136:E145)</f>
        <v>135720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TRUNC(9833+2639,-1)</f>
        <v>12470</v>
      </c>
      <c r="E149" s="62">
        <f>TRUNC(+D149*3.3058,-1)</f>
        <v>41220</v>
      </c>
    </row>
    <row r="150" spans="1:7" x14ac:dyDescent="0.3">
      <c r="A150" s="2">
        <v>2</v>
      </c>
      <c r="C150" s="38" t="s">
        <v>49</v>
      </c>
      <c r="D150" s="42">
        <f>TRUNC(25342,-1)</f>
        <v>25340</v>
      </c>
      <c r="E150" s="63">
        <f>TRUNC(+D150*3.3058,-1)</f>
        <v>83760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TRUNC(1319+16842,-1)</f>
        <v>18160</v>
      </c>
      <c r="E152" s="63">
        <f>TRUNC(+D152*3.3058,-1)</f>
        <v>60030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55970</v>
      </c>
      <c r="E154" s="39">
        <f>SUM(E149:E153)</f>
        <v>185010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2020-12-08T01:20:22Z</dcterms:modified>
</cp:coreProperties>
</file>