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5" i="4"/>
  <c r="D144" i="4"/>
  <c r="D143" i="4"/>
  <c r="D142" i="4"/>
  <c r="D141" i="4"/>
  <c r="D140" i="4"/>
  <c r="D138" i="4"/>
  <c r="D137" i="4"/>
  <c r="D131" i="4"/>
  <c r="D130" i="4"/>
  <c r="D128" i="4"/>
  <c r="D125" i="4"/>
  <c r="D122" i="4"/>
  <c r="D117" i="4"/>
  <c r="D118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2" i="4"/>
  <c r="D91" i="4"/>
  <c r="D89" i="4"/>
  <c r="D75" i="4"/>
  <c r="D72" i="4"/>
  <c r="D71" i="4"/>
  <c r="D69" i="4"/>
  <c r="D65" i="4"/>
  <c r="D63" i="4"/>
  <c r="D59" i="4"/>
  <c r="D58" i="4"/>
  <c r="D53" i="4"/>
  <c r="D50" i="4"/>
  <c r="D49" i="4"/>
  <c r="D48" i="4"/>
  <c r="D46" i="4"/>
  <c r="D45" i="4"/>
  <c r="D44" i="4"/>
  <c r="D43" i="4"/>
  <c r="D41" i="4"/>
  <c r="D13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<sst xmlns="http://schemas.openxmlformats.org/spreadsheetml/2006/main" count="393" uniqueCount="268">
  <si>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</si>
  <si>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</si>
  <si>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</si>
  <si>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</si>
  <si>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</si>
  <si>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</si>
  <si>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</si>
  <si>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</si>
  <si>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</si>
  <si>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</si>
  <si>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</si>
  <si>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</si>
  <si>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</si>
  <si>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</si>
  <si>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</si>
  <si>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</si>
  <si>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</si>
  <si>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</si>
  <si>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</si>
  <si>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</si>
  <si>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</si>
  <si>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</si>
  <si>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</si>
  <si>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</si>
  <si>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</si>
  <si>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</si>
  <si>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</si>
  <si>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</si>
  <si>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</si>
  <si>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</si>
  <si>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</si>
  <si>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</si>
  <si>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</si>
  <si>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</si>
  <si>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</si>
  <si>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</si>
  <si>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</si>
  <si>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</si>
  <si>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</si>
  <si>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</si>
  <si>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</si>
  <si>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</si>
  <si>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</si>
  <si>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</si>
  <si>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</si>
  <si>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</si>
  <si>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</si>
  <si>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</si>
  <si>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</si>
  <si>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</si>
  <si>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</si>
  <si>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</si>
  <si>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</si>
  <si>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</si>
  <si>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</si>
  <si>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</si>
  <si>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</si>
  <si>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</si>
  <si>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</si>
  <si>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</si>
  <si>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</si>
  <si>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</si>
  <si>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</si>
  <si>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</si>
  <si>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</si>
  <si>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</si>
  <si>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</si>
  <si>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</si>
  <si>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</si>
  <si>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</si>
  <si>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</si>
  <si>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</si>
  <si>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</si>
  <si>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</si>
  <si>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</si>
  <si>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</si>
  <si>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</si>
  <si>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</si>
  <si>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</si>
  <si>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</si>
  <si>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</si>
  <si>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</si>
  <si>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</si>
  <si>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</si>
  <si>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</si>
  <si>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</si>
  <si>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</si>
  <si>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</si>
  <si>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</si>
  <si>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</si>
  <si>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</si>
  <si>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</si>
  <si>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</si>
  <si>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</si>
  <si>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</si>
  <si>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</si>
  <si>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</si>
  <si>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</si>
  <si>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</si>
  <si>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</si>
  <si>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</si>
  <si>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</si>
  <si>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</si>
  <si>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</si>
  <si>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</si>
  <si>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</si>
  <si>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</si>
  <si>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</si>
  <si>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</si>
  <si>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</si>
  <si>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</si>
  <si>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</si>
  <si>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</si>
  <si>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</si>
  <si>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</si>
  <si>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</si>
  <si>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</si>
  <si>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</si>
  <si>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</si>
  <si>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</si>
  <si>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</si>
  <si>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</si>
  <si>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</si>
  <si>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</si>
  <si>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</si>
  <si>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</si>
  <si>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</si>
  <si>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</si>
  <si>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</si>
  <si>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</si>
  <si>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</si>
  <si>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</si>
  <si>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</si>
  <si>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</si>
  <si>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</si>
  <si>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</si>
  <si>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</si>
  <si>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</si>
  <si>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</si>
  <si>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</si>
  <si>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</si>
  <si>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</si>
  <si>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</si>
  <si>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</si>
  <si>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</si>
  <si>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</si>
  <si>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</si>
  <si>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</si>
  <si>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</si>
  <si>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</si>
  <si>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</si>
  <si>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</si>
  <si>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</si>
  <si>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</si>
  <si>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</si>
  <si>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</si>
  <si>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</si>
  <si>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</si>
  <si>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</si>
  <si>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</si>
  <si>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</si>
  <si>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</si>
  <si>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</si>
  <si>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</si>
  <si>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</si>
  <si>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</si>
  <si>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</si>
  <si>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</si>
  <si>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</si>
  <si>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</si>
  <si>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</si>
  <si>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</si>
  <si>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</si>
  <si>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</si>
  <si>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</si>
  <si>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</si>
  <si>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</si>
  <si>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</si>
  <si>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</si>
  <si>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</si>
  <si>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</si>
  <si>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</si>
  <si>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</si>
  <si>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</si>
  <si>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</si>
  <si>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</si>
  <si>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</si>
  <si>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</si>
  <si>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</si>
  <si>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</si>
  <si>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</si>
  <si>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</si>
  <si>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</si>
  <si>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</si>
  <si>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</si>
  <si>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</si>
  <si>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</si>
  <si>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</si>
  <si>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</si>
  <si>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</si>
  <si>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</si>
  <si>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</si>
  <si>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</si>
  <si>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</si>
  <si>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</si>
  <si>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</si>
  <si>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</si>
  <si>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</si>
  <si>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</si>
  <si>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</si>
  <si>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</si>
  <si>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</si>
  <si>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</si>
  <si>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</si>
  <si>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</si>
  <si>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</si>
  <si>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</si>
  <si>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</si>
  <si>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</si>
  <si>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</si>
  <si>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</si>
  <si>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</si>
  <si>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</si>
  <si>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</si>
  <si>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</si>
  <si>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</si>
  <si>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</si>
  <si>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</si>
  <si>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</si>
  <si>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</si>
  <si>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</si>
  <si>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</si>
  <si>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</si>
  <si>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</si>
  <si>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</si>
  <si>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</si>
  <si>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</si>
  <si>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</si>
  <si>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</si>
  <si>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</si>
  <si>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</si>
  <si>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</si>
  <si>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</si>
  <si>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</si>
  <si>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</si>
  <si>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</si>
  <si>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</si>
  <si>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</si>
  <si>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</si>
  <si>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</si>
  <si>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</si>
  <si>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</si>
  <si>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</si>
  <si>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</si>
  <si>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2-2생활권 복합커뮤니티센터 신축공사</t>
    <phoneticPr fontId="2" type="noConversion"/>
  </si>
  <si>
    <t>세종시</t>
  </si>
  <si>
    <t>골재비및운반비, 작업부산물, 품질시험비, 기타공사</t>
    <phoneticPr fontId="2" type="noConversion"/>
  </si>
  <si>
    <t>공조배관공사, 난방배관공사, 기타공사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</si>
  <si>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</si>
  <si>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</si>
  <si>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옥외소화배관공사, 펌프실배관공사, 제연덕트설치공사, 기타공사</t>
    <phoneticPr fontId="2" type="noConversion"/>
  </si>
  <si>
    <t>상수도공사, 운반비,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</si>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</sst>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14100.27</v>
      </c>
      <c r="D7" s="36">
        <f>+C7/3.3058</f>
        <v>4265.3124810938352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819660</v>
      </c>
      <c r="E25" s="59">
        <f t="shared" si="0"/>
        <v>2709630</v>
      </c>
    </row>
    <row r="26" spans="1:5" x14ac:dyDescent="0.3">
      <c r="B26" s="2">
        <v>3</v>
      </c>
      <c r="C26" s="35" t="s">
        <v>95</v>
      </c>
      <c r="D26" s="45">
        <f>+D66</f>
        <v>81470</v>
      </c>
      <c r="E26" s="59">
        <f t="shared" si="0"/>
        <v>269320</v>
      </c>
    </row>
    <row r="27" spans="1:5" x14ac:dyDescent="0.3">
      <c r="B27" s="2">
        <v>4</v>
      </c>
      <c r="C27" s="35" t="s">
        <v>96</v>
      </c>
      <c r="D27" s="45">
        <f>+D95</f>
        <v>295920</v>
      </c>
      <c r="E27" s="59">
        <f t="shared" si="0"/>
        <v>978250</v>
      </c>
    </row>
    <row r="28" spans="1:5" x14ac:dyDescent="0.3">
      <c r="B28" s="2">
        <v>5</v>
      </c>
      <c r="C28" s="35" t="s">
        <v>97</v>
      </c>
      <c r="D28" s="45">
        <f>+D119</f>
        <v>176190</v>
      </c>
      <c r="E28" s="59">
        <f t="shared" si="0"/>
        <v>582440</v>
      </c>
    </row>
    <row r="29" spans="1:5" x14ac:dyDescent="0.3">
      <c r="B29" s="2">
        <v>6</v>
      </c>
      <c r="C29" s="35" t="s">
        <v>98</v>
      </c>
      <c r="D29" s="45">
        <f>+D133</f>
        <v>101620</v>
      </c>
      <c r="E29" s="59">
        <f t="shared" si="0"/>
        <v>335930</v>
      </c>
    </row>
    <row r="30" spans="1:5" x14ac:dyDescent="0.3">
      <c r="B30" s="2">
        <v>7</v>
      </c>
      <c r="C30" s="35" t="s">
        <v>99</v>
      </c>
      <c r="D30" s="45">
        <f>+D146</f>
        <v>68620</v>
      </c>
      <c r="E30" s="59">
        <f t="shared" si="0"/>
        <v>226840</v>
      </c>
    </row>
    <row r="31" spans="1:5" x14ac:dyDescent="0.3">
      <c r="B31" s="2">
        <v>8</v>
      </c>
      <c r="C31" s="35" t="s">
        <v>100</v>
      </c>
      <c r="D31" s="45">
        <f>+D154</f>
        <v>19720</v>
      </c>
      <c r="E31" s="59">
        <f t="shared" si="0"/>
        <v>65190</v>
      </c>
    </row>
    <row r="32" spans="1:5" x14ac:dyDescent="0.3">
      <c r="B32" s="2">
        <v>9</v>
      </c>
      <c r="C32" s="35" t="s">
        <v>101</v>
      </c>
      <c r="D32" s="45">
        <f>+D161</f>
        <v>55980</v>
      </c>
      <c r="E32" s="59">
        <f t="shared" si="0"/>
        <v>185050</v>
      </c>
    </row>
    <row r="33" spans="1:7" x14ac:dyDescent="0.3">
      <c r="B33" s="2">
        <v>10</v>
      </c>
      <c r="C33" s="35" t="s">
        <v>154</v>
      </c>
      <c r="D33" s="53">
        <f>TRUNC(SUM(D24:D32)*0.275,-1)</f>
        <v>445270</v>
      </c>
      <c r="E33" s="60">
        <f t="shared" si="0"/>
        <v>1471970</v>
      </c>
    </row>
    <row r="34" spans="1:7" x14ac:dyDescent="0.3">
      <c r="C34" s="35" t="s">
        <v>112</v>
      </c>
      <c r="D34" s="44">
        <f>SUM(D24:D33)</f>
        <v>2064450</v>
      </c>
      <c r="E34" s="44">
        <f>SUM(E24:E33)</f>
        <v>6824620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v>42510</v>
      </c>
      <c r="E40" s="62">
        <f t="shared" ref="E40:E59" si="1">TRUNC(+D40*3.3058,-1)</f>
        <v>140520</v>
      </c>
    </row>
    <row r="41" spans="1:7" x14ac:dyDescent="0.3">
      <c r="A41" s="2">
        <v>2</v>
      </c>
      <c r="C41" s="38" t="s">
        <v>13</v>
      </c>
      <c r="D41" s="42">
        <f>TRUNC(129605,-1)</f>
        <v>129600</v>
      </c>
      <c r="E41" s="63">
        <f t="shared" si="1"/>
        <v>428430</v>
      </c>
    </row>
    <row r="42" spans="1:7" x14ac:dyDescent="0.3">
      <c r="A42" s="2">
        <v>3</v>
      </c>
      <c r="C42" s="38" t="s">
        <v>14</v>
      </c>
      <c r="D42" s="42">
        <v>17130</v>
      </c>
      <c r="E42" s="63">
        <f t="shared" si="1"/>
        <v>56620</v>
      </c>
    </row>
    <row r="43" spans="1:7" x14ac:dyDescent="0.3">
      <c r="A43" s="2">
        <v>4</v>
      </c>
      <c r="C43" s="38" t="s">
        <v>16</v>
      </c>
      <c r="D43" s="42">
        <f>TRUNC(11865,-1)</f>
        <v>11860</v>
      </c>
      <c r="E43" s="63">
        <f t="shared" si="1"/>
        <v>39200</v>
      </c>
    </row>
    <row r="44" spans="1:7" x14ac:dyDescent="0.3">
      <c r="A44" s="2">
        <v>5</v>
      </c>
      <c r="C44" s="38" t="s">
        <v>17</v>
      </c>
      <c r="D44" s="42">
        <f>TRUNC(33961,-1)</f>
        <v>33960</v>
      </c>
      <c r="E44" s="63">
        <f t="shared" si="1"/>
        <v>112260</v>
      </c>
    </row>
    <row r="45" spans="1:7" x14ac:dyDescent="0.3">
      <c r="A45" s="2">
        <v>6</v>
      </c>
      <c r="C45" s="38" t="s">
        <v>18</v>
      </c>
      <c r="D45" s="42">
        <f>TRUNC(37292,-1)</f>
        <v>37290</v>
      </c>
      <c r="E45" s="63">
        <f t="shared" si="1"/>
        <v>123270</v>
      </c>
    </row>
    <row r="46" spans="1:7" x14ac:dyDescent="0.3">
      <c r="A46" s="2">
        <v>7</v>
      </c>
      <c r="C46" s="38" t="s">
        <v>19</v>
      </c>
      <c r="D46" s="42">
        <f>TRUNC(20885,-1)</f>
        <v>20880</v>
      </c>
      <c r="E46" s="63">
        <f t="shared" si="1"/>
        <v>69020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TRUNC(112708,-1)</f>
        <v>112700</v>
      </c>
      <c r="E48" s="63">
        <f t="shared" si="1"/>
        <v>372560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TRUNC(11816,-1)</f>
        <v>11810</v>
      </c>
      <c r="E49" s="63">
        <f t="shared" si="1"/>
        <v>39040</v>
      </c>
    </row>
    <row r="50" spans="1:7" x14ac:dyDescent="0.3">
      <c r="A50" s="2">
        <v>11</v>
      </c>
      <c r="C50" s="38" t="s">
        <v>155</v>
      </c>
      <c r="D50" s="42">
        <f>TRUNC(67941,-1)</f>
        <v>67940</v>
      </c>
      <c r="E50" s="63">
        <f t="shared" si="1"/>
        <v>224590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18000</v>
      </c>
      <c r="E52" s="63">
        <f t="shared" si="1"/>
        <v>59500</v>
      </c>
    </row>
    <row r="53" spans="1:7" x14ac:dyDescent="0.3">
      <c r="A53" s="2">
        <v>14</v>
      </c>
      <c r="C53" s="38" t="s">
        <v>25</v>
      </c>
      <c r="D53" s="42">
        <f>TRUNC(60733,-1)</f>
        <v>60730</v>
      </c>
      <c r="E53" s="63">
        <f t="shared" si="1"/>
        <v>200760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TRUNC(2894-327+622+19972,-1)</f>
        <v>23160</v>
      </c>
      <c r="E58" s="63">
        <f t="shared" si="1"/>
        <v>76560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TRUNC(232094,-1)</f>
        <v>232090</v>
      </c>
      <c r="E59" s="64">
        <f t="shared" si="1"/>
        <v>767240</v>
      </c>
    </row>
    <row r="60" spans="1:7" x14ac:dyDescent="0.3">
      <c r="A60" s="2">
        <v>21</v>
      </c>
      <c r="C60" s="27" t="s">
        <v>112</v>
      </c>
      <c r="D60" s="39">
        <f>SUM(D40:D59)</f>
        <v>819660</v>
      </c>
      <c r="E60" s="39">
        <f>SUM(E40:E59)</f>
        <v>2709570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TRUNC(33349,-1)</f>
        <v>33340</v>
      </c>
      <c r="E63" s="62">
        <f>TRUNC(+D63*3.3058,-1)</f>
        <v>110210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TRUNC(48137,-1)</f>
        <v>48130</v>
      </c>
      <c r="E65" s="64">
        <f>TRUNC(+D65*3.3058,-1)</f>
        <v>159100</v>
      </c>
    </row>
    <row r="66" spans="1:7" x14ac:dyDescent="0.3">
      <c r="A66" s="2">
        <v>4</v>
      </c>
      <c r="C66" s="27" t="s">
        <v>112</v>
      </c>
      <c r="D66" s="39">
        <f>SUM(D63:D65)</f>
        <v>81470</v>
      </c>
      <c r="E66" s="65">
        <f>SUM(E63:E65)</f>
        <v>269310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TRUNC(11551,-1)</f>
        <v>11550</v>
      </c>
      <c r="E69" s="62">
        <f t="shared" ref="E69:E94" si="2">TRUNC(+D69*3.3058,-1)</f>
        <v>38180</v>
      </c>
    </row>
    <row r="70" spans="1:7" ht="16.5" customHeight="1" x14ac:dyDescent="0.3">
      <c r="A70" s="2">
        <v>2</v>
      </c>
      <c r="C70" s="38" t="s">
        <v>31</v>
      </c>
      <c r="D70" s="42">
        <v>870</v>
      </c>
      <c r="E70" s="63">
        <f t="shared" si="2"/>
        <v>2870</v>
      </c>
    </row>
    <row r="71" spans="1:7" x14ac:dyDescent="0.3">
      <c r="A71" s="2">
        <v>3</v>
      </c>
      <c r="C71" s="38" t="s">
        <v>32</v>
      </c>
      <c r="D71" s="42">
        <f>TRUNC(17839,-1)</f>
        <v>17830</v>
      </c>
      <c r="E71" s="63">
        <f t="shared" si="2"/>
        <v>58940</v>
      </c>
    </row>
    <row r="72" spans="1:7" x14ac:dyDescent="0.3">
      <c r="A72" s="2">
        <v>4</v>
      </c>
      <c r="C72" s="38" t="s">
        <v>33</v>
      </c>
      <c r="D72" s="42">
        <f>TRUNC(488,-1)</f>
        <v>480</v>
      </c>
      <c r="E72" s="63">
        <f t="shared" si="2"/>
        <v>1580</v>
      </c>
    </row>
    <row r="73" spans="1:7" x14ac:dyDescent="0.3">
      <c r="A73" s="2">
        <v>5</v>
      </c>
      <c r="C73" s="38" t="s">
        <v>34</v>
      </c>
      <c r="D73" s="42">
        <v>6450</v>
      </c>
      <c r="E73" s="63">
        <f t="shared" si="2"/>
        <v>21320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TRUNC(1914,-1)</f>
        <v>1910</v>
      </c>
      <c r="E75" s="63">
        <f t="shared" si="2"/>
        <v>6310</v>
      </c>
    </row>
    <row r="76" spans="1:7" x14ac:dyDescent="0.3">
      <c r="A76" s="2">
        <v>8</v>
      </c>
      <c r="C76" s="38" t="s">
        <v>119</v>
      </c>
      <c r="D76" s="42">
        <v>35780</v>
      </c>
      <c r="E76" s="63">
        <f t="shared" si="2"/>
        <v>118280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TRUNC(14907,-1)</f>
        <v>14900</v>
      </c>
      <c r="E89" s="63">
        <f t="shared" si="2"/>
        <v>49250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TRUNC(9759,-1)</f>
        <v>9750</v>
      </c>
      <c r="E91" s="63">
        <f t="shared" si="2"/>
        <v>32230</v>
      </c>
    </row>
    <row r="92" spans="1:7" x14ac:dyDescent="0.3">
      <c r="A92" s="2">
        <v>24</v>
      </c>
      <c r="C92" s="38" t="s">
        <v>38</v>
      </c>
      <c r="D92" s="42">
        <f>TRUNC(7753,-1)</f>
        <v>7750</v>
      </c>
      <c r="E92" s="63">
        <f t="shared" si="2"/>
        <v>25610</v>
      </c>
    </row>
    <row r="93" spans="1:7" x14ac:dyDescent="0.3">
      <c r="A93" s="2">
        <v>25</v>
      </c>
      <c r="C93" s="38" t="s">
        <v>148</v>
      </c>
      <c r="D93" s="42">
        <f>TRUNC(141936,-1)</f>
        <v>141930</v>
      </c>
      <c r="E93" s="63">
        <f t="shared" si="2"/>
        <v>469190</v>
      </c>
    </row>
    <row r="94" spans="1:7" ht="17.25" thickBot="1" x14ac:dyDescent="0.35">
      <c r="A94" s="2">
        <v>26</v>
      </c>
      <c r="C94" s="38" t="s">
        <v>47</v>
      </c>
      <c r="D94" s="43">
        <f>TRUNC(28558+77+4183+13904,-1)</f>
        <v>46720</v>
      </c>
      <c r="E94" s="64">
        <f t="shared" si="2"/>
        <v>154440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295920</v>
      </c>
      <c r="E95" s="39">
        <f>SUM(E69:E94)</f>
        <v>978200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TRUNC(9911,-1)</f>
        <v>9910</v>
      </c>
      <c r="E98" s="62">
        <f t="shared" ref="E98:E118" si="3">TRUNC(+D98*3.3058,-1)</f>
        <v>32760</v>
      </c>
    </row>
    <row r="99" spans="1:7" x14ac:dyDescent="0.3">
      <c r="A99" s="2">
        <v>2</v>
      </c>
      <c r="C99" s="38" t="s">
        <v>40</v>
      </c>
      <c r="D99" s="42">
        <f>TRUNC(7898,-1)</f>
        <v>7890</v>
      </c>
      <c r="E99" s="63">
        <f t="shared" si="3"/>
        <v>26080</v>
      </c>
    </row>
    <row r="100" spans="1:7" x14ac:dyDescent="0.3">
      <c r="A100" s="2">
        <v>3</v>
      </c>
      <c r="C100" s="38" t="s">
        <v>41</v>
      </c>
      <c r="D100" s="42">
        <f>TRUNC(29109,-1)</f>
        <v>29100</v>
      </c>
      <c r="E100" s="63">
        <f t="shared" si="3"/>
        <v>96190</v>
      </c>
    </row>
    <row r="101" spans="1:7" x14ac:dyDescent="0.3">
      <c r="A101" s="2">
        <v>4</v>
      </c>
      <c r="C101" s="38" t="s">
        <v>42</v>
      </c>
      <c r="D101" s="42">
        <f>TRUNC(3943,-1)</f>
        <v>3940</v>
      </c>
      <c r="E101" s="63">
        <f t="shared" si="3"/>
        <v>13020</v>
      </c>
    </row>
    <row r="102" spans="1:7" x14ac:dyDescent="0.3">
      <c r="A102" s="2">
        <v>5</v>
      </c>
      <c r="C102" s="38" t="s">
        <v>43</v>
      </c>
      <c r="D102" s="42">
        <f>TRUNC(13278,-1)</f>
        <v>13270</v>
      </c>
      <c r="E102" s="63">
        <f t="shared" si="3"/>
        <v>43860</v>
      </c>
    </row>
    <row r="103" spans="1:7" x14ac:dyDescent="0.3">
      <c r="A103" s="2">
        <v>6</v>
      </c>
      <c r="C103" s="38" t="s">
        <v>44</v>
      </c>
      <c r="D103" s="42">
        <f>TRUNC(5392,-1)</f>
        <v>5390</v>
      </c>
      <c r="E103" s="63">
        <f t="shared" si="3"/>
        <v>17810</v>
      </c>
    </row>
    <row r="104" spans="1:7" x14ac:dyDescent="0.3">
      <c r="A104" s="2">
        <v>7</v>
      </c>
      <c r="C104" s="38" t="s">
        <v>45</v>
      </c>
      <c r="D104" s="42">
        <f>TRUNC(4156,-1)</f>
        <v>4150</v>
      </c>
      <c r="E104" s="63">
        <f t="shared" si="3"/>
        <v>13710</v>
      </c>
    </row>
    <row r="105" spans="1:7" x14ac:dyDescent="0.3">
      <c r="A105" s="2">
        <v>8</v>
      </c>
      <c r="C105" s="38" t="s">
        <v>46</v>
      </c>
      <c r="D105" s="42">
        <f>TRUNC(3214,-1)</f>
        <v>3210</v>
      </c>
      <c r="E105" s="63">
        <f t="shared" si="3"/>
        <v>10610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TRUNC(3452,-1)</f>
        <v>3450</v>
      </c>
      <c r="E114" s="63">
        <f t="shared" si="3"/>
        <v>11400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TRUNC(6407,-1)</f>
        <v>6400</v>
      </c>
      <c r="E116" s="63">
        <f t="shared" si="3"/>
        <v>21150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TRUNC(87612,-1)</f>
        <v>87610</v>
      </c>
      <c r="E117" s="63">
        <f t="shared" si="3"/>
        <v>289620</v>
      </c>
    </row>
    <row r="118" spans="1:7" ht="17.25" thickBot="1" x14ac:dyDescent="0.35">
      <c r="A118" s="2">
        <v>21</v>
      </c>
      <c r="C118" s="38" t="s">
        <v>47</v>
      </c>
      <c r="D118" s="43">
        <f>TRUNC(1337+536,-1)</f>
        <v>1870</v>
      </c>
      <c r="E118" s="64">
        <f t="shared" si="3"/>
        <v>6180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176190</v>
      </c>
      <c r="E119" s="39">
        <f>SUM(E98:E118)</f>
        <v>582390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TRUNC(3673,-1)</f>
        <v>3670</v>
      </c>
      <c r="E122" s="62">
        <f t="shared" ref="E122:E132" si="4">TRUNC(+D122*3.3058,-1)</f>
        <v>12130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2880</v>
      </c>
      <c r="E124" s="63">
        <f t="shared" si="4"/>
        <v>9520</v>
      </c>
    </row>
    <row r="125" spans="1:7" x14ac:dyDescent="0.3">
      <c r="A125" s="2">
        <v>4</v>
      </c>
      <c r="C125" s="38" t="s">
        <v>138</v>
      </c>
      <c r="D125" s="42">
        <f>TRUNC(5538,-1)</f>
        <v>5530</v>
      </c>
      <c r="E125" s="63">
        <f t="shared" si="4"/>
        <v>18280</v>
      </c>
    </row>
    <row r="126" spans="1:7" x14ac:dyDescent="0.3">
      <c r="A126" s="2">
        <v>5</v>
      </c>
      <c r="C126" s="38" t="s">
        <v>53</v>
      </c>
      <c r="D126" s="42">
        <v>1050</v>
      </c>
      <c r="E126" s="63">
        <f t="shared" si="4"/>
        <v>3470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TRUNC(1739,-1)</f>
        <v>1730</v>
      </c>
      <c r="E128" s="63">
        <f t="shared" si="4"/>
        <v>5710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TRUNC(17506,-1)</f>
        <v>17500</v>
      </c>
      <c r="E130" s="63">
        <f t="shared" si="4"/>
        <v>57850</v>
      </c>
    </row>
    <row r="131" spans="1:7" x14ac:dyDescent="0.3">
      <c r="A131" s="2">
        <v>10</v>
      </c>
      <c r="C131" s="38" t="s">
        <v>148</v>
      </c>
      <c r="D131" s="42">
        <f>TRUNC(64501,-1)</f>
        <v>64500</v>
      </c>
      <c r="E131" s="63">
        <f t="shared" si="4"/>
        <v>213220</v>
      </c>
    </row>
    <row r="132" spans="1:7" ht="18" thickBot="1" x14ac:dyDescent="0.35">
      <c r="A132" s="2">
        <v>11</v>
      </c>
      <c r="C132" s="38" t="s">
        <v>47</v>
      </c>
      <c r="D132" s="43">
        <f>4169+467+124</f>
        <v>4760</v>
      </c>
      <c r="E132" s="64">
        <f t="shared" si="4"/>
        <v>15730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101620</v>
      </c>
      <c r="E133" s="39">
        <f>SUM(E122:E132)</f>
        <v>335910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TRUNC(84+1757+8440+2949+668,-1)</f>
        <v>13890</v>
      </c>
      <c r="E137" s="63">
        <f t="shared" si="5"/>
        <v>45910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TRUNC(1112,-1)</f>
        <v>1110</v>
      </c>
      <c r="E138" s="63">
        <f t="shared" si="5"/>
        <v>3660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TRUNC(1906,-1)</f>
        <v>1900</v>
      </c>
      <c r="E140" s="63">
        <f t="shared" si="5"/>
        <v>6280</v>
      </c>
    </row>
    <row r="141" spans="1:7" x14ac:dyDescent="0.3">
      <c r="A141" s="2">
        <v>6</v>
      </c>
      <c r="C141" s="38" t="s">
        <v>59</v>
      </c>
      <c r="D141" s="42">
        <f>TRUNC(25052,-1)</f>
        <v>25050</v>
      </c>
      <c r="E141" s="63">
        <f t="shared" si="5"/>
        <v>82810</v>
      </c>
    </row>
    <row r="142" spans="1:7" x14ac:dyDescent="0.3">
      <c r="A142" s="2">
        <v>7</v>
      </c>
      <c r="C142" s="38" t="s">
        <v>58</v>
      </c>
      <c r="D142" s="42">
        <f>TRUNC(4463,-1)</f>
        <v>4460</v>
      </c>
      <c r="E142" s="63">
        <f t="shared" si="5"/>
        <v>14740</v>
      </c>
    </row>
    <row r="143" spans="1:7" x14ac:dyDescent="0.3">
      <c r="A143" s="2">
        <v>8</v>
      </c>
      <c r="C143" s="38" t="s">
        <v>62</v>
      </c>
      <c r="D143" s="42">
        <f>TRUNC(3281,-1)</f>
        <v>3280</v>
      </c>
      <c r="E143" s="63">
        <f t="shared" si="5"/>
        <v>10840</v>
      </c>
    </row>
    <row r="144" spans="1:7" x14ac:dyDescent="0.3">
      <c r="A144" s="2">
        <v>9</v>
      </c>
      <c r="C144" s="38" t="s">
        <v>63</v>
      </c>
      <c r="D144" s="42">
        <f>TRUNC(14513,-1)</f>
        <v>14510</v>
      </c>
      <c r="E144" s="63">
        <f t="shared" si="5"/>
        <v>47960</v>
      </c>
    </row>
    <row r="145" spans="1:7" ht="17.25" thickBot="1" x14ac:dyDescent="0.35">
      <c r="A145" s="2">
        <v>10</v>
      </c>
      <c r="C145" s="38" t="s">
        <v>148</v>
      </c>
      <c r="D145" s="43">
        <f>TRUNC(4426,-1)</f>
        <v>4420</v>
      </c>
      <c r="E145" s="64">
        <f t="shared" si="5"/>
        <v>14610</v>
      </c>
    </row>
    <row r="146" spans="1:7" x14ac:dyDescent="0.3">
      <c r="A146" s="2">
        <v>11</v>
      </c>
      <c r="C146" s="27" t="s">
        <v>112</v>
      </c>
      <c r="D146" s="39">
        <f>SUM(D136:D145)</f>
        <v>68620</v>
      </c>
      <c r="E146" s="39">
        <f>SUM(E136:E145)</f>
        <v>226810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TRUNC(5165+2062,-1)</f>
        <v>7220</v>
      </c>
      <c r="E149" s="62">
        <f>TRUNC(+D149*3.3058,-1)</f>
        <v>23860</v>
      </c>
    </row>
    <row r="150" spans="1:7" x14ac:dyDescent="0.3">
      <c r="A150" s="2">
        <v>2</v>
      </c>
      <c r="C150" s="38" t="s">
        <v>49</v>
      </c>
      <c r="D150" s="42">
        <f>TRUNC(703,-1)</f>
        <v>700</v>
      </c>
      <c r="E150" s="63">
        <f>TRUNC(+D150*3.3058,-1)</f>
        <v>2310</v>
      </c>
    </row>
    <row r="151" spans="1:7" x14ac:dyDescent="0.3">
      <c r="A151" s="2">
        <v>3</v>
      </c>
      <c r="C151" s="38" t="s">
        <v>50</v>
      </c>
      <c r="D151" s="42">
        <f>TRUNC(1213,-1)</f>
        <v>1210</v>
      </c>
      <c r="E151" s="63">
        <f>TRUNC(+D151*3.3058,-1)</f>
        <v>4000</v>
      </c>
    </row>
    <row r="152" spans="1:7" x14ac:dyDescent="0.3">
      <c r="A152" s="2">
        <v>4</v>
      </c>
      <c r="C152" s="38" t="s">
        <v>47</v>
      </c>
      <c r="D152" s="42">
        <f>TRUNC(54+478+120,-1)</f>
        <v>650</v>
      </c>
      <c r="E152" s="63">
        <f>TRUNC(+D152*3.3058,-1)</f>
        <v>2140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TRUNC(9949,-1)</f>
        <v>9940</v>
      </c>
      <c r="E153" s="64">
        <f>TRUNC(+D153*3.3058,-1)</f>
        <v>32850</v>
      </c>
    </row>
    <row r="154" spans="1:7" x14ac:dyDescent="0.3">
      <c r="A154" s="2">
        <v>6</v>
      </c>
      <c r="C154" s="27" t="s">
        <v>112</v>
      </c>
      <c r="D154" s="39">
        <f>SUM(D149:D153)</f>
        <v>19720</v>
      </c>
      <c r="E154" s="39">
        <f>SUM(E149:E153)</f>
        <v>65160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TRUNC(27598,-1)</f>
        <v>27590</v>
      </c>
      <c r="E157" s="62">
        <f>TRUNC(+D157*3.3058,-1)</f>
        <v>91200</v>
      </c>
    </row>
    <row r="158" spans="1:7" x14ac:dyDescent="0.3">
      <c r="A158" s="2">
        <v>2</v>
      </c>
      <c r="C158" s="38" t="s">
        <v>52</v>
      </c>
      <c r="D158" s="42">
        <f>TRUNC(14064,-1)</f>
        <v>14060</v>
      </c>
      <c r="E158" s="63">
        <f>TRUNC(+D158*3.3058,-1)</f>
        <v>46470</v>
      </c>
    </row>
    <row r="159" spans="1:7" x14ac:dyDescent="0.3">
      <c r="A159" s="2">
        <v>3</v>
      </c>
      <c r="C159" s="38" t="s">
        <v>47</v>
      </c>
      <c r="D159" s="42">
        <f>TRUNC(11620+2718,-1)</f>
        <v>14330</v>
      </c>
      <c r="E159" s="63">
        <f>TRUNC(+D159*3.3058,-1)</f>
        <v>47370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55980</v>
      </c>
      <c r="E161" s="39">
        <f>SUM(E157:E160)</f>
        <v>185040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2020-12-08T01:18:53Z</dcterms:modified>
</cp:coreProperties>
</file>