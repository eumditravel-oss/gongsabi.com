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E33" i="4"/>
  <c r="E133" i="4" l="1"/>
  <c r="E146" i="4"/>
  <c r="E119" i="4"/>
  <c r="E154" i="4"/>
  <c r="D161" i="4"/>
  <c r="D154" i="4"/>
  <c r="D31" i="4" s="1"/>
  <c r="E31" i="4" s="1"/>
  <c r="D146" i="4"/>
  <c r="D133" i="4"/>
  <c r="D29" i="4" s="1"/>
  <c r="E29" i="4" s="1"/>
  <c r="D119" i="4"/>
  <c r="D74" i="4"/>
  <c r="E74" i="4" s="1"/>
  <c r="E95" i="4" s="1"/>
  <c r="D66" i="4"/>
  <c r="D60" i="4"/>
  <c r="D25" i="4" s="1"/>
  <c r="E25" i="4" s="1"/>
  <c r="D32" i="4"/>
  <c r="E32" i="4" s="1"/>
  <c r="D30" i="4"/>
  <c r="E30" i="4" s="1"/>
  <c r="D28" i="4"/>
  <c r="E28" i="4" s="1"/>
  <c r="D26" i="4"/>
  <c r="E26" i="4" s="1"/>
  <c r="D24" i="4"/>
  <c r="E24" i="4" s="1"/>
  <c r="D7" i="4"/>
  <c r="D95" i="4" l="1"/>
  <c r="D27" i="4" s="1"/>
  <c r="E27" i="4" s="1"/>
  <c r="E34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</calcChain>
</file>

<file path=xl/sharedStrings.xml><?xml version="1.0" encoding="utf-8"?>
<sst xmlns="http://schemas.openxmlformats.org/spreadsheetml/2006/main" count="387" uniqueCount="265">
  <si>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</si>
  <si>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</si>
  <si>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</si>
  <si>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</si>
  <si>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</si>
  <si>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</si>
  <si>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</si>
  <si>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</si>
  <si>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</si>
  <si>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</si>
  <si>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</si>
  <si>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</si>
  <si>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</si>
  <si>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</si>
  <si>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</si>
  <si>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</si>
  <si>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</si>
  <si>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</si>
  <si>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</si>
  <si>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</si>
  <si>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</si>
  <si>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</si>
  <si>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</si>
  <si>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</si>
  <si>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</si>
  <si>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</si>
  <si>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</si>
  <si>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</si>
  <si>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</si>
  <si>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</si>
  <si>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</si>
  <si>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</si>
  <si>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</si>
  <si>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</si>
  <si>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</si>
  <si>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</si>
  <si>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</si>
  <si>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</si>
  <si>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</si>
  <si>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</si>
  <si>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</si>
  <si>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</si>
  <si>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</si>
  <si>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</si>
  <si>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</si>
  <si>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</si>
  <si>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</si>
  <si>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</si>
  <si>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</si>
  <si>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</si>
  <si>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</si>
  <si>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</si>
  <si>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</si>
  <si>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</si>
  <si>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</si>
  <si>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</si>
  <si>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</si>
  <si>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</si>
  <si>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</si>
  <si>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</si>
  <si>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</si>
  <si>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</si>
  <si>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</si>
  <si>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</si>
  <si>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</si>
  <si>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</si>
  <si>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</si>
  <si>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</si>
  <si>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</si>
  <si>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</si>
  <si>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</si>
  <si>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</si>
  <si>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</si>
  <si>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</si>
  <si>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</si>
  <si>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</si>
  <si>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</si>
  <si>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</si>
  <si>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</si>
  <si>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</si>
  <si>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</si>
  <si>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</si>
  <si>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</si>
  <si>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</si>
  <si>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</si>
  <si>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</si>
  <si>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</si>
  <si>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</si>
  <si>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</si>
  <si>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</si>
  <si>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</si>
  <si>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</si>
  <si>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</si>
  <si>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</si>
  <si>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</si>
  <si>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</si>
  <si>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</si>
  <si>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</si>
  <si>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</si>
  <si>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</si>
  <si>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</si>
  <si>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</si>
  <si>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</si>
  <si>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</si>
  <si>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</si>
  <si>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</si>
  <si>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</si>
  <si>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</si>
  <si>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</si>
  <si>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</si>
  <si>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</si>
  <si>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</si>
  <si>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</si>
  <si>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</si>
  <si>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</si>
  <si>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</si>
  <si>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</si>
  <si>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</si>
  <si>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</si>
  <si>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</si>
  <si>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</si>
  <si>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</si>
  <si>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</si>
  <si>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</si>
  <si>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</si>
  <si>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</si>
  <si>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</si>
  <si>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</si>
  <si>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</si>
  <si>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</si>
  <si>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</si>
  <si>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</si>
  <si>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</si>
  <si>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</si>
  <si>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</si>
  <si>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</si>
  <si>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</si>
  <si>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</si>
  <si>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</si>
  <si>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</si>
  <si>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</si>
  <si>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</si>
  <si>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</si>
  <si>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</si>
  <si>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</si>
  <si>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</si>
  <si>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</si>
  <si>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</si>
  <si>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</si>
  <si>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</si>
  <si>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</si>
  <si>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</si>
  <si>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</si>
  <si>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</si>
  <si>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</si>
  <si>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</si>
  <si>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</si>
  <si>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</si>
  <si>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</si>
  <si>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</si>
  <si>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</si>
  <si>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</si>
  <si>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</si>
  <si>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</si>
  <si>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</si>
  <si>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</si>
  <si>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</si>
  <si>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</si>
  <si>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</si>
  <si>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</si>
  <si>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</si>
  <si>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</si>
  <si>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</si>
  <si>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</si>
  <si>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</si>
  <si>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</si>
  <si>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</si>
  <si>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</si>
  <si>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</si>
  <si>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</si>
  <si>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</si>
  <si>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</si>
  <si>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</si>
  <si>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</si>
  <si>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</si>
  <si>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</si>
  <si>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</si>
  <si>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</si>
  <si>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</si>
  <si>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</si>
  <si>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</si>
  <si>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</si>
  <si>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</si>
  <si>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</si>
  <si>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</si>
  <si>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</si>
  <si>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</si>
  <si>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</si>
  <si>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</si>
  <si>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</si>
  <si>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</si>
  <si>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</si>
  <si>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</si>
  <si>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</si>
  <si>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</si>
  <si>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</si>
  <si>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</si>
  <si>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</si>
  <si>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</si>
  <si>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</si>
  <si>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</si>
  <si>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</si>
  <si>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</si>
  <si>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</si>
  <si>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</si>
  <si>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</si>
  <si>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</si>
  <si>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</si>
  <si>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</si>
  <si>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</si>
  <si>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</si>
  <si>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</si>
  <si>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</si>
  <si>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</si>
  <si>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</si>
  <si>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</si>
  <si>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</si>
  <si>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</si>
  <si>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</si>
  <si>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</si>
  <si>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</si>
  <si>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</si>
  <si>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</si>
  <si>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</si>
  <si>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</si>
  <si>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</si>
  <si>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2004년</t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</si>
  <si>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</si>
  <si>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</si>
  <si>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</si>
  <si>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</si>
  <si>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</si>
  <si>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</si>
  <si>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</si>
  <si>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</si>
  <si>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</si>
  <si>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</si>
  <si>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</si>
  <si>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평</t>
    <phoneticPr fontId="2" type="noConversion"/>
  </si>
  <si>
    <t>원/ m2</t>
    <phoneticPr fontId="2" type="noConversion"/>
  </si>
  <si>
    <t>마감공사</t>
    <phoneticPr fontId="2" type="noConversion"/>
  </si>
  <si>
    <t>기타설비</t>
    <phoneticPr fontId="2" type="noConversion"/>
  </si>
  <si>
    <t>전등전열설비</t>
    <phoneticPr fontId="2" type="noConversion"/>
  </si>
  <si>
    <t>외선인입설비</t>
    <phoneticPr fontId="2" type="noConversion"/>
  </si>
  <si>
    <t>옥외인입공사</t>
    <phoneticPr fontId="2" type="noConversion"/>
  </si>
  <si>
    <t>전기소방</t>
    <phoneticPr fontId="2" type="noConversion"/>
  </si>
  <si>
    <t>경기도 소재 00 청사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</si>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</sst>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6000</v>
      </c>
      <c r="D7" s="36">
        <f>+C7/3.3058</f>
        <v>1814.9918325367535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249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583050</v>
      </c>
      <c r="E25" s="59">
        <f t="shared" si="0"/>
        <v>1927440</v>
      </c>
    </row>
    <row r="26" spans="1:5" x14ac:dyDescent="0.3">
      <c r="B26" s="2">
        <v>3</v>
      </c>
      <c r="C26" s="35" t="s">
        <v>95</v>
      </c>
      <c r="D26" s="45">
        <f>+D66</f>
        <v>12660</v>
      </c>
      <c r="E26" s="59">
        <f t="shared" si="0"/>
        <v>41850</v>
      </c>
    </row>
    <row r="27" spans="1:5" x14ac:dyDescent="0.3">
      <c r="B27" s="2">
        <v>4</v>
      </c>
      <c r="C27" s="35" t="s">
        <v>96</v>
      </c>
      <c r="D27" s="45">
        <f>+D95</f>
        <v>143810</v>
      </c>
      <c r="E27" s="59">
        <f t="shared" si="0"/>
        <v>475400</v>
      </c>
    </row>
    <row r="28" spans="1:5" x14ac:dyDescent="0.3">
      <c r="B28" s="2">
        <v>5</v>
      </c>
      <c r="C28" s="35" t="s">
        <v>97</v>
      </c>
      <c r="D28" s="45">
        <f>+D119</f>
        <v>77470</v>
      </c>
      <c r="E28" s="59">
        <f t="shared" si="0"/>
        <v>256100</v>
      </c>
    </row>
    <row r="29" spans="1:5" x14ac:dyDescent="0.3">
      <c r="B29" s="2">
        <v>6</v>
      </c>
      <c r="C29" s="35" t="s">
        <v>98</v>
      </c>
      <c r="D29" s="45">
        <f>+D133</f>
        <v>37670</v>
      </c>
      <c r="E29" s="59">
        <f t="shared" si="0"/>
        <v>124520</v>
      </c>
    </row>
    <row r="30" spans="1:5" x14ac:dyDescent="0.3">
      <c r="B30" s="2">
        <v>7</v>
      </c>
      <c r="C30" s="35" t="s">
        <v>99</v>
      </c>
      <c r="D30" s="45">
        <f>+D146</f>
        <v>16460</v>
      </c>
      <c r="E30" s="59">
        <f t="shared" si="0"/>
        <v>54410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v>252700</v>
      </c>
      <c r="E33" s="60">
        <f t="shared" si="0"/>
        <v>835370</v>
      </c>
    </row>
    <row r="34" spans="1:7" x14ac:dyDescent="0.3">
      <c r="C34" s="35" t="s">
        <v>112</v>
      </c>
      <c r="D34" s="44">
        <f>SUM(D24:D33)</f>
        <v>1123820</v>
      </c>
      <c r="E34" s="44">
        <f>SUM(E24:E33)</f>
        <v>3715090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257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241</v>
      </c>
      <c r="D39" s="66" t="s">
        <v>260</v>
      </c>
      <c r="E39" s="66" t="s">
        <v>261</v>
      </c>
      <c r="G39" s="67"/>
    </row>
    <row r="40" spans="1:7" x14ac:dyDescent="0.3">
      <c r="A40" s="2">
        <v>1</v>
      </c>
      <c r="C40" s="38" t="s">
        <v>15</v>
      </c>
      <c r="D40" s="40">
        <v>44700</v>
      </c>
      <c r="E40" s="62">
        <f t="shared" ref="E40:E59" si="1">TRUNC(+D40*3.3058,-1)</f>
        <v>147760</v>
      </c>
    </row>
    <row r="41" spans="1:7" x14ac:dyDescent="0.3">
      <c r="A41" s="2">
        <v>2</v>
      </c>
      <c r="C41" s="38" t="s">
        <v>13</v>
      </c>
      <c r="D41" s="42">
        <v>210580</v>
      </c>
      <c r="E41" s="63">
        <f t="shared" si="1"/>
        <v>696130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327770</v>
      </c>
      <c r="E58" s="63">
        <f t="shared" si="1"/>
        <v>1083540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583050</v>
      </c>
      <c r="E60" s="39">
        <f>SUM(E40:E59)</f>
        <v>1927430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258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12660</v>
      </c>
      <c r="E63" s="62">
        <f>TRUNC(+D63*3.3058,-1)</f>
        <v>41850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12660</v>
      </c>
      <c r="E66" s="57">
        <f>SUM(E63:E65)</f>
        <v>41850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258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0</v>
      </c>
      <c r="E69" s="62">
        <f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f>4360</f>
        <v>4360</v>
      </c>
      <c r="E74" s="63">
        <f>TRUNC(+D74*3.3058,-1)</f>
        <v>14410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24040</v>
      </c>
      <c r="E84" s="63">
        <f>TRUNC(+D84*3.3058,-1)</f>
        <v>79470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1510</v>
      </c>
      <c r="E90" s="63">
        <f>TRUNC(+D90*3.3058,-1)</f>
        <v>4990</v>
      </c>
    </row>
    <row r="91" spans="1:7" x14ac:dyDescent="0.3">
      <c r="A91" s="2">
        <v>23</v>
      </c>
      <c r="C91" s="38" t="s">
        <v>37</v>
      </c>
      <c r="D91" s="42">
        <v>13510</v>
      </c>
      <c r="E91" s="63">
        <f>TRUNC(+D91*3.3058,-1)</f>
        <v>44660</v>
      </c>
    </row>
    <row r="92" spans="1:7" x14ac:dyDescent="0.3">
      <c r="A92" s="2">
        <v>24</v>
      </c>
      <c r="C92" s="38" t="s">
        <v>38</v>
      </c>
      <c r="D92" s="42">
        <v>14080</v>
      </c>
      <c r="E92" s="63">
        <f>TRUNC(+D92*3.3058,-1)</f>
        <v>46540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v>86310</v>
      </c>
      <c r="E94" s="64">
        <f>TRUNC(+D94*3.3058,-1)</f>
        <v>285320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143810</v>
      </c>
      <c r="E95" s="39">
        <f>SUM(E69:E94)</f>
        <v>475390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258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48950</v>
      </c>
      <c r="E100" s="63">
        <f t="shared" si="4"/>
        <v>161810</v>
      </c>
      <c r="F100" s="2" t="s">
        <v>252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12450</v>
      </c>
      <c r="E116" s="63">
        <f t="shared" si="4"/>
        <v>41150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v>13690</v>
      </c>
      <c r="E117" s="63">
        <f t="shared" si="4"/>
        <v>45250</v>
      </c>
    </row>
    <row r="118" spans="1:7" ht="17.25" thickBot="1" x14ac:dyDescent="0.35">
      <c r="A118" s="2">
        <v>21</v>
      </c>
      <c r="C118" s="38" t="s">
        <v>47</v>
      </c>
      <c r="D118" s="43">
        <v>2380</v>
      </c>
      <c r="E118" s="64">
        <f t="shared" si="4"/>
        <v>7860</v>
      </c>
    </row>
    <row r="119" spans="1:7" x14ac:dyDescent="0.3">
      <c r="A119" s="2">
        <v>22</v>
      </c>
      <c r="C119" s="27" t="s">
        <v>112</v>
      </c>
      <c r="D119" s="39">
        <f>SUM(D98:D118)</f>
        <v>77470</v>
      </c>
      <c r="E119" s="39">
        <f>SUM(E98:E118)</f>
        <v>256070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258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1570</v>
      </c>
      <c r="E125" s="63">
        <f t="shared" si="5"/>
        <v>5190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1260</v>
      </c>
      <c r="E128" s="63">
        <f t="shared" si="5"/>
        <v>4160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24190</v>
      </c>
      <c r="E130" s="63">
        <f t="shared" si="5"/>
        <v>79960</v>
      </c>
    </row>
    <row r="131" spans="1:7" x14ac:dyDescent="0.3">
      <c r="A131" s="2">
        <v>10</v>
      </c>
      <c r="C131" s="38" t="s">
        <v>148</v>
      </c>
      <c r="D131" s="42">
        <v>8410</v>
      </c>
      <c r="E131" s="63">
        <f t="shared" si="5"/>
        <v>27800</v>
      </c>
    </row>
    <row r="132" spans="1:7" ht="17.25" thickBot="1" x14ac:dyDescent="0.35">
      <c r="A132" s="2">
        <v>11</v>
      </c>
      <c r="C132" s="38" t="s">
        <v>47</v>
      </c>
      <c r="D132" s="43">
        <v>2240</v>
      </c>
      <c r="E132" s="64">
        <f t="shared" si="5"/>
        <v>7400</v>
      </c>
      <c r="F132" s="2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37670</v>
      </c>
      <c r="E133" s="39">
        <f>SUM(E122:E132)</f>
        <v>124510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259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11620</v>
      </c>
      <c r="E136" s="62">
        <f t="shared" ref="E136:E145" si="6">TRUNC(+D136*3.3058,-1)</f>
        <v>38410</v>
      </c>
    </row>
    <row r="137" spans="1:7" x14ac:dyDescent="0.3">
      <c r="A137" s="2">
        <v>2</v>
      </c>
      <c r="C137" s="38" t="s">
        <v>47</v>
      </c>
      <c r="D137" s="42">
        <v>4840</v>
      </c>
      <c r="E137" s="63">
        <f t="shared" si="6"/>
        <v>16000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16460</v>
      </c>
      <c r="E146" s="39">
        <f>SUM(E136:E145)</f>
        <v>54410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259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259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2020-12-07T08:50:02Z</dcterms:modified>
</cp:coreProperties>
</file>