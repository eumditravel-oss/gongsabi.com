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2" i="4"/>
  <c r="D151" i="4"/>
  <c r="D150" i="4"/>
  <c r="D144" i="4"/>
  <c r="D143" i="4"/>
  <c r="D142" i="4"/>
  <c r="D141" i="4"/>
  <c r="D140" i="4"/>
  <c r="D139" i="4"/>
  <c r="D137" i="4"/>
  <c r="D132" i="4"/>
  <c r="D131" i="4"/>
  <c r="D130" i="4"/>
  <c r="D128" i="4"/>
  <c r="D126" i="4"/>
  <c r="D125" i="4"/>
  <c r="D124" i="4"/>
  <c r="D122" i="4"/>
  <c r="D118" i="4"/>
  <c r="D117" i="4"/>
  <c r="D116" i="4"/>
  <c r="D105" i="4"/>
  <c r="D104" i="4"/>
  <c r="D103" i="4"/>
  <c r="D102" i="4"/>
  <c r="D101" i="4"/>
  <c r="D100" i="4"/>
  <c r="D98" i="4"/>
  <c r="D94" i="4"/>
  <c r="D93" i="4"/>
  <c r="D69" i="4"/>
  <c r="D40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95" i="4"/>
  <c r="E154" i="4"/>
  <c r="E146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<sst xmlns="http://schemas.openxmlformats.org/spreadsheetml/2006/main" count="391" uniqueCount="265">
  <si>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</si>
  <si>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</si>
  <si>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</si>
  <si>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</si>
  <si>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</si>
  <si>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</si>
  <si>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</si>
  <si>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</si>
  <si>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</si>
  <si>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</si>
  <si>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</si>
  <si>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</si>
  <si>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</si>
  <si>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</si>
  <si>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</si>
  <si>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</si>
  <si>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</si>
  <si>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</si>
  <si>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</si>
  <si>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</si>
  <si>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</si>
  <si>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</si>
  <si>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</si>
  <si>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</si>
  <si>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</si>
  <si>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</si>
  <si>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</si>
  <si>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</si>
  <si>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</si>
  <si>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</si>
  <si>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</si>
  <si>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</si>
  <si>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</si>
  <si>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</si>
  <si>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</si>
  <si>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</si>
  <si>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</si>
  <si>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</si>
  <si>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</si>
  <si>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</si>
  <si>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</si>
  <si>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</si>
  <si>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</si>
  <si>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</si>
  <si>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</si>
  <si>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</si>
  <si>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</si>
  <si>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</si>
  <si>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</si>
  <si>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</si>
  <si>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</si>
  <si>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</si>
  <si>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</si>
  <si>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</si>
  <si>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</si>
  <si>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</si>
  <si>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</si>
  <si>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</si>
  <si>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</si>
  <si>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</si>
  <si>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</si>
  <si>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</si>
  <si>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</si>
  <si>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</si>
  <si>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</si>
  <si>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</si>
  <si>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</si>
  <si>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</si>
  <si>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</si>
  <si>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</si>
  <si>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</si>
  <si>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</si>
  <si>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</si>
  <si>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</si>
  <si>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</si>
  <si>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</si>
  <si>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</si>
  <si>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</si>
  <si>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</si>
  <si>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</si>
  <si>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</si>
  <si>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</si>
  <si>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</si>
  <si>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</si>
  <si>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</si>
  <si>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</si>
  <si>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</si>
  <si>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</si>
  <si>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</si>
  <si>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</si>
  <si>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</si>
  <si>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</si>
  <si>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</si>
  <si>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</si>
  <si>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</si>
  <si>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</si>
  <si>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</si>
  <si>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</si>
  <si>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</si>
  <si>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</si>
  <si>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</si>
  <si>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</si>
  <si>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</si>
  <si>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</si>
  <si>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</si>
  <si>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</si>
  <si>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</si>
  <si>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</si>
  <si>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</si>
  <si>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</si>
  <si>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</si>
  <si>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</si>
  <si>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</si>
  <si>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</si>
  <si>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</si>
  <si>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</si>
  <si>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</si>
  <si>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</si>
  <si>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</si>
  <si>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</si>
  <si>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</si>
  <si>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</si>
  <si>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</si>
  <si>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</si>
  <si>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</si>
  <si>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</si>
  <si>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</si>
  <si>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</si>
  <si>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</si>
  <si>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</si>
  <si>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</si>
  <si>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</si>
  <si>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</si>
  <si>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</si>
  <si>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</si>
  <si>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</si>
  <si>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</si>
  <si>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</si>
  <si>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</si>
  <si>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</si>
  <si>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</si>
  <si>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</si>
  <si>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</si>
  <si>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</si>
  <si>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</si>
  <si>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</si>
  <si>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</si>
  <si>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</si>
  <si>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</si>
  <si>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</si>
  <si>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</si>
  <si>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</si>
  <si>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</si>
  <si>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</si>
  <si>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</si>
  <si>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</si>
  <si>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</si>
  <si>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</si>
  <si>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</si>
  <si>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</si>
  <si>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</si>
  <si>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</si>
  <si>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</si>
  <si>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</si>
  <si>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</si>
  <si>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</si>
  <si>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</si>
  <si>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</si>
  <si>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</si>
  <si>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</si>
  <si>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</si>
  <si>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</si>
  <si>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</si>
  <si>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</si>
  <si>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</si>
  <si>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</si>
  <si>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</si>
  <si>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</si>
  <si>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</si>
  <si>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</si>
  <si>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</si>
  <si>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</si>
  <si>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</si>
  <si>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</si>
  <si>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</si>
  <si>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</si>
  <si>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</si>
  <si>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</si>
  <si>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</si>
  <si>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</si>
  <si>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</si>
  <si>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</si>
  <si>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</si>
  <si>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</si>
  <si>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</si>
  <si>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</si>
  <si>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</si>
  <si>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</si>
  <si>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</si>
  <si>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</si>
  <si>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</si>
  <si>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</si>
  <si>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</si>
  <si>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</si>
  <si>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</si>
  <si>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</si>
  <si>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</si>
  <si>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</si>
  <si>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</si>
  <si>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</si>
  <si>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</si>
  <si>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</si>
  <si>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</si>
  <si>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</si>
  <si>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</si>
  <si>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</si>
  <si>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</si>
  <si>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</si>
  <si>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</si>
  <si>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</si>
  <si>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</si>
  <si>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</si>
  <si>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</si>
  <si>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</si>
  <si>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</si>
  <si>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</si>
  <si>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</si>
  <si>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</si>
  <si>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</si>
  <si>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</si>
  <si>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</si>
  <si>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</si>
  <si>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</si>
  <si>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</si>
  <si>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</si>
  <si>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</si>
  <si>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</si>
  <si>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</si>
  <si>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</si>
  <si>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</si>
  <si>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</si>
  <si>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</si>
  <si>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</si>
  <si>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</si>
  <si>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</si>
  <si>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</si>
  <si>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</si>
  <si>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</si>
  <si>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</si>
  <si>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</si>
  <si>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</si>
  <si>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</si>
  <si>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</si>
  <si>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포장공사</t>
    <phoneticPr fontId="2" type="noConversion"/>
  </si>
  <si>
    <t>충청도</t>
  </si>
  <si>
    <t>창호및유리공사</t>
    <phoneticPr fontId="2" type="noConversion"/>
  </si>
  <si>
    <t>(가칭)천안호수초등학교 교사 신축공사</t>
    <phoneticPr fontId="2" type="noConversion"/>
  </si>
  <si>
    <t>기초공사, 폐기물처리비, 골재비및운반비, 품질시험비, 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</si>
  <si>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</si>
  <si>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</si>
  <si>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>주차관제설비공사기타공사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</si>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</sst>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13822.58</v>
      </c>
      <c r="D7" s="36">
        <f>+C7/3.3058</f>
        <v>4181.3116340976467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684270</v>
      </c>
      <c r="E25" s="59">
        <f t="shared" si="0"/>
        <v>2262050</v>
      </c>
    </row>
    <row r="26" spans="1:5" x14ac:dyDescent="0.3">
      <c r="B26" s="2">
        <v>3</v>
      </c>
      <c r="C26" s="35" t="s">
        <v>95</v>
      </c>
      <c r="D26" s="45">
        <f>+D66</f>
        <v>13240</v>
      </c>
      <c r="E26" s="59">
        <f t="shared" si="0"/>
        <v>43760</v>
      </c>
    </row>
    <row r="27" spans="1:5" x14ac:dyDescent="0.3">
      <c r="B27" s="2">
        <v>4</v>
      </c>
      <c r="C27" s="35" t="s">
        <v>96</v>
      </c>
      <c r="D27" s="45">
        <f>+D95</f>
        <v>174490</v>
      </c>
      <c r="E27" s="59">
        <f t="shared" si="0"/>
        <v>576820</v>
      </c>
    </row>
    <row r="28" spans="1:5" x14ac:dyDescent="0.3">
      <c r="B28" s="2">
        <v>5</v>
      </c>
      <c r="C28" s="35" t="s">
        <v>97</v>
      </c>
      <c r="D28" s="45">
        <f>+D119</f>
        <v>178700</v>
      </c>
      <c r="E28" s="59">
        <f t="shared" si="0"/>
        <v>590740</v>
      </c>
    </row>
    <row r="29" spans="1:5" x14ac:dyDescent="0.3">
      <c r="B29" s="2">
        <v>6</v>
      </c>
      <c r="C29" s="35" t="s">
        <v>98</v>
      </c>
      <c r="D29" s="45">
        <f>+D133</f>
        <v>56850</v>
      </c>
      <c r="E29" s="59">
        <f t="shared" si="0"/>
        <v>187930</v>
      </c>
    </row>
    <row r="30" spans="1:5" x14ac:dyDescent="0.3">
      <c r="B30" s="2">
        <v>7</v>
      </c>
      <c r="C30" s="35" t="s">
        <v>99</v>
      </c>
      <c r="D30" s="45">
        <f>+D146</f>
        <v>66600</v>
      </c>
      <c r="E30" s="59">
        <f t="shared" si="0"/>
        <v>220160</v>
      </c>
    </row>
    <row r="31" spans="1:5" x14ac:dyDescent="0.3">
      <c r="B31" s="2">
        <v>8</v>
      </c>
      <c r="C31" s="35" t="s">
        <v>100</v>
      </c>
      <c r="D31" s="45">
        <f>+D154</f>
        <v>47730</v>
      </c>
      <c r="E31" s="59">
        <f t="shared" si="0"/>
        <v>157780</v>
      </c>
    </row>
    <row r="32" spans="1:5" x14ac:dyDescent="0.3">
      <c r="B32" s="2">
        <v>9</v>
      </c>
      <c r="C32" s="35" t="s">
        <v>101</v>
      </c>
      <c r="D32" s="45">
        <f>+D161</f>
        <v>12700</v>
      </c>
      <c r="E32" s="59">
        <f t="shared" si="0"/>
        <v>41980</v>
      </c>
    </row>
    <row r="33" spans="1:7" x14ac:dyDescent="0.3">
      <c r="B33" s="2">
        <v>10</v>
      </c>
      <c r="C33" s="35" t="s">
        <v>155</v>
      </c>
      <c r="D33" s="53">
        <f>TRUNC(SUM(D24:D32)*0.275,-1)</f>
        <v>339500</v>
      </c>
      <c r="E33" s="60">
        <f t="shared" si="0"/>
        <v>1122310</v>
      </c>
    </row>
    <row r="34" spans="1:7" x14ac:dyDescent="0.3">
      <c r="C34" s="35" t="s">
        <v>112</v>
      </c>
      <c r="D34" s="44">
        <f>SUM(D24:D33)</f>
        <v>1574080</v>
      </c>
      <c r="E34" s="44">
        <f>SUM(E24:E33)</f>
        <v>5203530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TRUNC(31225,-1)</f>
        <v>31220</v>
      </c>
      <c r="E40" s="62">
        <f t="shared" ref="E40:E59" si="1">TRUNC(+D40*3.3058,-1)</f>
        <v>103200</v>
      </c>
    </row>
    <row r="41" spans="1:7" x14ac:dyDescent="0.3">
      <c r="A41" s="2">
        <v>2</v>
      </c>
      <c r="C41" s="38" t="s">
        <v>13</v>
      </c>
      <c r="D41" s="42">
        <f>TRUNC(115841,-1)</f>
        <v>115840</v>
      </c>
      <c r="E41" s="63">
        <f t="shared" si="1"/>
        <v>382940</v>
      </c>
    </row>
    <row r="42" spans="1:7" x14ac:dyDescent="0.3">
      <c r="A42" s="2">
        <v>3</v>
      </c>
      <c r="C42" s="38" t="s">
        <v>14</v>
      </c>
      <c r="D42" s="42">
        <f>TRUNC(14498,-1)</f>
        <v>14490</v>
      </c>
      <c r="E42" s="63">
        <f t="shared" si="1"/>
        <v>47900</v>
      </c>
    </row>
    <row r="43" spans="1:7" x14ac:dyDescent="0.3">
      <c r="A43" s="2">
        <v>4</v>
      </c>
      <c r="C43" s="38" t="s">
        <v>16</v>
      </c>
      <c r="D43" s="42">
        <f>TRUNC(38274,-1)</f>
        <v>38270</v>
      </c>
      <c r="E43" s="63">
        <f t="shared" si="1"/>
        <v>126510</v>
      </c>
    </row>
    <row r="44" spans="1:7" x14ac:dyDescent="0.3">
      <c r="A44" s="2">
        <v>5</v>
      </c>
      <c r="C44" s="38" t="s">
        <v>17</v>
      </c>
      <c r="D44" s="42">
        <f>TRUNC(24371,-1)</f>
        <v>24370</v>
      </c>
      <c r="E44" s="63">
        <f t="shared" si="1"/>
        <v>80560</v>
      </c>
    </row>
    <row r="45" spans="1:7" x14ac:dyDescent="0.3">
      <c r="A45" s="2">
        <v>6</v>
      </c>
      <c r="C45" s="38" t="s">
        <v>18</v>
      </c>
      <c r="D45" s="42">
        <f>TRUNC(8535,-1)</f>
        <v>8530</v>
      </c>
      <c r="E45" s="63">
        <f t="shared" si="1"/>
        <v>28190</v>
      </c>
    </row>
    <row r="46" spans="1:7" x14ac:dyDescent="0.3">
      <c r="A46" s="2">
        <v>7</v>
      </c>
      <c r="C46" s="38" t="s">
        <v>19</v>
      </c>
      <c r="D46" s="42">
        <f>TRUNC(38391,-1)</f>
        <v>38390</v>
      </c>
      <c r="E46" s="63">
        <f t="shared" si="1"/>
        <v>126900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TRUNC(56663,-1)</f>
        <v>56660</v>
      </c>
      <c r="E48" s="63">
        <f t="shared" si="1"/>
        <v>187300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TRUNC(14071,-1)</f>
        <v>14070</v>
      </c>
      <c r="E49" s="63">
        <f t="shared" si="1"/>
        <v>46510</v>
      </c>
    </row>
    <row r="50" spans="1:7" x14ac:dyDescent="0.3">
      <c r="A50" s="2">
        <v>11</v>
      </c>
      <c r="C50" s="38" t="s">
        <v>156</v>
      </c>
      <c r="D50" s="42">
        <f>TRUNC(28848,-1)</f>
        <v>28840</v>
      </c>
      <c r="E50" s="63">
        <f t="shared" si="1"/>
        <v>95330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TRUNC(14399,-1)</f>
        <v>14390</v>
      </c>
      <c r="E52" s="63">
        <f t="shared" si="1"/>
        <v>47570</v>
      </c>
    </row>
    <row r="53" spans="1:7" x14ac:dyDescent="0.3">
      <c r="A53" s="2">
        <v>14</v>
      </c>
      <c r="C53" s="38" t="s">
        <v>25</v>
      </c>
      <c r="D53" s="42">
        <f>TRUNC(65763,-1)</f>
        <v>65760</v>
      </c>
      <c r="E53" s="63">
        <f t="shared" si="1"/>
        <v>217380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TRUNC(14433+56+12030+584+4315,-1)</f>
        <v>31410</v>
      </c>
      <c r="E58" s="63">
        <f t="shared" si="1"/>
        <v>103830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TRUNC(202037,-1)</f>
        <v>202030</v>
      </c>
      <c r="E59" s="64">
        <f t="shared" si="1"/>
        <v>667870</v>
      </c>
    </row>
    <row r="60" spans="1:7" x14ac:dyDescent="0.3">
      <c r="A60" s="2">
        <v>21</v>
      </c>
      <c r="C60" s="27" t="s">
        <v>112</v>
      </c>
      <c r="D60" s="39">
        <f>SUM(D40:D59)</f>
        <v>684270</v>
      </c>
      <c r="E60" s="39">
        <f>SUM(E40:E59)</f>
        <v>2261990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TRUNC(13247,-1)</f>
        <v>13240</v>
      </c>
      <c r="E63" s="62">
        <f>TRUNC(+D63*3.3058,-1)</f>
        <v>43760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13240</v>
      </c>
      <c r="E66" s="65">
        <f>SUM(E63:E65)</f>
        <v>43760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TRUNC(53558,-1)</f>
        <v>53550</v>
      </c>
      <c r="E69" s="62">
        <f t="shared" ref="E69:E94" si="2">TRUNC(+D69*3.3058,-1)</f>
        <v>177020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f>TRUNC(119884,-1)</f>
        <v>119880</v>
      </c>
      <c r="E93" s="63">
        <f t="shared" si="2"/>
        <v>396290</v>
      </c>
    </row>
    <row r="94" spans="1:7" ht="17.25" thickBot="1" x14ac:dyDescent="0.35">
      <c r="A94" s="2">
        <v>26</v>
      </c>
      <c r="C94" s="38" t="s">
        <v>47</v>
      </c>
      <c r="D94" s="43">
        <f>TRUNC(1067,-1)</f>
        <v>1060</v>
      </c>
      <c r="E94" s="64">
        <f t="shared" si="2"/>
        <v>3500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174490</v>
      </c>
      <c r="E95" s="39">
        <f>SUM(E69:E94)</f>
        <v>576810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TRUNC(14269,-1)</f>
        <v>14260</v>
      </c>
      <c r="E98" s="62">
        <f t="shared" ref="E98:E118" si="3">TRUNC(+D98*3.3058,-1)</f>
        <v>47140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TRUNC(28377,-1)</f>
        <v>28370</v>
      </c>
      <c r="E100" s="63">
        <f t="shared" si="3"/>
        <v>93780</v>
      </c>
    </row>
    <row r="101" spans="1:7" x14ac:dyDescent="0.3">
      <c r="A101" s="2">
        <v>4</v>
      </c>
      <c r="C101" s="38" t="s">
        <v>42</v>
      </c>
      <c r="D101" s="42">
        <f>TRUNC(2565,-1)</f>
        <v>2560</v>
      </c>
      <c r="E101" s="63">
        <f t="shared" si="3"/>
        <v>8460</v>
      </c>
    </row>
    <row r="102" spans="1:7" x14ac:dyDescent="0.3">
      <c r="A102" s="2">
        <v>5</v>
      </c>
      <c r="C102" s="38" t="s">
        <v>43</v>
      </c>
      <c r="D102" s="42">
        <f>TRUNC(18056,-1)</f>
        <v>18050</v>
      </c>
      <c r="E102" s="63">
        <f t="shared" si="3"/>
        <v>59660</v>
      </c>
    </row>
    <row r="103" spans="1:7" x14ac:dyDescent="0.3">
      <c r="A103" s="2">
        <v>6</v>
      </c>
      <c r="C103" s="38" t="s">
        <v>44</v>
      </c>
      <c r="D103" s="42">
        <f>TRUNC(7597,-1)</f>
        <v>7590</v>
      </c>
      <c r="E103" s="63">
        <f t="shared" si="3"/>
        <v>25090</v>
      </c>
    </row>
    <row r="104" spans="1:7" x14ac:dyDescent="0.3">
      <c r="A104" s="2">
        <v>7</v>
      </c>
      <c r="C104" s="38" t="s">
        <v>45</v>
      </c>
      <c r="D104" s="42">
        <f>TRUNC(2395,-1)</f>
        <v>2390</v>
      </c>
      <c r="E104" s="63">
        <f t="shared" si="3"/>
        <v>7900</v>
      </c>
    </row>
    <row r="105" spans="1:7" x14ac:dyDescent="0.3">
      <c r="A105" s="2">
        <v>8</v>
      </c>
      <c r="C105" s="38" t="s">
        <v>46</v>
      </c>
      <c r="D105" s="42">
        <f>TRUNC(7031,-1)</f>
        <v>7030</v>
      </c>
      <c r="E105" s="63">
        <f t="shared" si="3"/>
        <v>23230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TRUNC(2108,-1)</f>
        <v>2100</v>
      </c>
      <c r="E116" s="63">
        <f t="shared" si="3"/>
        <v>6940</v>
      </c>
      <c r="F116" s="2" t="s">
        <v>259</v>
      </c>
    </row>
    <row r="117" spans="1:7" x14ac:dyDescent="0.3">
      <c r="A117" s="2">
        <v>20</v>
      </c>
      <c r="C117" s="38" t="s">
        <v>149</v>
      </c>
      <c r="D117" s="42">
        <f>TRUNC(95205,-1)</f>
        <v>95200</v>
      </c>
      <c r="E117" s="63">
        <f t="shared" si="3"/>
        <v>314710</v>
      </c>
    </row>
    <row r="118" spans="1:7" ht="17.25" thickBot="1" x14ac:dyDescent="0.35">
      <c r="A118" s="2">
        <v>21</v>
      </c>
      <c r="C118" s="38" t="s">
        <v>47</v>
      </c>
      <c r="D118" s="43">
        <f>TRUNC(1153,-1)</f>
        <v>1150</v>
      </c>
      <c r="E118" s="64">
        <f t="shared" si="3"/>
        <v>3800</v>
      </c>
    </row>
    <row r="119" spans="1:7" x14ac:dyDescent="0.3">
      <c r="A119" s="2">
        <v>22</v>
      </c>
      <c r="C119" s="27" t="s">
        <v>112</v>
      </c>
      <c r="D119" s="39">
        <f>SUM(D98:D118)</f>
        <v>178700</v>
      </c>
      <c r="E119" s="39">
        <f>SUM(E98:E118)</f>
        <v>590710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TRUNC(4322,-1)</f>
        <v>4320</v>
      </c>
      <c r="E122" s="62">
        <f t="shared" ref="E122:E132" si="4">TRUNC(+D122*3.3058,-1)</f>
        <v>14280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TRUNC(951,-1)</f>
        <v>950</v>
      </c>
      <c r="E124" s="63">
        <f t="shared" si="4"/>
        <v>3140</v>
      </c>
    </row>
    <row r="125" spans="1:7" x14ac:dyDescent="0.3">
      <c r="A125" s="2">
        <v>4</v>
      </c>
      <c r="C125" s="38" t="s">
        <v>138</v>
      </c>
      <c r="D125" s="42">
        <f>TRUNC(6893,-1)</f>
        <v>6890</v>
      </c>
      <c r="E125" s="63">
        <f t="shared" si="4"/>
        <v>22770</v>
      </c>
    </row>
    <row r="126" spans="1:7" x14ac:dyDescent="0.3">
      <c r="A126" s="2">
        <v>5</v>
      </c>
      <c r="C126" s="38" t="s">
        <v>53</v>
      </c>
      <c r="D126" s="42">
        <f>TRUNC(1411,-1)</f>
        <v>1410</v>
      </c>
      <c r="E126" s="63">
        <f t="shared" si="4"/>
        <v>4660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TRUNC(5883,-1)</f>
        <v>5880</v>
      </c>
      <c r="E128" s="63">
        <f t="shared" si="4"/>
        <v>19430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TRUNC(13908,-1)</f>
        <v>13900</v>
      </c>
      <c r="E130" s="63">
        <f t="shared" si="4"/>
        <v>45950</v>
      </c>
    </row>
    <row r="131" spans="1:7" x14ac:dyDescent="0.3">
      <c r="A131" s="2">
        <v>10</v>
      </c>
      <c r="C131" s="38" t="s">
        <v>149</v>
      </c>
      <c r="D131" s="42">
        <f>TRUNC(18303,-1)</f>
        <v>18300</v>
      </c>
      <c r="E131" s="63">
        <f t="shared" si="4"/>
        <v>60490</v>
      </c>
    </row>
    <row r="132" spans="1:7" ht="18" thickBot="1" x14ac:dyDescent="0.35">
      <c r="A132" s="2">
        <v>11</v>
      </c>
      <c r="C132" s="38" t="s">
        <v>47</v>
      </c>
      <c r="D132" s="43">
        <f>TRUNC(3041+2168,-1)</f>
        <v>5200</v>
      </c>
      <c r="E132" s="64">
        <f t="shared" si="4"/>
        <v>17190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56850</v>
      </c>
      <c r="E133" s="39">
        <f>SUM(E122:E132)</f>
        <v>187910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TRUNC(326,-1)</f>
        <v>320</v>
      </c>
      <c r="E137" s="63">
        <f t="shared" si="5"/>
        <v>1050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TRUNC(4698,-1)</f>
        <v>4690</v>
      </c>
      <c r="E139" s="63">
        <f t="shared" si="5"/>
        <v>15500</v>
      </c>
    </row>
    <row r="140" spans="1:7" x14ac:dyDescent="0.3">
      <c r="A140" s="2">
        <v>5</v>
      </c>
      <c r="C140" s="38" t="s">
        <v>57</v>
      </c>
      <c r="D140" s="42">
        <f>TRUNC(10185,-1)</f>
        <v>10180</v>
      </c>
      <c r="E140" s="63">
        <f t="shared" si="5"/>
        <v>33650</v>
      </c>
    </row>
    <row r="141" spans="1:7" x14ac:dyDescent="0.3">
      <c r="A141" s="2">
        <v>6</v>
      </c>
      <c r="C141" s="38" t="s">
        <v>59</v>
      </c>
      <c r="D141" s="42">
        <f>TRUNC(22772,-1)</f>
        <v>22770</v>
      </c>
      <c r="E141" s="63">
        <f t="shared" si="5"/>
        <v>75270</v>
      </c>
    </row>
    <row r="142" spans="1:7" x14ac:dyDescent="0.3">
      <c r="A142" s="2">
        <v>7</v>
      </c>
      <c r="C142" s="38" t="s">
        <v>58</v>
      </c>
      <c r="D142" s="42">
        <f>TRUNC(15116,-1)</f>
        <v>15110</v>
      </c>
      <c r="E142" s="63">
        <f t="shared" si="5"/>
        <v>49950</v>
      </c>
    </row>
    <row r="143" spans="1:7" x14ac:dyDescent="0.3">
      <c r="A143" s="2">
        <v>8</v>
      </c>
      <c r="C143" s="38" t="s">
        <v>62</v>
      </c>
      <c r="D143" s="42">
        <f>TRUNC(4335,-1)</f>
        <v>4330</v>
      </c>
      <c r="E143" s="63">
        <f t="shared" si="5"/>
        <v>14310</v>
      </c>
    </row>
    <row r="144" spans="1:7" x14ac:dyDescent="0.3">
      <c r="A144" s="2">
        <v>9</v>
      </c>
      <c r="C144" s="38" t="s">
        <v>63</v>
      </c>
      <c r="D144" s="42">
        <f>TRUNC(9201,-1)</f>
        <v>9200</v>
      </c>
      <c r="E144" s="63">
        <f t="shared" si="5"/>
        <v>30410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66600</v>
      </c>
      <c r="E146" s="39">
        <f>SUM(E136:E145)</f>
        <v>220140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8621+1899</f>
        <v>10520</v>
      </c>
      <c r="E149" s="62">
        <f>TRUNC(+D149*3.3058,-1)</f>
        <v>34770</v>
      </c>
    </row>
    <row r="150" spans="1:7" x14ac:dyDescent="0.3">
      <c r="A150" s="2">
        <v>2</v>
      </c>
      <c r="C150" s="38" t="s">
        <v>49</v>
      </c>
      <c r="D150" s="42">
        <f>TRUNC(8261,-1)</f>
        <v>8260</v>
      </c>
      <c r="E150" s="63">
        <f>TRUNC(+D150*3.3058,-1)</f>
        <v>27300</v>
      </c>
    </row>
    <row r="151" spans="1:7" x14ac:dyDescent="0.3">
      <c r="A151" s="2">
        <v>3</v>
      </c>
      <c r="C151" s="38" t="s">
        <v>50</v>
      </c>
      <c r="D151" s="42">
        <f>TRUNC(8962,-1)</f>
        <v>8960</v>
      </c>
      <c r="E151" s="63">
        <f>TRUNC(+D151*3.3058,-1)</f>
        <v>29610</v>
      </c>
    </row>
    <row r="152" spans="1:7" x14ac:dyDescent="0.3">
      <c r="A152" s="2">
        <v>4</v>
      </c>
      <c r="C152" s="38" t="s">
        <v>47</v>
      </c>
      <c r="D152" s="42">
        <f>TRUNC(72+439,-1)</f>
        <v>510</v>
      </c>
      <c r="E152" s="63">
        <f>TRUNC(+D152*3.3058,-1)</f>
        <v>1680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TRUNC(19488,-1)</f>
        <v>19480</v>
      </c>
      <c r="E153" s="64">
        <f>TRUNC(+D153*3.3058,-1)</f>
        <v>64390</v>
      </c>
    </row>
    <row r="154" spans="1:7" x14ac:dyDescent="0.3">
      <c r="A154" s="2">
        <v>6</v>
      </c>
      <c r="C154" s="27" t="s">
        <v>112</v>
      </c>
      <c r="D154" s="39">
        <f>SUM(D149:D153)</f>
        <v>47730</v>
      </c>
      <c r="E154" s="39">
        <f>SUM(E149:E153)</f>
        <v>157750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TRUNC(7345,-1)</f>
        <v>7340</v>
      </c>
      <c r="E157" s="62">
        <f>TRUNC(+D157*3.3058,-1)</f>
        <v>24260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TRUNC(5033,-1)</f>
        <v>5030</v>
      </c>
      <c r="E159" s="63">
        <f>TRUNC(+D159*3.3058,-1)</f>
        <v>16620</v>
      </c>
      <c r="F159" s="2" t="s">
        <v>253</v>
      </c>
    </row>
    <row r="160" spans="1:7" ht="17.25" thickBot="1" x14ac:dyDescent="0.35">
      <c r="A160" s="2">
        <v>4</v>
      </c>
      <c r="C160" s="38" t="s">
        <v>149</v>
      </c>
      <c r="D160" s="43">
        <f>TRUNC(333,-1)</f>
        <v>330</v>
      </c>
      <c r="E160" s="64">
        <f>TRUNC(+D160*3.3058,-1)</f>
        <v>1090</v>
      </c>
    </row>
    <row r="161" spans="1:5" x14ac:dyDescent="0.3">
      <c r="A161" s="2">
        <v>5</v>
      </c>
      <c r="C161" s="27" t="s">
        <v>112</v>
      </c>
      <c r="D161" s="39">
        <f>SUM(D157:D160)</f>
        <v>12700</v>
      </c>
      <c r="E161" s="39">
        <f>SUM(E157:E160)</f>
        <v>41970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2020-12-08T04:39:19Z</dcterms:modified>
</cp:coreProperties>
</file>