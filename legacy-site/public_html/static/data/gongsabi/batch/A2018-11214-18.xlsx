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7" i="4"/>
  <c r="D131" i="4"/>
  <c r="D157" i="4"/>
  <c r="D152" i="4"/>
  <c r="D151" i="4"/>
  <c r="D150" i="4"/>
  <c r="D149" i="4"/>
  <c r="D140" i="4"/>
  <c r="D132" i="4"/>
  <c r="D122" i="4"/>
  <c r="D130" i="4"/>
  <c r="D105" i="4"/>
  <c r="D103" i="4"/>
  <c r="D102" i="4"/>
  <c r="D100" i="4"/>
  <c r="D98" i="4"/>
  <c r="D116" i="4"/>
  <c r="D94" i="4"/>
  <c r="D92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<sst xmlns="http://schemas.openxmlformats.org/spreadsheetml/2006/main" count="391" uniqueCount="266">
  <si>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</si>
  <si>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</si>
  <si>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</si>
  <si>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</si>
  <si>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</si>
  <si>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</si>
  <si>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</si>
  <si>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</si>
  <si>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</si>
  <si>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</si>
  <si>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</si>
  <si>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</si>
  <si>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</si>
  <si>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</si>
  <si>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</si>
  <si>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</si>
  <si>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</si>
  <si>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</si>
  <si>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</si>
  <si>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</si>
  <si>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</si>
  <si>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</si>
  <si>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</si>
  <si>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</si>
  <si>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</si>
  <si>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</si>
  <si>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</si>
  <si>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</si>
  <si>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</si>
  <si>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</si>
  <si>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</si>
  <si>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</si>
  <si>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</si>
  <si>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</si>
  <si>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</si>
  <si>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</si>
  <si>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</si>
  <si>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</si>
  <si>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</si>
  <si>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</si>
  <si>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</si>
  <si>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</si>
  <si>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</si>
  <si>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</si>
  <si>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</si>
  <si>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</si>
  <si>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</si>
  <si>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</si>
  <si>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</si>
  <si>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</si>
  <si>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</si>
  <si>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</si>
  <si>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</si>
  <si>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</si>
  <si>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</si>
  <si>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</si>
  <si>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</si>
  <si>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</si>
  <si>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</si>
  <si>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</si>
  <si>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</si>
  <si>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</si>
  <si>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</si>
  <si>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</si>
  <si>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</si>
  <si>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</si>
  <si>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</si>
  <si>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</si>
  <si>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</si>
  <si>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</si>
  <si>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</si>
  <si>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</si>
  <si>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</si>
  <si>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</si>
  <si>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</si>
  <si>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</si>
  <si>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</si>
  <si>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</si>
  <si>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</si>
  <si>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</si>
  <si>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</si>
  <si>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</si>
  <si>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</si>
  <si>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</si>
  <si>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</si>
  <si>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</si>
  <si>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</si>
  <si>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</si>
  <si>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</si>
  <si>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</si>
  <si>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</si>
  <si>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</si>
  <si>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</si>
  <si>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</si>
  <si>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</si>
  <si>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</si>
  <si>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</si>
  <si>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</si>
  <si>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</si>
  <si>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</si>
  <si>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</si>
  <si>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</si>
  <si>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</si>
  <si>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</si>
  <si>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</si>
  <si>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</si>
  <si>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</si>
  <si>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</si>
  <si>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</si>
  <si>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</si>
  <si>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</si>
  <si>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</si>
  <si>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</si>
  <si>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</si>
  <si>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</si>
  <si>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</si>
  <si>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</si>
  <si>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</si>
  <si>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</si>
  <si>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</si>
  <si>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</si>
  <si>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</si>
  <si>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</si>
  <si>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</si>
  <si>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</si>
  <si>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</si>
  <si>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</si>
  <si>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</si>
  <si>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</si>
  <si>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</si>
  <si>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</si>
  <si>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</si>
  <si>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</si>
  <si>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</si>
  <si>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</si>
  <si>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</si>
  <si>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</si>
  <si>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</si>
  <si>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</si>
  <si>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</si>
  <si>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</si>
  <si>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</si>
  <si>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</si>
  <si>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</si>
  <si>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</si>
  <si>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</si>
  <si>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</si>
  <si>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</si>
  <si>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</si>
  <si>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</si>
  <si>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</si>
  <si>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</si>
  <si>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</si>
  <si>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</si>
  <si>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</si>
  <si>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</si>
  <si>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</si>
  <si>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</si>
  <si>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</si>
  <si>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</si>
  <si>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</si>
  <si>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</si>
  <si>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</si>
  <si>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</si>
  <si>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</si>
  <si>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</si>
  <si>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</si>
  <si>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</si>
  <si>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</si>
  <si>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</si>
  <si>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</si>
  <si>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</si>
  <si>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</si>
  <si>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</si>
  <si>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</si>
  <si>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</si>
  <si>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</si>
  <si>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</si>
  <si>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</si>
  <si>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</si>
  <si>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</si>
  <si>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</si>
  <si>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</si>
  <si>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</si>
  <si>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</si>
  <si>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</si>
  <si>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</si>
  <si>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</si>
  <si>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</si>
  <si>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</si>
  <si>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</si>
  <si>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</si>
  <si>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</si>
  <si>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</si>
  <si>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</si>
  <si>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</si>
  <si>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</si>
  <si>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</si>
  <si>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</si>
  <si>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</si>
  <si>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</si>
  <si>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</si>
  <si>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</si>
  <si>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</si>
  <si>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</si>
  <si>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</si>
  <si>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</si>
  <si>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</si>
  <si>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</si>
  <si>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</si>
  <si>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</si>
  <si>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</si>
  <si>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</si>
  <si>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</si>
  <si>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</si>
  <si>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</si>
  <si>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</si>
  <si>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</si>
  <si>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</si>
  <si>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</si>
  <si>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</si>
  <si>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</si>
  <si>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</si>
  <si>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</si>
  <si>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</si>
  <si>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</si>
  <si>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</si>
  <si>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</si>
  <si>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</si>
  <si>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</si>
  <si>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</si>
  <si>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</si>
  <si>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</si>
  <si>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</si>
  <si>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</si>
  <si>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</si>
  <si>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</si>
  <si>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</si>
  <si>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</si>
  <si>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</si>
  <si>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</si>
  <si>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</si>
  <si>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</si>
  <si>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</si>
  <si>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</si>
  <si>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</si>
  <si>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</si>
  <si>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</si>
  <si>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전기차 폐배터리 재사용센터 증축 공사</t>
    <phoneticPr fontId="2" type="noConversion"/>
  </si>
  <si>
    <t>교육연구</t>
  </si>
  <si>
    <t>제주도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</si>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</sst>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2457.91</v>
      </c>
      <c r="D7" s="36">
        <f>+C7/3.3058</f>
        <v>743.51442918506859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1070000</v>
      </c>
      <c r="E25" s="59">
        <f t="shared" si="0"/>
        <v>3537200</v>
      </c>
    </row>
    <row r="26" spans="1:5" x14ac:dyDescent="0.3">
      <c r="B26" s="2">
        <v>3</v>
      </c>
      <c r="C26" s="35" t="s">
        <v>95</v>
      </c>
      <c r="D26" s="45">
        <f>+D66</f>
        <v>3080</v>
      </c>
      <c r="E26" s="59">
        <f t="shared" si="0"/>
        <v>10180</v>
      </c>
    </row>
    <row r="27" spans="1:5" x14ac:dyDescent="0.3">
      <c r="B27" s="2">
        <v>4</v>
      </c>
      <c r="C27" s="35" t="s">
        <v>96</v>
      </c>
      <c r="D27" s="45">
        <f>+D95</f>
        <v>15280</v>
      </c>
      <c r="E27" s="59">
        <f t="shared" si="0"/>
        <v>50510</v>
      </c>
    </row>
    <row r="28" spans="1:5" x14ac:dyDescent="0.3">
      <c r="B28" s="2">
        <v>5</v>
      </c>
      <c r="C28" s="35" t="s">
        <v>97</v>
      </c>
      <c r="D28" s="45">
        <f>+D119</f>
        <v>313540</v>
      </c>
      <c r="E28" s="59">
        <f t="shared" si="0"/>
        <v>1036500</v>
      </c>
    </row>
    <row r="29" spans="1:5" x14ac:dyDescent="0.3">
      <c r="B29" s="2">
        <v>6</v>
      </c>
      <c r="C29" s="35" t="s">
        <v>98</v>
      </c>
      <c r="D29" s="45">
        <f>+D133</f>
        <v>33510</v>
      </c>
      <c r="E29" s="59">
        <f t="shared" si="0"/>
        <v>110770</v>
      </c>
    </row>
    <row r="30" spans="1:5" x14ac:dyDescent="0.3">
      <c r="B30" s="2">
        <v>7</v>
      </c>
      <c r="C30" s="35" t="s">
        <v>99</v>
      </c>
      <c r="D30" s="45">
        <f>+D146</f>
        <v>25140</v>
      </c>
      <c r="E30" s="59">
        <f t="shared" si="0"/>
        <v>83100</v>
      </c>
    </row>
    <row r="31" spans="1:5" x14ac:dyDescent="0.3">
      <c r="B31" s="2">
        <v>8</v>
      </c>
      <c r="C31" s="35" t="s">
        <v>100</v>
      </c>
      <c r="D31" s="45">
        <f>+D154</f>
        <v>24120</v>
      </c>
      <c r="E31" s="59">
        <f t="shared" si="0"/>
        <v>79730</v>
      </c>
    </row>
    <row r="32" spans="1:5" x14ac:dyDescent="0.3">
      <c r="B32" s="2">
        <v>9</v>
      </c>
      <c r="C32" s="35" t="s">
        <v>101</v>
      </c>
      <c r="D32" s="45">
        <f>+D161</f>
        <v>6640</v>
      </c>
      <c r="E32" s="59">
        <f t="shared" si="0"/>
        <v>21950</v>
      </c>
    </row>
    <row r="33" spans="1:7" x14ac:dyDescent="0.3">
      <c r="B33" s="2">
        <v>10</v>
      </c>
      <c r="C33" s="35" t="s">
        <v>154</v>
      </c>
      <c r="D33" s="53">
        <f>TRUNC(SUM(D24:D32)*0.275,-1)</f>
        <v>410110</v>
      </c>
      <c r="E33" s="60">
        <f t="shared" si="0"/>
        <v>1355740</v>
      </c>
    </row>
    <row r="34" spans="1:7" x14ac:dyDescent="0.3">
      <c r="C34" s="35" t="s">
        <v>112</v>
      </c>
      <c r="D34" s="44">
        <f>SUM(D24:D33)</f>
        <v>1901420</v>
      </c>
      <c r="E34" s="44">
        <f>SUM(E24:E33)</f>
        <v>6285680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TRUNC(18772,-1)</f>
        <v>18770</v>
      </c>
      <c r="E40" s="62">
        <f t="shared" ref="E40:E59" si="1">TRUNC(+D40*3.3058,-1)</f>
        <v>62040</v>
      </c>
    </row>
    <row r="41" spans="1:7" x14ac:dyDescent="0.3">
      <c r="A41" s="2">
        <v>2</v>
      </c>
      <c r="C41" s="38" t="s">
        <v>13</v>
      </c>
      <c r="D41" s="42">
        <f>TRUNC(119292,-1)</f>
        <v>119290</v>
      </c>
      <c r="E41" s="63">
        <f t="shared" si="1"/>
        <v>394340</v>
      </c>
    </row>
    <row r="42" spans="1:7" x14ac:dyDescent="0.3">
      <c r="A42" s="2">
        <v>3</v>
      </c>
      <c r="C42" s="38" t="s">
        <v>14</v>
      </c>
      <c r="D42" s="42">
        <f>TRUNC(210055,-1)</f>
        <v>210050</v>
      </c>
      <c r="E42" s="63">
        <f t="shared" si="1"/>
        <v>694380</v>
      </c>
    </row>
    <row r="43" spans="1:7" x14ac:dyDescent="0.3">
      <c r="A43" s="2">
        <v>4</v>
      </c>
      <c r="C43" s="38" t="s">
        <v>16</v>
      </c>
      <c r="D43" s="42">
        <f>TRUNC(20046,-1)</f>
        <v>20040</v>
      </c>
      <c r="E43" s="63">
        <f t="shared" si="1"/>
        <v>66240</v>
      </c>
    </row>
    <row r="44" spans="1:7" x14ac:dyDescent="0.3">
      <c r="A44" s="2">
        <v>5</v>
      </c>
      <c r="C44" s="38" t="s">
        <v>17</v>
      </c>
      <c r="D44" s="42">
        <f>TRUNC(35570,-1)</f>
        <v>35570</v>
      </c>
      <c r="E44" s="63">
        <f t="shared" si="1"/>
        <v>117580</v>
      </c>
    </row>
    <row r="45" spans="1:7" x14ac:dyDescent="0.3">
      <c r="A45" s="2">
        <v>6</v>
      </c>
      <c r="C45" s="38" t="s">
        <v>18</v>
      </c>
      <c r="D45" s="42">
        <f>TRUNC(7994,-1)</f>
        <v>7990</v>
      </c>
      <c r="E45" s="63">
        <f t="shared" si="1"/>
        <v>26410</v>
      </c>
    </row>
    <row r="46" spans="1:7" x14ac:dyDescent="0.3">
      <c r="A46" s="2">
        <v>7</v>
      </c>
      <c r="C46" s="38" t="s">
        <v>19</v>
      </c>
      <c r="D46" s="42">
        <f>TRUNC(349,-1)</f>
        <v>340</v>
      </c>
      <c r="E46" s="63">
        <f t="shared" si="1"/>
        <v>1120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TRUNC(87829,-1)</f>
        <v>87820</v>
      </c>
      <c r="E48" s="63">
        <f t="shared" si="1"/>
        <v>290310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TRUNC(28336,-1)</f>
        <v>28330</v>
      </c>
      <c r="E49" s="63">
        <f t="shared" si="1"/>
        <v>93650</v>
      </c>
    </row>
    <row r="50" spans="1:7" x14ac:dyDescent="0.3">
      <c r="A50" s="2">
        <v>11</v>
      </c>
      <c r="C50" s="38" t="s">
        <v>155</v>
      </c>
      <c r="D50" s="42">
        <f>TRUNC(31832,-1)</f>
        <v>31830</v>
      </c>
      <c r="E50" s="63">
        <f t="shared" si="1"/>
        <v>105220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TRUNC(20499,-1)</f>
        <v>20490</v>
      </c>
      <c r="E52" s="63">
        <f t="shared" si="1"/>
        <v>67730</v>
      </c>
    </row>
    <row r="53" spans="1:7" x14ac:dyDescent="0.3">
      <c r="A53" s="2">
        <v>14</v>
      </c>
      <c r="C53" s="38" t="s">
        <v>25</v>
      </c>
      <c r="D53" s="42">
        <f>TRUNC(68266,-1)</f>
        <v>68260</v>
      </c>
      <c r="E53" s="63">
        <f t="shared" si="1"/>
        <v>225650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TRUNC(38999+1368+8603,-1)</f>
        <v>48970</v>
      </c>
      <c r="E58" s="63">
        <f t="shared" si="1"/>
        <v>161880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TRUNC(372252,-1)</f>
        <v>372250</v>
      </c>
      <c r="E59" s="64">
        <f t="shared" si="1"/>
        <v>1230580</v>
      </c>
    </row>
    <row r="60" spans="1:7" x14ac:dyDescent="0.3">
      <c r="A60" s="2">
        <v>21</v>
      </c>
      <c r="C60" s="27" t="s">
        <v>112</v>
      </c>
      <c r="D60" s="39">
        <f>SUM(D40:D59)</f>
        <v>1070000</v>
      </c>
      <c r="E60" s="39">
        <f>SUM(E40:E59)</f>
        <v>3537130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TRUNC(3083,-1)</f>
        <v>3080</v>
      </c>
      <c r="E63" s="62">
        <f>TRUNC(+D63*3.3058,-1)</f>
        <v>10180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3080</v>
      </c>
      <c r="E66" s="65">
        <f>SUM(E63:E65)</f>
        <v>10180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TRUNC(14632,-1)</f>
        <v>14630</v>
      </c>
      <c r="E92" s="63">
        <f t="shared" si="2"/>
        <v>48360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TRUNC(657,-1)</f>
        <v>650</v>
      </c>
      <c r="E94" s="64">
        <f t="shared" si="2"/>
        <v>2140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15280</v>
      </c>
      <c r="E95" s="39">
        <f>SUM(E69:E94)</f>
        <v>50500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TRUNC(50954,-1)</f>
        <v>50950</v>
      </c>
      <c r="E98" s="62">
        <f t="shared" ref="E98:E118" si="3">TRUNC(+D98*3.3058,-1)</f>
        <v>168430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TRUNC(31090,-1)</f>
        <v>31090</v>
      </c>
      <c r="E100" s="63">
        <f t="shared" si="3"/>
        <v>102770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TRUNC(7953,-1)</f>
        <v>7950</v>
      </c>
      <c r="E102" s="63">
        <f t="shared" si="3"/>
        <v>26280</v>
      </c>
    </row>
    <row r="103" spans="1:7" x14ac:dyDescent="0.3">
      <c r="A103" s="2">
        <v>6</v>
      </c>
      <c r="C103" s="38" t="s">
        <v>44</v>
      </c>
      <c r="D103" s="42">
        <f>TRUNC(7061,-1)</f>
        <v>7060</v>
      </c>
      <c r="E103" s="63">
        <f t="shared" si="3"/>
        <v>23330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TRUNC(16668,-1)</f>
        <v>16660</v>
      </c>
      <c r="E105" s="63">
        <f t="shared" si="3"/>
        <v>55070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TRUNC(5748,-1)</f>
        <v>5740</v>
      </c>
      <c r="E116" s="63">
        <f t="shared" si="3"/>
        <v>18970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TRUNC(194099,-1)</f>
        <v>194090</v>
      </c>
      <c r="E117" s="63">
        <f t="shared" si="3"/>
        <v>641620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313540</v>
      </c>
      <c r="E119" s="39">
        <f>SUM(E98:E118)</f>
        <v>1036470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TRUNC(9624,-1)</f>
        <v>9620</v>
      </c>
      <c r="E122" s="62">
        <f t="shared" ref="E122:E132" si="4">TRUNC(+D122*3.3058,-1)</f>
        <v>31800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TRUNC(10057,-1)</f>
        <v>10050</v>
      </c>
      <c r="E130" s="63">
        <f t="shared" si="4"/>
        <v>33220</v>
      </c>
    </row>
    <row r="131" spans="1:7" x14ac:dyDescent="0.3">
      <c r="A131" s="2">
        <v>10</v>
      </c>
      <c r="C131" s="38" t="s">
        <v>148</v>
      </c>
      <c r="D131" s="42">
        <f>TRUNC(12066,-1)</f>
        <v>12060</v>
      </c>
      <c r="E131" s="63">
        <f t="shared" si="4"/>
        <v>39860</v>
      </c>
    </row>
    <row r="132" spans="1:7" ht="18" thickBot="1" x14ac:dyDescent="0.35">
      <c r="A132" s="2">
        <v>11</v>
      </c>
      <c r="C132" s="38" t="s">
        <v>47</v>
      </c>
      <c r="D132" s="43">
        <f>TRUNC(1780,-1)</f>
        <v>1780</v>
      </c>
      <c r="E132" s="64">
        <f t="shared" si="4"/>
        <v>5880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33510</v>
      </c>
      <c r="E133" s="39">
        <f>SUM(E122:E132)</f>
        <v>110760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TRUNC(25146,-1)</f>
        <v>25140</v>
      </c>
      <c r="E140" s="63">
        <f t="shared" si="5"/>
        <v>83100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25140</v>
      </c>
      <c r="E146" s="39">
        <f>SUM(E136:E145)</f>
        <v>83100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TRUNC(6544+3512,-1)</f>
        <v>10050</v>
      </c>
      <c r="E149" s="62">
        <f>TRUNC(+D149*3.3058,-1)</f>
        <v>33220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TRUNC(1836,-1)</f>
        <v>1830</v>
      </c>
      <c r="E150" s="63">
        <f>TRUNC(+D150*3.3058,-1)</f>
        <v>6040</v>
      </c>
    </row>
    <row r="151" spans="1:7" x14ac:dyDescent="0.3">
      <c r="A151" s="2">
        <v>3</v>
      </c>
      <c r="C151" s="38" t="s">
        <v>50</v>
      </c>
      <c r="D151" s="42">
        <f>TRUNC(2806,-1)</f>
        <v>2800</v>
      </c>
      <c r="E151" s="63">
        <f>TRUNC(+D151*3.3058,-1)</f>
        <v>9250</v>
      </c>
    </row>
    <row r="152" spans="1:7" x14ac:dyDescent="0.3">
      <c r="A152" s="2">
        <v>4</v>
      </c>
      <c r="C152" s="38" t="s">
        <v>47</v>
      </c>
      <c r="D152" s="42">
        <f>TRUNC(5421+4021,-1)</f>
        <v>9440</v>
      </c>
      <c r="E152" s="63">
        <f>TRUNC(+D152*3.3058,-1)</f>
        <v>31200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24120</v>
      </c>
      <c r="E154" s="39">
        <f>SUM(E149:E153)</f>
        <v>79710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TRUNC(6648,-1)</f>
        <v>6640</v>
      </c>
      <c r="E157" s="62">
        <f>TRUNC(+D157*3.3058,-1)</f>
        <v>21950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6640</v>
      </c>
      <c r="E161" s="39">
        <f>SUM(E157:E160)</f>
        <v>21950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2020-12-08T02:46:44Z</dcterms:modified>
</cp:coreProperties>
</file>