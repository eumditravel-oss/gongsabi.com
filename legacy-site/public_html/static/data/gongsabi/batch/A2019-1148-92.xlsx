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2" i="4"/>
  <c r="D91" i="4"/>
  <c r="D76" i="4"/>
  <c r="D73" i="4"/>
  <c r="D72" i="4"/>
  <c r="D71" i="4"/>
  <c r="D70" i="4"/>
  <c r="D69" i="4"/>
  <c r="D63" i="4"/>
  <c r="D59" i="4"/>
  <c r="D58" i="4"/>
  <c r="D53" i="4"/>
  <c r="D50" i="4"/>
  <c r="D49" i="4"/>
  <c r="D48" i="4"/>
  <c r="D46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<sst xmlns="http://schemas.openxmlformats.org/spreadsheetml/2006/main" count="392" uniqueCount="266">
  <si>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</si>
  <si>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</si>
  <si>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</si>
  <si>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</si>
  <si>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</si>
  <si>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</si>
  <si>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</si>
  <si>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</si>
  <si>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</si>
  <si>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</si>
  <si>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</si>
  <si>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</si>
  <si>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</si>
  <si>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</si>
  <si>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</si>
  <si>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</si>
  <si>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</si>
  <si>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</si>
  <si>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</si>
  <si>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</si>
  <si>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</si>
  <si>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</si>
  <si>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</si>
  <si>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</si>
  <si>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</si>
  <si>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</si>
  <si>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</si>
  <si>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</si>
  <si>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</si>
  <si>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</si>
  <si>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</si>
  <si>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</si>
  <si>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</si>
  <si>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</si>
  <si>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</si>
  <si>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</si>
  <si>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</si>
  <si>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</si>
  <si>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</si>
  <si>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</si>
  <si>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</si>
  <si>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</si>
  <si>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</si>
  <si>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</si>
  <si>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</si>
  <si>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</si>
  <si>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</si>
  <si>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</si>
  <si>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</si>
  <si>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</si>
  <si>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</si>
  <si>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</si>
  <si>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</si>
  <si>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</si>
  <si>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</si>
  <si>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</si>
  <si>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</si>
  <si>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</si>
  <si>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</si>
  <si>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</si>
  <si>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</si>
  <si>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</si>
  <si>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</si>
  <si>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</si>
  <si>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</si>
  <si>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</si>
  <si>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</si>
  <si>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</si>
  <si>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</si>
  <si>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</si>
  <si>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</si>
  <si>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</si>
  <si>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</si>
  <si>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</si>
  <si>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</si>
  <si>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</si>
  <si>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</si>
  <si>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</si>
  <si>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</si>
  <si>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</si>
  <si>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</si>
  <si>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</si>
  <si>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</si>
  <si>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</si>
  <si>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</si>
  <si>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</si>
  <si>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</si>
  <si>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</si>
  <si>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</si>
  <si>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</si>
  <si>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</si>
  <si>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</si>
  <si>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</si>
  <si>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</si>
  <si>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</si>
  <si>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</si>
  <si>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</si>
  <si>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</si>
  <si>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</si>
  <si>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</si>
  <si>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</si>
  <si>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</si>
  <si>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</si>
  <si>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</si>
  <si>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</si>
  <si>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</si>
  <si>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</si>
  <si>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</si>
  <si>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</si>
  <si>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</si>
  <si>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</si>
  <si>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</si>
  <si>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</si>
  <si>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</si>
  <si>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</si>
  <si>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</si>
  <si>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</si>
  <si>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</si>
  <si>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</si>
  <si>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</si>
  <si>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</si>
  <si>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</si>
  <si>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</si>
  <si>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</si>
  <si>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</si>
  <si>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</si>
  <si>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</si>
  <si>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</si>
  <si>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</si>
  <si>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</si>
  <si>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</si>
  <si>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</si>
  <si>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</si>
  <si>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</si>
  <si>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</si>
  <si>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</si>
  <si>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</si>
  <si>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</si>
  <si>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</si>
  <si>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</si>
  <si>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</si>
  <si>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</si>
  <si>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</si>
  <si>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</si>
  <si>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</si>
  <si>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</si>
  <si>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</si>
  <si>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</si>
  <si>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</si>
  <si>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</si>
  <si>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</si>
  <si>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</si>
  <si>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</si>
  <si>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</si>
  <si>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</si>
  <si>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</si>
  <si>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</si>
  <si>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</si>
  <si>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</si>
  <si>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</si>
  <si>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</si>
  <si>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</si>
  <si>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</si>
  <si>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</si>
  <si>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</si>
  <si>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</si>
  <si>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</si>
  <si>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</si>
  <si>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</si>
  <si>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</si>
  <si>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</si>
  <si>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</si>
  <si>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</si>
  <si>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</si>
  <si>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</si>
  <si>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</si>
  <si>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</si>
  <si>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</si>
  <si>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</si>
  <si>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</si>
  <si>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</si>
  <si>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</si>
  <si>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</si>
  <si>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</si>
  <si>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</si>
  <si>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</si>
  <si>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</si>
  <si>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</si>
  <si>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</si>
  <si>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</si>
  <si>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</si>
  <si>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</si>
  <si>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</si>
  <si>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</si>
  <si>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</si>
  <si>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</si>
  <si>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</si>
  <si>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</si>
  <si>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</si>
  <si>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</si>
  <si>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</si>
  <si>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</si>
  <si>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</si>
  <si>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</si>
  <si>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</si>
  <si>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</si>
  <si>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</si>
  <si>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</si>
  <si>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</si>
  <si>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</si>
  <si>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</si>
  <si>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</si>
  <si>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</si>
  <si>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</si>
  <si>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</si>
  <si>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</si>
  <si>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</si>
  <si>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</si>
  <si>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</si>
  <si>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</si>
  <si>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</si>
  <si>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</si>
  <si>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</si>
  <si>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</si>
  <si>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</si>
  <si>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</si>
  <si>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</si>
  <si>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</si>
  <si>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</si>
  <si>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</si>
  <si>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</si>
  <si>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</si>
  <si>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</si>
  <si>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</si>
  <si>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</si>
  <si>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</si>
  <si>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</si>
  <si>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</si>
  <si>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</si>
  <si>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</si>
  <si>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</si>
  <si>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</si>
  <si>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</si>
  <si>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</si>
  <si>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</si>
  <si>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</si>
  <si>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</si>
  <si>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</si>
  <si>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</si>
  <si>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</si>
  <si>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</si>
  <si>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</si>
  <si>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</si>
  <si>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포장공사</t>
    <phoneticPr fontId="2" type="noConversion"/>
  </si>
  <si>
    <t xml:space="preserve"> 해밀유초등학교 신축공사</t>
    <phoneticPr fontId="2" type="noConversion"/>
  </si>
  <si>
    <t>세종시</t>
  </si>
  <si>
    <t>창호및유리공사</t>
    <phoneticPr fontId="2" type="noConversion"/>
  </si>
  <si>
    <t>기초공사, 골재비및운반비, 작업부산물, 품질시험비, 기타공사</t>
    <phoneticPr fontId="2" type="noConversion"/>
  </si>
  <si>
    <t>난방배관공사, 우수처리시설공사, 바닥난방공사,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</si>
  <si>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</si>
  <si>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</si>
  <si>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CCTV설비공사, 주차관제설비공사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</si>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</sst>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17553.05</v>
      </c>
      <c r="D7" s="36">
        <f>+C7/3.3058</f>
        <v>5309.7737310182101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926850</v>
      </c>
      <c r="E25" s="59">
        <f t="shared" si="0"/>
        <v>3063980</v>
      </c>
    </row>
    <row r="26" spans="1:5" x14ac:dyDescent="0.3">
      <c r="B26" s="2">
        <v>3</v>
      </c>
      <c r="C26" s="35" t="s">
        <v>95</v>
      </c>
      <c r="D26" s="45">
        <f>+D66</f>
        <v>16100</v>
      </c>
      <c r="E26" s="59">
        <f t="shared" si="0"/>
        <v>53220</v>
      </c>
    </row>
    <row r="27" spans="1:5" x14ac:dyDescent="0.3">
      <c r="B27" s="2">
        <v>4</v>
      </c>
      <c r="C27" s="35" t="s">
        <v>96</v>
      </c>
      <c r="D27" s="45">
        <f>+D95</f>
        <v>233020</v>
      </c>
      <c r="E27" s="59">
        <f t="shared" si="0"/>
        <v>770310</v>
      </c>
    </row>
    <row r="28" spans="1:5" x14ac:dyDescent="0.3">
      <c r="B28" s="2">
        <v>5</v>
      </c>
      <c r="C28" s="35" t="s">
        <v>97</v>
      </c>
      <c r="D28" s="45">
        <f>+D119</f>
        <v>175540</v>
      </c>
      <c r="E28" s="59">
        <f t="shared" si="0"/>
        <v>580300</v>
      </c>
    </row>
    <row r="29" spans="1:5" x14ac:dyDescent="0.3">
      <c r="B29" s="2">
        <v>6</v>
      </c>
      <c r="C29" s="35" t="s">
        <v>98</v>
      </c>
      <c r="D29" s="45">
        <f>+D133</f>
        <v>82740</v>
      </c>
      <c r="E29" s="59">
        <f t="shared" si="0"/>
        <v>273520</v>
      </c>
    </row>
    <row r="30" spans="1:5" x14ac:dyDescent="0.3">
      <c r="B30" s="2">
        <v>7</v>
      </c>
      <c r="C30" s="35" t="s">
        <v>99</v>
      </c>
      <c r="D30" s="45">
        <f>+D146</f>
        <v>45710</v>
      </c>
      <c r="E30" s="59">
        <f t="shared" si="0"/>
        <v>151100</v>
      </c>
    </row>
    <row r="31" spans="1:5" x14ac:dyDescent="0.3">
      <c r="B31" s="2">
        <v>8</v>
      </c>
      <c r="C31" s="35" t="s">
        <v>100</v>
      </c>
      <c r="D31" s="45">
        <f>+D154</f>
        <v>48800</v>
      </c>
      <c r="E31" s="59">
        <f t="shared" si="0"/>
        <v>161320</v>
      </c>
    </row>
    <row r="32" spans="1:5" x14ac:dyDescent="0.3">
      <c r="B32" s="2">
        <v>9</v>
      </c>
      <c r="C32" s="35" t="s">
        <v>101</v>
      </c>
      <c r="D32" s="45">
        <f>+D161</f>
        <v>53090</v>
      </c>
      <c r="E32" s="59">
        <f t="shared" si="0"/>
        <v>175500</v>
      </c>
    </row>
    <row r="33" spans="1:7" x14ac:dyDescent="0.3">
      <c r="B33" s="2">
        <v>10</v>
      </c>
      <c r="C33" s="35" t="s">
        <v>155</v>
      </c>
      <c r="D33" s="53">
        <f>TRUNC(SUM(D24:D32)*0.275,-1)</f>
        <v>435000</v>
      </c>
      <c r="E33" s="60">
        <f t="shared" si="0"/>
        <v>1438020</v>
      </c>
    </row>
    <row r="34" spans="1:7" x14ac:dyDescent="0.3">
      <c r="C34" s="35" t="s">
        <v>112</v>
      </c>
      <c r="D34" s="44">
        <f>SUM(D24:D33)</f>
        <v>2016850</v>
      </c>
      <c r="E34" s="44">
        <f>SUM(E24:E33)</f>
        <v>6667270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TRUNC(38443,-1)</f>
        <v>38440</v>
      </c>
      <c r="E40" s="62">
        <f t="shared" ref="E40:E59" si="1">TRUNC(+D40*3.3058,-1)</f>
        <v>127070</v>
      </c>
    </row>
    <row r="41" spans="1:7" x14ac:dyDescent="0.3">
      <c r="A41" s="2">
        <v>2</v>
      </c>
      <c r="C41" s="38" t="s">
        <v>13</v>
      </c>
      <c r="D41" s="42">
        <f>TRUNC(148536,-1)</f>
        <v>148530</v>
      </c>
      <c r="E41" s="63">
        <f t="shared" si="1"/>
        <v>491010</v>
      </c>
    </row>
    <row r="42" spans="1:7" x14ac:dyDescent="0.3">
      <c r="A42" s="2">
        <v>3</v>
      </c>
      <c r="C42" s="38" t="s">
        <v>14</v>
      </c>
      <c r="D42" s="42">
        <f>TRUNC(14648,-1)</f>
        <v>14640</v>
      </c>
      <c r="E42" s="63">
        <f t="shared" si="1"/>
        <v>48390</v>
      </c>
    </row>
    <row r="43" spans="1:7" x14ac:dyDescent="0.3">
      <c r="A43" s="2">
        <v>4</v>
      </c>
      <c r="C43" s="38" t="s">
        <v>16</v>
      </c>
      <c r="D43" s="42">
        <f>TRUNC(35769,-1)</f>
        <v>35760</v>
      </c>
      <c r="E43" s="63">
        <f t="shared" si="1"/>
        <v>118210</v>
      </c>
    </row>
    <row r="44" spans="1:7" x14ac:dyDescent="0.3">
      <c r="A44" s="2">
        <v>5</v>
      </c>
      <c r="C44" s="38" t="s">
        <v>17</v>
      </c>
      <c r="D44" s="42">
        <v>17040</v>
      </c>
      <c r="E44" s="63">
        <f t="shared" si="1"/>
        <v>56330</v>
      </c>
    </row>
    <row r="45" spans="1:7" x14ac:dyDescent="0.3">
      <c r="A45" s="2">
        <v>6</v>
      </c>
      <c r="C45" s="38" t="s">
        <v>18</v>
      </c>
      <c r="D45" s="42">
        <f>TRUNC(7268,-1)</f>
        <v>7260</v>
      </c>
      <c r="E45" s="63">
        <f t="shared" si="1"/>
        <v>24000</v>
      </c>
    </row>
    <row r="46" spans="1:7" x14ac:dyDescent="0.3">
      <c r="A46" s="2">
        <v>7</v>
      </c>
      <c r="C46" s="38" t="s">
        <v>19</v>
      </c>
      <c r="D46" s="42">
        <f>TRUNC(17312,-1)</f>
        <v>17310</v>
      </c>
      <c r="E46" s="63">
        <f t="shared" si="1"/>
        <v>57220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TRUNC(72322,-1)</f>
        <v>72320</v>
      </c>
      <c r="E48" s="63">
        <f t="shared" si="1"/>
        <v>239070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TRUNC(19432,-1)</f>
        <v>19430</v>
      </c>
      <c r="E49" s="63">
        <f t="shared" si="1"/>
        <v>64230</v>
      </c>
    </row>
    <row r="50" spans="1:7" x14ac:dyDescent="0.3">
      <c r="A50" s="2">
        <v>11</v>
      </c>
      <c r="C50" s="38" t="s">
        <v>156</v>
      </c>
      <c r="D50" s="42">
        <f>TRUNC(51824,-1)</f>
        <v>51820</v>
      </c>
      <c r="E50" s="63">
        <f t="shared" si="1"/>
        <v>171300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8320</v>
      </c>
      <c r="E52" s="63">
        <f t="shared" si="1"/>
        <v>27500</v>
      </c>
    </row>
    <row r="53" spans="1:7" x14ac:dyDescent="0.3">
      <c r="A53" s="2">
        <v>14</v>
      </c>
      <c r="C53" s="38" t="s">
        <v>25</v>
      </c>
      <c r="D53" s="42">
        <f>TRUNC(123226,-1)</f>
        <v>123220</v>
      </c>
      <c r="E53" s="63">
        <f t="shared" si="1"/>
        <v>407340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TRUNC(60118+7454-1033+3966+8377,-1)</f>
        <v>78880</v>
      </c>
      <c r="E58" s="63">
        <f t="shared" si="1"/>
        <v>260760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TRUNC(293885,-1)</f>
        <v>293880</v>
      </c>
      <c r="E59" s="64">
        <f t="shared" si="1"/>
        <v>971500</v>
      </c>
    </row>
    <row r="60" spans="1:7" x14ac:dyDescent="0.3">
      <c r="A60" s="2">
        <v>21</v>
      </c>
      <c r="C60" s="27" t="s">
        <v>112</v>
      </c>
      <c r="D60" s="39">
        <f>SUM(D40:D59)</f>
        <v>926850</v>
      </c>
      <c r="E60" s="39">
        <f>SUM(E40:E59)</f>
        <v>3063930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TRUNC(16106,-1)</f>
        <v>16100</v>
      </c>
      <c r="E63" s="62">
        <f>TRUNC(+D63*3.3058,-1)</f>
        <v>53220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16100</v>
      </c>
      <c r="E66" s="65">
        <f>SUM(E63:E65)</f>
        <v>53220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TRUNC(23569,-1)</f>
        <v>23560</v>
      </c>
      <c r="E69" s="62">
        <f t="shared" ref="E69:E94" si="2">TRUNC(+D69*3.3058,-1)</f>
        <v>77880</v>
      </c>
    </row>
    <row r="70" spans="1:7" ht="16.5" customHeight="1" x14ac:dyDescent="0.3">
      <c r="A70" s="2">
        <v>2</v>
      </c>
      <c r="C70" s="38" t="s">
        <v>31</v>
      </c>
      <c r="D70" s="42">
        <f>TRUNC(5137,-1)</f>
        <v>5130</v>
      </c>
      <c r="E70" s="63">
        <f t="shared" si="2"/>
        <v>16950</v>
      </c>
    </row>
    <row r="71" spans="1:7" x14ac:dyDescent="0.3">
      <c r="A71" s="2">
        <v>3</v>
      </c>
      <c r="C71" s="38" t="s">
        <v>32</v>
      </c>
      <c r="D71" s="42">
        <f>TRUNC(6814,-1)</f>
        <v>6810</v>
      </c>
      <c r="E71" s="63">
        <f t="shared" si="2"/>
        <v>22510</v>
      </c>
    </row>
    <row r="72" spans="1:7" x14ac:dyDescent="0.3">
      <c r="A72" s="2">
        <v>4</v>
      </c>
      <c r="C72" s="38" t="s">
        <v>33</v>
      </c>
      <c r="D72" s="42">
        <f>TRUNC(5891,-1)</f>
        <v>5890</v>
      </c>
      <c r="E72" s="63">
        <f t="shared" si="2"/>
        <v>19470</v>
      </c>
    </row>
    <row r="73" spans="1:7" x14ac:dyDescent="0.3">
      <c r="A73" s="2">
        <v>5</v>
      </c>
      <c r="C73" s="38" t="s">
        <v>34</v>
      </c>
      <c r="D73" s="42">
        <f>TRUNC(16612,-1)</f>
        <v>16610</v>
      </c>
      <c r="E73" s="63">
        <f t="shared" si="2"/>
        <v>54900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TRUNC(4058,-1)</f>
        <v>4050</v>
      </c>
      <c r="E76" s="63">
        <f t="shared" si="2"/>
        <v>13380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14730</v>
      </c>
      <c r="E89" s="63">
        <f t="shared" si="2"/>
        <v>48690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TRUNC(9193,-1)</f>
        <v>9190</v>
      </c>
      <c r="E91" s="63">
        <f t="shared" si="2"/>
        <v>30380</v>
      </c>
    </row>
    <row r="92" spans="1:7" x14ac:dyDescent="0.3">
      <c r="A92" s="2">
        <v>24</v>
      </c>
      <c r="C92" s="38" t="s">
        <v>38</v>
      </c>
      <c r="D92" s="42">
        <f>TRUNC(11054,-1)</f>
        <v>11050</v>
      </c>
      <c r="E92" s="63">
        <f t="shared" si="2"/>
        <v>36520</v>
      </c>
    </row>
    <row r="93" spans="1:7" x14ac:dyDescent="0.3">
      <c r="A93" s="2">
        <v>25</v>
      </c>
      <c r="C93" s="38" t="s">
        <v>149</v>
      </c>
      <c r="D93" s="42">
        <f>TRUNC(99759,-1)</f>
        <v>99750</v>
      </c>
      <c r="E93" s="63">
        <f t="shared" si="2"/>
        <v>329750</v>
      </c>
    </row>
    <row r="94" spans="1:7" ht="17.25" thickBot="1" x14ac:dyDescent="0.35">
      <c r="A94" s="2">
        <v>26</v>
      </c>
      <c r="C94" s="38" t="s">
        <v>47</v>
      </c>
      <c r="D94" s="43">
        <f>TRUNC(6031+3569+1158+25493,-1)</f>
        <v>36250</v>
      </c>
      <c r="E94" s="64">
        <f t="shared" si="2"/>
        <v>119830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233020</v>
      </c>
      <c r="E95" s="39">
        <f>SUM(E69:E94)</f>
        <v>770260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TRUNC(19924,-1)</f>
        <v>19920</v>
      </c>
      <c r="E98" s="62">
        <f t="shared" ref="E98:E118" si="3">TRUNC(+D98*3.3058,-1)</f>
        <v>65850</v>
      </c>
    </row>
    <row r="99" spans="1:7" x14ac:dyDescent="0.3">
      <c r="A99" s="2">
        <v>2</v>
      </c>
      <c r="C99" s="38" t="s">
        <v>40</v>
      </c>
      <c r="D99" s="42">
        <f>TRUNC(6313,-1)</f>
        <v>6310</v>
      </c>
      <c r="E99" s="63">
        <f t="shared" si="3"/>
        <v>20850</v>
      </c>
    </row>
    <row r="100" spans="1:7" x14ac:dyDescent="0.3">
      <c r="A100" s="2">
        <v>3</v>
      </c>
      <c r="C100" s="38" t="s">
        <v>41</v>
      </c>
      <c r="D100" s="42">
        <f>TRUNC(32373,-1)</f>
        <v>32370</v>
      </c>
      <c r="E100" s="63">
        <f t="shared" si="3"/>
        <v>107000</v>
      </c>
    </row>
    <row r="101" spans="1:7" x14ac:dyDescent="0.3">
      <c r="A101" s="2">
        <v>4</v>
      </c>
      <c r="C101" s="38" t="s">
        <v>42</v>
      </c>
      <c r="D101" s="42">
        <f>TRUNC(735,-1)</f>
        <v>730</v>
      </c>
      <c r="E101" s="63">
        <f t="shared" si="3"/>
        <v>2410</v>
      </c>
    </row>
    <row r="102" spans="1:7" x14ac:dyDescent="0.3">
      <c r="A102" s="2">
        <v>5</v>
      </c>
      <c r="C102" s="38" t="s">
        <v>43</v>
      </c>
      <c r="D102" s="42">
        <f>TRUNC(15804,-1)</f>
        <v>15800</v>
      </c>
      <c r="E102" s="63">
        <f t="shared" si="3"/>
        <v>52230</v>
      </c>
    </row>
    <row r="103" spans="1:7" x14ac:dyDescent="0.3">
      <c r="A103" s="2">
        <v>6</v>
      </c>
      <c r="C103" s="38" t="s">
        <v>44</v>
      </c>
      <c r="D103" s="42">
        <f>TRUNC(8417,-1)</f>
        <v>8410</v>
      </c>
      <c r="E103" s="63">
        <f t="shared" si="3"/>
        <v>27800</v>
      </c>
    </row>
    <row r="104" spans="1:7" x14ac:dyDescent="0.3">
      <c r="A104" s="2">
        <v>7</v>
      </c>
      <c r="C104" s="38" t="s">
        <v>45</v>
      </c>
      <c r="D104" s="42">
        <f>TRUNC(6759,-1)</f>
        <v>6750</v>
      </c>
      <c r="E104" s="63">
        <f t="shared" si="3"/>
        <v>22310</v>
      </c>
    </row>
    <row r="105" spans="1:7" x14ac:dyDescent="0.3">
      <c r="A105" s="2">
        <v>8</v>
      </c>
      <c r="C105" s="38" t="s">
        <v>46</v>
      </c>
      <c r="D105" s="42">
        <f>TRUNC(4129,-1)</f>
        <v>4120</v>
      </c>
      <c r="E105" s="63">
        <f t="shared" si="3"/>
        <v>13610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TRUNC(2822,-1)</f>
        <v>2820</v>
      </c>
      <c r="E114" s="63">
        <f t="shared" si="3"/>
        <v>9320</v>
      </c>
      <c r="F114" s="2" t="s">
        <v>260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TRUNC(1853,-1)</f>
        <v>1850</v>
      </c>
      <c r="E116" s="63">
        <f t="shared" si="3"/>
        <v>6110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TRUNC(73559,-1)</f>
        <v>73550</v>
      </c>
      <c r="E117" s="63">
        <f t="shared" si="3"/>
        <v>243140</v>
      </c>
    </row>
    <row r="118" spans="1:7" ht="17.25" thickBot="1" x14ac:dyDescent="0.35">
      <c r="A118" s="2">
        <v>21</v>
      </c>
      <c r="C118" s="38" t="s">
        <v>47</v>
      </c>
      <c r="D118" s="43">
        <f>TRUNC(2914,-1)</f>
        <v>2910</v>
      </c>
      <c r="E118" s="64">
        <f t="shared" si="3"/>
        <v>9610</v>
      </c>
    </row>
    <row r="119" spans="1:7" x14ac:dyDescent="0.3">
      <c r="A119" s="2">
        <v>22</v>
      </c>
      <c r="C119" s="27" t="s">
        <v>112</v>
      </c>
      <c r="D119" s="39">
        <f>SUM(D98:D118)</f>
        <v>175540</v>
      </c>
      <c r="E119" s="39">
        <f>SUM(E98:E118)</f>
        <v>580240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TRUNC(5571,-1)</f>
        <v>5570</v>
      </c>
      <c r="E122" s="62">
        <f t="shared" ref="E122:E132" si="4">TRUNC(+D122*3.3058,-1)</f>
        <v>18410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TRUNC(871,-1)</f>
        <v>870</v>
      </c>
      <c r="E124" s="63">
        <f t="shared" si="4"/>
        <v>2870</v>
      </c>
    </row>
    <row r="125" spans="1:7" x14ac:dyDescent="0.3">
      <c r="A125" s="2">
        <v>4</v>
      </c>
      <c r="C125" s="38" t="s">
        <v>138</v>
      </c>
      <c r="D125" s="42">
        <f>TRUNC(11626,-1)</f>
        <v>11620</v>
      </c>
      <c r="E125" s="63">
        <f t="shared" si="4"/>
        <v>38410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TRUNC(7126,-1)</f>
        <v>7120</v>
      </c>
      <c r="E128" s="63">
        <f t="shared" si="4"/>
        <v>23530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TRUNC(17785,-1)</f>
        <v>17780</v>
      </c>
      <c r="E130" s="63">
        <f t="shared" si="4"/>
        <v>58770</v>
      </c>
    </row>
    <row r="131" spans="1:7" x14ac:dyDescent="0.3">
      <c r="A131" s="2">
        <v>10</v>
      </c>
      <c r="C131" s="38" t="s">
        <v>149</v>
      </c>
      <c r="D131" s="42">
        <f>TRUNC(34472,-1)</f>
        <v>34470</v>
      </c>
      <c r="E131" s="63">
        <f t="shared" si="4"/>
        <v>113950</v>
      </c>
    </row>
    <row r="132" spans="1:7" ht="18" thickBot="1" x14ac:dyDescent="0.35">
      <c r="A132" s="2">
        <v>11</v>
      </c>
      <c r="C132" s="38" t="s">
        <v>47</v>
      </c>
      <c r="D132" s="43">
        <f>TRUNC(5030+284,-1)</f>
        <v>5310</v>
      </c>
      <c r="E132" s="64">
        <f t="shared" si="4"/>
        <v>17550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82740</v>
      </c>
      <c r="E133" s="39">
        <f>SUM(E122:E132)</f>
        <v>273490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TRUNC(2177,-1)</f>
        <v>2170</v>
      </c>
      <c r="E137" s="63">
        <f t="shared" si="5"/>
        <v>7170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TRUNC(901,-1)</f>
        <v>900</v>
      </c>
      <c r="E139" s="63">
        <f t="shared" si="5"/>
        <v>2970</v>
      </c>
    </row>
    <row r="140" spans="1:7" x14ac:dyDescent="0.3">
      <c r="A140" s="2">
        <v>5</v>
      </c>
      <c r="C140" s="38" t="s">
        <v>57</v>
      </c>
      <c r="D140" s="42">
        <f>TRUNC(2928,-1)</f>
        <v>2920</v>
      </c>
      <c r="E140" s="63">
        <f t="shared" si="5"/>
        <v>9650</v>
      </c>
    </row>
    <row r="141" spans="1:7" x14ac:dyDescent="0.3">
      <c r="A141" s="2">
        <v>6</v>
      </c>
      <c r="C141" s="38" t="s">
        <v>59</v>
      </c>
      <c r="D141" s="42">
        <f>TRUNC(5871,-1)</f>
        <v>5870</v>
      </c>
      <c r="E141" s="63">
        <f t="shared" si="5"/>
        <v>19400</v>
      </c>
    </row>
    <row r="142" spans="1:7" x14ac:dyDescent="0.3">
      <c r="A142" s="2">
        <v>7</v>
      </c>
      <c r="C142" s="38" t="s">
        <v>58</v>
      </c>
      <c r="D142" s="42">
        <f>TRUNC(10101,-1)</f>
        <v>10100</v>
      </c>
      <c r="E142" s="63">
        <f t="shared" si="5"/>
        <v>33380</v>
      </c>
    </row>
    <row r="143" spans="1:7" x14ac:dyDescent="0.3">
      <c r="A143" s="2">
        <v>8</v>
      </c>
      <c r="C143" s="38" t="s">
        <v>62</v>
      </c>
      <c r="D143" s="42">
        <f>TRUNC(5358,-1)</f>
        <v>5350</v>
      </c>
      <c r="E143" s="63">
        <f t="shared" si="5"/>
        <v>17680</v>
      </c>
    </row>
    <row r="144" spans="1:7" x14ac:dyDescent="0.3">
      <c r="A144" s="2">
        <v>9</v>
      </c>
      <c r="C144" s="38" t="s">
        <v>63</v>
      </c>
      <c r="D144" s="42">
        <f>TRUNC(18408,-1)</f>
        <v>18400</v>
      </c>
      <c r="E144" s="63">
        <f t="shared" si="5"/>
        <v>60820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45710</v>
      </c>
      <c r="E146" s="39">
        <f>SUM(E136:E145)</f>
        <v>151070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TRUNC(6323+2142,-1)</f>
        <v>8460</v>
      </c>
      <c r="E149" s="62">
        <f>TRUNC(+D149*3.3058,-1)</f>
        <v>27960</v>
      </c>
    </row>
    <row r="150" spans="1:7" x14ac:dyDescent="0.3">
      <c r="A150" s="2">
        <v>2</v>
      </c>
      <c r="C150" s="38" t="s">
        <v>49</v>
      </c>
      <c r="D150" s="42">
        <v>5030</v>
      </c>
      <c r="E150" s="63">
        <f>TRUNC(+D150*3.3058,-1)</f>
        <v>16620</v>
      </c>
    </row>
    <row r="151" spans="1:7" x14ac:dyDescent="0.3">
      <c r="A151" s="2">
        <v>3</v>
      </c>
      <c r="C151" s="38" t="s">
        <v>50</v>
      </c>
      <c r="D151" s="42">
        <f>TRUNC(1469,-1)</f>
        <v>1460</v>
      </c>
      <c r="E151" s="63">
        <f>TRUNC(+D151*3.3058,-1)</f>
        <v>4820</v>
      </c>
    </row>
    <row r="152" spans="1:7" x14ac:dyDescent="0.3">
      <c r="A152" s="2">
        <v>4</v>
      </c>
      <c r="C152" s="38" t="s">
        <v>47</v>
      </c>
      <c r="D152" s="42">
        <f>TRUNC(4831+787,-1)</f>
        <v>5610</v>
      </c>
      <c r="E152" s="63">
        <f>TRUNC(+D152*3.3058,-1)</f>
        <v>18540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TRUNC(28242,-1)</f>
        <v>28240</v>
      </c>
      <c r="E153" s="64">
        <f>TRUNC(+D153*3.3058,-1)</f>
        <v>93350</v>
      </c>
    </row>
    <row r="154" spans="1:7" x14ac:dyDescent="0.3">
      <c r="A154" s="2">
        <v>6</v>
      </c>
      <c r="C154" s="27" t="s">
        <v>112</v>
      </c>
      <c r="D154" s="39">
        <f>SUM(D149:D153)</f>
        <v>48800</v>
      </c>
      <c r="E154" s="39">
        <f>SUM(E149:E153)</f>
        <v>161290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TRUNC(23385,-1)</f>
        <v>23380</v>
      </c>
      <c r="E157" s="62">
        <f>TRUNC(+D157*3.3058,-1)</f>
        <v>77280</v>
      </c>
    </row>
    <row r="158" spans="1:7" x14ac:dyDescent="0.3">
      <c r="A158" s="2">
        <v>2</v>
      </c>
      <c r="C158" s="38" t="s">
        <v>52</v>
      </c>
      <c r="D158" s="42">
        <f>TRUNC(17238,-1)</f>
        <v>17230</v>
      </c>
      <c r="E158" s="63">
        <f>TRUNC(+D158*3.3058,-1)</f>
        <v>56950</v>
      </c>
    </row>
    <row r="159" spans="1:7" x14ac:dyDescent="0.3">
      <c r="A159" s="2">
        <v>3</v>
      </c>
      <c r="C159" s="38" t="s">
        <v>47</v>
      </c>
      <c r="D159" s="42">
        <f>TRUNC(4666,-1)</f>
        <v>4660</v>
      </c>
      <c r="E159" s="63">
        <f>TRUNC(+D159*3.3058,-1)</f>
        <v>15400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f>TRUNC(7829,-1)</f>
        <v>7820</v>
      </c>
      <c r="E160" s="64">
        <f>TRUNC(+D160*3.3058,-1)</f>
        <v>25850</v>
      </c>
    </row>
    <row r="161" spans="1:5" x14ac:dyDescent="0.3">
      <c r="A161" s="2">
        <v>5</v>
      </c>
      <c r="C161" s="27" t="s">
        <v>112</v>
      </c>
      <c r="D161" s="39">
        <f>SUM(D157:D160)</f>
        <v>53090</v>
      </c>
      <c r="E161" s="39">
        <f>SUM(E157:E160)</f>
        <v>175480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2020-12-08T04:36:10Z</dcterms:modified>
</cp:coreProperties>
</file>