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2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3" i="4"/>
  <c r="D91" i="4"/>
  <c r="D89" i="4"/>
  <c r="D73" i="4"/>
  <c r="D72" i="4"/>
  <c r="D71" i="4"/>
  <c r="D70" i="4"/>
  <c r="D69" i="4"/>
  <c r="D63" i="4"/>
  <c r="D43" i="4"/>
  <c r="D59" i="4"/>
  <c r="D58" i="4"/>
  <c r="D53" i="4"/>
  <c r="D52" i="4"/>
  <c r="D50" i="4"/>
  <c r="D49" i="4"/>
  <c r="D48" i="4"/>
  <c r="D46" i="4"/>
  <c r="D44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<sst xmlns="http://schemas.openxmlformats.org/spreadsheetml/2006/main" count="393" uniqueCount="267">
  <si>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</si>
  <si>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</si>
  <si>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</si>
  <si>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</si>
  <si>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</si>
  <si>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</si>
  <si>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</si>
  <si>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</si>
  <si>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</si>
  <si>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</si>
  <si>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</si>
  <si>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</si>
  <si>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</si>
  <si>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</si>
  <si>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</si>
  <si>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</si>
  <si>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</si>
  <si>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</si>
  <si>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</si>
  <si>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</si>
  <si>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</si>
  <si>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</si>
  <si>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</si>
  <si>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</si>
  <si>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</si>
  <si>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</si>
  <si>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</si>
  <si>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</si>
  <si>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</si>
  <si>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</si>
  <si>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</si>
  <si>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</si>
  <si>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</si>
  <si>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</si>
  <si>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</si>
  <si>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</si>
  <si>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</si>
  <si>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</si>
  <si>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</si>
  <si>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</si>
  <si>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</si>
  <si>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</si>
  <si>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</si>
  <si>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</si>
  <si>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</si>
  <si>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</si>
  <si>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</si>
  <si>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</si>
  <si>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</si>
  <si>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</si>
  <si>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</si>
  <si>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</si>
  <si>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</si>
  <si>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</si>
  <si>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</si>
  <si>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</si>
  <si>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</si>
  <si>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</si>
  <si>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</si>
  <si>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</si>
  <si>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</si>
  <si>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</si>
  <si>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</si>
  <si>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</si>
  <si>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</si>
  <si>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</si>
  <si>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</si>
  <si>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</si>
  <si>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</si>
  <si>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</si>
  <si>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</si>
  <si>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</si>
  <si>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</si>
  <si>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</si>
  <si>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</si>
  <si>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</si>
  <si>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</si>
  <si>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</si>
  <si>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</si>
  <si>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</si>
  <si>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</si>
  <si>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</si>
  <si>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</si>
  <si>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</si>
  <si>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</si>
  <si>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</si>
  <si>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</si>
  <si>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</si>
  <si>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</si>
  <si>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</si>
  <si>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</si>
  <si>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</si>
  <si>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</si>
  <si>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</si>
  <si>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</si>
  <si>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</si>
  <si>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</si>
  <si>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</si>
  <si>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</si>
  <si>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</si>
  <si>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</si>
  <si>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</si>
  <si>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</si>
  <si>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</si>
  <si>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</si>
  <si>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</si>
  <si>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</si>
  <si>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</si>
  <si>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</si>
  <si>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</si>
  <si>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</si>
  <si>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</si>
  <si>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</si>
  <si>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</si>
  <si>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</si>
  <si>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</si>
  <si>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</si>
  <si>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</si>
  <si>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</si>
  <si>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</si>
  <si>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</si>
  <si>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</si>
  <si>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</si>
  <si>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</si>
  <si>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</si>
  <si>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</si>
  <si>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</si>
  <si>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</si>
  <si>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</si>
  <si>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</si>
  <si>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</si>
  <si>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</si>
  <si>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</si>
  <si>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</si>
  <si>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</si>
  <si>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</si>
  <si>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</si>
  <si>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</si>
  <si>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</si>
  <si>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</si>
  <si>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</si>
  <si>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</si>
  <si>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</si>
  <si>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</si>
  <si>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</si>
  <si>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</si>
  <si>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</si>
  <si>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</si>
  <si>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</si>
  <si>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</si>
  <si>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</si>
  <si>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</si>
  <si>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</si>
  <si>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</si>
  <si>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</si>
  <si>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</si>
  <si>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</si>
  <si>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</si>
  <si>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</si>
  <si>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</si>
  <si>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</si>
  <si>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</si>
  <si>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</si>
  <si>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</si>
  <si>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</si>
  <si>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</si>
  <si>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</si>
  <si>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</si>
  <si>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</si>
  <si>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</si>
  <si>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</si>
  <si>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</si>
  <si>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</si>
  <si>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</si>
  <si>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</si>
  <si>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</si>
  <si>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</si>
  <si>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</si>
  <si>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</si>
  <si>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</si>
  <si>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</si>
  <si>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</si>
  <si>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</si>
  <si>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</si>
  <si>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</si>
  <si>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</si>
  <si>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</si>
  <si>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</si>
  <si>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</si>
  <si>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</si>
  <si>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</si>
  <si>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</si>
  <si>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</si>
  <si>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</si>
  <si>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</si>
  <si>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</si>
  <si>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</si>
  <si>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</si>
  <si>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</si>
  <si>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</si>
  <si>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</si>
  <si>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</si>
  <si>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</si>
  <si>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</si>
  <si>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</si>
  <si>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</si>
  <si>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</si>
  <si>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</si>
  <si>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</si>
  <si>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</si>
  <si>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</si>
  <si>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</si>
  <si>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</si>
  <si>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</si>
  <si>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</si>
  <si>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</si>
  <si>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</si>
  <si>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</si>
  <si>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</si>
  <si>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</si>
  <si>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</si>
  <si>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</si>
  <si>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</si>
  <si>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</si>
  <si>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</si>
  <si>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</si>
  <si>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</si>
  <si>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</si>
  <si>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</si>
  <si>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</si>
  <si>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</si>
  <si>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</si>
  <si>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</si>
  <si>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</si>
  <si>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</si>
  <si>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</si>
  <si>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</si>
  <si>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</si>
  <si>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</si>
  <si>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</si>
  <si>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</si>
  <si>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</si>
  <si>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</si>
  <si>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</si>
  <si>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</si>
  <si>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</si>
  <si>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</si>
  <si>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</si>
  <si>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</si>
  <si>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</si>
  <si>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</si>
  <si>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</si>
  <si>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</si>
  <si>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</si>
  <si>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</si>
  <si>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</si>
  <si>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기타</t>
  </si>
  <si>
    <t>가칭 기지유치원 신축공사</t>
    <phoneticPr fontId="2" type="noConversion"/>
  </si>
  <si>
    <t>충청도</t>
  </si>
  <si>
    <t>기초공사, 폐기물처리비, 골재비및운반비, 작업부산물, 기타공사</t>
    <phoneticPr fontId="2" type="noConversion"/>
  </si>
  <si>
    <t>난방배관공사,기타공사</t>
    <phoneticPr fontId="2" type="noConversion"/>
  </si>
  <si>
    <t>옥외소화배관공사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</si>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</sst>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3416.58</v>
      </c>
      <c r="D7" s="36">
        <f>+C7/3.3058</f>
        <v>1033.5107992014036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903890</v>
      </c>
      <c r="E25" s="59">
        <f t="shared" si="0"/>
        <v>2988070</v>
      </c>
    </row>
    <row r="26" spans="1:5" x14ac:dyDescent="0.3">
      <c r="B26" s="2">
        <v>3</v>
      </c>
      <c r="C26" s="35" t="s">
        <v>95</v>
      </c>
      <c r="D26" s="45">
        <f>+D66</f>
        <v>9140</v>
      </c>
      <c r="E26" s="59">
        <f t="shared" si="0"/>
        <v>30210</v>
      </c>
    </row>
    <row r="27" spans="1:5" x14ac:dyDescent="0.3">
      <c r="B27" s="2">
        <v>4</v>
      </c>
      <c r="C27" s="35" t="s">
        <v>96</v>
      </c>
      <c r="D27" s="45">
        <f>+D95</f>
        <v>253460</v>
      </c>
      <c r="E27" s="59">
        <f t="shared" si="0"/>
        <v>837880</v>
      </c>
    </row>
    <row r="28" spans="1:5" x14ac:dyDescent="0.3">
      <c r="B28" s="2">
        <v>5</v>
      </c>
      <c r="C28" s="35" t="s">
        <v>97</v>
      </c>
      <c r="D28" s="45">
        <f>+D119</f>
        <v>204750</v>
      </c>
      <c r="E28" s="59">
        <f t="shared" si="0"/>
        <v>676860</v>
      </c>
    </row>
    <row r="29" spans="1:5" x14ac:dyDescent="0.3">
      <c r="B29" s="2">
        <v>6</v>
      </c>
      <c r="C29" s="35" t="s">
        <v>98</v>
      </c>
      <c r="D29" s="45">
        <f>+D133</f>
        <v>67030</v>
      </c>
      <c r="E29" s="59">
        <f t="shared" si="0"/>
        <v>221580</v>
      </c>
    </row>
    <row r="30" spans="1:5" x14ac:dyDescent="0.3">
      <c r="B30" s="2">
        <v>7</v>
      </c>
      <c r="C30" s="35" t="s">
        <v>99</v>
      </c>
      <c r="D30" s="45">
        <f>+D146</f>
        <v>67910</v>
      </c>
      <c r="E30" s="59">
        <f t="shared" si="0"/>
        <v>224490</v>
      </c>
    </row>
    <row r="31" spans="1:5" x14ac:dyDescent="0.3">
      <c r="B31" s="2">
        <v>8</v>
      </c>
      <c r="C31" s="35" t="s">
        <v>100</v>
      </c>
      <c r="D31" s="45">
        <f>+D154</f>
        <v>53190</v>
      </c>
      <c r="E31" s="59">
        <f t="shared" si="0"/>
        <v>175830</v>
      </c>
    </row>
    <row r="32" spans="1:5" x14ac:dyDescent="0.3">
      <c r="B32" s="2">
        <v>9</v>
      </c>
      <c r="C32" s="35" t="s">
        <v>101</v>
      </c>
      <c r="D32" s="45">
        <f>+D161</f>
        <v>55090</v>
      </c>
      <c r="E32" s="59">
        <f t="shared" si="0"/>
        <v>182110</v>
      </c>
    </row>
    <row r="33" spans="1:7" x14ac:dyDescent="0.3">
      <c r="B33" s="2">
        <v>10</v>
      </c>
      <c r="C33" s="35" t="s">
        <v>155</v>
      </c>
      <c r="D33" s="53">
        <f>TRUNC(SUM(D24:D32)*0.275,-1)</f>
        <v>443970</v>
      </c>
      <c r="E33" s="60">
        <f t="shared" si="0"/>
        <v>1467670</v>
      </c>
    </row>
    <row r="34" spans="1:7" x14ac:dyDescent="0.3">
      <c r="C34" s="35" t="s">
        <v>112</v>
      </c>
      <c r="D34" s="44">
        <f>SUM(D24:D33)</f>
        <v>2058430</v>
      </c>
      <c r="E34" s="44">
        <f>SUM(E24:E33)</f>
        <v>6804700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TRUNC(52848,-1)</f>
        <v>52840</v>
      </c>
      <c r="E40" s="62">
        <f t="shared" ref="E40:E59" si="1">TRUNC(+D40*3.3058,-1)</f>
        <v>174670</v>
      </c>
    </row>
    <row r="41" spans="1:7" x14ac:dyDescent="0.3">
      <c r="A41" s="2">
        <v>2</v>
      </c>
      <c r="C41" s="38" t="s">
        <v>13</v>
      </c>
      <c r="D41" s="42">
        <f>TRUNC(187904,-1)</f>
        <v>187900</v>
      </c>
      <c r="E41" s="63">
        <f t="shared" si="1"/>
        <v>621150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TRUNC(55246,-1)</f>
        <v>55240</v>
      </c>
      <c r="E43" s="63">
        <f t="shared" si="1"/>
        <v>182610</v>
      </c>
    </row>
    <row r="44" spans="1:7" x14ac:dyDescent="0.3">
      <c r="A44" s="2">
        <v>5</v>
      </c>
      <c r="C44" s="38" t="s">
        <v>17</v>
      </c>
      <c r="D44" s="42">
        <f>TRUNC(38442,-1)</f>
        <v>38440</v>
      </c>
      <c r="E44" s="63">
        <f t="shared" si="1"/>
        <v>127070</v>
      </c>
    </row>
    <row r="45" spans="1:7" x14ac:dyDescent="0.3">
      <c r="A45" s="2">
        <v>6</v>
      </c>
      <c r="C45" s="38" t="s">
        <v>18</v>
      </c>
      <c r="D45" s="42">
        <v>13530</v>
      </c>
      <c r="E45" s="63">
        <f t="shared" si="1"/>
        <v>44720</v>
      </c>
    </row>
    <row r="46" spans="1:7" x14ac:dyDescent="0.3">
      <c r="A46" s="2">
        <v>7</v>
      </c>
      <c r="C46" s="38" t="s">
        <v>19</v>
      </c>
      <c r="D46" s="42">
        <f>TRUNC(17009,-1)</f>
        <v>17000</v>
      </c>
      <c r="E46" s="63">
        <f t="shared" si="1"/>
        <v>56190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TRUNC(35973,-1)</f>
        <v>35970</v>
      </c>
      <c r="E48" s="63">
        <f t="shared" si="1"/>
        <v>118900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TRUNC(28586,-1)</f>
        <v>28580</v>
      </c>
      <c r="E49" s="63">
        <f t="shared" si="1"/>
        <v>94470</v>
      </c>
    </row>
    <row r="50" spans="1:7" x14ac:dyDescent="0.3">
      <c r="A50" s="2">
        <v>11</v>
      </c>
      <c r="C50" s="38" t="s">
        <v>156</v>
      </c>
      <c r="D50" s="42">
        <f>TRUNC(50305,-1)</f>
        <v>50300</v>
      </c>
      <c r="E50" s="63">
        <f t="shared" si="1"/>
        <v>166280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TRUNC(14346,-1)</f>
        <v>14340</v>
      </c>
      <c r="E52" s="63">
        <f t="shared" si="1"/>
        <v>47400</v>
      </c>
    </row>
    <row r="53" spans="1:7" x14ac:dyDescent="0.3">
      <c r="A53" s="2">
        <v>14</v>
      </c>
      <c r="C53" s="38" t="s">
        <v>25</v>
      </c>
      <c r="D53" s="42">
        <f>TRUNC(120527,-1)</f>
        <v>120520</v>
      </c>
      <c r="E53" s="63">
        <f t="shared" si="1"/>
        <v>398410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TRUNC(27109+1551+9839-329+18244,-1)</f>
        <v>56410</v>
      </c>
      <c r="E58" s="63">
        <f t="shared" si="1"/>
        <v>186480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TRUNC(232825,-1)</f>
        <v>232820</v>
      </c>
      <c r="E59" s="64">
        <f t="shared" si="1"/>
        <v>769650</v>
      </c>
    </row>
    <row r="60" spans="1:7" x14ac:dyDescent="0.3">
      <c r="A60" s="2">
        <v>21</v>
      </c>
      <c r="C60" s="27" t="s">
        <v>112</v>
      </c>
      <c r="D60" s="39">
        <f>SUM(D40:D59)</f>
        <v>903890</v>
      </c>
      <c r="E60" s="39">
        <f>SUM(E40:E59)</f>
        <v>2988000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TRUNC(9147,-1)</f>
        <v>9140</v>
      </c>
      <c r="E63" s="62">
        <f>TRUNC(+D63*3.3058,-1)</f>
        <v>30210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9140</v>
      </c>
      <c r="E66" s="65">
        <f>SUM(E63:E65)</f>
        <v>30210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TRUNC(12636,-1)</f>
        <v>12630</v>
      </c>
      <c r="E69" s="62">
        <f t="shared" ref="E69:E94" si="2">TRUNC(+D69*3.3058,-1)</f>
        <v>41750</v>
      </c>
    </row>
    <row r="70" spans="1:7" ht="16.5" customHeight="1" x14ac:dyDescent="0.3">
      <c r="A70" s="2">
        <v>2</v>
      </c>
      <c r="C70" s="38" t="s">
        <v>31</v>
      </c>
      <c r="D70" s="42">
        <f>TRUNC(947,-1)</f>
        <v>940</v>
      </c>
      <c r="E70" s="63">
        <f t="shared" si="2"/>
        <v>3100</v>
      </c>
    </row>
    <row r="71" spans="1:7" x14ac:dyDescent="0.3">
      <c r="A71" s="2">
        <v>3</v>
      </c>
      <c r="C71" s="38" t="s">
        <v>32</v>
      </c>
      <c r="D71" s="42">
        <f>TRUNC(8999,-1)</f>
        <v>8990</v>
      </c>
      <c r="E71" s="63">
        <f t="shared" si="2"/>
        <v>29710</v>
      </c>
    </row>
    <row r="72" spans="1:7" x14ac:dyDescent="0.3">
      <c r="A72" s="2">
        <v>4</v>
      </c>
      <c r="C72" s="38" t="s">
        <v>33</v>
      </c>
      <c r="D72" s="42">
        <f>TRUNC(14765,-1)</f>
        <v>14760</v>
      </c>
      <c r="E72" s="63">
        <f t="shared" si="2"/>
        <v>48790</v>
      </c>
    </row>
    <row r="73" spans="1:7" x14ac:dyDescent="0.3">
      <c r="A73" s="2">
        <v>5</v>
      </c>
      <c r="C73" s="38" t="s">
        <v>34</v>
      </c>
      <c r="D73" s="42">
        <f>TRUNC(8858,-1)</f>
        <v>8850</v>
      </c>
      <c r="E73" s="63">
        <f t="shared" si="2"/>
        <v>29250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TRUNC(8429,-1)</f>
        <v>8420</v>
      </c>
      <c r="E89" s="63">
        <f t="shared" si="2"/>
        <v>27830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TRUNC(5939,-1)</f>
        <v>5930</v>
      </c>
      <c r="E91" s="63">
        <f t="shared" si="2"/>
        <v>19600</v>
      </c>
    </row>
    <row r="92" spans="1:7" x14ac:dyDescent="0.3">
      <c r="A92" s="2">
        <v>24</v>
      </c>
      <c r="C92" s="38" t="s">
        <v>38</v>
      </c>
      <c r="D92" s="42">
        <v>7150</v>
      </c>
      <c r="E92" s="63">
        <f t="shared" si="2"/>
        <v>23630</v>
      </c>
    </row>
    <row r="93" spans="1:7" x14ac:dyDescent="0.3">
      <c r="A93" s="2">
        <v>25</v>
      </c>
      <c r="C93" s="38" t="s">
        <v>149</v>
      </c>
      <c r="D93" s="42">
        <f>TRUNC(105739,-1)</f>
        <v>105730</v>
      </c>
      <c r="E93" s="63">
        <f t="shared" si="2"/>
        <v>349520</v>
      </c>
    </row>
    <row r="94" spans="1:7" ht="17.25" thickBot="1" x14ac:dyDescent="0.35">
      <c r="A94" s="2">
        <v>26</v>
      </c>
      <c r="C94" s="38" t="s">
        <v>47</v>
      </c>
      <c r="D94" s="43">
        <f>TRUNC(42476+37589,-1)</f>
        <v>80060</v>
      </c>
      <c r="E94" s="64">
        <f t="shared" si="2"/>
        <v>264660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253460</v>
      </c>
      <c r="E95" s="39">
        <f>SUM(E69:E94)</f>
        <v>837840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TRUNC(5803,-1)</f>
        <v>5800</v>
      </c>
      <c r="E98" s="62">
        <f t="shared" ref="E98:E118" si="3">TRUNC(+D98*3.3058,-1)</f>
        <v>19170</v>
      </c>
    </row>
    <row r="99" spans="1:7" x14ac:dyDescent="0.3">
      <c r="A99" s="2">
        <v>2</v>
      </c>
      <c r="C99" s="38" t="s">
        <v>40</v>
      </c>
      <c r="D99" s="42">
        <f>TRUNC(4335,-1)</f>
        <v>4330</v>
      </c>
      <c r="E99" s="63">
        <f t="shared" si="3"/>
        <v>14310</v>
      </c>
    </row>
    <row r="100" spans="1:7" x14ac:dyDescent="0.3">
      <c r="A100" s="2">
        <v>3</v>
      </c>
      <c r="C100" s="38" t="s">
        <v>41</v>
      </c>
      <c r="D100" s="42">
        <f>TRUNC(26756,-1)</f>
        <v>26750</v>
      </c>
      <c r="E100" s="63">
        <f t="shared" si="3"/>
        <v>88430</v>
      </c>
    </row>
    <row r="101" spans="1:7" x14ac:dyDescent="0.3">
      <c r="A101" s="2">
        <v>4</v>
      </c>
      <c r="C101" s="38" t="s">
        <v>42</v>
      </c>
      <c r="D101" s="42">
        <f>TRUNC(586,-1)</f>
        <v>580</v>
      </c>
      <c r="E101" s="63">
        <f t="shared" si="3"/>
        <v>1910</v>
      </c>
    </row>
    <row r="102" spans="1:7" x14ac:dyDescent="0.3">
      <c r="A102" s="2">
        <v>5</v>
      </c>
      <c r="C102" s="38" t="s">
        <v>43</v>
      </c>
      <c r="D102" s="42">
        <f>TRUNC(12896,-1)</f>
        <v>12890</v>
      </c>
      <c r="E102" s="63">
        <f t="shared" si="3"/>
        <v>42610</v>
      </c>
    </row>
    <row r="103" spans="1:7" x14ac:dyDescent="0.3">
      <c r="A103" s="2">
        <v>6</v>
      </c>
      <c r="C103" s="38" t="s">
        <v>44</v>
      </c>
      <c r="D103" s="42">
        <f>TRUNC(8542,-1)</f>
        <v>8540</v>
      </c>
      <c r="E103" s="63">
        <f t="shared" si="3"/>
        <v>28230</v>
      </c>
    </row>
    <row r="104" spans="1:7" x14ac:dyDescent="0.3">
      <c r="A104" s="2">
        <v>7</v>
      </c>
      <c r="C104" s="38" t="s">
        <v>45</v>
      </c>
      <c r="D104" s="42">
        <f>TRUNC(642,-1)</f>
        <v>640</v>
      </c>
      <c r="E104" s="63">
        <f t="shared" si="3"/>
        <v>2110</v>
      </c>
    </row>
    <row r="105" spans="1:7" x14ac:dyDescent="0.3">
      <c r="A105" s="2">
        <v>8</v>
      </c>
      <c r="C105" s="38" t="s">
        <v>46</v>
      </c>
      <c r="D105" s="42">
        <v>5240</v>
      </c>
      <c r="E105" s="63">
        <f t="shared" si="3"/>
        <v>17320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TRUNC(3406,-1)</f>
        <v>3400</v>
      </c>
      <c r="E114" s="63">
        <f t="shared" si="3"/>
        <v>11230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TRUNC(8876,-1)</f>
        <v>8870</v>
      </c>
      <c r="E116" s="63">
        <f t="shared" si="3"/>
        <v>29320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TRUNC(123843,-1)</f>
        <v>123840</v>
      </c>
      <c r="E117" s="63">
        <f t="shared" si="3"/>
        <v>409390</v>
      </c>
    </row>
    <row r="118" spans="1:7" ht="17.25" thickBot="1" x14ac:dyDescent="0.35">
      <c r="A118" s="2">
        <v>21</v>
      </c>
      <c r="C118" s="38" t="s">
        <v>47</v>
      </c>
      <c r="D118" s="43">
        <f>TRUNC(3872,-1)</f>
        <v>3870</v>
      </c>
      <c r="E118" s="64">
        <f t="shared" si="3"/>
        <v>12790</v>
      </c>
    </row>
    <row r="119" spans="1:7" x14ac:dyDescent="0.3">
      <c r="A119" s="2">
        <v>22</v>
      </c>
      <c r="C119" s="27" t="s">
        <v>112</v>
      </c>
      <c r="D119" s="39">
        <f>SUM(D98:D118)</f>
        <v>204750</v>
      </c>
      <c r="E119" s="39">
        <f>SUM(E98:E118)</f>
        <v>676820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TRUNC(6941,-1)</f>
        <v>6940</v>
      </c>
      <c r="E122" s="62">
        <f t="shared" ref="E122:E132" si="4">TRUNC(+D122*3.3058,-1)</f>
        <v>22940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TRUNC(7958,-1)</f>
        <v>7950</v>
      </c>
      <c r="E125" s="63">
        <f t="shared" si="4"/>
        <v>26280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TRUNC(4188,-1)</f>
        <v>4180</v>
      </c>
      <c r="E128" s="63">
        <f t="shared" si="4"/>
        <v>13810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TRUNC(18759,-1)</f>
        <v>18750</v>
      </c>
      <c r="E130" s="63">
        <f t="shared" si="4"/>
        <v>61980</v>
      </c>
    </row>
    <row r="131" spans="1:7" x14ac:dyDescent="0.3">
      <c r="A131" s="2">
        <v>10</v>
      </c>
      <c r="C131" s="38" t="s">
        <v>149</v>
      </c>
      <c r="D131" s="42">
        <f>TRUNC(17077,-1)</f>
        <v>17070</v>
      </c>
      <c r="E131" s="63">
        <f t="shared" si="4"/>
        <v>56430</v>
      </c>
    </row>
    <row r="132" spans="1:7" ht="18" thickBot="1" x14ac:dyDescent="0.35">
      <c r="A132" s="2">
        <v>11</v>
      </c>
      <c r="C132" s="38" t="s">
        <v>47</v>
      </c>
      <c r="D132" s="43">
        <f>TRUNC(12146,-1)</f>
        <v>12140</v>
      </c>
      <c r="E132" s="64">
        <f t="shared" si="4"/>
        <v>40130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67030</v>
      </c>
      <c r="E133" s="39">
        <f>SUM(E122:E132)</f>
        <v>221570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TRUNC(599+6973,-1)</f>
        <v>7570</v>
      </c>
      <c r="E137" s="63">
        <f t="shared" si="5"/>
        <v>25020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TRUNC(6296,-1)</f>
        <v>6290</v>
      </c>
      <c r="E139" s="63">
        <f t="shared" si="5"/>
        <v>20790</v>
      </c>
    </row>
    <row r="140" spans="1:7" x14ac:dyDescent="0.3">
      <c r="A140" s="2">
        <v>5</v>
      </c>
      <c r="C140" s="38" t="s">
        <v>57</v>
      </c>
      <c r="D140" s="42">
        <f>TRUNC(4777,-1)</f>
        <v>4770</v>
      </c>
      <c r="E140" s="63">
        <f t="shared" si="5"/>
        <v>15760</v>
      </c>
    </row>
    <row r="141" spans="1:7" x14ac:dyDescent="0.3">
      <c r="A141" s="2">
        <v>6</v>
      </c>
      <c r="C141" s="38" t="s">
        <v>59</v>
      </c>
      <c r="D141" s="42">
        <f>TRUNC(28818,-1)</f>
        <v>28810</v>
      </c>
      <c r="E141" s="63">
        <f t="shared" si="5"/>
        <v>95240</v>
      </c>
    </row>
    <row r="142" spans="1:7" x14ac:dyDescent="0.3">
      <c r="A142" s="2">
        <v>7</v>
      </c>
      <c r="C142" s="38" t="s">
        <v>58</v>
      </c>
      <c r="D142" s="42">
        <f>TRUNC(4932,-1)</f>
        <v>4930</v>
      </c>
      <c r="E142" s="63">
        <f t="shared" si="5"/>
        <v>16290</v>
      </c>
    </row>
    <row r="143" spans="1:7" x14ac:dyDescent="0.3">
      <c r="A143" s="2">
        <v>8</v>
      </c>
      <c r="C143" s="38" t="s">
        <v>62</v>
      </c>
      <c r="D143" s="42">
        <f>TRUNC(2026,-1)</f>
        <v>2020</v>
      </c>
      <c r="E143" s="63">
        <f t="shared" si="5"/>
        <v>6670</v>
      </c>
    </row>
    <row r="144" spans="1:7" x14ac:dyDescent="0.3">
      <c r="A144" s="2">
        <v>9</v>
      </c>
      <c r="C144" s="38" t="s">
        <v>63</v>
      </c>
      <c r="D144" s="42">
        <f>TRUNC(13523,-1)</f>
        <v>13520</v>
      </c>
      <c r="E144" s="63">
        <f t="shared" si="5"/>
        <v>44690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67910</v>
      </c>
      <c r="E146" s="39">
        <f>SUM(E136:E145)</f>
        <v>224460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TRUNC(7764+3940,-1)</f>
        <v>11700</v>
      </c>
      <c r="E149" s="62">
        <f>TRUNC(+D149*3.3058,-1)</f>
        <v>38670</v>
      </c>
    </row>
    <row r="150" spans="1:7" x14ac:dyDescent="0.3">
      <c r="A150" s="2">
        <v>2</v>
      </c>
      <c r="C150" s="38" t="s">
        <v>49</v>
      </c>
      <c r="D150" s="42">
        <f>TRUNC(4438,-1)</f>
        <v>4430</v>
      </c>
      <c r="E150" s="63">
        <f>TRUNC(+D150*3.3058,-1)</f>
        <v>14640</v>
      </c>
    </row>
    <row r="151" spans="1:7" x14ac:dyDescent="0.3">
      <c r="A151" s="2">
        <v>3</v>
      </c>
      <c r="C151" s="38" t="s">
        <v>50</v>
      </c>
      <c r="D151" s="42">
        <v>4700</v>
      </c>
      <c r="E151" s="63">
        <f>TRUNC(+D151*3.3058,-1)</f>
        <v>15530</v>
      </c>
    </row>
    <row r="152" spans="1:7" x14ac:dyDescent="0.3">
      <c r="A152" s="2">
        <v>4</v>
      </c>
      <c r="C152" s="38" t="s">
        <v>47</v>
      </c>
      <c r="D152" s="42">
        <f>TRUNC(24715+79+4999,-1)</f>
        <v>29790</v>
      </c>
      <c r="E152" s="63">
        <f>TRUNC(+D152*3.3058,-1)</f>
        <v>98470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TRUNC(2571,-1)</f>
        <v>2570</v>
      </c>
      <c r="E153" s="64">
        <f>TRUNC(+D153*3.3058,-1)</f>
        <v>8490</v>
      </c>
    </row>
    <row r="154" spans="1:7" x14ac:dyDescent="0.3">
      <c r="A154" s="2">
        <v>6</v>
      </c>
      <c r="C154" s="27" t="s">
        <v>112</v>
      </c>
      <c r="D154" s="39">
        <f>SUM(D149:D153)</f>
        <v>53190</v>
      </c>
      <c r="E154" s="39">
        <f>SUM(E149:E153)</f>
        <v>175800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TRUNC(29458,-1)</f>
        <v>29450</v>
      </c>
      <c r="E157" s="62">
        <f>TRUNC(+D157*3.3058,-1)</f>
        <v>97350</v>
      </c>
    </row>
    <row r="158" spans="1:7" x14ac:dyDescent="0.3">
      <c r="A158" s="2">
        <v>2</v>
      </c>
      <c r="C158" s="38" t="s">
        <v>52</v>
      </c>
      <c r="D158" s="42">
        <f>TRUNC(6321,-1)</f>
        <v>6320</v>
      </c>
      <c r="E158" s="63">
        <f>TRUNC(+D158*3.3058,-1)</f>
        <v>20890</v>
      </c>
    </row>
    <row r="159" spans="1:7" x14ac:dyDescent="0.3">
      <c r="A159" s="2">
        <v>3</v>
      </c>
      <c r="C159" s="38" t="s">
        <v>47</v>
      </c>
      <c r="D159" s="42">
        <f>TRUNC(19322,-1)</f>
        <v>19320</v>
      </c>
      <c r="E159" s="63">
        <f>TRUNC(+D159*3.3058,-1)</f>
        <v>63860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55090</v>
      </c>
      <c r="E161" s="39">
        <f>SUM(E157:E160)</f>
        <v>182100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2020-12-08T01:33:59Z</dcterms:modified>
</cp:coreProperties>
</file>