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1" i="4"/>
  <c r="D150" i="4"/>
  <c r="D149" i="4"/>
  <c r="D144" i="4"/>
  <c r="D143" i="4"/>
  <c r="D142" i="4"/>
  <c r="D141" i="4"/>
  <c r="D140" i="4"/>
  <c r="D138" i="4"/>
  <c r="D137" i="4"/>
  <c r="D132" i="4"/>
  <c r="D131" i="4"/>
  <c r="D130" i="4"/>
  <c r="D126" i="4"/>
  <c r="D125" i="4"/>
  <c r="D124" i="4"/>
  <c r="D117" i="4"/>
  <c r="D116" i="4"/>
  <c r="D104" i="4"/>
  <c r="D103" i="4"/>
  <c r="D102" i="4"/>
  <c r="D101" i="4"/>
  <c r="D100" i="4"/>
  <c r="D99" i="4"/>
  <c r="D98" i="4"/>
  <c r="D94" i="4"/>
  <c r="D93" i="4"/>
  <c r="D92" i="4"/>
  <c r="D91" i="4"/>
  <c r="D89" i="4"/>
  <c r="D71" i="4"/>
  <c r="D70" i="4"/>
  <c r="D69" i="4"/>
  <c r="D63" i="4"/>
  <c r="D59" i="4"/>
  <c r="D58" i="4"/>
  <c r="D52" i="4"/>
  <c r="D50" i="4"/>
  <c r="D49" i="4"/>
  <c r="D48" i="4"/>
  <c r="D47" i="4"/>
  <c r="D46" i="4"/>
  <c r="D45" i="4"/>
  <c r="D44" i="4"/>
  <c r="D43" i="4"/>
  <c r="D42" i="4"/>
  <c r="D40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<sst xmlns="http://schemas.openxmlformats.org/spreadsheetml/2006/main" count="392" uniqueCount="268">
  <si>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</si>
  <si>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</si>
  <si>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</si>
  <si>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</si>
  <si>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</si>
  <si>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</si>
  <si>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</si>
  <si>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</si>
  <si>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</si>
  <si>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</si>
  <si>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</si>
  <si>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</si>
  <si>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</si>
  <si>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</si>
  <si>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</si>
  <si>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</si>
  <si>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</si>
  <si>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</si>
  <si>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</si>
  <si>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</si>
  <si>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</si>
  <si>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</si>
  <si>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</si>
  <si>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</si>
  <si>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</si>
  <si>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</si>
  <si>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</si>
  <si>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</si>
  <si>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</si>
  <si>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</si>
  <si>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</si>
  <si>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</si>
  <si>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</si>
  <si>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</si>
  <si>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</si>
  <si>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</si>
  <si>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</si>
  <si>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</si>
  <si>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</si>
  <si>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</si>
  <si>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</si>
  <si>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</si>
  <si>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</si>
  <si>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</si>
  <si>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</si>
  <si>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</si>
  <si>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</si>
  <si>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</si>
  <si>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</si>
  <si>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</si>
  <si>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</si>
  <si>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</si>
  <si>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</si>
  <si>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</si>
  <si>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</si>
  <si>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</si>
  <si>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</si>
  <si>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</si>
  <si>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</si>
  <si>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</si>
  <si>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</si>
  <si>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</si>
  <si>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</si>
  <si>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</si>
  <si>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</si>
  <si>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</si>
  <si>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</si>
  <si>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</si>
  <si>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</si>
  <si>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</si>
  <si>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</si>
  <si>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</si>
  <si>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</si>
  <si>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</si>
  <si>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</si>
  <si>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</si>
  <si>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</si>
  <si>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</si>
  <si>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</si>
  <si>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</si>
  <si>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</si>
  <si>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</si>
  <si>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</si>
  <si>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</si>
  <si>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</si>
  <si>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</si>
  <si>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</si>
  <si>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</si>
  <si>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</si>
  <si>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</si>
  <si>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</si>
  <si>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</si>
  <si>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</si>
  <si>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</si>
  <si>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</si>
  <si>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</si>
  <si>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</si>
  <si>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</si>
  <si>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</si>
  <si>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</si>
  <si>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</si>
  <si>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</si>
  <si>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</si>
  <si>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</si>
  <si>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</si>
  <si>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</si>
  <si>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</si>
  <si>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</si>
  <si>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</si>
  <si>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</si>
  <si>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</si>
  <si>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</si>
  <si>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</si>
  <si>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</si>
  <si>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</si>
  <si>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</si>
  <si>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</si>
  <si>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</si>
  <si>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</si>
  <si>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</si>
  <si>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</si>
  <si>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</si>
  <si>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</si>
  <si>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</si>
  <si>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</si>
  <si>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</si>
  <si>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</si>
  <si>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</si>
  <si>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</si>
  <si>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</si>
  <si>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</si>
  <si>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</si>
  <si>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</si>
  <si>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</si>
  <si>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</si>
  <si>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</si>
  <si>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</si>
  <si>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</si>
  <si>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</si>
  <si>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</si>
  <si>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</si>
  <si>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</si>
  <si>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</si>
  <si>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</si>
  <si>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</si>
  <si>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</si>
  <si>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</si>
  <si>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</si>
  <si>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</si>
  <si>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</si>
  <si>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</si>
  <si>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</si>
  <si>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</si>
  <si>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</si>
  <si>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</si>
  <si>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</si>
  <si>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</si>
  <si>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</si>
  <si>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</si>
  <si>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</si>
  <si>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</si>
  <si>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</si>
  <si>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</si>
  <si>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</si>
  <si>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</si>
  <si>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</si>
  <si>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</si>
  <si>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</si>
  <si>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</si>
  <si>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</si>
  <si>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</si>
  <si>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</si>
  <si>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</si>
  <si>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</si>
  <si>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</si>
  <si>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</si>
  <si>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</si>
  <si>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</si>
  <si>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</si>
  <si>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</si>
  <si>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</si>
  <si>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</si>
  <si>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</si>
  <si>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</si>
  <si>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</si>
  <si>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</si>
  <si>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</si>
  <si>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</si>
  <si>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</si>
  <si>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</si>
  <si>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</si>
  <si>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</si>
  <si>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</si>
  <si>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</si>
  <si>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</si>
  <si>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</si>
  <si>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</si>
  <si>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</si>
  <si>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</si>
  <si>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</si>
  <si>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</si>
  <si>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</si>
  <si>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</si>
  <si>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</si>
  <si>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</si>
  <si>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</si>
  <si>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</si>
  <si>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</si>
  <si>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</si>
  <si>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</si>
  <si>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</si>
  <si>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</si>
  <si>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</si>
  <si>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</si>
  <si>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</si>
  <si>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</si>
  <si>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</si>
  <si>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</si>
  <si>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</si>
  <si>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</si>
  <si>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</si>
  <si>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</si>
  <si>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</si>
  <si>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</si>
  <si>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</si>
  <si>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</si>
  <si>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</si>
  <si>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</si>
  <si>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</si>
  <si>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</si>
  <si>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</si>
  <si>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</si>
  <si>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</si>
  <si>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</si>
  <si>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</si>
  <si>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</si>
  <si>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</si>
  <si>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</si>
  <si>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</si>
  <si>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</si>
  <si>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</si>
  <si>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</si>
  <si>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</si>
  <si>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</si>
  <si>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</si>
  <si>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</si>
  <si>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</si>
  <si>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</si>
  <si>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</si>
  <si>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</si>
  <si>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</si>
  <si>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</si>
  <si>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</si>
  <si>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</si>
  <si>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</si>
  <si>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</si>
  <si>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</si>
  <si>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</si>
  <si>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대장경 기록문화 테마파크 조성사업</t>
    <phoneticPr fontId="2" type="noConversion"/>
  </si>
  <si>
    <t>문화및집회</t>
  </si>
  <si>
    <t>경상도</t>
  </si>
  <si>
    <t>기초공사, 골재비및운반비, 작업부산물, 품질시험비, 기타공사</t>
    <phoneticPr fontId="2" type="noConversion"/>
  </si>
  <si>
    <t>CCTV설비공사, 주차관제설비공사</t>
    <phoneticPr fontId="2" type="noConversion"/>
  </si>
  <si>
    <t>상수도공사, 사급자재비, 운반비,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</si>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</sst>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5350.48</v>
      </c>
      <c r="D7" s="36">
        <f>+C7/3.3058</f>
        <v>1618.5129166918748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1073270</v>
      </c>
      <c r="E25" s="59">
        <f t="shared" si="0"/>
        <v>3548010</v>
      </c>
    </row>
    <row r="26" spans="1:5" x14ac:dyDescent="0.3">
      <c r="B26" s="2">
        <v>3</v>
      </c>
      <c r="C26" s="35" t="s">
        <v>95</v>
      </c>
      <c r="D26" s="45">
        <f>+D66</f>
        <v>22360</v>
      </c>
      <c r="E26" s="59">
        <f t="shared" si="0"/>
        <v>73910</v>
      </c>
    </row>
    <row r="27" spans="1:5" x14ac:dyDescent="0.3">
      <c r="B27" s="2">
        <v>4</v>
      </c>
      <c r="C27" s="35" t="s">
        <v>96</v>
      </c>
      <c r="D27" s="45">
        <f>+D95</f>
        <v>224230</v>
      </c>
      <c r="E27" s="59">
        <f t="shared" si="0"/>
        <v>741250</v>
      </c>
    </row>
    <row r="28" spans="1:5" x14ac:dyDescent="0.3">
      <c r="B28" s="2">
        <v>5</v>
      </c>
      <c r="C28" s="35" t="s">
        <v>97</v>
      </c>
      <c r="D28" s="45">
        <f>+D119</f>
        <v>228540</v>
      </c>
      <c r="E28" s="59">
        <f t="shared" si="0"/>
        <v>755500</v>
      </c>
    </row>
    <row r="29" spans="1:5" x14ac:dyDescent="0.3">
      <c r="B29" s="2">
        <v>6</v>
      </c>
      <c r="C29" s="35" t="s">
        <v>98</v>
      </c>
      <c r="D29" s="45">
        <f>+D133</f>
        <v>72880</v>
      </c>
      <c r="E29" s="59">
        <f t="shared" si="0"/>
        <v>240920</v>
      </c>
    </row>
    <row r="30" spans="1:5" x14ac:dyDescent="0.3">
      <c r="B30" s="2">
        <v>7</v>
      </c>
      <c r="C30" s="35" t="s">
        <v>99</v>
      </c>
      <c r="D30" s="45">
        <f>+D146</f>
        <v>48840</v>
      </c>
      <c r="E30" s="59">
        <f t="shared" si="0"/>
        <v>161450</v>
      </c>
    </row>
    <row r="31" spans="1:5" x14ac:dyDescent="0.3">
      <c r="B31" s="2">
        <v>8</v>
      </c>
      <c r="C31" s="35" t="s">
        <v>100</v>
      </c>
      <c r="D31" s="45">
        <f>+D154</f>
        <v>196390</v>
      </c>
      <c r="E31" s="59">
        <f t="shared" si="0"/>
        <v>649220</v>
      </c>
    </row>
    <row r="32" spans="1:5" x14ac:dyDescent="0.3">
      <c r="B32" s="2">
        <v>9</v>
      </c>
      <c r="C32" s="35" t="s">
        <v>101</v>
      </c>
      <c r="D32" s="45">
        <f>+D161</f>
        <v>368240</v>
      </c>
      <c r="E32" s="59">
        <f t="shared" si="0"/>
        <v>1217320</v>
      </c>
    </row>
    <row r="33" spans="1:7" x14ac:dyDescent="0.3">
      <c r="B33" s="2">
        <v>10</v>
      </c>
      <c r="C33" s="35" t="s">
        <v>154</v>
      </c>
      <c r="D33" s="53">
        <f>TRUNC(SUM(D24:D32)*0.275,-1)</f>
        <v>614550</v>
      </c>
      <c r="E33" s="60">
        <f t="shared" si="0"/>
        <v>2031570</v>
      </c>
    </row>
    <row r="34" spans="1:7" x14ac:dyDescent="0.3">
      <c r="C34" s="35" t="s">
        <v>112</v>
      </c>
      <c r="D34" s="44">
        <f>SUM(D24:D33)</f>
        <v>2849300</v>
      </c>
      <c r="E34" s="44">
        <f>SUM(E24:E33)</f>
        <v>9419150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TRUNC(102857,-1)</f>
        <v>102850</v>
      </c>
      <c r="E40" s="62">
        <f t="shared" ref="E40:E59" si="1">TRUNC(+D40*3.3058,-1)</f>
        <v>340000</v>
      </c>
    </row>
    <row r="41" spans="1:7" x14ac:dyDescent="0.3">
      <c r="A41" s="2">
        <v>2</v>
      </c>
      <c r="C41" s="38" t="s">
        <v>13</v>
      </c>
      <c r="D41" s="42">
        <v>141050</v>
      </c>
      <c r="E41" s="63">
        <f t="shared" si="1"/>
        <v>466280</v>
      </c>
    </row>
    <row r="42" spans="1:7" x14ac:dyDescent="0.3">
      <c r="A42" s="2">
        <v>3</v>
      </c>
      <c r="C42" s="38" t="s">
        <v>14</v>
      </c>
      <c r="D42" s="42">
        <f>TRUNC(8615,-1)</f>
        <v>8610</v>
      </c>
      <c r="E42" s="63">
        <f t="shared" si="1"/>
        <v>28460</v>
      </c>
    </row>
    <row r="43" spans="1:7" x14ac:dyDescent="0.3">
      <c r="A43" s="2">
        <v>4</v>
      </c>
      <c r="C43" s="38" t="s">
        <v>16</v>
      </c>
      <c r="D43" s="42">
        <f>TRUNC(19194,-1)</f>
        <v>19190</v>
      </c>
      <c r="E43" s="63">
        <f t="shared" si="1"/>
        <v>63430</v>
      </c>
    </row>
    <row r="44" spans="1:7" x14ac:dyDescent="0.3">
      <c r="A44" s="2">
        <v>5</v>
      </c>
      <c r="C44" s="38" t="s">
        <v>17</v>
      </c>
      <c r="D44" s="42">
        <f>TRUNC(27855,-1)</f>
        <v>27850</v>
      </c>
      <c r="E44" s="63">
        <f t="shared" si="1"/>
        <v>92060</v>
      </c>
    </row>
    <row r="45" spans="1:7" x14ac:dyDescent="0.3">
      <c r="A45" s="2">
        <v>6</v>
      </c>
      <c r="C45" s="38" t="s">
        <v>18</v>
      </c>
      <c r="D45" s="42">
        <f>TRUNC(16212,-1)</f>
        <v>16210</v>
      </c>
      <c r="E45" s="63">
        <f t="shared" si="1"/>
        <v>53580</v>
      </c>
    </row>
    <row r="46" spans="1:7" x14ac:dyDescent="0.3">
      <c r="A46" s="2">
        <v>7</v>
      </c>
      <c r="C46" s="38" t="s">
        <v>19</v>
      </c>
      <c r="D46" s="42">
        <f>TRUNC(83289,-1)</f>
        <v>83280</v>
      </c>
      <c r="E46" s="63">
        <f t="shared" si="1"/>
        <v>275300</v>
      </c>
    </row>
    <row r="47" spans="1:7" x14ac:dyDescent="0.3">
      <c r="A47" s="2">
        <v>8</v>
      </c>
      <c r="C47" s="38" t="s">
        <v>20</v>
      </c>
      <c r="D47" s="42">
        <f>TRUNC(75061,-1)</f>
        <v>75060</v>
      </c>
      <c r="E47" s="63">
        <f t="shared" si="1"/>
        <v>248130</v>
      </c>
    </row>
    <row r="48" spans="1:7" x14ac:dyDescent="0.3">
      <c r="A48" s="2">
        <v>9</v>
      </c>
      <c r="C48" s="38" t="s">
        <v>21</v>
      </c>
      <c r="D48" s="42">
        <f>TRUNC(63711,-1)</f>
        <v>63710</v>
      </c>
      <c r="E48" s="63">
        <f t="shared" si="1"/>
        <v>210610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TRUNC(11849,-1)</f>
        <v>11840</v>
      </c>
      <c r="E49" s="63">
        <f t="shared" si="1"/>
        <v>39140</v>
      </c>
    </row>
    <row r="50" spans="1:7" x14ac:dyDescent="0.3">
      <c r="A50" s="2">
        <v>11</v>
      </c>
      <c r="C50" s="38" t="s">
        <v>155</v>
      </c>
      <c r="D50" s="42">
        <f>TRUNC(40244,-1)</f>
        <v>40240</v>
      </c>
      <c r="E50" s="63">
        <f t="shared" si="1"/>
        <v>133020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TRUNC(8601,-1)</f>
        <v>8600</v>
      </c>
      <c r="E52" s="63">
        <f t="shared" si="1"/>
        <v>28420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TRUNC(10498+7649-579+1882+66631,-1)</f>
        <v>86080</v>
      </c>
      <c r="E58" s="63">
        <f t="shared" si="1"/>
        <v>284560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TRUNC(388701,-1)</f>
        <v>388700</v>
      </c>
      <c r="E59" s="64">
        <f t="shared" si="1"/>
        <v>1284960</v>
      </c>
    </row>
    <row r="60" spans="1:7" x14ac:dyDescent="0.3">
      <c r="A60" s="2">
        <v>21</v>
      </c>
      <c r="C60" s="27" t="s">
        <v>112</v>
      </c>
      <c r="D60" s="39">
        <f>SUM(D40:D59)</f>
        <v>1073270</v>
      </c>
      <c r="E60" s="39">
        <f>SUM(E40:E59)</f>
        <v>3547950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TRUNC(22368,-1)</f>
        <v>22360</v>
      </c>
      <c r="E63" s="62">
        <f>TRUNC(+D63*3.3058,-1)</f>
        <v>73910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22360</v>
      </c>
      <c r="E66" s="65">
        <f>SUM(E63:E65)</f>
        <v>73910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TRUNC(9107,-1)</f>
        <v>9100</v>
      </c>
      <c r="E69" s="62">
        <f t="shared" ref="E69:E94" si="2">TRUNC(+D69*3.3058,-1)</f>
        <v>30080</v>
      </c>
    </row>
    <row r="70" spans="1:7" ht="16.5" customHeight="1" x14ac:dyDescent="0.3">
      <c r="A70" s="2">
        <v>2</v>
      </c>
      <c r="C70" s="38" t="s">
        <v>31</v>
      </c>
      <c r="D70" s="42">
        <f>TRUNC(847,-1)</f>
        <v>840</v>
      </c>
      <c r="E70" s="63">
        <f t="shared" si="2"/>
        <v>2770</v>
      </c>
    </row>
    <row r="71" spans="1:7" x14ac:dyDescent="0.3">
      <c r="A71" s="2">
        <v>3</v>
      </c>
      <c r="C71" s="38" t="s">
        <v>32</v>
      </c>
      <c r="D71" s="42">
        <f>TRUNC(14829,-1)</f>
        <v>14820</v>
      </c>
      <c r="E71" s="63">
        <f t="shared" si="2"/>
        <v>48990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7470</v>
      </c>
      <c r="E73" s="63">
        <f t="shared" si="2"/>
        <v>24690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TRUNC(5132,-1)</f>
        <v>5130</v>
      </c>
      <c r="E89" s="63">
        <f t="shared" si="2"/>
        <v>16950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TRUNC(24118,-1)</f>
        <v>24110</v>
      </c>
      <c r="E91" s="63">
        <f t="shared" si="2"/>
        <v>79700</v>
      </c>
    </row>
    <row r="92" spans="1:7" x14ac:dyDescent="0.3">
      <c r="A92" s="2">
        <v>24</v>
      </c>
      <c r="C92" s="38" t="s">
        <v>38</v>
      </c>
      <c r="D92" s="42">
        <f>TRUNC(8858,-1)</f>
        <v>8850</v>
      </c>
      <c r="E92" s="63">
        <f t="shared" si="2"/>
        <v>29250</v>
      </c>
    </row>
    <row r="93" spans="1:7" x14ac:dyDescent="0.3">
      <c r="A93" s="2">
        <v>25</v>
      </c>
      <c r="C93" s="38" t="s">
        <v>148</v>
      </c>
      <c r="D93" s="42">
        <f>TRUNC(80813,-1)</f>
        <v>80810</v>
      </c>
      <c r="E93" s="63">
        <f t="shared" si="2"/>
        <v>267140</v>
      </c>
    </row>
    <row r="94" spans="1:7" ht="17.25" thickBot="1" x14ac:dyDescent="0.35">
      <c r="A94" s="2">
        <v>26</v>
      </c>
      <c r="C94" s="38" t="s">
        <v>47</v>
      </c>
      <c r="D94" s="43">
        <f>TRUNC(18424+366+54312,-1)</f>
        <v>73100</v>
      </c>
      <c r="E94" s="64">
        <f t="shared" si="2"/>
        <v>241650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224230</v>
      </c>
      <c r="E95" s="39">
        <f>SUM(E69:E94)</f>
        <v>741220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TRUNC(45459,-1)</f>
        <v>45450</v>
      </c>
      <c r="E98" s="62">
        <f t="shared" ref="E98:E118" si="3">TRUNC(+D98*3.3058,-1)</f>
        <v>150240</v>
      </c>
    </row>
    <row r="99" spans="1:7" x14ac:dyDescent="0.3">
      <c r="A99" s="2">
        <v>2</v>
      </c>
      <c r="C99" s="38" t="s">
        <v>40</v>
      </c>
      <c r="D99" s="42">
        <f>TRUNC(6347,-1)</f>
        <v>6340</v>
      </c>
      <c r="E99" s="63">
        <f t="shared" si="3"/>
        <v>20950</v>
      </c>
    </row>
    <row r="100" spans="1:7" x14ac:dyDescent="0.3">
      <c r="A100" s="2">
        <v>3</v>
      </c>
      <c r="C100" s="38" t="s">
        <v>41</v>
      </c>
      <c r="D100" s="42">
        <f>TRUNC(22402,-1)</f>
        <v>22400</v>
      </c>
      <c r="E100" s="63">
        <f t="shared" si="3"/>
        <v>74040</v>
      </c>
    </row>
    <row r="101" spans="1:7" x14ac:dyDescent="0.3">
      <c r="A101" s="2">
        <v>4</v>
      </c>
      <c r="C101" s="38" t="s">
        <v>42</v>
      </c>
      <c r="D101" s="42">
        <f>TRUNC(1123,-1)</f>
        <v>1120</v>
      </c>
      <c r="E101" s="63">
        <f t="shared" si="3"/>
        <v>3700</v>
      </c>
    </row>
    <row r="102" spans="1:7" x14ac:dyDescent="0.3">
      <c r="A102" s="2">
        <v>5</v>
      </c>
      <c r="C102" s="38" t="s">
        <v>43</v>
      </c>
      <c r="D102" s="42">
        <f>TRUNC(10024,-1)</f>
        <v>10020</v>
      </c>
      <c r="E102" s="63">
        <f t="shared" si="3"/>
        <v>33120</v>
      </c>
    </row>
    <row r="103" spans="1:7" x14ac:dyDescent="0.3">
      <c r="A103" s="2">
        <v>6</v>
      </c>
      <c r="C103" s="38" t="s">
        <v>44</v>
      </c>
      <c r="D103" s="42">
        <f>TRUNC(471,-1)</f>
        <v>470</v>
      </c>
      <c r="E103" s="63">
        <f t="shared" si="3"/>
        <v>1550</v>
      </c>
    </row>
    <row r="104" spans="1:7" x14ac:dyDescent="0.3">
      <c r="A104" s="2">
        <v>7</v>
      </c>
      <c r="C104" s="38" t="s">
        <v>45</v>
      </c>
      <c r="D104" s="42">
        <f>TRUNC(5222,-1)</f>
        <v>5220</v>
      </c>
      <c r="E104" s="63">
        <f t="shared" si="3"/>
        <v>17250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TRUNC(3765,-1)</f>
        <v>3760</v>
      </c>
      <c r="E116" s="63">
        <f t="shared" si="3"/>
        <v>12420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TRUNC(133767,-1)</f>
        <v>133760</v>
      </c>
      <c r="E117" s="63">
        <f t="shared" si="3"/>
        <v>442180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228540</v>
      </c>
      <c r="E119" s="39">
        <f>SUM(E98:E118)</f>
        <v>755450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TRUNC(2143,-1)</f>
        <v>2140</v>
      </c>
      <c r="E124" s="63">
        <f t="shared" si="4"/>
        <v>7070</v>
      </c>
    </row>
    <row r="125" spans="1:7" x14ac:dyDescent="0.3">
      <c r="A125" s="2">
        <v>4</v>
      </c>
      <c r="C125" s="38" t="s">
        <v>138</v>
      </c>
      <c r="D125" s="42">
        <f>TRUNC(5246,-1)</f>
        <v>5240</v>
      </c>
      <c r="E125" s="63">
        <f t="shared" si="4"/>
        <v>17320</v>
      </c>
    </row>
    <row r="126" spans="1:7" x14ac:dyDescent="0.3">
      <c r="A126" s="2">
        <v>5</v>
      </c>
      <c r="C126" s="38" t="s">
        <v>53</v>
      </c>
      <c r="D126" s="42">
        <f>TRUNC(11071,-1)</f>
        <v>11070</v>
      </c>
      <c r="E126" s="63">
        <f t="shared" si="4"/>
        <v>36590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TRUNC(9349,-1)</f>
        <v>9340</v>
      </c>
      <c r="E130" s="63">
        <f t="shared" si="4"/>
        <v>30870</v>
      </c>
    </row>
    <row r="131" spans="1:7" x14ac:dyDescent="0.3">
      <c r="A131" s="2">
        <v>10</v>
      </c>
      <c r="C131" s="38" t="s">
        <v>148</v>
      </c>
      <c r="D131" s="42">
        <f>TRUNC(35354,-1)</f>
        <v>35350</v>
      </c>
      <c r="E131" s="63">
        <f t="shared" si="4"/>
        <v>116860</v>
      </c>
    </row>
    <row r="132" spans="1:7" ht="18" thickBot="1" x14ac:dyDescent="0.35">
      <c r="A132" s="2">
        <v>11</v>
      </c>
      <c r="C132" s="38" t="s">
        <v>47</v>
      </c>
      <c r="D132" s="43">
        <f>TRUNC(5815+3932,-1)</f>
        <v>9740</v>
      </c>
      <c r="E132" s="64">
        <f t="shared" si="4"/>
        <v>32190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72880</v>
      </c>
      <c r="E133" s="39">
        <f>SUM(E122:E132)</f>
        <v>240900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TRUNC(204+3592,-1)</f>
        <v>3790</v>
      </c>
      <c r="E137" s="63">
        <f t="shared" si="5"/>
        <v>12520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f>TRUNC(8361,-1)</f>
        <v>8360</v>
      </c>
      <c r="E138" s="63">
        <f t="shared" si="5"/>
        <v>27630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TRUNC(2705,-1)</f>
        <v>2700</v>
      </c>
      <c r="E140" s="63">
        <f t="shared" si="5"/>
        <v>8920</v>
      </c>
    </row>
    <row r="141" spans="1:7" x14ac:dyDescent="0.3">
      <c r="A141" s="2">
        <v>6</v>
      </c>
      <c r="C141" s="38" t="s">
        <v>59</v>
      </c>
      <c r="D141" s="42">
        <f>TRUNC(17178,-1)</f>
        <v>17170</v>
      </c>
      <c r="E141" s="63">
        <f t="shared" si="5"/>
        <v>56760</v>
      </c>
    </row>
    <row r="142" spans="1:7" x14ac:dyDescent="0.3">
      <c r="A142" s="2">
        <v>7</v>
      </c>
      <c r="C142" s="38" t="s">
        <v>58</v>
      </c>
      <c r="D142" s="42">
        <f>TRUNC(4045,-1)</f>
        <v>4040</v>
      </c>
      <c r="E142" s="63">
        <f t="shared" si="5"/>
        <v>13350</v>
      </c>
    </row>
    <row r="143" spans="1:7" x14ac:dyDescent="0.3">
      <c r="A143" s="2">
        <v>8</v>
      </c>
      <c r="C143" s="38" t="s">
        <v>62</v>
      </c>
      <c r="D143" s="42">
        <f>TRUNC(2939,-1)</f>
        <v>2930</v>
      </c>
      <c r="E143" s="63">
        <f t="shared" si="5"/>
        <v>9680</v>
      </c>
    </row>
    <row r="144" spans="1:7" x14ac:dyDescent="0.3">
      <c r="A144" s="2">
        <v>9</v>
      </c>
      <c r="C144" s="38" t="s">
        <v>63</v>
      </c>
      <c r="D144" s="42">
        <f>TRUNC(9858,-1)</f>
        <v>9850</v>
      </c>
      <c r="E144" s="63">
        <f t="shared" si="5"/>
        <v>32560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48840</v>
      </c>
      <c r="E146" s="39">
        <f>SUM(E136:E145)</f>
        <v>161420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TRUNC(8252+5442,-1)</f>
        <v>13690</v>
      </c>
      <c r="E149" s="62">
        <f>TRUNC(+D149*3.3058,-1)</f>
        <v>45250</v>
      </c>
    </row>
    <row r="150" spans="1:7" x14ac:dyDescent="0.3">
      <c r="A150" s="2">
        <v>2</v>
      </c>
      <c r="C150" s="38" t="s">
        <v>49</v>
      </c>
      <c r="D150" s="42">
        <f>TRUNC(3406,-1)</f>
        <v>3400</v>
      </c>
      <c r="E150" s="63">
        <f>TRUNC(+D150*3.3058,-1)</f>
        <v>11230</v>
      </c>
    </row>
    <row r="151" spans="1:7" x14ac:dyDescent="0.3">
      <c r="A151" s="2">
        <v>3</v>
      </c>
      <c r="C151" s="38" t="s">
        <v>50</v>
      </c>
      <c r="D151" s="42">
        <f>TRUNC(5615,-1)</f>
        <v>5610</v>
      </c>
      <c r="E151" s="63">
        <f>TRUNC(+D151*3.3058,-1)</f>
        <v>18540</v>
      </c>
    </row>
    <row r="152" spans="1:7" x14ac:dyDescent="0.3">
      <c r="A152" s="2">
        <v>4</v>
      </c>
      <c r="C152" s="38" t="s">
        <v>47</v>
      </c>
      <c r="D152" s="42">
        <f>2403+25608+1181+7158</f>
        <v>36350</v>
      </c>
      <c r="E152" s="63">
        <f>TRUNC(+D152*3.3058,-1)</f>
        <v>120160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TRUNC(137345,-1)</f>
        <v>137340</v>
      </c>
      <c r="E153" s="64">
        <f>TRUNC(+D153*3.3058,-1)</f>
        <v>454010</v>
      </c>
    </row>
    <row r="154" spans="1:7" x14ac:dyDescent="0.3">
      <c r="A154" s="2">
        <v>6</v>
      </c>
      <c r="C154" s="27" t="s">
        <v>112</v>
      </c>
      <c r="D154" s="39">
        <f>SUM(D149:D153)</f>
        <v>196390</v>
      </c>
      <c r="E154" s="39">
        <f>SUM(E149:E153)</f>
        <v>649190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TRUNC(114548,-1)</f>
        <v>114540</v>
      </c>
      <c r="E157" s="62">
        <f>TRUNC(+D157*3.3058,-1)</f>
        <v>378640</v>
      </c>
    </row>
    <row r="158" spans="1:7" x14ac:dyDescent="0.3">
      <c r="A158" s="2">
        <v>2</v>
      </c>
      <c r="C158" s="38" t="s">
        <v>52</v>
      </c>
      <c r="D158" s="42">
        <f>TRUNC(204465,-1)</f>
        <v>204460</v>
      </c>
      <c r="E158" s="63">
        <f>TRUNC(+D158*3.3058,-1)</f>
        <v>675900</v>
      </c>
    </row>
    <row r="159" spans="1:7" x14ac:dyDescent="0.3">
      <c r="A159" s="2">
        <v>3</v>
      </c>
      <c r="C159" s="38" t="s">
        <v>47</v>
      </c>
      <c r="D159" s="42">
        <f>TRUNC(15352+33892,-1)</f>
        <v>49240</v>
      </c>
      <c r="E159" s="63">
        <f>TRUNC(+D159*3.3058,-1)</f>
        <v>162770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368240</v>
      </c>
      <c r="E161" s="39">
        <f>SUM(E157:E160)</f>
        <v>1217310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2020-12-07T10:10:49Z</dcterms:modified>
</cp:coreProperties>
</file>