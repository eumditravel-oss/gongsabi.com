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2" i="4"/>
  <c r="D151" i="4"/>
  <c r="D150" i="4"/>
  <c r="D149" i="4"/>
  <c r="D144" i="4"/>
  <c r="D143" i="4"/>
  <c r="D142" i="4"/>
  <c r="D140" i="4"/>
  <c r="D131" i="4"/>
  <c r="D130" i="4"/>
  <c r="D125" i="4"/>
  <c r="D122" i="4"/>
  <c r="D117" i="4"/>
  <c r="D116" i="4"/>
  <c r="D104" i="4"/>
  <c r="D103" i="4"/>
  <c r="D102" i="4"/>
  <c r="D100" i="4"/>
  <c r="D99" i="4"/>
  <c r="D98" i="4"/>
  <c r="D93" i="4"/>
  <c r="D92" i="4"/>
  <c r="D91" i="4"/>
  <c r="D89" i="4"/>
  <c r="D75" i="4"/>
  <c r="D73" i="4"/>
  <c r="D72" i="4"/>
  <c r="D71" i="4"/>
  <c r="D69" i="4"/>
  <c r="D63" i="4"/>
  <c r="D59" i="4"/>
  <c r="D58" i="4"/>
  <c r="D52" i="4"/>
  <c r="D50" i="4"/>
  <c r="D49" i="4"/>
  <c r="D48" i="4"/>
  <c r="D46" i="4"/>
  <c r="D45" i="4"/>
  <c r="D44" i="4"/>
  <c r="D43" i="4"/>
  <c r="D42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<sst xmlns="http://schemas.openxmlformats.org/spreadsheetml/2006/main" count="389" uniqueCount="265">
  <si>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</si>
  <si>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</si>
  <si>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</si>
  <si>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</si>
  <si>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</si>
  <si>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</si>
  <si>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</si>
  <si>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</si>
  <si>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</si>
  <si>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</si>
  <si>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</si>
  <si>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</si>
  <si>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</si>
  <si>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</si>
  <si>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</si>
  <si>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</si>
  <si>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</si>
  <si>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</si>
  <si>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</si>
  <si>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</si>
  <si>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</si>
  <si>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</si>
  <si>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</si>
  <si>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</si>
  <si>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</si>
  <si>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</si>
  <si>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</si>
  <si>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</si>
  <si>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</si>
  <si>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</si>
  <si>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</si>
  <si>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</si>
  <si>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</si>
  <si>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</si>
  <si>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</si>
  <si>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</si>
  <si>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</si>
  <si>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</si>
  <si>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</si>
  <si>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</si>
  <si>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</si>
  <si>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</si>
  <si>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</si>
  <si>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</si>
  <si>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</si>
  <si>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</si>
  <si>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</si>
  <si>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</si>
  <si>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</si>
  <si>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</si>
  <si>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</si>
  <si>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</si>
  <si>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</si>
  <si>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</si>
  <si>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</si>
  <si>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</si>
  <si>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</si>
  <si>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</si>
  <si>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</si>
  <si>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</si>
  <si>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</si>
  <si>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</si>
  <si>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</si>
  <si>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</si>
  <si>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</si>
  <si>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</si>
  <si>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</si>
  <si>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</si>
  <si>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</si>
  <si>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</si>
  <si>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</si>
  <si>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</si>
  <si>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</si>
  <si>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</si>
  <si>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</si>
  <si>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</si>
  <si>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</si>
  <si>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</si>
  <si>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</si>
  <si>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</si>
  <si>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</si>
  <si>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</si>
  <si>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</si>
  <si>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</si>
  <si>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</si>
  <si>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</si>
  <si>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</si>
  <si>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</si>
  <si>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</si>
  <si>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</si>
  <si>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</si>
  <si>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</si>
  <si>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</si>
  <si>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</si>
  <si>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</si>
  <si>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</si>
  <si>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</si>
  <si>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</si>
  <si>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</si>
  <si>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</si>
  <si>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</si>
  <si>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</si>
  <si>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</si>
  <si>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</si>
  <si>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</si>
  <si>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</si>
  <si>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</si>
  <si>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</si>
  <si>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</si>
  <si>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</si>
  <si>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</si>
  <si>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</si>
  <si>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</si>
  <si>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</si>
  <si>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</si>
  <si>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</si>
  <si>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</si>
  <si>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</si>
  <si>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</si>
  <si>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</si>
  <si>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</si>
  <si>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</si>
  <si>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</si>
  <si>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</si>
  <si>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</si>
  <si>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</si>
  <si>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</si>
  <si>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</si>
  <si>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</si>
  <si>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</si>
  <si>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</si>
  <si>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</si>
  <si>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</si>
  <si>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</si>
  <si>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</si>
  <si>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</si>
  <si>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</si>
  <si>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</si>
  <si>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</si>
  <si>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</si>
  <si>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</si>
  <si>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</si>
  <si>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</si>
  <si>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</si>
  <si>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</si>
  <si>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</si>
  <si>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</si>
  <si>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</si>
  <si>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</si>
  <si>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</si>
  <si>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</si>
  <si>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</si>
  <si>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</si>
  <si>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</si>
  <si>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</si>
  <si>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</si>
  <si>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</si>
  <si>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</si>
  <si>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</si>
  <si>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</si>
  <si>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</si>
  <si>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</si>
  <si>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</si>
  <si>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</si>
  <si>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</si>
  <si>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</si>
  <si>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</si>
  <si>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</si>
  <si>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</si>
  <si>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</si>
  <si>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</si>
  <si>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</si>
  <si>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</si>
  <si>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</si>
  <si>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</si>
  <si>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</si>
  <si>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</si>
  <si>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</si>
  <si>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</si>
  <si>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</si>
  <si>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</si>
  <si>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</si>
  <si>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</si>
  <si>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</si>
  <si>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</si>
  <si>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</si>
  <si>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</si>
  <si>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</si>
  <si>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</si>
  <si>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</si>
  <si>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</si>
  <si>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</si>
  <si>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</si>
  <si>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</si>
  <si>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</si>
  <si>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</si>
  <si>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</si>
  <si>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</si>
  <si>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</si>
  <si>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</si>
  <si>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</si>
  <si>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</si>
  <si>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</si>
  <si>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</si>
  <si>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</si>
  <si>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</si>
  <si>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</si>
  <si>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</si>
  <si>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</si>
  <si>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</si>
  <si>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</si>
  <si>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</si>
  <si>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</si>
  <si>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</si>
  <si>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</si>
  <si>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</si>
  <si>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</si>
  <si>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</si>
  <si>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</si>
  <si>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</si>
  <si>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</si>
  <si>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</si>
  <si>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</si>
  <si>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</si>
  <si>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</si>
  <si>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</si>
  <si>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</si>
  <si>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</si>
  <si>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</si>
  <si>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</si>
  <si>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</si>
  <si>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</si>
  <si>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</si>
  <si>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</si>
  <si>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</si>
  <si>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</si>
  <si>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</si>
  <si>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</si>
  <si>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</si>
  <si>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</si>
  <si>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</si>
  <si>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</si>
  <si>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</si>
  <si>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</si>
  <si>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</si>
  <si>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</si>
  <si>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</si>
  <si>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</si>
  <si>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</si>
  <si>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</si>
  <si>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</si>
  <si>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</si>
  <si>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</si>
  <si>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</si>
  <si>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</si>
  <si>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</si>
  <si>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</si>
  <si>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교육학술정보센터 신축공사</t>
    <phoneticPr fontId="2" type="noConversion"/>
  </si>
  <si>
    <t>경상도</t>
  </si>
  <si>
    <t>기초공사, 해체및철거공사, 골재비및운반비, 작업부산물, 기타공사</t>
    <phoneticPr fontId="2" type="noConversion"/>
  </si>
  <si>
    <t>펌프실배관공사</t>
    <phoneticPr fontId="2" type="noConversion"/>
  </si>
  <si>
    <t>사급자재비,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</si>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</sst>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4698.01</v>
      </c>
      <c r="D7" s="36">
        <f>+C7/3.3058</f>
        <v>1421.1416298626657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842990</v>
      </c>
      <c r="E25" s="59">
        <f t="shared" si="0"/>
        <v>2786750</v>
      </c>
    </row>
    <row r="26" spans="1:5" x14ac:dyDescent="0.3">
      <c r="B26" s="2">
        <v>3</v>
      </c>
      <c r="C26" s="35" t="s">
        <v>95</v>
      </c>
      <c r="D26" s="45">
        <f>+D66</f>
        <v>46950</v>
      </c>
      <c r="E26" s="59">
        <f t="shared" si="0"/>
        <v>155200</v>
      </c>
    </row>
    <row r="27" spans="1:5" x14ac:dyDescent="0.3">
      <c r="B27" s="2">
        <v>4</v>
      </c>
      <c r="C27" s="35" t="s">
        <v>96</v>
      </c>
      <c r="D27" s="45">
        <f>+D95</f>
        <v>185100</v>
      </c>
      <c r="E27" s="59">
        <f t="shared" si="0"/>
        <v>611900</v>
      </c>
    </row>
    <row r="28" spans="1:5" x14ac:dyDescent="0.3">
      <c r="B28" s="2">
        <v>5</v>
      </c>
      <c r="C28" s="35" t="s">
        <v>97</v>
      </c>
      <c r="D28" s="45">
        <f>+D119</f>
        <v>213890</v>
      </c>
      <c r="E28" s="59">
        <f t="shared" si="0"/>
        <v>707070</v>
      </c>
    </row>
    <row r="29" spans="1:5" x14ac:dyDescent="0.3">
      <c r="B29" s="2">
        <v>6</v>
      </c>
      <c r="C29" s="35" t="s">
        <v>98</v>
      </c>
      <c r="D29" s="45">
        <f>+D133</f>
        <v>46300</v>
      </c>
      <c r="E29" s="59">
        <f t="shared" si="0"/>
        <v>153050</v>
      </c>
    </row>
    <row r="30" spans="1:5" x14ac:dyDescent="0.3">
      <c r="B30" s="2">
        <v>7</v>
      </c>
      <c r="C30" s="35" t="s">
        <v>99</v>
      </c>
      <c r="D30" s="45">
        <f>+D146</f>
        <v>24140</v>
      </c>
      <c r="E30" s="59">
        <f t="shared" si="0"/>
        <v>79800</v>
      </c>
    </row>
    <row r="31" spans="1:5" x14ac:dyDescent="0.3">
      <c r="B31" s="2">
        <v>8</v>
      </c>
      <c r="C31" s="35" t="s">
        <v>100</v>
      </c>
      <c r="D31" s="45">
        <f>+D154</f>
        <v>14750</v>
      </c>
      <c r="E31" s="59">
        <f t="shared" si="0"/>
        <v>48760</v>
      </c>
    </row>
    <row r="32" spans="1:5" x14ac:dyDescent="0.3">
      <c r="B32" s="2">
        <v>9</v>
      </c>
      <c r="C32" s="35" t="s">
        <v>101</v>
      </c>
      <c r="D32" s="45">
        <f>+D161</f>
        <v>19830</v>
      </c>
      <c r="E32" s="59">
        <f t="shared" si="0"/>
        <v>65550</v>
      </c>
    </row>
    <row r="33" spans="1:7" x14ac:dyDescent="0.3">
      <c r="B33" s="2">
        <v>10</v>
      </c>
      <c r="C33" s="35" t="s">
        <v>154</v>
      </c>
      <c r="D33" s="53">
        <f>TRUNC(SUM(D24:D32)*0.275,-1)</f>
        <v>383330</v>
      </c>
      <c r="E33" s="60">
        <f t="shared" si="0"/>
        <v>1267210</v>
      </c>
    </row>
    <row r="34" spans="1:7" x14ac:dyDescent="0.3">
      <c r="C34" s="35" t="s">
        <v>112</v>
      </c>
      <c r="D34" s="44">
        <f>SUM(D24:D33)</f>
        <v>1777280</v>
      </c>
      <c r="E34" s="44">
        <f>SUM(E24:E33)</f>
        <v>5875290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TRUNC(41107,-1)</f>
        <v>41100</v>
      </c>
      <c r="E40" s="62">
        <f t="shared" ref="E40:E59" si="1">TRUNC(+D40*3.3058,-1)</f>
        <v>135860</v>
      </c>
    </row>
    <row r="41" spans="1:7" x14ac:dyDescent="0.3">
      <c r="A41" s="2">
        <v>2</v>
      </c>
      <c r="C41" s="38" t="s">
        <v>13</v>
      </c>
      <c r="D41" s="42">
        <v>135280</v>
      </c>
      <c r="E41" s="63">
        <f t="shared" si="1"/>
        <v>447200</v>
      </c>
    </row>
    <row r="42" spans="1:7" x14ac:dyDescent="0.3">
      <c r="A42" s="2">
        <v>3</v>
      </c>
      <c r="C42" s="38" t="s">
        <v>14</v>
      </c>
      <c r="D42" s="42">
        <f>TRUNC(8091,-1)</f>
        <v>8090</v>
      </c>
      <c r="E42" s="63">
        <f t="shared" si="1"/>
        <v>26740</v>
      </c>
    </row>
    <row r="43" spans="1:7" x14ac:dyDescent="0.3">
      <c r="A43" s="2">
        <v>4</v>
      </c>
      <c r="C43" s="38" t="s">
        <v>16</v>
      </c>
      <c r="D43" s="42">
        <f>TRUNC(24572,-1)</f>
        <v>24570</v>
      </c>
      <c r="E43" s="63">
        <f t="shared" si="1"/>
        <v>81220</v>
      </c>
    </row>
    <row r="44" spans="1:7" x14ac:dyDescent="0.3">
      <c r="A44" s="2">
        <v>5</v>
      </c>
      <c r="C44" s="38" t="s">
        <v>17</v>
      </c>
      <c r="D44" s="42">
        <f>TRUNC(20284,-1)</f>
        <v>20280</v>
      </c>
      <c r="E44" s="63">
        <f t="shared" si="1"/>
        <v>67040</v>
      </c>
    </row>
    <row r="45" spans="1:7" x14ac:dyDescent="0.3">
      <c r="A45" s="2">
        <v>6</v>
      </c>
      <c r="C45" s="38" t="s">
        <v>18</v>
      </c>
      <c r="D45" s="42">
        <f>TRUNC(9932,-1)</f>
        <v>9930</v>
      </c>
      <c r="E45" s="63">
        <f t="shared" si="1"/>
        <v>32820</v>
      </c>
    </row>
    <row r="46" spans="1:7" x14ac:dyDescent="0.3">
      <c r="A46" s="2">
        <v>7</v>
      </c>
      <c r="C46" s="38" t="s">
        <v>19</v>
      </c>
      <c r="D46" s="42">
        <f>TRUNC(9835,-1)</f>
        <v>9830</v>
      </c>
      <c r="E46" s="63">
        <f t="shared" si="1"/>
        <v>32490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TRUNC(86736,-1)</f>
        <v>86730</v>
      </c>
      <c r="E48" s="63">
        <f t="shared" si="1"/>
        <v>286710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TRUNC(12546,-1)</f>
        <v>12540</v>
      </c>
      <c r="E49" s="63">
        <f t="shared" si="1"/>
        <v>41450</v>
      </c>
    </row>
    <row r="50" spans="1:7" x14ac:dyDescent="0.3">
      <c r="A50" s="2">
        <v>11</v>
      </c>
      <c r="C50" s="38" t="s">
        <v>155</v>
      </c>
      <c r="D50" s="42">
        <f>TRUNC(52991,-1)</f>
        <v>52990</v>
      </c>
      <c r="E50" s="63">
        <f t="shared" si="1"/>
        <v>175170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TRUNC(5401,-1)</f>
        <v>5400</v>
      </c>
      <c r="E52" s="63">
        <f t="shared" si="1"/>
        <v>17850</v>
      </c>
    </row>
    <row r="53" spans="1:7" x14ac:dyDescent="0.3">
      <c r="A53" s="2">
        <v>14</v>
      </c>
      <c r="C53" s="38" t="s">
        <v>25</v>
      </c>
      <c r="D53" s="42">
        <v>42560</v>
      </c>
      <c r="E53" s="63">
        <f t="shared" si="1"/>
        <v>140690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TRUNC(1474+1385+3119-573+10477,-1)</f>
        <v>15880</v>
      </c>
      <c r="E58" s="63">
        <f t="shared" si="1"/>
        <v>52490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TRUNC(377813,-1)</f>
        <v>377810</v>
      </c>
      <c r="E59" s="64">
        <f t="shared" si="1"/>
        <v>1248960</v>
      </c>
    </row>
    <row r="60" spans="1:7" x14ac:dyDescent="0.3">
      <c r="A60" s="2">
        <v>21</v>
      </c>
      <c r="C60" s="27" t="s">
        <v>112</v>
      </c>
      <c r="D60" s="39">
        <f>SUM(D40:D59)</f>
        <v>842990</v>
      </c>
      <c r="E60" s="39">
        <f>SUM(E40:E59)</f>
        <v>2786690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TRUNC(14376,-1)</f>
        <v>14370</v>
      </c>
      <c r="E63" s="62">
        <f>TRUNC(+D63*3.3058,-1)</f>
        <v>47500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32580</v>
      </c>
      <c r="E65" s="64">
        <f>TRUNC(+D65*3.3058,-1)</f>
        <v>107700</v>
      </c>
    </row>
    <row r="66" spans="1:7" x14ac:dyDescent="0.3">
      <c r="A66" s="2">
        <v>4</v>
      </c>
      <c r="C66" s="27" t="s">
        <v>112</v>
      </c>
      <c r="D66" s="39">
        <f>SUM(D63:D65)</f>
        <v>46950</v>
      </c>
      <c r="E66" s="65">
        <f>SUM(E63:E65)</f>
        <v>155200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TRUNC(8137,-1)</f>
        <v>8130</v>
      </c>
      <c r="E69" s="62">
        <f t="shared" ref="E69:E94" si="2">TRUNC(+D69*3.3058,-1)</f>
        <v>26870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TRUNC(2034,-1)</f>
        <v>2030</v>
      </c>
      <c r="E71" s="63">
        <f t="shared" si="2"/>
        <v>6710</v>
      </c>
    </row>
    <row r="72" spans="1:7" x14ac:dyDescent="0.3">
      <c r="A72" s="2">
        <v>4</v>
      </c>
      <c r="C72" s="38" t="s">
        <v>33</v>
      </c>
      <c r="D72" s="42">
        <f>TRUNC(8128,-1)</f>
        <v>8120</v>
      </c>
      <c r="E72" s="63">
        <f t="shared" si="2"/>
        <v>26840</v>
      </c>
    </row>
    <row r="73" spans="1:7" x14ac:dyDescent="0.3">
      <c r="A73" s="2">
        <v>5</v>
      </c>
      <c r="C73" s="38" t="s">
        <v>34</v>
      </c>
      <c r="D73" s="42">
        <f>TRUNC(7924,-1)</f>
        <v>7920</v>
      </c>
      <c r="E73" s="63">
        <f t="shared" si="2"/>
        <v>26180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TRUNC(405,-1)</f>
        <v>400</v>
      </c>
      <c r="E75" s="63">
        <f t="shared" si="2"/>
        <v>1320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TRUNC(3788,-1)</f>
        <v>3780</v>
      </c>
      <c r="E89" s="63">
        <f t="shared" si="2"/>
        <v>12490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TRUNC(3814,-1)</f>
        <v>3810</v>
      </c>
      <c r="E91" s="63">
        <f t="shared" si="2"/>
        <v>12590</v>
      </c>
    </row>
    <row r="92" spans="1:7" x14ac:dyDescent="0.3">
      <c r="A92" s="2">
        <v>24</v>
      </c>
      <c r="C92" s="38" t="s">
        <v>38</v>
      </c>
      <c r="D92" s="42">
        <f>TRUNC(3018,-1)</f>
        <v>3010</v>
      </c>
      <c r="E92" s="63">
        <f t="shared" si="2"/>
        <v>9950</v>
      </c>
    </row>
    <row r="93" spans="1:7" x14ac:dyDescent="0.3">
      <c r="A93" s="2">
        <v>25</v>
      </c>
      <c r="C93" s="38" t="s">
        <v>148</v>
      </c>
      <c r="D93" s="42">
        <f>TRUNC(146119,-1)</f>
        <v>146110</v>
      </c>
      <c r="E93" s="63">
        <f t="shared" si="2"/>
        <v>483010</v>
      </c>
    </row>
    <row r="94" spans="1:7" ht="17.25" thickBot="1" x14ac:dyDescent="0.35">
      <c r="A94" s="2">
        <v>26</v>
      </c>
      <c r="C94" s="38" t="s">
        <v>47</v>
      </c>
      <c r="D94" s="43">
        <v>1790</v>
      </c>
      <c r="E94" s="64">
        <f t="shared" si="2"/>
        <v>5910</v>
      </c>
    </row>
    <row r="95" spans="1:7" x14ac:dyDescent="0.3">
      <c r="A95" s="2">
        <v>27</v>
      </c>
      <c r="C95" s="27" t="s">
        <v>112</v>
      </c>
      <c r="D95" s="39">
        <f>SUM(D69:D94)</f>
        <v>185100</v>
      </c>
      <c r="E95" s="39">
        <f>SUM(E69:E94)</f>
        <v>611870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TRUNC(12747,-1)</f>
        <v>12740</v>
      </c>
      <c r="E98" s="62">
        <f t="shared" ref="E98:E118" si="3">TRUNC(+D98*3.3058,-1)</f>
        <v>42110</v>
      </c>
    </row>
    <row r="99" spans="1:7" x14ac:dyDescent="0.3">
      <c r="A99" s="2">
        <v>2</v>
      </c>
      <c r="C99" s="38" t="s">
        <v>40</v>
      </c>
      <c r="D99" s="42">
        <f>TRUNC(1548,-1)</f>
        <v>1540</v>
      </c>
      <c r="E99" s="63">
        <f t="shared" si="3"/>
        <v>5090</v>
      </c>
    </row>
    <row r="100" spans="1:7" x14ac:dyDescent="0.3">
      <c r="A100" s="2">
        <v>3</v>
      </c>
      <c r="C100" s="38" t="s">
        <v>41</v>
      </c>
      <c r="D100" s="42">
        <f>TRUNC(34271,-1)</f>
        <v>34270</v>
      </c>
      <c r="E100" s="63">
        <f t="shared" si="3"/>
        <v>113280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TRUNC(11005,-1)</f>
        <v>11000</v>
      </c>
      <c r="E102" s="63">
        <f t="shared" si="3"/>
        <v>36360</v>
      </c>
    </row>
    <row r="103" spans="1:7" x14ac:dyDescent="0.3">
      <c r="A103" s="2">
        <v>6</v>
      </c>
      <c r="C103" s="38" t="s">
        <v>44</v>
      </c>
      <c r="D103" s="42">
        <f>TRUNC(10026,-1)</f>
        <v>10020</v>
      </c>
      <c r="E103" s="63">
        <f t="shared" si="3"/>
        <v>33120</v>
      </c>
    </row>
    <row r="104" spans="1:7" x14ac:dyDescent="0.3">
      <c r="A104" s="2">
        <v>7</v>
      </c>
      <c r="C104" s="38" t="s">
        <v>45</v>
      </c>
      <c r="D104" s="42">
        <f>TRUNC(5258,-1)</f>
        <v>5250</v>
      </c>
      <c r="E104" s="63">
        <f t="shared" si="3"/>
        <v>17350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TRUNC(1985,-1)</f>
        <v>1980</v>
      </c>
      <c r="E116" s="63">
        <f t="shared" si="3"/>
        <v>6540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TRUNC(126585,-1)</f>
        <v>126580</v>
      </c>
      <c r="E117" s="63">
        <f t="shared" si="3"/>
        <v>418440</v>
      </c>
    </row>
    <row r="118" spans="1:7" ht="17.25" thickBot="1" x14ac:dyDescent="0.35">
      <c r="A118" s="2">
        <v>21</v>
      </c>
      <c r="C118" s="38" t="s">
        <v>47</v>
      </c>
      <c r="D118" s="43">
        <v>10510</v>
      </c>
      <c r="E118" s="64">
        <f t="shared" si="3"/>
        <v>34740</v>
      </c>
    </row>
    <row r="119" spans="1:7" x14ac:dyDescent="0.3">
      <c r="A119" s="2">
        <v>22</v>
      </c>
      <c r="C119" s="27" t="s">
        <v>112</v>
      </c>
      <c r="D119" s="39">
        <f>SUM(D98:D118)</f>
        <v>213890</v>
      </c>
      <c r="E119" s="39">
        <f>SUM(E98:E118)</f>
        <v>707030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TRUNC(2275,-1)</f>
        <v>2270</v>
      </c>
      <c r="E122" s="62">
        <f t="shared" ref="E122:E132" si="4">TRUNC(+D122*3.3058,-1)</f>
        <v>7500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TRUNC(6474,-1)</f>
        <v>6470</v>
      </c>
      <c r="E125" s="63">
        <f t="shared" si="4"/>
        <v>21380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TRUNC(13023,-1)</f>
        <v>13020</v>
      </c>
      <c r="E130" s="63">
        <f t="shared" si="4"/>
        <v>43040</v>
      </c>
    </row>
    <row r="131" spans="1:7" x14ac:dyDescent="0.3">
      <c r="A131" s="2">
        <v>10</v>
      </c>
      <c r="C131" s="38" t="s">
        <v>148</v>
      </c>
      <c r="D131" s="42">
        <f>TRUNC(24543,-1)</f>
        <v>24540</v>
      </c>
      <c r="E131" s="63">
        <f t="shared" si="4"/>
        <v>81120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46300</v>
      </c>
      <c r="E133" s="39">
        <f>SUM(E122:E132)</f>
        <v>153040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3260</v>
      </c>
      <c r="E137" s="63">
        <f t="shared" si="5"/>
        <v>10770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TRUNC(1489,-1)</f>
        <v>1480</v>
      </c>
      <c r="E140" s="63">
        <f t="shared" si="5"/>
        <v>4890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TRUNC(3813,-1)</f>
        <v>3810</v>
      </c>
      <c r="E142" s="63">
        <f t="shared" si="5"/>
        <v>12590</v>
      </c>
    </row>
    <row r="143" spans="1:7" x14ac:dyDescent="0.3">
      <c r="A143" s="2">
        <v>8</v>
      </c>
      <c r="C143" s="38" t="s">
        <v>62</v>
      </c>
      <c r="D143" s="42">
        <f>TRUNC(2911,-1)</f>
        <v>2910</v>
      </c>
      <c r="E143" s="63">
        <f t="shared" si="5"/>
        <v>9610</v>
      </c>
    </row>
    <row r="144" spans="1:7" x14ac:dyDescent="0.3">
      <c r="A144" s="2">
        <v>9</v>
      </c>
      <c r="C144" s="38" t="s">
        <v>63</v>
      </c>
      <c r="D144" s="42">
        <f>TRUNC(12682,-1)</f>
        <v>12680</v>
      </c>
      <c r="E144" s="63">
        <f t="shared" si="5"/>
        <v>41910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24140</v>
      </c>
      <c r="E146" s="39">
        <f>SUM(E136:E145)</f>
        <v>79770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TRUNC(4050+975,-1)</f>
        <v>5020</v>
      </c>
      <c r="E149" s="62">
        <f>TRUNC(+D149*3.3058,-1)</f>
        <v>16590</v>
      </c>
    </row>
    <row r="150" spans="1:7" x14ac:dyDescent="0.3">
      <c r="A150" s="2">
        <v>2</v>
      </c>
      <c r="C150" s="38" t="s">
        <v>49</v>
      </c>
      <c r="D150" s="42">
        <f>TRUNC(3359,-1)</f>
        <v>3350</v>
      </c>
      <c r="E150" s="63">
        <f>TRUNC(+D150*3.3058,-1)</f>
        <v>11070</v>
      </c>
    </row>
    <row r="151" spans="1:7" x14ac:dyDescent="0.3">
      <c r="A151" s="2">
        <v>3</v>
      </c>
      <c r="C151" s="38" t="s">
        <v>50</v>
      </c>
      <c r="D151" s="42">
        <f>TRUNC(2535,-1)</f>
        <v>2530</v>
      </c>
      <c r="E151" s="63">
        <f>TRUNC(+D151*3.3058,-1)</f>
        <v>8360</v>
      </c>
    </row>
    <row r="152" spans="1:7" x14ac:dyDescent="0.3">
      <c r="A152" s="2">
        <v>4</v>
      </c>
      <c r="C152" s="38" t="s">
        <v>47</v>
      </c>
      <c r="D152" s="42">
        <f>TRUNC(1373+120+2361,-1)</f>
        <v>3850</v>
      </c>
      <c r="E152" s="63">
        <f>TRUNC(+D152*3.3058,-1)</f>
        <v>12720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14750</v>
      </c>
      <c r="E154" s="39">
        <f>SUM(E149:E153)</f>
        <v>48740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TRUNC(19084,-1)</f>
        <v>19080</v>
      </c>
      <c r="E157" s="62">
        <f>TRUNC(+D157*3.3058,-1)</f>
        <v>63070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TRUNC(758,-1)</f>
        <v>750</v>
      </c>
      <c r="E159" s="63">
        <f>TRUNC(+D159*3.3058,-1)</f>
        <v>2470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19830</v>
      </c>
      <c r="E161" s="39">
        <f>SUM(E157:E160)</f>
        <v>65540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2020-12-07T10:09:23Z</dcterms:modified>
</cp:coreProperties>
</file>