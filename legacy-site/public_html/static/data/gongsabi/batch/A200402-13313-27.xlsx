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46" i="4" s="1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0" i="4" l="1"/>
  <c r="E66" i="4"/>
  <c r="E161" i="4"/>
  <c r="E119" i="4"/>
  <c r="E95" i="4"/>
  <c r="E154" i="4"/>
  <c r="D161" i="4" l="1"/>
  <c r="D32" i="4" s="1"/>
  <c r="E32" i="4" s="1"/>
  <c r="D154" i="4"/>
  <c r="D31" i="4" s="1"/>
  <c r="E31" i="4" s="1"/>
  <c r="D146" i="4"/>
  <c r="D30" i="4" s="1"/>
  <c r="E30" i="4" s="1"/>
  <c r="D132" i="4"/>
  <c r="D119" i="4"/>
  <c r="D28" i="4" s="1"/>
  <c r="E28" i="4" s="1"/>
  <c r="D95" i="4"/>
  <c r="D66" i="4"/>
  <c r="D26" i="4" s="1"/>
  <c r="E26" i="4" s="1"/>
  <c r="D60" i="4"/>
  <c r="D25" i="4" s="1"/>
  <c r="E25" i="4" s="1"/>
  <c r="D27" i="4"/>
  <c r="E27" i="4" s="1"/>
  <c r="D24" i="4"/>
  <c r="D7" i="4"/>
  <c r="E24" i="4" l="1"/>
  <c r="D133" i="4"/>
  <c r="D29" i="4" s="1"/>
  <c r="E29" i="4" s="1"/>
  <c r="E132" i="4"/>
  <c r="E133" i="4" s="1"/>
  <c r="D33" i="4" l="1"/>
  <c r="E33" i="4" s="1"/>
  <c r="D34" i="4"/>
  <c r="E34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</calcChain>
</file>

<file path=xl/sharedStrings.xml><?xml version="1.0" encoding="utf-8"?>
<sst xmlns="http://schemas.openxmlformats.org/spreadsheetml/2006/main" count="387" uniqueCount="262">
  <si>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</si>
  <si>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</si>
  <si>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</si>
  <si>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</si>
  <si>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</si>
  <si>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</si>
  <si>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</si>
  <si>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</si>
  <si>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</si>
  <si>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</si>
  <si>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</si>
  <si>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</si>
  <si>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</si>
  <si>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</si>
  <si>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</si>
  <si>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</si>
  <si>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</si>
  <si>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</si>
  <si>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</si>
  <si>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</si>
  <si>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</si>
  <si>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</si>
  <si>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</si>
  <si>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</si>
  <si>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</si>
  <si>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</si>
  <si>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</si>
  <si>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</si>
  <si>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</si>
  <si>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</si>
  <si>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</si>
  <si>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</si>
  <si>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</si>
  <si>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</si>
  <si>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</si>
  <si>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</si>
  <si>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</si>
  <si>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</si>
  <si>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</si>
  <si>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</si>
  <si>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</si>
  <si>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</si>
  <si>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</si>
  <si>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</si>
  <si>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</si>
  <si>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</si>
  <si>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</si>
  <si>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</si>
  <si>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</si>
  <si>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</si>
  <si>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</si>
  <si>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</si>
  <si>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</si>
  <si>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</si>
  <si>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</si>
  <si>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</si>
  <si>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</si>
  <si>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</si>
  <si>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</si>
  <si>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</si>
  <si>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</si>
  <si>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</si>
  <si>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</si>
  <si>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</si>
  <si>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</si>
  <si>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</si>
  <si>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</si>
  <si>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</si>
  <si>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</si>
  <si>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</si>
  <si>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</si>
  <si>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</si>
  <si>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</si>
  <si>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</si>
  <si>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</si>
  <si>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</si>
  <si>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</si>
  <si>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</si>
  <si>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</si>
  <si>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</si>
  <si>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</si>
  <si>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</si>
  <si>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</si>
  <si>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</si>
  <si>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</si>
  <si>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</si>
  <si>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</si>
  <si>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</si>
  <si>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</si>
  <si>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</si>
  <si>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</si>
  <si>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</si>
  <si>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</si>
  <si>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</si>
  <si>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</si>
  <si>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</si>
  <si>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</si>
  <si>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</si>
  <si>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</si>
  <si>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</si>
  <si>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</si>
  <si>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</si>
  <si>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</si>
  <si>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</si>
  <si>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</si>
  <si>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</si>
  <si>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</si>
  <si>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</si>
  <si>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</si>
  <si>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</si>
  <si>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</si>
  <si>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</si>
  <si>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</si>
  <si>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</si>
  <si>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</si>
  <si>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</si>
  <si>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</si>
  <si>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</si>
  <si>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</si>
  <si>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</si>
  <si>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</si>
  <si>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</si>
  <si>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</si>
  <si>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</si>
  <si>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</si>
  <si>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</si>
  <si>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</si>
  <si>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</si>
  <si>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</si>
  <si>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</si>
  <si>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</si>
  <si>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</si>
  <si>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</si>
  <si>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</si>
  <si>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</si>
  <si>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</si>
  <si>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</si>
  <si>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</si>
  <si>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</si>
  <si>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</si>
  <si>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</si>
  <si>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</si>
  <si>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</si>
  <si>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</si>
  <si>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</si>
  <si>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</si>
  <si>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</si>
  <si>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</si>
  <si>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</si>
  <si>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</si>
  <si>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</si>
  <si>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</si>
  <si>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</si>
  <si>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</si>
  <si>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</si>
  <si>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</si>
  <si>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</si>
  <si>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</si>
  <si>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</si>
  <si>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</si>
  <si>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</si>
  <si>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</si>
  <si>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</si>
  <si>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</si>
  <si>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</si>
  <si>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</si>
  <si>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</si>
  <si>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</si>
  <si>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</si>
  <si>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</si>
  <si>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</si>
  <si>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</si>
  <si>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</si>
  <si>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</si>
  <si>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</si>
  <si>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</si>
  <si>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</si>
  <si>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</si>
  <si>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</si>
  <si>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</si>
  <si>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</si>
  <si>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</si>
  <si>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</si>
  <si>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</si>
  <si>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</si>
  <si>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</si>
  <si>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</si>
  <si>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</si>
  <si>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</si>
  <si>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</si>
  <si>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</si>
  <si>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</si>
  <si>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</si>
  <si>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</si>
  <si>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</si>
  <si>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</si>
  <si>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</si>
  <si>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</si>
  <si>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</si>
  <si>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</si>
  <si>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</si>
  <si>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</si>
  <si>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</si>
  <si>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</si>
  <si>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</si>
  <si>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</si>
  <si>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</si>
  <si>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</si>
  <si>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</si>
  <si>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</si>
  <si>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</si>
  <si>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</si>
  <si>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</si>
  <si>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</si>
  <si>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</si>
  <si>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</si>
  <si>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</si>
  <si>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</si>
  <si>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</si>
  <si>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</si>
  <si>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</si>
  <si>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</si>
  <si>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</si>
  <si>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</si>
  <si>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</si>
  <si>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</si>
  <si>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</si>
  <si>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</si>
  <si>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</si>
  <si>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</si>
  <si>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</si>
  <si>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</si>
  <si>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</si>
  <si>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</si>
  <si>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2004년</t>
  </si>
  <si>
    <t>원/ m2</t>
    <phoneticPr fontId="2" type="noConversion"/>
  </si>
  <si>
    <t>평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</si>
  <si>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</si>
  <si>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</si>
  <si>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</si>
  <si>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</si>
  <si>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</si>
  <si>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</si>
  <si>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</si>
  <si>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</si>
  <si>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</si>
  <si>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</si>
  <si>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업무</t>
  </si>
  <si>
    <t>전라도</t>
  </si>
  <si>
    <t>마감공사</t>
    <phoneticPr fontId="2" type="noConversion"/>
  </si>
  <si>
    <t>전등전열설비</t>
    <phoneticPr fontId="2" type="noConversion"/>
  </si>
  <si>
    <t>외선인입설비</t>
    <phoneticPr fontId="2" type="noConversion"/>
  </si>
  <si>
    <t>기타설비</t>
    <phoneticPr fontId="2" type="noConversion"/>
  </si>
  <si>
    <t>옥외인입공사, 기타공사</t>
    <phoneticPr fontId="2" type="noConversion"/>
  </si>
  <si>
    <t>전기소방</t>
    <phoneticPr fontId="2" type="noConversion"/>
  </si>
  <si>
    <t>전라남도 완도군 00 경찰서</t>
    <phoneticPr fontId="2" type="noConversion"/>
  </si>
  <si>
    <t>원 /평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</si>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</sst>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1" t="s">
        <v>155</v>
      </c>
      <c r="B2" s="74" t="s">
        <v>0</v>
      </c>
      <c r="C2" s="75"/>
      <c r="D2" s="74" t="s">
        <v>1</v>
      </c>
      <c r="E2" s="75"/>
      <c r="F2" s="74" t="s">
        <v>156</v>
      </c>
      <c r="G2" s="75"/>
      <c r="H2" s="74" t="s">
        <v>2</v>
      </c>
      <c r="I2" s="75"/>
      <c r="J2" s="74" t="s">
        <v>3</v>
      </c>
      <c r="K2" s="75"/>
      <c r="L2" s="74" t="s">
        <v>157</v>
      </c>
      <c r="M2" s="75"/>
      <c r="N2" s="74" t="s">
        <v>158</v>
      </c>
      <c r="O2" s="75"/>
      <c r="P2" s="74" t="s">
        <v>5</v>
      </c>
      <c r="Q2" s="75"/>
      <c r="R2" s="68" t="s">
        <v>94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259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22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255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247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6858</v>
      </c>
      <c r="D7" s="36">
        <f>+C7/3.3058</f>
        <v>2074.5356645895095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234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260</v>
      </c>
    </row>
    <row r="19" spans="1:5" x14ac:dyDescent="0.3">
      <c r="A19" s="2">
        <v>9</v>
      </c>
      <c r="B19" s="2" t="s">
        <v>261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235</v>
      </c>
      <c r="E23" s="35" t="s">
        <v>256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575320</v>
      </c>
      <c r="E25" s="59">
        <f t="shared" si="0"/>
        <v>1901890</v>
      </c>
    </row>
    <row r="26" spans="1:5" x14ac:dyDescent="0.3">
      <c r="B26" s="2">
        <v>3</v>
      </c>
      <c r="C26" s="35" t="s">
        <v>95</v>
      </c>
      <c r="D26" s="45">
        <f>+D66</f>
        <v>310</v>
      </c>
      <c r="E26" s="59">
        <f t="shared" si="0"/>
        <v>1020</v>
      </c>
    </row>
    <row r="27" spans="1:5" x14ac:dyDescent="0.3">
      <c r="B27" s="2">
        <v>4</v>
      </c>
      <c r="C27" s="35" t="s">
        <v>96</v>
      </c>
      <c r="D27" s="45">
        <f>+D95</f>
        <v>204660</v>
      </c>
      <c r="E27" s="59">
        <f t="shared" si="0"/>
        <v>676560</v>
      </c>
    </row>
    <row r="28" spans="1:5" x14ac:dyDescent="0.3">
      <c r="B28" s="2">
        <v>5</v>
      </c>
      <c r="C28" s="35" t="s">
        <v>97</v>
      </c>
      <c r="D28" s="45">
        <f>+D119</f>
        <v>99050</v>
      </c>
      <c r="E28" s="59">
        <f t="shared" si="0"/>
        <v>327430</v>
      </c>
    </row>
    <row r="29" spans="1:5" x14ac:dyDescent="0.3">
      <c r="B29" s="2">
        <v>6</v>
      </c>
      <c r="C29" s="35" t="s">
        <v>98</v>
      </c>
      <c r="D29" s="45">
        <f>+D133</f>
        <v>76480</v>
      </c>
      <c r="E29" s="59">
        <f t="shared" si="0"/>
        <v>252820</v>
      </c>
    </row>
    <row r="30" spans="1:5" x14ac:dyDescent="0.3">
      <c r="B30" s="2">
        <v>7</v>
      </c>
      <c r="C30" s="35" t="s">
        <v>99</v>
      </c>
      <c r="D30" s="45">
        <f>+D146</f>
        <v>16970</v>
      </c>
      <c r="E30" s="59">
        <f t="shared" si="0"/>
        <v>56090</v>
      </c>
    </row>
    <row r="31" spans="1:5" x14ac:dyDescent="0.3">
      <c r="B31" s="2">
        <v>8</v>
      </c>
      <c r="C31" s="35" t="s">
        <v>100</v>
      </c>
      <c r="D31" s="45">
        <f>+D154</f>
        <v>0</v>
      </c>
      <c r="E31" s="59">
        <f t="shared" si="0"/>
        <v>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153</v>
      </c>
      <c r="D33" s="53">
        <f>TRUNC(SUM(D24:D32)*0.275,-1)</f>
        <v>267510</v>
      </c>
      <c r="E33" s="60">
        <f t="shared" si="0"/>
        <v>884330</v>
      </c>
    </row>
    <row r="34" spans="1:7" x14ac:dyDescent="0.3">
      <c r="C34" s="35" t="s">
        <v>112</v>
      </c>
      <c r="D34" s="44">
        <f>SUM(D24:D33)</f>
        <v>1240300</v>
      </c>
      <c r="E34" s="44">
        <f>SUM(E24:E33)</f>
        <v>4100140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237</v>
      </c>
      <c r="D36" s="56" t="s">
        <v>235</v>
      </c>
      <c r="E36" s="56" t="s">
        <v>256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5" customFormat="1" x14ac:dyDescent="0.3">
      <c r="C38" s="66"/>
      <c r="D38" s="66"/>
      <c r="E38" s="66"/>
      <c r="G38" s="67"/>
    </row>
    <row r="39" spans="1:7" s="65" customFormat="1" ht="17.25" thickBot="1" x14ac:dyDescent="0.35">
      <c r="B39" s="65" t="s">
        <v>111</v>
      </c>
      <c r="C39" s="65" t="s">
        <v>241</v>
      </c>
      <c r="D39" s="66" t="s">
        <v>257</v>
      </c>
      <c r="E39" s="66" t="s">
        <v>258</v>
      </c>
      <c r="G39" s="67"/>
    </row>
    <row r="40" spans="1:7" x14ac:dyDescent="0.3">
      <c r="A40" s="2">
        <v>1</v>
      </c>
      <c r="C40" s="38" t="s">
        <v>15</v>
      </c>
      <c r="D40" s="40">
        <v>33200</v>
      </c>
      <c r="E40" s="62">
        <f t="shared" ref="E40:E59" si="1">TRUNC(+D40*3.3058,-1)</f>
        <v>109750</v>
      </c>
    </row>
    <row r="41" spans="1:7" x14ac:dyDescent="0.3">
      <c r="A41" s="2">
        <v>2</v>
      </c>
      <c r="C41" s="38" t="s">
        <v>13</v>
      </c>
      <c r="D41" s="42">
        <v>131130</v>
      </c>
      <c r="E41" s="63">
        <f t="shared" si="1"/>
        <v>433480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v>0</v>
      </c>
      <c r="E43" s="63">
        <f t="shared" si="1"/>
        <v>0</v>
      </c>
    </row>
    <row r="44" spans="1:7" x14ac:dyDescent="0.3">
      <c r="A44" s="2">
        <v>5</v>
      </c>
      <c r="C44" s="38" t="s">
        <v>17</v>
      </c>
      <c r="D44" s="42">
        <v>0</v>
      </c>
      <c r="E44" s="63">
        <f t="shared" si="1"/>
        <v>0</v>
      </c>
    </row>
    <row r="45" spans="1:7" x14ac:dyDescent="0.3">
      <c r="A45" s="2">
        <v>6</v>
      </c>
      <c r="C45" s="38" t="s">
        <v>18</v>
      </c>
      <c r="D45" s="42">
        <v>0</v>
      </c>
      <c r="E45" s="63">
        <f t="shared" si="1"/>
        <v>0</v>
      </c>
    </row>
    <row r="46" spans="1:7" x14ac:dyDescent="0.3">
      <c r="A46" s="2">
        <v>7</v>
      </c>
      <c r="C46" s="38" t="s">
        <v>19</v>
      </c>
      <c r="D46" s="42">
        <v>0</v>
      </c>
      <c r="E46" s="63">
        <f t="shared" si="1"/>
        <v>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v>0</v>
      </c>
      <c r="E48" s="63">
        <f t="shared" si="1"/>
        <v>0</v>
      </c>
    </row>
    <row r="49" spans="1:7" x14ac:dyDescent="0.3">
      <c r="A49" s="2">
        <v>10</v>
      </c>
      <c r="C49" s="38" t="s">
        <v>22</v>
      </c>
      <c r="D49" s="42">
        <v>0</v>
      </c>
      <c r="E49" s="63">
        <f t="shared" si="1"/>
        <v>0</v>
      </c>
    </row>
    <row r="50" spans="1:7" x14ac:dyDescent="0.3">
      <c r="A50" s="2">
        <v>11</v>
      </c>
      <c r="C50" s="38" t="s">
        <v>154</v>
      </c>
      <c r="D50" s="42">
        <v>0</v>
      </c>
      <c r="E50" s="63">
        <f t="shared" si="1"/>
        <v>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0</v>
      </c>
      <c r="E52" s="63">
        <f t="shared" si="1"/>
        <v>0</v>
      </c>
    </row>
    <row r="53" spans="1:7" x14ac:dyDescent="0.3">
      <c r="A53" s="2">
        <v>14</v>
      </c>
      <c r="C53" s="38" t="s">
        <v>25</v>
      </c>
      <c r="D53" s="42">
        <v>0</v>
      </c>
      <c r="E53" s="63">
        <f t="shared" si="1"/>
        <v>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v>410990</v>
      </c>
      <c r="E58" s="63">
        <f t="shared" si="1"/>
        <v>1358650</v>
      </c>
      <c r="F58" s="2" t="s">
        <v>249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575320</v>
      </c>
      <c r="E60" s="39">
        <f>SUM(E40:E59)</f>
        <v>1901880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238</v>
      </c>
      <c r="C62" s="55" t="s">
        <v>239</v>
      </c>
      <c r="D62" s="56" t="s">
        <v>235</v>
      </c>
      <c r="E62" s="56" t="s">
        <v>256</v>
      </c>
      <c r="F62" s="54"/>
      <c r="G62" s="54"/>
    </row>
    <row r="63" spans="1:7" x14ac:dyDescent="0.3">
      <c r="A63" s="2">
        <v>1</v>
      </c>
      <c r="C63" s="38" t="s">
        <v>27</v>
      </c>
      <c r="D63" s="40">
        <v>310</v>
      </c>
      <c r="E63" s="62">
        <f>TRUNC(+D63*3.3058,-1)</f>
        <v>1020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310</v>
      </c>
      <c r="E66" s="57">
        <f>SUM(E63:E65)</f>
        <v>1020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240</v>
      </c>
      <c r="C68" s="55" t="s">
        <v>241</v>
      </c>
      <c r="D68" s="56" t="s">
        <v>235</v>
      </c>
      <c r="E68" s="56" t="s">
        <v>256</v>
      </c>
      <c r="F68" s="54"/>
      <c r="G68" s="54"/>
    </row>
    <row r="69" spans="1:7" x14ac:dyDescent="0.3">
      <c r="A69" s="2">
        <v>1</v>
      </c>
      <c r="C69" s="38" t="s">
        <v>30</v>
      </c>
      <c r="D69" s="40">
        <v>31500</v>
      </c>
      <c r="E69" s="62">
        <f>TRUNC(+D69*3.3058,-1)</f>
        <v>104130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>TRUNC(+D70*3.3058,-1)</f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ref="E71:E73" si="2">TRUNC(+D71*3.3058,-1)</f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175</v>
      </c>
      <c r="D74" s="42">
        <v>0</v>
      </c>
      <c r="E74" s="63">
        <f>TRUNC(+D74*3.3058,-1)</f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>TRUNC(+D75*3.3058,-1)</f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3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3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3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3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3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>TRUNC(+D84*3.3058,-1)</f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3"/>
        <v>0</v>
      </c>
    </row>
    <row r="90" spans="1:7" x14ac:dyDescent="0.3">
      <c r="A90" s="2">
        <v>22</v>
      </c>
      <c r="C90" s="38" t="s">
        <v>36</v>
      </c>
      <c r="D90" s="42">
        <v>3220</v>
      </c>
      <c r="E90" s="63">
        <f>TRUNC(+D90*3.3058,-1)</f>
        <v>10640</v>
      </c>
    </row>
    <row r="91" spans="1:7" x14ac:dyDescent="0.3">
      <c r="A91" s="2">
        <v>23</v>
      </c>
      <c r="C91" s="38" t="s">
        <v>37</v>
      </c>
      <c r="D91" s="42">
        <v>44900</v>
      </c>
      <c r="E91" s="63">
        <f>TRUNC(+D91*3.3058,-1)</f>
        <v>148430</v>
      </c>
    </row>
    <row r="92" spans="1:7" x14ac:dyDescent="0.3">
      <c r="A92" s="2">
        <v>24</v>
      </c>
      <c r="C92" s="38" t="s">
        <v>38</v>
      </c>
      <c r="D92" s="42">
        <v>30330</v>
      </c>
      <c r="E92" s="63">
        <f>TRUNC(+D92*3.3058,-1)</f>
        <v>100260</v>
      </c>
    </row>
    <row r="93" spans="1:7" x14ac:dyDescent="0.3">
      <c r="A93" s="2">
        <v>25</v>
      </c>
      <c r="C93" s="38" t="s">
        <v>148</v>
      </c>
      <c r="D93" s="42">
        <v>94710</v>
      </c>
      <c r="E93" s="63">
        <f>TRUNC(+D93*3.3058,-1)</f>
        <v>313090</v>
      </c>
    </row>
    <row r="94" spans="1:7" ht="17.25" thickBot="1" x14ac:dyDescent="0.35">
      <c r="A94" s="2">
        <v>26</v>
      </c>
      <c r="C94" s="38" t="s">
        <v>47</v>
      </c>
      <c r="D94" s="43">
        <v>0</v>
      </c>
      <c r="E94" s="64">
        <f>TRUNC(+D94*3.3058,-1)</f>
        <v>0</v>
      </c>
    </row>
    <row r="95" spans="1:7" x14ac:dyDescent="0.3">
      <c r="A95" s="2">
        <v>27</v>
      </c>
      <c r="C95" s="27" t="s">
        <v>112</v>
      </c>
      <c r="D95" s="39">
        <f>SUM(D69:D94)</f>
        <v>204660</v>
      </c>
      <c r="E95" s="39">
        <f>SUM(E69:E94)</f>
        <v>676550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242</v>
      </c>
      <c r="C97" s="55" t="s">
        <v>241</v>
      </c>
      <c r="D97" s="56" t="s">
        <v>235</v>
      </c>
      <c r="E97" s="56" t="s">
        <v>256</v>
      </c>
      <c r="F97" s="54"/>
      <c r="G97" s="54"/>
    </row>
    <row r="98" spans="1:7" x14ac:dyDescent="0.3">
      <c r="A98" s="2">
        <v>1</v>
      </c>
      <c r="C98" s="38" t="s">
        <v>39</v>
      </c>
      <c r="D98" s="40">
        <v>0</v>
      </c>
      <c r="E98" s="62">
        <f t="shared" ref="E98:E118" si="4">TRUNC(+D98*3.3058,-1)</f>
        <v>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4"/>
        <v>0</v>
      </c>
    </row>
    <row r="100" spans="1:7" x14ac:dyDescent="0.3">
      <c r="A100" s="2">
        <v>3</v>
      </c>
      <c r="C100" s="38" t="s">
        <v>41</v>
      </c>
      <c r="D100" s="42">
        <v>32340</v>
      </c>
      <c r="E100" s="63">
        <f t="shared" si="4"/>
        <v>106900</v>
      </c>
      <c r="F100" s="2" t="s">
        <v>250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4"/>
        <v>0</v>
      </c>
    </row>
    <row r="102" spans="1:7" x14ac:dyDescent="0.3">
      <c r="A102" s="2">
        <v>5</v>
      </c>
      <c r="C102" s="38" t="s">
        <v>43</v>
      </c>
      <c r="D102" s="42">
        <v>0</v>
      </c>
      <c r="E102" s="63">
        <f t="shared" si="4"/>
        <v>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4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4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4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4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4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4"/>
        <v>0</v>
      </c>
    </row>
    <row r="116" spans="1:7" x14ac:dyDescent="0.3">
      <c r="A116" s="2">
        <v>19</v>
      </c>
      <c r="C116" s="38" t="s">
        <v>115</v>
      </c>
      <c r="D116" s="42">
        <v>23990</v>
      </c>
      <c r="E116" s="63">
        <f t="shared" si="4"/>
        <v>79300</v>
      </c>
      <c r="F116" s="2" t="s">
        <v>251</v>
      </c>
    </row>
    <row r="117" spans="1:7" x14ac:dyDescent="0.3">
      <c r="A117" s="2">
        <v>20</v>
      </c>
      <c r="C117" s="38" t="s">
        <v>148</v>
      </c>
      <c r="D117" s="42">
        <v>38780</v>
      </c>
      <c r="E117" s="63">
        <f t="shared" si="4"/>
        <v>128190</v>
      </c>
    </row>
    <row r="118" spans="1:7" ht="17.25" thickBot="1" x14ac:dyDescent="0.35">
      <c r="A118" s="2">
        <v>21</v>
      </c>
      <c r="C118" s="38" t="s">
        <v>47</v>
      </c>
      <c r="D118" s="43">
        <v>3940</v>
      </c>
      <c r="E118" s="64">
        <f t="shared" si="4"/>
        <v>13020</v>
      </c>
      <c r="F118" s="2" t="s">
        <v>252</v>
      </c>
    </row>
    <row r="119" spans="1:7" x14ac:dyDescent="0.3">
      <c r="A119" s="2">
        <v>22</v>
      </c>
      <c r="C119" s="27" t="s">
        <v>112</v>
      </c>
      <c r="D119" s="39">
        <f>SUM(D98:D118)</f>
        <v>99050</v>
      </c>
      <c r="E119" s="39">
        <f>SUM(E98:E118)</f>
        <v>327410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243</v>
      </c>
      <c r="C121" s="55" t="s">
        <v>241</v>
      </c>
      <c r="D121" s="56" t="s">
        <v>235</v>
      </c>
      <c r="E121" s="56" t="s">
        <v>256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5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5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5"/>
        <v>0</v>
      </c>
    </row>
    <row r="125" spans="1:7" x14ac:dyDescent="0.3">
      <c r="A125" s="2">
        <v>4</v>
      </c>
      <c r="C125" s="38" t="s">
        <v>138</v>
      </c>
      <c r="D125" s="42">
        <v>14170</v>
      </c>
      <c r="E125" s="63">
        <f t="shared" si="5"/>
        <v>46840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5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5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32060</v>
      </c>
      <c r="E130" s="63">
        <f t="shared" si="5"/>
        <v>105980</v>
      </c>
    </row>
    <row r="131" spans="1:7" x14ac:dyDescent="0.3">
      <c r="A131" s="2">
        <v>10</v>
      </c>
      <c r="C131" s="38" t="s">
        <v>148</v>
      </c>
      <c r="D131" s="42">
        <v>28410</v>
      </c>
      <c r="E131" s="63">
        <f t="shared" si="5"/>
        <v>93910</v>
      </c>
    </row>
    <row r="132" spans="1:7" ht="17.25" thickBot="1" x14ac:dyDescent="0.35">
      <c r="A132" s="2">
        <v>11</v>
      </c>
      <c r="C132" s="38" t="s">
        <v>47</v>
      </c>
      <c r="D132" s="43">
        <f>1180+660</f>
        <v>1840</v>
      </c>
      <c r="E132" s="64">
        <f t="shared" si="5"/>
        <v>6080</v>
      </c>
      <c r="F132" s="2" t="s">
        <v>253</v>
      </c>
    </row>
    <row r="133" spans="1:7" x14ac:dyDescent="0.3">
      <c r="A133" s="2">
        <v>12</v>
      </c>
      <c r="C133" s="27" t="s">
        <v>112</v>
      </c>
      <c r="D133" s="39">
        <f>SUM(D122:D132)</f>
        <v>76480</v>
      </c>
      <c r="E133" s="39">
        <f>SUM(E122:E132)</f>
        <v>252810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244</v>
      </c>
      <c r="C135" s="55" t="s">
        <v>241</v>
      </c>
      <c r="D135" s="56" t="s">
        <v>235</v>
      </c>
      <c r="E135" s="56" t="s">
        <v>256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9450</v>
      </c>
      <c r="E136" s="62">
        <f t="shared" ref="E136:E145" si="6">TRUNC(+D136*3.3058,-1)</f>
        <v>31230</v>
      </c>
    </row>
    <row r="137" spans="1:7" x14ac:dyDescent="0.3">
      <c r="A137" s="2">
        <v>2</v>
      </c>
      <c r="C137" s="38" t="s">
        <v>47</v>
      </c>
      <c r="D137" s="42">
        <v>7520</v>
      </c>
      <c r="E137" s="63">
        <f t="shared" si="6"/>
        <v>24850</v>
      </c>
      <c r="F137" s="2" t="s">
        <v>254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16970</v>
      </c>
      <c r="E146" s="39">
        <f>SUM(E136:E145)</f>
        <v>56080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245</v>
      </c>
      <c r="C148" s="55" t="s">
        <v>241</v>
      </c>
      <c r="D148" s="56" t="s">
        <v>235</v>
      </c>
      <c r="E148" s="56" t="s">
        <v>256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v>0</v>
      </c>
      <c r="E152" s="63">
        <f>TRUNC(+D152*3.3058,-1)</f>
        <v>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0</v>
      </c>
      <c r="E154" s="39">
        <f>SUM(E149:E153)</f>
        <v>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246</v>
      </c>
      <c r="C156" s="55" t="s">
        <v>241</v>
      </c>
      <c r="D156" s="56" t="s">
        <v>235</v>
      </c>
      <c r="E156" s="56" t="s">
        <v>256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2020-12-07T08:58:50Z</dcterms:modified>
</cp:coreProperties>
</file>