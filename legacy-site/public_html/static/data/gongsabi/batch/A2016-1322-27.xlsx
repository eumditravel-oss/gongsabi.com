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38" i="4"/>
  <c r="E136" i="4"/>
  <c r="E129" i="4"/>
  <c r="E123" i="4"/>
  <c r="E118" i="4"/>
  <c r="E115" i="4"/>
  <c r="E114" i="4"/>
  <c r="E113" i="4"/>
  <c r="E112" i="4"/>
  <c r="E110" i="4"/>
  <c r="E109" i="4"/>
  <c r="E108" i="4"/>
  <c r="E107" i="4"/>
  <c r="E106" i="4"/>
  <c r="E101" i="4"/>
  <c r="E98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43" i="4"/>
  <c r="E37" i="4"/>
  <c r="D158" i="4" l="1"/>
  <c r="E158" i="4" s="1"/>
  <c r="D157" i="4"/>
  <c r="E157" i="4" s="1"/>
  <c r="D153" i="4"/>
  <c r="E153" i="4" s="1"/>
  <c r="D150" i="4"/>
  <c r="E150" i="4" s="1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7" i="4"/>
  <c r="E117" i="4" s="1"/>
  <c r="D116" i="4"/>
  <c r="E116" i="4" s="1"/>
  <c r="D111" i="4"/>
  <c r="E111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E99" i="4" s="1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E95" i="4" s="1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2" i="4"/>
  <c r="E42" i="4" s="1"/>
  <c r="D41" i="4"/>
  <c r="E41" i="4" s="1"/>
  <c r="D40" i="4"/>
  <c r="E40" i="4" s="1"/>
  <c r="D159" i="4"/>
  <c r="E159" i="4" s="1"/>
  <c r="D152" i="4"/>
  <c r="E152" i="4" s="1"/>
  <c r="E161" i="4" l="1"/>
  <c r="E119" i="4"/>
  <c r="E60" i="4"/>
  <c r="E154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<sst xmlns="http://schemas.openxmlformats.org/spreadsheetml/2006/main" count="393" uniqueCount="268">
  <si>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</si>
  <si>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</si>
  <si>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</si>
  <si>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</si>
  <si>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</si>
  <si>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</si>
  <si>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</si>
  <si>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</si>
  <si>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</si>
  <si>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</si>
  <si>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</si>
  <si>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</si>
  <si>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</si>
  <si>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</si>
  <si>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</si>
  <si>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</si>
  <si>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</si>
  <si>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</si>
  <si>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</si>
  <si>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</si>
  <si>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</si>
  <si>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</si>
  <si>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</si>
  <si>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</si>
  <si>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</si>
  <si>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</si>
  <si>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</si>
  <si>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</si>
  <si>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</si>
  <si>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</si>
  <si>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</si>
  <si>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</si>
  <si>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</si>
  <si>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</si>
  <si>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</si>
  <si>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</si>
  <si>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</si>
  <si>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</si>
  <si>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</si>
  <si>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</si>
  <si>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</si>
  <si>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</si>
  <si>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</si>
  <si>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</si>
  <si>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</si>
  <si>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</si>
  <si>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</si>
  <si>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</si>
  <si>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</si>
  <si>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</si>
  <si>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</si>
  <si>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</si>
  <si>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</si>
  <si>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</si>
  <si>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</si>
  <si>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</si>
  <si>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</si>
  <si>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</si>
  <si>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</si>
  <si>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</si>
  <si>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</si>
  <si>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</si>
  <si>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</si>
  <si>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</si>
  <si>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</si>
  <si>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</si>
  <si>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</si>
  <si>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</si>
  <si>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</si>
  <si>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</si>
  <si>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</si>
  <si>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</si>
  <si>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</si>
  <si>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</si>
  <si>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</si>
  <si>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</si>
  <si>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</si>
  <si>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</si>
  <si>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</si>
  <si>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</si>
  <si>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</si>
  <si>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</si>
  <si>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</si>
  <si>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</si>
  <si>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</si>
  <si>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</si>
  <si>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</si>
  <si>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</si>
  <si>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</si>
  <si>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</si>
  <si>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</si>
  <si>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</si>
  <si>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</si>
  <si>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</si>
  <si>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</si>
  <si>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</si>
  <si>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</si>
  <si>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</si>
  <si>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</si>
  <si>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</si>
  <si>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</si>
  <si>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</si>
  <si>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</si>
  <si>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</si>
  <si>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</si>
  <si>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</si>
  <si>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</si>
  <si>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</si>
  <si>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</si>
  <si>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</si>
  <si>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</si>
  <si>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</si>
  <si>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</si>
  <si>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</si>
  <si>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</si>
  <si>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</si>
  <si>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</si>
  <si>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</si>
  <si>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</si>
  <si>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</si>
  <si>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</si>
  <si>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</si>
  <si>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</si>
  <si>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</si>
  <si>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</si>
  <si>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</si>
  <si>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</si>
  <si>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</si>
  <si>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</si>
  <si>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</si>
  <si>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</si>
  <si>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</si>
  <si>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</si>
  <si>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</si>
  <si>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</si>
  <si>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</si>
  <si>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</si>
  <si>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</si>
  <si>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</si>
  <si>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</si>
  <si>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</si>
  <si>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</si>
  <si>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</si>
  <si>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</si>
  <si>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</si>
  <si>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</si>
  <si>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</si>
  <si>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</si>
  <si>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</si>
  <si>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</si>
  <si>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</si>
  <si>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</si>
  <si>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</si>
  <si>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</si>
  <si>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</si>
  <si>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</si>
  <si>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</si>
  <si>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</si>
  <si>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</si>
  <si>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</si>
  <si>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</si>
  <si>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</si>
  <si>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</si>
  <si>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</si>
  <si>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</si>
  <si>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</si>
  <si>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</si>
  <si>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</si>
  <si>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</si>
  <si>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</si>
  <si>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</si>
  <si>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</si>
  <si>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</si>
  <si>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</si>
  <si>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</si>
  <si>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</si>
  <si>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</si>
  <si>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</si>
  <si>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</si>
  <si>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</si>
  <si>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</si>
  <si>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</si>
  <si>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</si>
  <si>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</si>
  <si>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</si>
  <si>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</si>
  <si>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</si>
  <si>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</si>
  <si>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</si>
  <si>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</si>
  <si>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</si>
  <si>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</si>
  <si>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</si>
  <si>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</si>
  <si>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</si>
  <si>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</si>
  <si>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</si>
  <si>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</si>
  <si>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</si>
  <si>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</si>
  <si>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</si>
  <si>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</si>
  <si>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</si>
  <si>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</si>
  <si>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</si>
  <si>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</si>
  <si>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</si>
  <si>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</si>
  <si>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</si>
  <si>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</si>
  <si>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</si>
  <si>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</si>
  <si>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</si>
  <si>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</si>
  <si>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</si>
  <si>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</si>
  <si>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</si>
  <si>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</si>
  <si>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</si>
  <si>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</si>
  <si>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</si>
  <si>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</si>
  <si>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</si>
  <si>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</si>
  <si>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</si>
  <si>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</si>
  <si>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</si>
  <si>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</si>
  <si>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</si>
  <si>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</si>
  <si>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</si>
  <si>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</si>
  <si>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</si>
  <si>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</si>
  <si>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</si>
  <si>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</si>
  <si>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</si>
  <si>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</si>
  <si>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</si>
  <si>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</si>
  <si>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</si>
  <si>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</si>
  <si>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</si>
  <si>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</si>
  <si>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</si>
  <si>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</si>
  <si>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</si>
  <si>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</si>
  <si>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</si>
  <si>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</si>
  <si>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</si>
  <si>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</si>
  <si>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태안도서관 신축공사</t>
    <phoneticPr fontId="2" type="noConversion"/>
  </si>
  <si>
    <t>경기도</t>
  </si>
  <si>
    <t>기초공사, 해체및철거공사, 골재비및운반비, 작업부산물, 품질시험비</t>
    <phoneticPr fontId="2" type="noConversion"/>
  </si>
  <si>
    <t>난방배관공사, 우수처리시설공사, 기타공사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</si>
  <si>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</si>
  <si>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</si>
  <si>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</si>
  <si>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</si>
  <si>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펌프실배관공사, 기타공사</t>
    <phoneticPr fontId="2" type="noConversion"/>
  </si>
  <si>
    <t>토목 상수도공사, 사급자재비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</si>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</sst>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4438</v>
      </c>
      <c r="D7" s="36">
        <f>+C7/3.3058</f>
        <v>1342.4889587996854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911860</v>
      </c>
      <c r="E25" s="59">
        <f t="shared" si="0"/>
        <v>3014420</v>
      </c>
    </row>
    <row r="26" spans="1:5" x14ac:dyDescent="0.3">
      <c r="B26" s="2">
        <v>3</v>
      </c>
      <c r="C26" s="35" t="s">
        <v>95</v>
      </c>
      <c r="D26" s="45">
        <f>+D66</f>
        <v>84960</v>
      </c>
      <c r="E26" s="59">
        <f t="shared" si="0"/>
        <v>280860</v>
      </c>
    </row>
    <row r="27" spans="1:5" x14ac:dyDescent="0.3">
      <c r="B27" s="2">
        <v>4</v>
      </c>
      <c r="C27" s="35" t="s">
        <v>96</v>
      </c>
      <c r="D27" s="45">
        <f>+D95</f>
        <v>195800</v>
      </c>
      <c r="E27" s="59">
        <f t="shared" si="0"/>
        <v>647270</v>
      </c>
    </row>
    <row r="28" spans="1:5" x14ac:dyDescent="0.3">
      <c r="B28" s="2">
        <v>5</v>
      </c>
      <c r="C28" s="35" t="s">
        <v>97</v>
      </c>
      <c r="D28" s="45">
        <f>+D119</f>
        <v>187450</v>
      </c>
      <c r="E28" s="59">
        <f t="shared" si="0"/>
        <v>619670</v>
      </c>
    </row>
    <row r="29" spans="1:5" x14ac:dyDescent="0.3">
      <c r="B29" s="2">
        <v>6</v>
      </c>
      <c r="C29" s="35" t="s">
        <v>98</v>
      </c>
      <c r="D29" s="45">
        <f>+D133</f>
        <v>77060</v>
      </c>
      <c r="E29" s="59">
        <f t="shared" si="0"/>
        <v>254740</v>
      </c>
    </row>
    <row r="30" spans="1:5" x14ac:dyDescent="0.3">
      <c r="B30" s="2">
        <v>7</v>
      </c>
      <c r="C30" s="35" t="s">
        <v>99</v>
      </c>
      <c r="D30" s="45">
        <f>+D146</f>
        <v>44780</v>
      </c>
      <c r="E30" s="59">
        <f t="shared" si="0"/>
        <v>148030</v>
      </c>
    </row>
    <row r="31" spans="1:5" x14ac:dyDescent="0.3">
      <c r="B31" s="2">
        <v>8</v>
      </c>
      <c r="C31" s="35" t="s">
        <v>100</v>
      </c>
      <c r="D31" s="45">
        <f>+D154</f>
        <v>53120</v>
      </c>
      <c r="E31" s="59">
        <f t="shared" si="0"/>
        <v>175600</v>
      </c>
    </row>
    <row r="32" spans="1:5" x14ac:dyDescent="0.3">
      <c r="B32" s="2">
        <v>9</v>
      </c>
      <c r="C32" s="35" t="s">
        <v>101</v>
      </c>
      <c r="D32" s="45">
        <f>+D161</f>
        <v>58950</v>
      </c>
      <c r="E32" s="59">
        <f t="shared" si="0"/>
        <v>194870</v>
      </c>
    </row>
    <row r="33" spans="1:7" x14ac:dyDescent="0.3">
      <c r="B33" s="2">
        <v>10</v>
      </c>
      <c r="C33" s="35" t="s">
        <v>154</v>
      </c>
      <c r="D33" s="53">
        <f>TRUNC(SUM(D24:D32)*0.275,-1)</f>
        <v>443840</v>
      </c>
      <c r="E33" s="60">
        <f t="shared" si="0"/>
        <v>1467240</v>
      </c>
    </row>
    <row r="34" spans="1:7" x14ac:dyDescent="0.3">
      <c r="C34" s="35" t="s">
        <v>112</v>
      </c>
      <c r="D34" s="44">
        <f>SUM(D24:D33)</f>
        <v>2057820</v>
      </c>
      <c r="E34" s="44">
        <f>SUM(E24:E33)</f>
        <v>6802700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TRUNC(57962,-1)</f>
        <v>57960</v>
      </c>
      <c r="E40" s="62">
        <f t="shared" ref="E40:E59" si="1">TRUNC(+D40*3.3058,-1)</f>
        <v>191600</v>
      </c>
    </row>
    <row r="41" spans="1:7" x14ac:dyDescent="0.3">
      <c r="A41" s="2">
        <v>2</v>
      </c>
      <c r="C41" s="38" t="s">
        <v>13</v>
      </c>
      <c r="D41" s="42">
        <f>TRUNC(156463,-1)</f>
        <v>156460</v>
      </c>
      <c r="E41" s="63">
        <f t="shared" si="1"/>
        <v>517220</v>
      </c>
    </row>
    <row r="42" spans="1:7" x14ac:dyDescent="0.3">
      <c r="A42" s="2">
        <v>3</v>
      </c>
      <c r="C42" s="38" t="s">
        <v>14</v>
      </c>
      <c r="D42" s="42">
        <f>TRUNC(9429,-1)</f>
        <v>9420</v>
      </c>
      <c r="E42" s="63">
        <f t="shared" si="1"/>
        <v>31140</v>
      </c>
    </row>
    <row r="43" spans="1:7" x14ac:dyDescent="0.3">
      <c r="A43" s="2">
        <v>4</v>
      </c>
      <c r="C43" s="38" t="s">
        <v>16</v>
      </c>
      <c r="D43" s="42">
        <v>10970</v>
      </c>
      <c r="E43" s="63">
        <f t="shared" si="1"/>
        <v>36260</v>
      </c>
    </row>
    <row r="44" spans="1:7" x14ac:dyDescent="0.3">
      <c r="A44" s="2">
        <v>5</v>
      </c>
      <c r="C44" s="38" t="s">
        <v>17</v>
      </c>
      <c r="D44" s="42">
        <f>TRUNC(51314,-1)</f>
        <v>51310</v>
      </c>
      <c r="E44" s="63">
        <f t="shared" si="1"/>
        <v>169620</v>
      </c>
    </row>
    <row r="45" spans="1:7" x14ac:dyDescent="0.3">
      <c r="A45" s="2">
        <v>6</v>
      </c>
      <c r="C45" s="38" t="s">
        <v>18</v>
      </c>
      <c r="D45" s="42">
        <f>TRUNC(6144,-1)</f>
        <v>6140</v>
      </c>
      <c r="E45" s="63">
        <f t="shared" si="1"/>
        <v>20290</v>
      </c>
    </row>
    <row r="46" spans="1:7" x14ac:dyDescent="0.3">
      <c r="A46" s="2">
        <v>7</v>
      </c>
      <c r="C46" s="38" t="s">
        <v>19</v>
      </c>
      <c r="D46" s="42">
        <f>TRUNC(40418,-1)</f>
        <v>40410</v>
      </c>
      <c r="E46" s="63">
        <f t="shared" si="1"/>
        <v>133580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TRUNC(114568,-1)</f>
        <v>114560</v>
      </c>
      <c r="E48" s="63">
        <f t="shared" si="1"/>
        <v>378710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TRUNC(7502,-1)</f>
        <v>7500</v>
      </c>
      <c r="E49" s="63">
        <f t="shared" si="1"/>
        <v>24790</v>
      </c>
    </row>
    <row r="50" spans="1:7" x14ac:dyDescent="0.3">
      <c r="A50" s="2">
        <v>11</v>
      </c>
      <c r="C50" s="38" t="s">
        <v>155</v>
      </c>
      <c r="D50" s="42">
        <f>TRUNC(46886,-1)</f>
        <v>46880</v>
      </c>
      <c r="E50" s="63">
        <f t="shared" si="1"/>
        <v>154970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TRUNC(25904,-1)</f>
        <v>25900</v>
      </c>
      <c r="E52" s="63">
        <f t="shared" si="1"/>
        <v>85620</v>
      </c>
    </row>
    <row r="53" spans="1:7" x14ac:dyDescent="0.3">
      <c r="A53" s="2">
        <v>14</v>
      </c>
      <c r="C53" s="38" t="s">
        <v>25</v>
      </c>
      <c r="D53" s="42">
        <f>TRUNC(114565,-1)</f>
        <v>114560</v>
      </c>
      <c r="E53" s="63">
        <f t="shared" si="1"/>
        <v>378710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TRUNC(1152+9136+13673-548+472+11369,-1)</f>
        <v>35250</v>
      </c>
      <c r="E58" s="63">
        <f t="shared" si="1"/>
        <v>116520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TRUNC(234543,-1)</f>
        <v>234540</v>
      </c>
      <c r="E59" s="64">
        <f t="shared" si="1"/>
        <v>775340</v>
      </c>
    </row>
    <row r="60" spans="1:7" x14ac:dyDescent="0.3">
      <c r="A60" s="2">
        <v>21</v>
      </c>
      <c r="C60" s="27" t="s">
        <v>112</v>
      </c>
      <c r="D60" s="39">
        <f>SUM(D40:D59)</f>
        <v>911860</v>
      </c>
      <c r="E60" s="39">
        <f>SUM(E40:E59)</f>
        <v>3014370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TRUNC(4805,-1)</f>
        <v>4800</v>
      </c>
      <c r="E63" s="62">
        <f>TRUNC(+D63*3.3058,-1)</f>
        <v>15860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TRUNC(80168,-1)</f>
        <v>80160</v>
      </c>
      <c r="E65" s="64">
        <f>TRUNC(+D65*3.3058,-1)</f>
        <v>264990</v>
      </c>
    </row>
    <row r="66" spans="1:7" x14ac:dyDescent="0.3">
      <c r="A66" s="2">
        <v>4</v>
      </c>
      <c r="C66" s="27" t="s">
        <v>112</v>
      </c>
      <c r="D66" s="39">
        <f>SUM(D63:D65)</f>
        <v>84960</v>
      </c>
      <c r="E66" s="65">
        <f>SUM(E63:E65)</f>
        <v>280850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TRUNC(7051,-1)</f>
        <v>7050</v>
      </c>
      <c r="E69" s="62">
        <f t="shared" ref="E69:E94" si="2">TRUNC(+D69*3.3058,-1)</f>
        <v>23300</v>
      </c>
    </row>
    <row r="70" spans="1:7" ht="16.5" customHeight="1" x14ac:dyDescent="0.3">
      <c r="A70" s="2">
        <v>2</v>
      </c>
      <c r="C70" s="38" t="s">
        <v>31</v>
      </c>
      <c r="D70" s="42">
        <f>TRUNC(921,-1)</f>
        <v>920</v>
      </c>
      <c r="E70" s="63">
        <f t="shared" si="2"/>
        <v>3040</v>
      </c>
    </row>
    <row r="71" spans="1:7" x14ac:dyDescent="0.3">
      <c r="A71" s="2">
        <v>3</v>
      </c>
      <c r="C71" s="38" t="s">
        <v>32</v>
      </c>
      <c r="D71" s="42">
        <f>TRUNC(6771,-1)</f>
        <v>6770</v>
      </c>
      <c r="E71" s="63">
        <f t="shared" si="2"/>
        <v>22380</v>
      </c>
    </row>
    <row r="72" spans="1:7" x14ac:dyDescent="0.3">
      <c r="A72" s="2">
        <v>4</v>
      </c>
      <c r="C72" s="38" t="s">
        <v>33</v>
      </c>
      <c r="D72" s="42">
        <f>TRUNC(863,-1)</f>
        <v>860</v>
      </c>
      <c r="E72" s="63">
        <f t="shared" si="2"/>
        <v>2840</v>
      </c>
    </row>
    <row r="73" spans="1:7" x14ac:dyDescent="0.3">
      <c r="A73" s="2">
        <v>5</v>
      </c>
      <c r="C73" s="38" t="s">
        <v>34</v>
      </c>
      <c r="D73" s="42">
        <f>TRUNC(10569,-1)</f>
        <v>10560</v>
      </c>
      <c r="E73" s="63">
        <f t="shared" si="2"/>
        <v>34900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TRUNC(1102,-1)</f>
        <v>1100</v>
      </c>
      <c r="E75" s="63">
        <f t="shared" si="2"/>
        <v>3630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TRUNC(6092,-1)</f>
        <v>6090</v>
      </c>
      <c r="E89" s="63">
        <f t="shared" si="2"/>
        <v>20130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TRUNC(5533,-1)</f>
        <v>5530</v>
      </c>
      <c r="E91" s="63">
        <f t="shared" si="2"/>
        <v>18280</v>
      </c>
    </row>
    <row r="92" spans="1:7" x14ac:dyDescent="0.3">
      <c r="A92" s="2">
        <v>24</v>
      </c>
      <c r="C92" s="38" t="s">
        <v>38</v>
      </c>
      <c r="D92" s="42">
        <f>TRUNC(5579,-1)</f>
        <v>5570</v>
      </c>
      <c r="E92" s="63">
        <f t="shared" si="2"/>
        <v>18410</v>
      </c>
    </row>
    <row r="93" spans="1:7" x14ac:dyDescent="0.3">
      <c r="A93" s="2">
        <v>25</v>
      </c>
      <c r="C93" s="38" t="s">
        <v>148</v>
      </c>
      <c r="D93" s="42">
        <f>TRUNC(138259,-1)</f>
        <v>138250</v>
      </c>
      <c r="E93" s="63">
        <f t="shared" si="2"/>
        <v>457020</v>
      </c>
    </row>
    <row r="94" spans="1:7" ht="17.25" thickBot="1" x14ac:dyDescent="0.35">
      <c r="A94" s="2">
        <v>26</v>
      </c>
      <c r="C94" s="38" t="s">
        <v>47</v>
      </c>
      <c r="D94" s="43">
        <f>TRUNC(28+9221+3857,-1)</f>
        <v>13100</v>
      </c>
      <c r="E94" s="64">
        <f t="shared" si="2"/>
        <v>43300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195800</v>
      </c>
      <c r="E95" s="39">
        <f>SUM(E69:E94)</f>
        <v>647230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8410</v>
      </c>
      <c r="E98" s="62">
        <f t="shared" ref="E98:E118" si="3">TRUNC(+D98*3.3058,-1)</f>
        <v>27800</v>
      </c>
    </row>
    <row r="99" spans="1:7" x14ac:dyDescent="0.3">
      <c r="A99" s="2">
        <v>2</v>
      </c>
      <c r="C99" s="38" t="s">
        <v>40</v>
      </c>
      <c r="D99" s="42">
        <f>TRUNC(5007,-1)</f>
        <v>5000</v>
      </c>
      <c r="E99" s="63">
        <f t="shared" si="3"/>
        <v>16520</v>
      </c>
    </row>
    <row r="100" spans="1:7" x14ac:dyDescent="0.3">
      <c r="A100" s="2">
        <v>3</v>
      </c>
      <c r="C100" s="38" t="s">
        <v>41</v>
      </c>
      <c r="D100" s="42">
        <f>TRUNC(32328,-1)</f>
        <v>32320</v>
      </c>
      <c r="E100" s="63">
        <f t="shared" si="3"/>
        <v>106840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TRUNC(9545,-1)</f>
        <v>9540</v>
      </c>
      <c r="E102" s="63">
        <f t="shared" si="3"/>
        <v>31530</v>
      </c>
    </row>
    <row r="103" spans="1:7" x14ac:dyDescent="0.3">
      <c r="A103" s="2">
        <v>6</v>
      </c>
      <c r="C103" s="38" t="s">
        <v>44</v>
      </c>
      <c r="D103" s="42">
        <f>TRUNC(4293,-1)</f>
        <v>4290</v>
      </c>
      <c r="E103" s="63">
        <f t="shared" si="3"/>
        <v>14180</v>
      </c>
    </row>
    <row r="104" spans="1:7" x14ac:dyDescent="0.3">
      <c r="A104" s="2">
        <v>7</v>
      </c>
      <c r="C104" s="38" t="s">
        <v>45</v>
      </c>
      <c r="D104" s="42">
        <f>TRUNC(7143,-1)</f>
        <v>7140</v>
      </c>
      <c r="E104" s="63">
        <f t="shared" si="3"/>
        <v>23600</v>
      </c>
    </row>
    <row r="105" spans="1:7" x14ac:dyDescent="0.3">
      <c r="A105" s="2">
        <v>8</v>
      </c>
      <c r="C105" s="38" t="s">
        <v>46</v>
      </c>
      <c r="D105" s="42">
        <f>TRUNC(3282,-1)</f>
        <v>3280</v>
      </c>
      <c r="E105" s="63">
        <f t="shared" si="3"/>
        <v>10840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f>TRUNC(2644,-1)</f>
        <v>2640</v>
      </c>
      <c r="E111" s="63">
        <f t="shared" si="3"/>
        <v>8720</v>
      </c>
      <c r="F111" s="2" t="s">
        <v>257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TRUNC(4315,-1)</f>
        <v>4310</v>
      </c>
      <c r="E116" s="63">
        <f t="shared" si="3"/>
        <v>14240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TRUNC(110523,-1)</f>
        <v>110520</v>
      </c>
      <c r="E117" s="63">
        <f t="shared" si="3"/>
        <v>365350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187450</v>
      </c>
      <c r="E119" s="39">
        <f>SUM(E98:E118)</f>
        <v>619620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TRUNC(3283,-1)</f>
        <v>3280</v>
      </c>
      <c r="E122" s="62">
        <f t="shared" ref="E122:E132" si="4">TRUNC(+D122*3.3058,-1)</f>
        <v>10840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TRUNC(1086,-1)</f>
        <v>1080</v>
      </c>
      <c r="E124" s="63">
        <f t="shared" si="4"/>
        <v>3570</v>
      </c>
    </row>
    <row r="125" spans="1:7" x14ac:dyDescent="0.3">
      <c r="A125" s="2">
        <v>4</v>
      </c>
      <c r="C125" s="38" t="s">
        <v>138</v>
      </c>
      <c r="D125" s="42">
        <f>TRUNC(5457,-1)</f>
        <v>5450</v>
      </c>
      <c r="E125" s="63">
        <f t="shared" si="4"/>
        <v>18010</v>
      </c>
    </row>
    <row r="126" spans="1:7" x14ac:dyDescent="0.3">
      <c r="A126" s="2">
        <v>5</v>
      </c>
      <c r="C126" s="38" t="s">
        <v>53</v>
      </c>
      <c r="D126" s="42">
        <f>TRUNC(2122,-1)</f>
        <v>2120</v>
      </c>
      <c r="E126" s="63">
        <f t="shared" si="4"/>
        <v>7000</v>
      </c>
    </row>
    <row r="127" spans="1:7" x14ac:dyDescent="0.3">
      <c r="A127" s="2">
        <v>6</v>
      </c>
      <c r="C127" s="38" t="s">
        <v>56</v>
      </c>
      <c r="D127" s="42">
        <f>TRUNC(317,-1)</f>
        <v>310</v>
      </c>
      <c r="E127" s="63">
        <f t="shared" si="4"/>
        <v>1020</v>
      </c>
    </row>
    <row r="128" spans="1:7" x14ac:dyDescent="0.3">
      <c r="A128" s="2">
        <v>7</v>
      </c>
      <c r="C128" s="38" t="s">
        <v>46</v>
      </c>
      <c r="D128" s="42">
        <f>TRUNC(7495,-1)</f>
        <v>7490</v>
      </c>
      <c r="E128" s="63">
        <f t="shared" si="4"/>
        <v>24760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TRUNC(10426,-1)</f>
        <v>10420</v>
      </c>
      <c r="E130" s="63">
        <f t="shared" si="4"/>
        <v>34440</v>
      </c>
    </row>
    <row r="131" spans="1:7" x14ac:dyDescent="0.3">
      <c r="A131" s="2">
        <v>10</v>
      </c>
      <c r="C131" s="38" t="s">
        <v>148</v>
      </c>
      <c r="D131" s="42">
        <f>TRUNC(41969,-1)</f>
        <v>41960</v>
      </c>
      <c r="E131" s="63">
        <f t="shared" si="4"/>
        <v>138710</v>
      </c>
    </row>
    <row r="132" spans="1:7" ht="18" thickBot="1" x14ac:dyDescent="0.35">
      <c r="A132" s="2">
        <v>11</v>
      </c>
      <c r="C132" s="38" t="s">
        <v>47</v>
      </c>
      <c r="D132" s="43">
        <f>TRUNC(4068+886,-1)</f>
        <v>4950</v>
      </c>
      <c r="E132" s="64">
        <f t="shared" si="4"/>
        <v>16360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77060</v>
      </c>
      <c r="E133" s="39">
        <f>SUM(E122:E132)</f>
        <v>254710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TRUNC(5115+721,-1)</f>
        <v>5830</v>
      </c>
      <c r="E137" s="63">
        <f t="shared" si="5"/>
        <v>19270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TRUNC(5457,-1)</f>
        <v>5450</v>
      </c>
      <c r="E139" s="63">
        <f t="shared" si="5"/>
        <v>18010</v>
      </c>
    </row>
    <row r="140" spans="1:7" x14ac:dyDescent="0.3">
      <c r="A140" s="2">
        <v>5</v>
      </c>
      <c r="C140" s="38" t="s">
        <v>57</v>
      </c>
      <c r="D140" s="42">
        <f>TRUNC(2444,-1)</f>
        <v>2440</v>
      </c>
      <c r="E140" s="63">
        <f t="shared" si="5"/>
        <v>8060</v>
      </c>
    </row>
    <row r="141" spans="1:7" x14ac:dyDescent="0.3">
      <c r="A141" s="2">
        <v>6</v>
      </c>
      <c r="C141" s="38" t="s">
        <v>59</v>
      </c>
      <c r="D141" s="42">
        <f>TRUNC(5376,-1)</f>
        <v>5370</v>
      </c>
      <c r="E141" s="63">
        <f t="shared" si="5"/>
        <v>17750</v>
      </c>
    </row>
    <row r="142" spans="1:7" x14ac:dyDescent="0.3">
      <c r="A142" s="2">
        <v>7</v>
      </c>
      <c r="C142" s="38" t="s">
        <v>58</v>
      </c>
      <c r="D142" s="42">
        <f>TRUNC(3708,-1)</f>
        <v>3700</v>
      </c>
      <c r="E142" s="63">
        <f t="shared" si="5"/>
        <v>12230</v>
      </c>
    </row>
    <row r="143" spans="1:7" x14ac:dyDescent="0.3">
      <c r="A143" s="2">
        <v>8</v>
      </c>
      <c r="C143" s="38" t="s">
        <v>62</v>
      </c>
      <c r="D143" s="42">
        <f>TRUNC(3694,-1)</f>
        <v>3690</v>
      </c>
      <c r="E143" s="63">
        <f t="shared" si="5"/>
        <v>12190</v>
      </c>
    </row>
    <row r="144" spans="1:7" x14ac:dyDescent="0.3">
      <c r="A144" s="2">
        <v>9</v>
      </c>
      <c r="C144" s="38" t="s">
        <v>63</v>
      </c>
      <c r="D144" s="42">
        <f>TRUNC(17963,-1)</f>
        <v>17960</v>
      </c>
      <c r="E144" s="63">
        <f t="shared" si="5"/>
        <v>59370</v>
      </c>
    </row>
    <row r="145" spans="1:7" ht="17.25" thickBot="1" x14ac:dyDescent="0.35">
      <c r="A145" s="2">
        <v>10</v>
      </c>
      <c r="C145" s="38" t="s">
        <v>148</v>
      </c>
      <c r="D145" s="43">
        <f>TRUNC(349,-1)</f>
        <v>340</v>
      </c>
      <c r="E145" s="64">
        <f t="shared" si="5"/>
        <v>1120</v>
      </c>
    </row>
    <row r="146" spans="1:7" x14ac:dyDescent="0.3">
      <c r="A146" s="2">
        <v>11</v>
      </c>
      <c r="C146" s="27" t="s">
        <v>112</v>
      </c>
      <c r="D146" s="39">
        <f>SUM(D136:D145)</f>
        <v>44780</v>
      </c>
      <c r="E146" s="39">
        <f>SUM(E136:E145)</f>
        <v>148000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TRUNC(6160+818,-1)</f>
        <v>6970</v>
      </c>
      <c r="E149" s="62">
        <f>TRUNC(+D149*3.3058,-1)</f>
        <v>23040</v>
      </c>
    </row>
    <row r="150" spans="1:7" x14ac:dyDescent="0.3">
      <c r="A150" s="2">
        <v>2</v>
      </c>
      <c r="C150" s="38" t="s">
        <v>49</v>
      </c>
      <c r="D150" s="42">
        <f>TRUNC(3362,-1)</f>
        <v>3360</v>
      </c>
      <c r="E150" s="63">
        <f>TRUNC(+D150*3.3058,-1)</f>
        <v>11100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117+3893</f>
        <v>4010</v>
      </c>
      <c r="E152" s="63">
        <f>TRUNC(+D152*3.3058,-1)</f>
        <v>13250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TRUNC(38789,-1)</f>
        <v>38780</v>
      </c>
      <c r="E153" s="64">
        <f>TRUNC(+D153*3.3058,-1)</f>
        <v>128190</v>
      </c>
    </row>
    <row r="154" spans="1:7" x14ac:dyDescent="0.3">
      <c r="A154" s="2">
        <v>6</v>
      </c>
      <c r="C154" s="27" t="s">
        <v>112</v>
      </c>
      <c r="D154" s="39">
        <f>SUM(D149:D153)</f>
        <v>53120</v>
      </c>
      <c r="E154" s="39">
        <f>SUM(E149:E153)</f>
        <v>175580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TRUNC(36849,-1)</f>
        <v>36840</v>
      </c>
      <c r="E157" s="62">
        <f>TRUNC(+D157*3.3058,-1)</f>
        <v>121780</v>
      </c>
    </row>
    <row r="158" spans="1:7" x14ac:dyDescent="0.3">
      <c r="A158" s="2">
        <v>2</v>
      </c>
      <c r="C158" s="38" t="s">
        <v>52</v>
      </c>
      <c r="D158" s="42">
        <f>TRUNC(8823,-1)</f>
        <v>8820</v>
      </c>
      <c r="E158" s="63">
        <f>TRUNC(+D158*3.3058,-1)</f>
        <v>29150</v>
      </c>
    </row>
    <row r="159" spans="1:7" x14ac:dyDescent="0.3">
      <c r="A159" s="2">
        <v>3</v>
      </c>
      <c r="C159" s="38" t="s">
        <v>47</v>
      </c>
      <c r="D159" s="42">
        <f>6473+6817</f>
        <v>13290</v>
      </c>
      <c r="E159" s="63">
        <f>TRUNC(+D159*3.3058,-1)</f>
        <v>43930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58950</v>
      </c>
      <c r="E161" s="39">
        <f>SUM(E157:E160)</f>
        <v>194860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2020-12-08T01:20:46Z</dcterms:modified>
</cp:coreProperties>
</file>