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2" i="4" l="1"/>
  <c r="D118" i="4"/>
  <c r="D99" i="4" l="1"/>
  <c r="E160" i="4" l="1"/>
  <c r="E159" i="4"/>
  <c r="E158" i="4"/>
  <c r="E157" i="4"/>
  <c r="E161" i="4" s="1"/>
  <c r="E153" i="4"/>
  <c r="E149" i="4"/>
  <c r="E144" i="4"/>
  <c r="E143" i="4"/>
  <c r="E141" i="4"/>
  <c r="E139" i="4"/>
  <c r="E136" i="4"/>
  <c r="E131" i="4"/>
  <c r="E130" i="4"/>
  <c r="E129" i="4"/>
  <c r="E127" i="4"/>
  <c r="E124" i="4"/>
  <c r="E118" i="4"/>
  <c r="E117" i="4"/>
  <c r="E116" i="4"/>
  <c r="E114" i="4"/>
  <c r="E113" i="4"/>
  <c r="E112" i="4"/>
  <c r="E111" i="4"/>
  <c r="E110" i="4"/>
  <c r="E109" i="4"/>
  <c r="E107" i="4"/>
  <c r="E106" i="4"/>
  <c r="E104" i="4"/>
  <c r="E103" i="4"/>
  <c r="E101" i="4"/>
  <c r="E99" i="4"/>
  <c r="E93" i="4"/>
  <c r="E91" i="4"/>
  <c r="E89" i="4"/>
  <c r="E88" i="4"/>
  <c r="E87" i="4"/>
  <c r="E86" i="4"/>
  <c r="E85" i="4"/>
  <c r="E84" i="4"/>
  <c r="E82" i="4"/>
  <c r="E81" i="4"/>
  <c r="E80" i="4"/>
  <c r="E79" i="4"/>
  <c r="E78" i="4"/>
  <c r="E77" i="4"/>
  <c r="E76" i="4"/>
  <c r="E75" i="4"/>
  <c r="E74" i="4"/>
  <c r="E73" i="4"/>
  <c r="E65" i="4"/>
  <c r="E64" i="4"/>
  <c r="E57" i="4"/>
  <c r="E56" i="4"/>
  <c r="E54" i="4"/>
  <c r="E37" i="4"/>
  <c r="D137" i="4" l="1"/>
  <c r="E137" i="4" s="1"/>
  <c r="D138" i="4"/>
  <c r="E138" i="4" s="1"/>
  <c r="D125" i="4"/>
  <c r="E125" i="4" s="1"/>
  <c r="D132" i="4"/>
  <c r="E132" i="4" s="1"/>
  <c r="D58" i="4" l="1"/>
  <c r="E58" i="4" s="1"/>
  <c r="D59" i="4"/>
  <c r="E59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152" i="4"/>
  <c r="E152" i="4" s="1"/>
  <c r="D150" i="4"/>
  <c r="E150" i="4" s="1"/>
  <c r="E154" i="4" s="1"/>
  <c r="D151" i="4"/>
  <c r="E151" i="4" s="1"/>
  <c r="D63" i="4"/>
  <c r="E63" i="4" s="1"/>
  <c r="E66" i="4" s="1"/>
  <c r="D94" i="4"/>
  <c r="E94" i="4" s="1"/>
  <c r="D72" i="4"/>
  <c r="E72" i="4" s="1"/>
  <c r="D90" i="4"/>
  <c r="E90" i="4" s="1"/>
  <c r="D83" i="4"/>
  <c r="E83" i="4" s="1"/>
  <c r="D71" i="4"/>
  <c r="E71" i="4" s="1"/>
  <c r="D70" i="4"/>
  <c r="E70" i="4" s="1"/>
  <c r="D92" i="4"/>
  <c r="E92" i="4" s="1"/>
  <c r="D69" i="4"/>
  <c r="E69" i="4" s="1"/>
  <c r="D145" i="4"/>
  <c r="E145" i="4" s="1"/>
  <c r="D142" i="4"/>
  <c r="E142" i="4" s="1"/>
  <c r="D140" i="4"/>
  <c r="E140" i="4" s="1"/>
  <c r="E146" i="4" s="1"/>
  <c r="D105" i="4"/>
  <c r="E105" i="4" s="1"/>
  <c r="D102" i="4"/>
  <c r="E102" i="4" s="1"/>
  <c r="D100" i="4"/>
  <c r="E100" i="4" s="1"/>
  <c r="D108" i="4"/>
  <c r="E108" i="4" s="1"/>
  <c r="D98" i="4"/>
  <c r="E98" i="4" s="1"/>
  <c r="D115" i="4"/>
  <c r="E115" i="4" s="1"/>
  <c r="D122" i="4"/>
  <c r="E122" i="4" s="1"/>
  <c r="E133" i="4" s="1"/>
  <c r="D123" i="4"/>
  <c r="E123" i="4" s="1"/>
  <c r="D128" i="4"/>
  <c r="E128" i="4" s="1"/>
  <c r="D126" i="4"/>
  <c r="E126" i="4" s="1"/>
  <c r="E95" i="4" l="1"/>
  <c r="E60" i="4"/>
  <c r="E119" i="4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27" i="4"/>
  <c r="E27" i="4" s="1"/>
  <c r="D7" i="4"/>
  <c r="O31" i="1"/>
  <c r="M31" i="1"/>
  <c r="D26" i="4" l="1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<sst xmlns="http://schemas.openxmlformats.org/spreadsheetml/2006/main" count="392" uniqueCount="329">
  <si>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</si>
  <si>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</si>
  <si>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</si>
  <si>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</si>
  <si>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</si>
  <si>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</si>
  <si>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</si>
  <si>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</si>
  <si>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</si>
  <si>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</si>
  <si>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</si>
  <si>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</si>
  <si>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</si>
  <si>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</si>
  <si>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</si>
  <si>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</si>
  <si>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</si>
  <si>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</si>
  <si>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</si>
  <si>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</si>
  <si>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</si>
  <si>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</si>
  <si>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</si>
  <si>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</si>
  <si>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</si>
  <si>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</si>
  <si>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</si>
  <si>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</si>
  <si>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</si>
  <si>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</si>
  <si>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</si>
  <si>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</si>
  <si>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</si>
  <si>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</si>
  <si>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</si>
  <si>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</si>
  <si>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</si>
  <si>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</si>
  <si>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</si>
  <si>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</si>
  <si>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</si>
  <si>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</si>
  <si>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</si>
  <si>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</si>
  <si>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</si>
  <si>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</si>
  <si>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</si>
  <si>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</si>
  <si>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</si>
  <si>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</si>
  <si>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</si>
  <si>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</si>
  <si>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</si>
  <si>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</si>
  <si>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</si>
  <si>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</si>
  <si>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</si>
  <si>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</si>
  <si>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</si>
  <si>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</si>
  <si>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</si>
  <si>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</si>
  <si>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</si>
  <si>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</si>
  <si>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</si>
  <si>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</si>
  <si>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</si>
  <si>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</si>
  <si>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</si>
  <si>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</si>
  <si>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</si>
  <si>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</si>
  <si>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</si>
  <si>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</si>
  <si>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</si>
  <si>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</si>
  <si>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</si>
  <si>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</si>
  <si>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</si>
  <si>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</si>
  <si>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</si>
  <si>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</si>
  <si>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</si>
  <si>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</si>
  <si>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</si>
  <si>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</si>
  <si>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</si>
  <si>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</si>
  <si>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</si>
  <si>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</si>
  <si>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</si>
  <si>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</si>
  <si>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</si>
  <si>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</si>
  <si>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</si>
  <si>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</si>
  <si>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</si>
  <si>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</si>
  <si>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</si>
  <si>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</si>
  <si>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</si>
  <si>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</si>
  <si>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</si>
  <si>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</si>
  <si>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</si>
  <si>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</si>
  <si>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</si>
  <si>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</si>
  <si>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</si>
  <si>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</si>
  <si>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</si>
  <si>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</si>
  <si>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</si>
  <si>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</si>
  <si>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</si>
  <si>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</si>
  <si>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</si>
  <si>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</si>
  <si>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</si>
  <si>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</si>
  <si>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</si>
  <si>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</si>
  <si>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</si>
  <si>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</si>
  <si>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</si>
  <si>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</si>
  <si>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</si>
  <si>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</si>
  <si>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</si>
  <si>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</si>
  <si>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</si>
  <si>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</si>
  <si>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</si>
  <si>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</si>
  <si>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</si>
  <si>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</si>
  <si>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</si>
  <si>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</si>
  <si>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</si>
  <si>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</si>
  <si>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</si>
  <si>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</si>
  <si>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</si>
  <si>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</si>
  <si>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</si>
  <si>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</si>
  <si>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</si>
  <si>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</si>
  <si>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</si>
  <si>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</si>
  <si>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</si>
  <si>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</si>
  <si>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</si>
  <si>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</si>
  <si>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</si>
  <si>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</si>
  <si>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</si>
  <si>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</si>
  <si>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</si>
  <si>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</si>
  <si>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</si>
  <si>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</si>
  <si>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</si>
  <si>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</si>
  <si>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</si>
  <si>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</si>
  <si>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</si>
  <si>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</si>
  <si>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</si>
  <si>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</si>
  <si>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</si>
  <si>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</si>
  <si>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</si>
  <si>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</si>
  <si>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</si>
  <si>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</si>
  <si>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</si>
  <si>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</si>
  <si>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</si>
  <si>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</si>
  <si>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</si>
  <si>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</si>
  <si>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</si>
  <si>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</si>
  <si>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</si>
  <si>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</si>
  <si>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</si>
  <si>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</si>
  <si>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</si>
  <si>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</si>
  <si>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</si>
  <si>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</si>
  <si>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</si>
  <si>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</si>
  <si>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</si>
  <si>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</si>
  <si>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</si>
  <si>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</si>
  <si>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</si>
  <si>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</si>
  <si>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</si>
  <si>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</si>
  <si>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</si>
  <si>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</si>
  <si>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</si>
  <si>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</si>
  <si>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</si>
  <si>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</si>
  <si>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</si>
  <si>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</si>
  <si>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</si>
  <si>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</si>
  <si>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</si>
  <si>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</si>
  <si>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</si>
  <si>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</si>
  <si>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</si>
  <si>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</si>
  <si>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</si>
  <si>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</si>
  <si>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</si>
  <si>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</si>
  <si>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</si>
  <si>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</si>
  <si>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</si>
  <si>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</si>
  <si>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</si>
  <si>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</si>
  <si>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</si>
  <si>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</si>
  <si>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</si>
  <si>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</si>
  <si>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</si>
  <si>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</si>
  <si>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</si>
  <si>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</si>
  <si>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</si>
  <si>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</si>
  <si>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</si>
  <si>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</si>
  <si>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</si>
  <si>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</si>
  <si>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</si>
  <si>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</si>
  <si>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</si>
  <si>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</si>
  <si>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</si>
  <si>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</si>
  <si>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</si>
  <si>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</si>
  <si>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</si>
  <si>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</si>
  <si>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</si>
  <si>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</si>
  <si>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</si>
  <si>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</si>
  <si>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</si>
  <si>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</si>
  <si>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</si>
  <si>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</si>
  <si>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</si>
  <si>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</si>
  <si>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</si>
  <si>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</si>
  <si>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</si>
  <si>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</si>
  <si>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</si>
  <si>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</si>
  <si>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</si>
  <si>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</si>
  <si>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</si>
  <si>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</si>
  <si>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</si>
  <si>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</si>
  <si>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</si>
  <si>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</si>
  <si>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</si>
  <si>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</si>
  <si>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</si>
  <si>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</si>
  <si>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</si>
  <si>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</si>
  <si>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</si>
  <si>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</si>
  <si>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</si>
  <si>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</si>
  <si>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</si>
  <si>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</si>
  <si>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</si>
  <si>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</si>
  <si>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</si>
  <si>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</si>
  <si>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</si>
  <si>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</si>
  <si>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</si>
  <si>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</si>
  <si>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</si>
  <si>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</si>
  <si>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</si>
  <si>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</si>
  <si>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</si>
  <si>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</si>
  <si>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</si>
  <si>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</si>
  <si>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</si>
  <si>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</si>
  <si>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</si>
  <si>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</si>
  <si>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00여자중학교 신축공사</t>
  </si>
  <si>
    <t>교육연구</t>
  </si>
  <si>
    <t>경상도</t>
  </si>
  <si>
    <t>전화공사,LAN 공사</t>
    <phoneticPr fontId="2" type="noConversion"/>
  </si>
  <si>
    <t>기계 소화장비</t>
    <phoneticPr fontId="2" type="noConversion"/>
  </si>
  <si>
    <t>기계 옥내소화배관</t>
    <phoneticPr fontId="2" type="noConversion"/>
  </si>
  <si>
    <t>배기덕트공사</t>
  </si>
  <si>
    <t>위생배관공사,화장실배관공사,초절전온수관보일러설치공사</t>
    <phoneticPr fontId="2" type="noConversion"/>
  </si>
  <si>
    <t>배수공,옹벽공,철거공,부대공,건설폐기물</t>
    <phoneticPr fontId="2" type="noConversion"/>
  </si>
  <si>
    <t>토공사,문주공사,기타공사,골재대,운반공사,폐기물처리비</t>
    <phoneticPr fontId="2" type="noConversion"/>
  </si>
  <si>
    <t>스튜디오,시청각실,특별실 방송,다목적강당 방송공사</t>
    <phoneticPr fontId="2" type="noConversion"/>
  </si>
  <si>
    <t>전기 전기소방, 기계 펌프실소화배관공사</t>
    <phoneticPr fontId="2" type="noConversion"/>
  </si>
  <si>
    <t>기계실 동력공사,주방동력공사</t>
    <phoneticPr fontId="2" type="noConversion"/>
  </si>
  <si>
    <t>옥외전기인입 설비공사,옥외 전기 간선공사,옥외 외등공사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</si>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</sst>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154</v>
      </c>
      <c r="B2" s="73" t="s">
        <v>0</v>
      </c>
      <c r="C2" s="74"/>
      <c r="D2" s="73" t="s">
        <v>1</v>
      </c>
      <c r="E2" s="74"/>
      <c r="F2" s="73" t="s">
        <v>155</v>
      </c>
      <c r="G2" s="74"/>
      <c r="H2" s="73" t="s">
        <v>2</v>
      </c>
      <c r="I2" s="74"/>
      <c r="J2" s="73" t="s">
        <v>3</v>
      </c>
      <c r="K2" s="74"/>
      <c r="L2" s="73" t="s">
        <v>156</v>
      </c>
      <c r="M2" s="74"/>
      <c r="N2" s="73" t="s">
        <v>157</v>
      </c>
      <c r="O2" s="74"/>
      <c r="P2" s="73" t="s">
        <v>158</v>
      </c>
      <c r="Q2" s="74"/>
      <c r="R2" s="67" t="s">
        <v>159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326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10661</v>
      </c>
      <c r="D7" s="36">
        <f>+C7/3.3058</f>
        <v>3224.9379877790548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66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327</v>
      </c>
    </row>
    <row r="19" spans="1:5" x14ac:dyDescent="0.3">
      <c r="A19" s="2">
        <v>9</v>
      </c>
      <c r="B19" s="2" t="s">
        <v>328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627780</v>
      </c>
      <c r="E25" s="60">
        <f t="shared" si="0"/>
        <v>2075310</v>
      </c>
    </row>
    <row r="26" spans="1:5" x14ac:dyDescent="0.3">
      <c r="B26" s="2">
        <v>3</v>
      </c>
      <c r="C26" s="35" t="s">
        <v>29</v>
      </c>
      <c r="D26" s="47">
        <f>+D66</f>
        <v>7830</v>
      </c>
      <c r="E26" s="60">
        <f t="shared" si="0"/>
        <v>25880</v>
      </c>
    </row>
    <row r="27" spans="1:5" x14ac:dyDescent="0.3">
      <c r="B27" s="2">
        <v>4</v>
      </c>
      <c r="C27" s="35" t="s">
        <v>30</v>
      </c>
      <c r="D27" s="47">
        <f>+D95</f>
        <v>57550</v>
      </c>
      <c r="E27" s="60">
        <f t="shared" si="0"/>
        <v>190240</v>
      </c>
    </row>
    <row r="28" spans="1:5" x14ac:dyDescent="0.3">
      <c r="B28" s="2">
        <v>5</v>
      </c>
      <c r="C28" s="35" t="s">
        <v>31</v>
      </c>
      <c r="D28" s="47">
        <f>+D119</f>
        <v>32890</v>
      </c>
      <c r="E28" s="60">
        <f t="shared" si="0"/>
        <v>108720</v>
      </c>
    </row>
    <row r="29" spans="1:5" x14ac:dyDescent="0.3">
      <c r="B29" s="2">
        <v>6</v>
      </c>
      <c r="C29" s="35" t="s">
        <v>32</v>
      </c>
      <c r="D29" s="47">
        <f>+D133</f>
        <v>15660</v>
      </c>
      <c r="E29" s="60">
        <f t="shared" si="0"/>
        <v>51760</v>
      </c>
    </row>
    <row r="30" spans="1:5" x14ac:dyDescent="0.3">
      <c r="B30" s="2">
        <v>7</v>
      </c>
      <c r="C30" s="35" t="s">
        <v>33</v>
      </c>
      <c r="D30" s="47">
        <f>+D146</f>
        <v>24540</v>
      </c>
      <c r="E30" s="60">
        <f t="shared" si="0"/>
        <v>81120</v>
      </c>
    </row>
    <row r="31" spans="1:5" x14ac:dyDescent="0.3">
      <c r="B31" s="2">
        <v>8</v>
      </c>
      <c r="C31" s="35" t="s">
        <v>34</v>
      </c>
      <c r="D31" s="47">
        <f>+D154</f>
        <v>99060</v>
      </c>
      <c r="E31" s="60">
        <f t="shared" si="0"/>
        <v>327470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237960</v>
      </c>
      <c r="E33" s="61">
        <f t="shared" si="0"/>
        <v>786640</v>
      </c>
    </row>
    <row r="34" spans="1:5" x14ac:dyDescent="0.3">
      <c r="C34" s="35" t="s">
        <v>46</v>
      </c>
      <c r="D34" s="46">
        <f>SUM(D24:D33)</f>
        <v>1103270</v>
      </c>
      <c r="E34" s="46">
        <f>SUM(E24:E33)</f>
        <v>3647140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48" customFormat="1" x14ac:dyDescent="0.3">
      <c r="C38" s="49"/>
      <c r="D38" s="49"/>
      <c r="E38" s="49"/>
    </row>
    <row r="39" spans="1:5" s="48" customFormat="1" ht="17.25" thickBot="1" x14ac:dyDescent="0.35">
      <c r="B39" s="48" t="s">
        <v>322</v>
      </c>
      <c r="C39" s="48" t="s">
        <v>323</v>
      </c>
      <c r="D39" s="49" t="s">
        <v>324</v>
      </c>
      <c r="E39" s="49" t="s">
        <v>325</v>
      </c>
    </row>
    <row r="40" spans="1:5" x14ac:dyDescent="0.3">
      <c r="A40" s="2">
        <v>1</v>
      </c>
      <c r="C40" s="39" t="s">
        <v>75</v>
      </c>
      <c r="D40" s="42">
        <f>TRUNC(27011.726104493,-1)</f>
        <v>27010</v>
      </c>
      <c r="E40" s="63">
        <f t="shared" ref="E40:E59" si="1">TRUNC(+D40*3.3058,-1)</f>
        <v>89280</v>
      </c>
    </row>
    <row r="41" spans="1:5" x14ac:dyDescent="0.3">
      <c r="A41" s="2">
        <v>2</v>
      </c>
      <c r="C41" s="39" t="s">
        <v>6</v>
      </c>
      <c r="D41" s="44">
        <f>TRUNC(105451.375855923,-1)</f>
        <v>105450</v>
      </c>
      <c r="E41" s="64">
        <f t="shared" si="1"/>
        <v>348590</v>
      </c>
    </row>
    <row r="42" spans="1:5" x14ac:dyDescent="0.3">
      <c r="A42" s="2">
        <v>3</v>
      </c>
      <c r="C42" s="39" t="s">
        <v>7</v>
      </c>
      <c r="D42" s="44">
        <f>TRUNC(17204.7219773004,-1)</f>
        <v>17200</v>
      </c>
      <c r="E42" s="64">
        <f t="shared" si="1"/>
        <v>56850</v>
      </c>
    </row>
    <row r="43" spans="1:5" x14ac:dyDescent="0.3">
      <c r="A43" s="2">
        <v>4</v>
      </c>
      <c r="C43" s="39" t="s">
        <v>8</v>
      </c>
      <c r="D43" s="44">
        <f>TRUNC(37233.0184785667,-1)</f>
        <v>37230</v>
      </c>
      <c r="E43" s="64">
        <f t="shared" si="1"/>
        <v>123070</v>
      </c>
    </row>
    <row r="44" spans="1:5" x14ac:dyDescent="0.3">
      <c r="A44" s="2">
        <v>5</v>
      </c>
      <c r="C44" s="39" t="s">
        <v>9</v>
      </c>
      <c r="D44" s="44">
        <f>TRUNC(18936.6204858831,-1)</f>
        <v>18930</v>
      </c>
      <c r="E44" s="64">
        <f t="shared" si="1"/>
        <v>62570</v>
      </c>
    </row>
    <row r="45" spans="1:5" x14ac:dyDescent="0.3">
      <c r="A45" s="2">
        <v>6</v>
      </c>
      <c r="C45" s="39" t="s">
        <v>10</v>
      </c>
      <c r="D45" s="44">
        <f>TRUNC(2021.47875433824,-1)</f>
        <v>2020</v>
      </c>
      <c r="E45" s="64">
        <f t="shared" si="1"/>
        <v>6670</v>
      </c>
    </row>
    <row r="46" spans="1:5" x14ac:dyDescent="0.3">
      <c r="A46" s="2">
        <v>7</v>
      </c>
      <c r="C46" s="39" t="s">
        <v>11</v>
      </c>
      <c r="D46" s="44">
        <f>TRUNC(18685.5552012006,-1)</f>
        <v>18680</v>
      </c>
      <c r="E46" s="64">
        <f t="shared" si="1"/>
        <v>61750</v>
      </c>
    </row>
    <row r="47" spans="1:5" x14ac:dyDescent="0.3">
      <c r="A47" s="2">
        <v>8</v>
      </c>
      <c r="C47" s="39" t="s">
        <v>12</v>
      </c>
      <c r="D47" s="44">
        <f>TRUNC(14836.1326329613,-1)</f>
        <v>14830</v>
      </c>
      <c r="E47" s="64">
        <f t="shared" si="1"/>
        <v>49020</v>
      </c>
    </row>
    <row r="48" spans="1:5" x14ac:dyDescent="0.3">
      <c r="A48" s="2">
        <v>9</v>
      </c>
      <c r="C48" s="39" t="s">
        <v>13</v>
      </c>
      <c r="D48" s="44">
        <f>TRUNC(19409.0142575743,-1)</f>
        <v>19400</v>
      </c>
      <c r="E48" s="64">
        <f t="shared" si="1"/>
        <v>64130</v>
      </c>
    </row>
    <row r="49" spans="1:6" x14ac:dyDescent="0.3">
      <c r="A49" s="2">
        <v>10</v>
      </c>
      <c r="C49" s="39" t="s">
        <v>14</v>
      </c>
      <c r="D49" s="44">
        <f>TRUNC(16678.7895131789,-1)</f>
        <v>16670</v>
      </c>
      <c r="E49" s="64">
        <f t="shared" si="1"/>
        <v>55100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TRUNC(12693.9731732483,-1)</f>
        <v>12690</v>
      </c>
      <c r="E50" s="64">
        <f t="shared" si="1"/>
        <v>41950</v>
      </c>
      <c r="F50" s="2"/>
    </row>
    <row r="51" spans="1:6" x14ac:dyDescent="0.3">
      <c r="A51" s="2">
        <v>12</v>
      </c>
      <c r="C51" s="39" t="s">
        <v>16</v>
      </c>
      <c r="D51" s="44">
        <f>TRUNC(5658.01247537754,-1)</f>
        <v>5650</v>
      </c>
      <c r="E51" s="64">
        <f t="shared" si="1"/>
        <v>18670</v>
      </c>
    </row>
    <row r="52" spans="1:6" x14ac:dyDescent="0.3">
      <c r="A52" s="2">
        <v>13</v>
      </c>
      <c r="C52" s="39" t="s">
        <v>17</v>
      </c>
      <c r="D52" s="44">
        <f>TRUNC(17773.2719257105,-1)</f>
        <v>17770</v>
      </c>
      <c r="E52" s="64">
        <f t="shared" si="1"/>
        <v>58740</v>
      </c>
    </row>
    <row r="53" spans="1:6" x14ac:dyDescent="0.3">
      <c r="A53" s="2">
        <v>14</v>
      </c>
      <c r="C53" s="39" t="s">
        <v>18</v>
      </c>
      <c r="D53" s="44">
        <f>TRUNC(57293.2057968296,-1)</f>
        <v>57290</v>
      </c>
      <c r="E53" s="64">
        <f t="shared" si="1"/>
        <v>189380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TRUNC(24047.4206922428,-1)</f>
        <v>24040</v>
      </c>
      <c r="E55" s="64">
        <f t="shared" si="1"/>
        <v>79470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TRUNC(10065.718881906+1650.71850670669+679.190507457087+2447.04999531001+1504.539442829+1571.94916049151,-1)</f>
        <v>17910</v>
      </c>
      <c r="E58" s="64">
        <f t="shared" si="1"/>
        <v>59200</v>
      </c>
      <c r="F58" s="2" t="s">
        <v>317</v>
      </c>
    </row>
    <row r="59" spans="1:6" ht="17.25" thickBot="1" x14ac:dyDescent="0.35">
      <c r="A59" s="2">
        <v>20</v>
      </c>
      <c r="C59" s="39" t="s">
        <v>56</v>
      </c>
      <c r="D59" s="45">
        <f>TRUNC(141294.719069506+73722.1649001032,-1)</f>
        <v>215010</v>
      </c>
      <c r="E59" s="65">
        <f t="shared" si="1"/>
        <v>710780</v>
      </c>
    </row>
    <row r="60" spans="1:6" x14ac:dyDescent="0.3">
      <c r="A60" s="2">
        <v>21</v>
      </c>
      <c r="C60" s="27" t="s">
        <v>46</v>
      </c>
      <c r="D60" s="40">
        <f>SUM(D40:D59)</f>
        <v>627780</v>
      </c>
      <c r="E60" s="40">
        <f>SUM(E40:E59)</f>
        <v>2075220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TRUNC(7834.58371634931,-1)</f>
        <v>7830</v>
      </c>
      <c r="E63" s="63">
        <f>TRUNC(+D63*3.3058,-1)</f>
        <v>25880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7830</v>
      </c>
      <c r="E66" s="66">
        <f>SUM(E63:E65)</f>
        <v>25880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f>TRUNC(6917.66626020073,-1)</f>
        <v>6910</v>
      </c>
      <c r="E69" s="63">
        <f t="shared" ref="E69:E94" si="2">TRUNC(+D69*3.3058,-1)</f>
        <v>22840</v>
      </c>
    </row>
    <row r="70" spans="1:5" ht="16.5" customHeight="1" x14ac:dyDescent="0.3">
      <c r="A70" s="2">
        <v>2</v>
      </c>
      <c r="C70" s="39" t="s">
        <v>79</v>
      </c>
      <c r="D70" s="44">
        <f>TRUNC(4634.64768783416,-1)</f>
        <v>4630</v>
      </c>
      <c r="E70" s="64">
        <f t="shared" si="2"/>
        <v>15300</v>
      </c>
    </row>
    <row r="71" spans="1:5" x14ac:dyDescent="0.3">
      <c r="A71" s="2">
        <v>3</v>
      </c>
      <c r="C71" s="39" t="s">
        <v>80</v>
      </c>
      <c r="D71" s="44">
        <f>TRUNC(3195.64796923366,-1)</f>
        <v>3190</v>
      </c>
      <c r="E71" s="64">
        <f t="shared" si="2"/>
        <v>10540</v>
      </c>
    </row>
    <row r="72" spans="1:5" x14ac:dyDescent="0.3">
      <c r="A72" s="2">
        <v>4</v>
      </c>
      <c r="C72" s="39" t="s">
        <v>81</v>
      </c>
      <c r="D72" s="44">
        <f>TRUNC(5426.6649470031,-1)</f>
        <v>5420</v>
      </c>
      <c r="E72" s="64">
        <f t="shared" si="2"/>
        <v>17910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f>TRUNC(2495.38608010506,-1)</f>
        <v>2490</v>
      </c>
      <c r="E83" s="64">
        <f t="shared" si="2"/>
        <v>8230</v>
      </c>
      <c r="F83" s="2" t="s">
        <v>314</v>
      </c>
    </row>
    <row r="84" spans="1:6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6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99</v>
      </c>
      <c r="D90" s="44">
        <f>TRUNC(568.488415720852,-1)</f>
        <v>560</v>
      </c>
      <c r="E90" s="64">
        <f t="shared" si="2"/>
        <v>1850</v>
      </c>
    </row>
    <row r="91" spans="1:6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101</v>
      </c>
      <c r="D92" s="44">
        <f>TRUNC(6524.47303254854,-1)</f>
        <v>6520</v>
      </c>
      <c r="E92" s="64">
        <f t="shared" si="2"/>
        <v>21550</v>
      </c>
    </row>
    <row r="93" spans="1:6" x14ac:dyDescent="0.3">
      <c r="A93" s="2">
        <v>25</v>
      </c>
      <c r="C93" s="39" t="s">
        <v>102</v>
      </c>
      <c r="D93" s="44">
        <v>0</v>
      </c>
      <c r="E93" s="64">
        <f t="shared" si="2"/>
        <v>0</v>
      </c>
    </row>
    <row r="94" spans="1:6" ht="17.25" thickBot="1" x14ac:dyDescent="0.35">
      <c r="A94" s="2">
        <v>26</v>
      </c>
      <c r="C94" s="39" t="s">
        <v>103</v>
      </c>
      <c r="D94" s="45">
        <f>TRUNC(9539.22239939968+17787.0862958447+505.452396585686,-1)</f>
        <v>27830</v>
      </c>
      <c r="E94" s="65">
        <f t="shared" si="2"/>
        <v>92000</v>
      </c>
      <c r="F94" s="2" t="s">
        <v>315</v>
      </c>
    </row>
    <row r="95" spans="1:6" x14ac:dyDescent="0.3">
      <c r="A95" s="2">
        <v>27</v>
      </c>
      <c r="C95" s="27" t="s">
        <v>104</v>
      </c>
      <c r="D95" s="40">
        <f>SUM(D69:D94)</f>
        <v>57550</v>
      </c>
      <c r="E95" s="40">
        <f>SUM(E69:E94)</f>
        <v>190220</v>
      </c>
    </row>
    <row r="96" spans="1:6" s="48" customFormat="1" x14ac:dyDescent="0.3">
      <c r="C96" s="49"/>
      <c r="D96" s="49"/>
      <c r="E96" s="49"/>
    </row>
    <row r="97" spans="1:6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6" x14ac:dyDescent="0.3">
      <c r="A98" s="2">
        <v>1</v>
      </c>
      <c r="C98" s="29" t="s">
        <v>106</v>
      </c>
      <c r="D98" s="42">
        <f>TRUNC(5364.65753681643,-1)</f>
        <v>5360</v>
      </c>
      <c r="E98" s="63">
        <f t="shared" ref="E98:E118" si="3">TRUNC(+D98*3.3058,-1)</f>
        <v>17710</v>
      </c>
    </row>
    <row r="99" spans="1:6" x14ac:dyDescent="0.3">
      <c r="A99" s="2">
        <v>2</v>
      </c>
      <c r="C99" s="29" t="s">
        <v>107</v>
      </c>
      <c r="D99" s="44">
        <f>TRUNC(483.005909389363+598.722258699934,-1)</f>
        <v>1080</v>
      </c>
      <c r="E99" s="64">
        <f t="shared" si="3"/>
        <v>3570</v>
      </c>
      <c r="F99" s="2" t="s">
        <v>320</v>
      </c>
    </row>
    <row r="100" spans="1:6" x14ac:dyDescent="0.3">
      <c r="A100" s="2">
        <v>3</v>
      </c>
      <c r="C100" s="29" t="s">
        <v>108</v>
      </c>
      <c r="D100" s="44">
        <f>TRUNC(11594.3159178313,-1)</f>
        <v>11590</v>
      </c>
      <c r="E100" s="64">
        <f t="shared" si="3"/>
        <v>38310</v>
      </c>
    </row>
    <row r="101" spans="1:6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6" x14ac:dyDescent="0.3">
      <c r="A102" s="2">
        <v>5</v>
      </c>
      <c r="C102" s="29" t="s">
        <v>110</v>
      </c>
      <c r="D102" s="44">
        <f>TRUNC(5300.04399212081,-1)</f>
        <v>5300</v>
      </c>
      <c r="E102" s="64">
        <f t="shared" si="3"/>
        <v>17520</v>
      </c>
    </row>
    <row r="103" spans="1:6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6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6" x14ac:dyDescent="0.3">
      <c r="A105" s="2">
        <v>8</v>
      </c>
      <c r="C105" s="29" t="s">
        <v>113</v>
      </c>
      <c r="D105" s="44">
        <f>TRUNC(1363.107776006,-1)</f>
        <v>1360</v>
      </c>
      <c r="E105" s="64">
        <f t="shared" si="3"/>
        <v>4490</v>
      </c>
    </row>
    <row r="106" spans="1:6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6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6" x14ac:dyDescent="0.3">
      <c r="A108" s="2">
        <v>11</v>
      </c>
      <c r="C108" s="29" t="s">
        <v>116</v>
      </c>
      <c r="D108" s="44">
        <f>TRUNC(4065.19519744864,-1)</f>
        <v>4060</v>
      </c>
      <c r="E108" s="64">
        <f t="shared" si="3"/>
        <v>13420</v>
      </c>
    </row>
    <row r="109" spans="1:6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6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6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6" x14ac:dyDescent="0.3">
      <c r="A112" s="2">
        <v>15</v>
      </c>
      <c r="C112" s="29" t="s">
        <v>120</v>
      </c>
      <c r="D112" s="44">
        <f>TRUNC(760.245098958822,-1)</f>
        <v>760</v>
      </c>
      <c r="E112" s="64">
        <f t="shared" si="3"/>
        <v>2510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6" x14ac:dyDescent="0.3">
      <c r="A115" s="2">
        <v>18</v>
      </c>
      <c r="C115" s="29" t="s">
        <v>123</v>
      </c>
      <c r="D115" s="44">
        <f>TRUNC(187.157865115843,-1)</f>
        <v>180</v>
      </c>
      <c r="E115" s="64">
        <f t="shared" si="3"/>
        <v>590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v>0</v>
      </c>
      <c r="E117" s="64">
        <f t="shared" si="3"/>
        <v>0</v>
      </c>
    </row>
    <row r="118" spans="1:6" ht="17.25" thickBot="1" x14ac:dyDescent="0.35">
      <c r="A118" s="2">
        <v>21</v>
      </c>
      <c r="C118" s="29" t="s">
        <v>103</v>
      </c>
      <c r="D118" s="45">
        <f>TRUNC(1335.69524434856+543.369196135447+1328.3437763812,-1)</f>
        <v>3200</v>
      </c>
      <c r="E118" s="65">
        <f t="shared" si="3"/>
        <v>10570</v>
      </c>
      <c r="F118" s="2" t="s">
        <v>321</v>
      </c>
    </row>
    <row r="119" spans="1:6" x14ac:dyDescent="0.3">
      <c r="A119" s="2">
        <v>22</v>
      </c>
      <c r="C119" s="27" t="s">
        <v>104</v>
      </c>
      <c r="D119" s="40">
        <f>SUM(D98:D118)</f>
        <v>32890</v>
      </c>
      <c r="E119" s="40">
        <f>SUM(E98:E118)</f>
        <v>108690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6" x14ac:dyDescent="0.3">
      <c r="A122" s="2">
        <v>1</v>
      </c>
      <c r="C122" s="29" t="s">
        <v>126</v>
      </c>
      <c r="D122" s="42">
        <f>TRUNC(1283.17268548917,-1)</f>
        <v>1280</v>
      </c>
      <c r="E122" s="63">
        <f t="shared" ref="E122:E132" si="4">TRUNC(+D122*3.3058,-1)</f>
        <v>4230</v>
      </c>
    </row>
    <row r="123" spans="1:6" x14ac:dyDescent="0.3">
      <c r="A123" s="2">
        <v>2</v>
      </c>
      <c r="C123" s="29" t="s">
        <v>127</v>
      </c>
      <c r="D123" s="44">
        <f>TRUNC(3139.43147922334+3925.20720382703,-1)</f>
        <v>7060</v>
      </c>
      <c r="E123" s="64">
        <f t="shared" si="4"/>
        <v>23330</v>
      </c>
      <c r="F123" s="2" t="s">
        <v>311</v>
      </c>
    </row>
    <row r="124" spans="1:6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6" x14ac:dyDescent="0.3">
      <c r="A125" s="2">
        <v>4</v>
      </c>
      <c r="C125" s="29" t="s">
        <v>129</v>
      </c>
      <c r="D125" s="44">
        <f>TRUNC(4358.65856861458+264.927680330175+127.21911640559,-1)</f>
        <v>4750</v>
      </c>
      <c r="E125" s="64">
        <f t="shared" si="4"/>
        <v>15700</v>
      </c>
      <c r="F125" s="2" t="s">
        <v>318</v>
      </c>
    </row>
    <row r="126" spans="1:6" x14ac:dyDescent="0.3">
      <c r="A126" s="2">
        <v>5</v>
      </c>
      <c r="C126" s="29" t="s">
        <v>130</v>
      </c>
      <c r="D126" s="44">
        <f>TRUNC(1310.24397336085,-1)</f>
        <v>1310</v>
      </c>
      <c r="E126" s="64">
        <f t="shared" si="4"/>
        <v>4330</v>
      </c>
    </row>
    <row r="127" spans="1:6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113</v>
      </c>
      <c r="D128" s="44">
        <f>TRUNC(1266.95722727699,-1)</f>
        <v>1260</v>
      </c>
      <c r="E128" s="64">
        <f t="shared" si="4"/>
        <v>4160</v>
      </c>
    </row>
    <row r="129" spans="1:6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6" x14ac:dyDescent="0.3">
      <c r="A131" s="2">
        <v>10</v>
      </c>
      <c r="C131" s="29" t="s">
        <v>102</v>
      </c>
      <c r="D131" s="44">
        <v>0</v>
      </c>
      <c r="E131" s="64">
        <f t="shared" si="4"/>
        <v>0</v>
      </c>
    </row>
    <row r="132" spans="1:6" ht="17.25" thickBot="1" x14ac:dyDescent="0.35">
      <c r="A132" s="2">
        <v>11</v>
      </c>
      <c r="C132" s="29" t="s">
        <v>103</v>
      </c>
      <c r="D132" s="45">
        <f>TRUNC(,-1)</f>
        <v>0</v>
      </c>
      <c r="E132" s="65">
        <f t="shared" si="4"/>
        <v>0</v>
      </c>
    </row>
    <row r="133" spans="1:6" x14ac:dyDescent="0.3">
      <c r="A133" s="2">
        <v>12</v>
      </c>
      <c r="C133" s="41" t="s">
        <v>104</v>
      </c>
      <c r="D133" s="40">
        <f>SUM(D122:D132)</f>
        <v>15660</v>
      </c>
      <c r="E133" s="40">
        <f>SUM(E122:E132)</f>
        <v>51750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6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6" x14ac:dyDescent="0.3">
      <c r="A137" s="2">
        <v>2</v>
      </c>
      <c r="C137" s="39" t="s">
        <v>103</v>
      </c>
      <c r="D137" s="44">
        <f>TRUNC(6252.02673295188+931.624613075697,-1)</f>
        <v>7180</v>
      </c>
      <c r="E137" s="64">
        <f t="shared" si="5"/>
        <v>23730</v>
      </c>
      <c r="F137" s="2" t="s">
        <v>319</v>
      </c>
    </row>
    <row r="138" spans="1:6" x14ac:dyDescent="0.3">
      <c r="A138" s="2">
        <v>3</v>
      </c>
      <c r="C138" s="39" t="s">
        <v>136</v>
      </c>
      <c r="D138" s="44">
        <f>TRUNC(0,-1)</f>
        <v>0</v>
      </c>
      <c r="E138" s="64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138</v>
      </c>
      <c r="D140" s="44">
        <f>TRUNC(252.472563549386,-1)</f>
        <v>250</v>
      </c>
      <c r="E140" s="64">
        <f t="shared" si="5"/>
        <v>820</v>
      </c>
      <c r="F140" s="2" t="s">
        <v>312</v>
      </c>
    </row>
    <row r="141" spans="1:6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140</v>
      </c>
      <c r="D142" s="44">
        <f>TRUNC(4738.55904699372,-1)</f>
        <v>4730</v>
      </c>
      <c r="E142" s="64">
        <f t="shared" si="5"/>
        <v>15630</v>
      </c>
      <c r="F142" s="2" t="s">
        <v>313</v>
      </c>
    </row>
    <row r="143" spans="1:6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f>TRUNC(12382.1658381015,-1)</f>
        <v>12380</v>
      </c>
      <c r="E145" s="65">
        <f t="shared" si="5"/>
        <v>40920</v>
      </c>
    </row>
    <row r="146" spans="1:6" x14ac:dyDescent="0.3">
      <c r="A146" s="2">
        <v>11</v>
      </c>
      <c r="C146" s="27" t="s">
        <v>104</v>
      </c>
      <c r="D146" s="40">
        <f>SUM(D136:D145)</f>
        <v>24540</v>
      </c>
      <c r="E146" s="40">
        <f>SUM(E136:E145)</f>
        <v>81100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f>TRUNC(37915.5074570866,-1)</f>
        <v>37910</v>
      </c>
      <c r="E150" s="64">
        <f>TRUNC(+D150*3.3058,-1)</f>
        <v>125320</v>
      </c>
    </row>
    <row r="151" spans="1:6" x14ac:dyDescent="0.3">
      <c r="A151" s="2">
        <v>3</v>
      </c>
      <c r="C151" s="39" t="s">
        <v>146</v>
      </c>
      <c r="D151" s="44">
        <f>TRUNC(19270.4190038458,-1)</f>
        <v>19270</v>
      </c>
      <c r="E151" s="64">
        <f>TRUNC(+D151*3.3058,-1)</f>
        <v>63700</v>
      </c>
    </row>
    <row r="152" spans="1:6" x14ac:dyDescent="0.3">
      <c r="A152" s="2">
        <v>4</v>
      </c>
      <c r="C152" s="39" t="s">
        <v>103</v>
      </c>
      <c r="D152" s="44">
        <f>TRUNC(15577.4609323703+23944.0721320702+272.308695244349+1951.57874495826+143.110402401276,-1)</f>
        <v>41880</v>
      </c>
      <c r="E152" s="64">
        <f>TRUNC(+D152*3.3058,-1)</f>
        <v>138440</v>
      </c>
      <c r="F152" s="37" t="s">
        <v>316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99060</v>
      </c>
      <c r="E154" s="40">
        <f>SUM(E149:E153)</f>
        <v>327460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2020-12-07T09:22:33Z</dcterms:modified>
</cp:coreProperties>
</file>