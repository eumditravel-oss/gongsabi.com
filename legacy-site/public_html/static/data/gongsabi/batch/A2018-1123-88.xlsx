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2" i="4" l="1"/>
  <c r="D150" i="4"/>
  <c r="D149" i="4"/>
  <c r="D131" i="4"/>
  <c r="D144" i="4"/>
  <c r="D143" i="4"/>
  <c r="D142" i="4"/>
  <c r="D140" i="4"/>
  <c r="D137" i="4"/>
  <c r="D130" i="4"/>
  <c r="D128" i="4"/>
  <c r="D125" i="4"/>
  <c r="D122" i="4"/>
  <c r="D116" i="4"/>
  <c r="D105" i="4"/>
  <c r="D104" i="4"/>
  <c r="D102" i="4"/>
  <c r="D100" i="4"/>
  <c r="D99" i="4"/>
  <c r="D98" i="4"/>
  <c r="D117" i="4"/>
  <c r="D93" i="4"/>
  <c r="D94" i="4"/>
  <c r="D92" i="4"/>
  <c r="D91" i="4"/>
  <c r="D89" i="4"/>
  <c r="D76" i="4"/>
  <c r="D73" i="4"/>
  <c r="D72" i="4"/>
  <c r="D69" i="4"/>
  <c r="D63" i="4"/>
  <c r="D59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<sst xmlns="http://schemas.openxmlformats.org/spreadsheetml/2006/main" count="391" uniqueCount="265">
  <si>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</si>
  <si>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</si>
  <si>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</si>
  <si>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</si>
  <si>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</si>
  <si>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</si>
  <si>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</si>
  <si>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</si>
  <si>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</si>
  <si>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</si>
  <si>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</si>
  <si>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</si>
  <si>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</si>
  <si>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</si>
  <si>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</si>
  <si>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</si>
  <si>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</si>
  <si>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</si>
  <si>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</si>
  <si>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</si>
  <si>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</si>
  <si>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</si>
  <si>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</si>
  <si>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</si>
  <si>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</si>
  <si>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</si>
  <si>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</si>
  <si>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</si>
  <si>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</si>
  <si>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</si>
  <si>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</si>
  <si>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</si>
  <si>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</si>
  <si>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</si>
  <si>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</si>
  <si>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</si>
  <si>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</si>
  <si>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</si>
  <si>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</si>
  <si>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</si>
  <si>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</si>
  <si>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</si>
  <si>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</si>
  <si>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</si>
  <si>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</si>
  <si>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</si>
  <si>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</si>
  <si>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</si>
  <si>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</si>
  <si>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</si>
  <si>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</si>
  <si>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</si>
  <si>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</si>
  <si>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</si>
  <si>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</si>
  <si>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</si>
  <si>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</si>
  <si>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</si>
  <si>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</si>
  <si>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</si>
  <si>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</si>
  <si>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</si>
  <si>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</si>
  <si>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</si>
  <si>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</si>
  <si>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</si>
  <si>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</si>
  <si>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</si>
  <si>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</si>
  <si>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</si>
  <si>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</si>
  <si>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</si>
  <si>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</si>
  <si>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</si>
  <si>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</si>
  <si>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</si>
  <si>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</si>
  <si>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</si>
  <si>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</si>
  <si>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</si>
  <si>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</si>
  <si>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</si>
  <si>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</si>
  <si>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</si>
  <si>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</si>
  <si>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</si>
  <si>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</si>
  <si>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</si>
  <si>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</si>
  <si>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</si>
  <si>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</si>
  <si>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</si>
  <si>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</si>
  <si>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</si>
  <si>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</si>
  <si>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</si>
  <si>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</si>
  <si>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</si>
  <si>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</si>
  <si>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</si>
  <si>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</si>
  <si>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</si>
  <si>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</si>
  <si>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</si>
  <si>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</si>
  <si>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</si>
  <si>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</si>
  <si>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</si>
  <si>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</si>
  <si>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</si>
  <si>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</si>
  <si>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</si>
  <si>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</si>
  <si>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</si>
  <si>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</si>
  <si>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</si>
  <si>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</si>
  <si>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</si>
  <si>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</si>
  <si>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</si>
  <si>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</si>
  <si>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</si>
  <si>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</si>
  <si>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</si>
  <si>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</si>
  <si>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</si>
  <si>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</si>
  <si>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</si>
  <si>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</si>
  <si>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</si>
  <si>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</si>
  <si>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</si>
  <si>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</si>
  <si>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</si>
  <si>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</si>
  <si>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</si>
  <si>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</si>
  <si>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</si>
  <si>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</si>
  <si>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</si>
  <si>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</si>
  <si>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</si>
  <si>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</si>
  <si>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</si>
  <si>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</si>
  <si>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</si>
  <si>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</si>
  <si>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</si>
  <si>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</si>
  <si>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</si>
  <si>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</si>
  <si>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</si>
  <si>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</si>
  <si>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</si>
  <si>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</si>
  <si>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</si>
  <si>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</si>
  <si>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</si>
  <si>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</si>
  <si>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</si>
  <si>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</si>
  <si>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</si>
  <si>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</si>
  <si>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</si>
  <si>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</si>
  <si>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</si>
  <si>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</si>
  <si>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</si>
  <si>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</si>
  <si>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</si>
  <si>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</si>
  <si>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</si>
  <si>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</si>
  <si>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</si>
  <si>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</si>
  <si>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</si>
  <si>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</si>
  <si>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</si>
  <si>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</si>
  <si>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</si>
  <si>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</si>
  <si>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</si>
  <si>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</si>
  <si>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</si>
  <si>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</si>
  <si>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</si>
  <si>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</si>
  <si>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</si>
  <si>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</si>
  <si>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</si>
  <si>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</si>
  <si>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</si>
  <si>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</si>
  <si>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</si>
  <si>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</si>
  <si>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</si>
  <si>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</si>
  <si>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</si>
  <si>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</si>
  <si>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</si>
  <si>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</si>
  <si>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</si>
  <si>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</si>
  <si>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</si>
  <si>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</si>
  <si>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</si>
  <si>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</si>
  <si>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</si>
  <si>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</si>
  <si>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</si>
  <si>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</si>
  <si>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</si>
  <si>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</si>
  <si>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</si>
  <si>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</si>
  <si>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</si>
  <si>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</si>
  <si>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</si>
  <si>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</si>
  <si>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</si>
  <si>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</si>
  <si>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</si>
  <si>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</si>
  <si>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</si>
  <si>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</si>
  <si>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</si>
  <si>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</si>
  <si>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</si>
  <si>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</si>
  <si>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</si>
  <si>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</si>
  <si>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</si>
  <si>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</si>
  <si>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</si>
  <si>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</si>
  <si>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</si>
  <si>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</si>
  <si>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</si>
  <si>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</si>
  <si>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</si>
  <si>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</si>
  <si>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</si>
  <si>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</si>
  <si>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</si>
  <si>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</si>
  <si>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</si>
  <si>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</si>
  <si>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</si>
  <si>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국립환경과학원 유해특성연구공 건립 건축공사</t>
    <phoneticPr fontId="2" type="noConversion"/>
  </si>
  <si>
    <t>교육연구</t>
  </si>
  <si>
    <t>인천시</t>
  </si>
  <si>
    <t>(지붕및홈통공사 포함)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</si>
  <si>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</si>
  <si>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</si>
  <si>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기초공사,골재비및운반비,기타공사</t>
    <phoneticPr fontId="2" type="noConversion"/>
  </si>
  <si>
    <t>난방배관공사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</si>
  <si>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</si>
  <si>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</si>
  <si>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기타공사</t>
    <phoneticPr fontId="2" type="noConversion"/>
  </si>
  <si>
    <t>우수공사,오수공사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</si>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</sst>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2308.4299999999998</v>
      </c>
      <c r="D7" s="36">
        <f>+C7/3.3058</f>
        <v>698.29693266380298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997680</v>
      </c>
      <c r="E25" s="59">
        <f t="shared" si="0"/>
        <v>3298130</v>
      </c>
    </row>
    <row r="26" spans="1:5" x14ac:dyDescent="0.3">
      <c r="B26" s="2">
        <v>3</v>
      </c>
      <c r="C26" s="35" t="s">
        <v>95</v>
      </c>
      <c r="D26" s="45">
        <f>+D66</f>
        <v>2620</v>
      </c>
      <c r="E26" s="59">
        <f t="shared" si="0"/>
        <v>8660</v>
      </c>
    </row>
    <row r="27" spans="1:5" x14ac:dyDescent="0.3">
      <c r="B27" s="2">
        <v>4</v>
      </c>
      <c r="C27" s="35" t="s">
        <v>96</v>
      </c>
      <c r="D27" s="45">
        <f>+D95</f>
        <v>345820</v>
      </c>
      <c r="E27" s="59">
        <f t="shared" si="0"/>
        <v>1143210</v>
      </c>
    </row>
    <row r="28" spans="1:5" x14ac:dyDescent="0.3">
      <c r="B28" s="2">
        <v>5</v>
      </c>
      <c r="C28" s="35" t="s">
        <v>97</v>
      </c>
      <c r="D28" s="45">
        <f>+D119</f>
        <v>242490</v>
      </c>
      <c r="E28" s="59">
        <f t="shared" si="0"/>
        <v>801620</v>
      </c>
    </row>
    <row r="29" spans="1:5" x14ac:dyDescent="0.3">
      <c r="B29" s="2">
        <v>6</v>
      </c>
      <c r="C29" s="35" t="s">
        <v>98</v>
      </c>
      <c r="D29" s="45">
        <f>+D133</f>
        <v>81510</v>
      </c>
      <c r="E29" s="59">
        <f t="shared" si="0"/>
        <v>269450</v>
      </c>
    </row>
    <row r="30" spans="1:5" x14ac:dyDescent="0.3">
      <c r="B30" s="2">
        <v>7</v>
      </c>
      <c r="C30" s="35" t="s">
        <v>99</v>
      </c>
      <c r="D30" s="45">
        <f>+D146</f>
        <v>35170</v>
      </c>
      <c r="E30" s="59">
        <f t="shared" si="0"/>
        <v>116260</v>
      </c>
    </row>
    <row r="31" spans="1:5" x14ac:dyDescent="0.3">
      <c r="B31" s="2">
        <v>8</v>
      </c>
      <c r="C31" s="35" t="s">
        <v>100</v>
      </c>
      <c r="D31" s="45">
        <f>+D154</f>
        <v>33720</v>
      </c>
      <c r="E31" s="59">
        <f t="shared" si="0"/>
        <v>111470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478220</v>
      </c>
      <c r="E33" s="60">
        <f t="shared" si="0"/>
        <v>1580890</v>
      </c>
    </row>
    <row r="34" spans="1:7" x14ac:dyDescent="0.3">
      <c r="C34" s="35" t="s">
        <v>112</v>
      </c>
      <c r="D34" s="44">
        <f>SUM(D24:D33)</f>
        <v>2217230</v>
      </c>
      <c r="E34" s="44">
        <f>SUM(E24:E33)</f>
        <v>7329690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TRUNC(55101,-1)</f>
        <v>55100</v>
      </c>
      <c r="E40" s="62">
        <f t="shared" ref="E40:E59" si="1">TRUNC(+D40*3.3058,-1)</f>
        <v>182140</v>
      </c>
    </row>
    <row r="41" spans="1:7" x14ac:dyDescent="0.3">
      <c r="A41" s="2">
        <v>2</v>
      </c>
      <c r="C41" s="38" t="s">
        <v>13</v>
      </c>
      <c r="D41" s="42">
        <f>TRUNC(246596,-1)</f>
        <v>246590</v>
      </c>
      <c r="E41" s="63">
        <f t="shared" si="1"/>
        <v>815170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TRUNC(10655,-1)</f>
        <v>10650</v>
      </c>
      <c r="E43" s="63">
        <f t="shared" si="1"/>
        <v>35200</v>
      </c>
    </row>
    <row r="44" spans="1:7" x14ac:dyDescent="0.3">
      <c r="A44" s="2">
        <v>5</v>
      </c>
      <c r="C44" s="38" t="s">
        <v>17</v>
      </c>
      <c r="D44" s="42">
        <f>TRUNC(32390,-1)</f>
        <v>32390</v>
      </c>
      <c r="E44" s="63">
        <f t="shared" si="1"/>
        <v>107070</v>
      </c>
    </row>
    <row r="45" spans="1:7" x14ac:dyDescent="0.3">
      <c r="A45" s="2">
        <v>6</v>
      </c>
      <c r="C45" s="38" t="s">
        <v>18</v>
      </c>
      <c r="D45" s="42">
        <f>TRUNC(10669,-1)</f>
        <v>10660</v>
      </c>
      <c r="E45" s="63">
        <f t="shared" si="1"/>
        <v>35230</v>
      </c>
    </row>
    <row r="46" spans="1:7" x14ac:dyDescent="0.3">
      <c r="A46" s="2">
        <v>7</v>
      </c>
      <c r="C46" s="38" t="s">
        <v>19</v>
      </c>
      <c r="D46" s="42">
        <f>TRUNC(10070,-1)</f>
        <v>10070</v>
      </c>
      <c r="E46" s="63">
        <f t="shared" si="1"/>
        <v>33280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TRUNC(31299,-1)</f>
        <v>31290</v>
      </c>
      <c r="E48" s="63">
        <f t="shared" si="1"/>
        <v>103430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TRUNC(27264,-1)</f>
        <v>27260</v>
      </c>
      <c r="E49" s="63">
        <f t="shared" si="1"/>
        <v>90110</v>
      </c>
    </row>
    <row r="50" spans="1:7" x14ac:dyDescent="0.3">
      <c r="A50" s="2">
        <v>11</v>
      </c>
      <c r="C50" s="38" t="s">
        <v>155</v>
      </c>
      <c r="D50" s="42">
        <f>TRUNC(68613,-1)</f>
        <v>68610</v>
      </c>
      <c r="E50" s="63">
        <f t="shared" si="1"/>
        <v>226810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TRUNC(16168,-1)</f>
        <v>16160</v>
      </c>
      <c r="E52" s="63">
        <f t="shared" si="1"/>
        <v>53420</v>
      </c>
    </row>
    <row r="53" spans="1:7" x14ac:dyDescent="0.3">
      <c r="A53" s="2">
        <v>14</v>
      </c>
      <c r="C53" s="38" t="s">
        <v>25</v>
      </c>
      <c r="D53" s="42">
        <f>TRUNC(162795,-1)</f>
        <v>162790</v>
      </c>
      <c r="E53" s="63">
        <f t="shared" si="1"/>
        <v>538150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TRUNC(30537+11136+19494,-1)</f>
        <v>61160</v>
      </c>
      <c r="E58" s="63">
        <f t="shared" si="1"/>
        <v>202180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TRUNC(264955,-1)</f>
        <v>264950</v>
      </c>
      <c r="E59" s="64">
        <f t="shared" si="1"/>
        <v>875870</v>
      </c>
    </row>
    <row r="60" spans="1:7" x14ac:dyDescent="0.3">
      <c r="A60" s="2">
        <v>21</v>
      </c>
      <c r="C60" s="27" t="s">
        <v>112</v>
      </c>
      <c r="D60" s="39">
        <f>SUM(D40:D59)</f>
        <v>997680</v>
      </c>
      <c r="E60" s="39">
        <f>SUM(E40:E59)</f>
        <v>3298060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TRUNC(2620,-1)</f>
        <v>2620</v>
      </c>
      <c r="E63" s="62">
        <f>TRUNC(+D63*3.3058,-1)</f>
        <v>8660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2620</v>
      </c>
      <c r="E66" s="65">
        <f>SUM(E63:E65)</f>
        <v>8660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TRUNC(13052,-1)</f>
        <v>13050</v>
      </c>
      <c r="E69" s="62">
        <f t="shared" ref="E69:E94" si="2">TRUNC(+D69*3.3058,-1)</f>
        <v>43140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TRUNC(39184,-1)</f>
        <v>39180</v>
      </c>
      <c r="E72" s="63">
        <f t="shared" si="2"/>
        <v>129520</v>
      </c>
    </row>
    <row r="73" spans="1:7" x14ac:dyDescent="0.3">
      <c r="A73" s="2">
        <v>5</v>
      </c>
      <c r="C73" s="38" t="s">
        <v>34</v>
      </c>
      <c r="D73" s="42">
        <f>TRUNC(30686,-1)</f>
        <v>30680</v>
      </c>
      <c r="E73" s="63">
        <f t="shared" si="2"/>
        <v>101420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TRUNC(114956,-1)</f>
        <v>114950</v>
      </c>
      <c r="E76" s="63">
        <f t="shared" si="2"/>
        <v>380000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TRUNC(7259,-1)</f>
        <v>7250</v>
      </c>
      <c r="E89" s="63">
        <f t="shared" si="2"/>
        <v>23960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TRUNC(46620,-1)</f>
        <v>46620</v>
      </c>
      <c r="E91" s="63">
        <f t="shared" si="2"/>
        <v>154110</v>
      </c>
    </row>
    <row r="92" spans="1:7" x14ac:dyDescent="0.3">
      <c r="A92" s="2">
        <v>24</v>
      </c>
      <c r="C92" s="38" t="s">
        <v>38</v>
      </c>
      <c r="D92" s="42">
        <f>TRUNC(10497,-1)</f>
        <v>10490</v>
      </c>
      <c r="E92" s="63">
        <f t="shared" si="2"/>
        <v>34670</v>
      </c>
    </row>
    <row r="93" spans="1:7" x14ac:dyDescent="0.3">
      <c r="A93" s="2">
        <v>25</v>
      </c>
      <c r="C93" s="38" t="s">
        <v>148</v>
      </c>
      <c r="D93" s="42">
        <f>TRUNC(82372,-1)</f>
        <v>82370</v>
      </c>
      <c r="E93" s="63">
        <f t="shared" si="2"/>
        <v>272290</v>
      </c>
    </row>
    <row r="94" spans="1:7" ht="17.25" thickBot="1" x14ac:dyDescent="0.35">
      <c r="A94" s="2">
        <v>26</v>
      </c>
      <c r="C94" s="38" t="s">
        <v>47</v>
      </c>
      <c r="D94" s="43">
        <f>TRUNC(1235,-1)</f>
        <v>1230</v>
      </c>
      <c r="E94" s="64">
        <f t="shared" si="2"/>
        <v>4060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345820</v>
      </c>
      <c r="E95" s="39">
        <f>SUM(E69:E94)</f>
        <v>1143170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TRUNC(17602,-1)</f>
        <v>17600</v>
      </c>
      <c r="E98" s="62">
        <f t="shared" ref="E98:E118" si="3">TRUNC(+D98*3.3058,-1)</f>
        <v>58180</v>
      </c>
    </row>
    <row r="99" spans="1:7" x14ac:dyDescent="0.3">
      <c r="A99" s="2">
        <v>2</v>
      </c>
      <c r="C99" s="38" t="s">
        <v>40</v>
      </c>
      <c r="D99" s="42">
        <f>TRUNC(34772,-1)</f>
        <v>34770</v>
      </c>
      <c r="E99" s="63">
        <f t="shared" si="3"/>
        <v>114940</v>
      </c>
    </row>
    <row r="100" spans="1:7" x14ac:dyDescent="0.3">
      <c r="A100" s="2">
        <v>3</v>
      </c>
      <c r="C100" s="38" t="s">
        <v>41</v>
      </c>
      <c r="D100" s="42">
        <f>TRUNC(42896,-1)</f>
        <v>42890</v>
      </c>
      <c r="E100" s="63">
        <f t="shared" si="3"/>
        <v>141780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TRUNC(23315,-1)</f>
        <v>23310</v>
      </c>
      <c r="E102" s="63">
        <f t="shared" si="3"/>
        <v>77050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TRUNC(4545,-1)</f>
        <v>4540</v>
      </c>
      <c r="E104" s="63">
        <f t="shared" si="3"/>
        <v>15000</v>
      </c>
    </row>
    <row r="105" spans="1:7" x14ac:dyDescent="0.3">
      <c r="A105" s="2">
        <v>8</v>
      </c>
      <c r="C105" s="38" t="s">
        <v>46</v>
      </c>
      <c r="D105" s="42">
        <f>TRUNC(12714,-1)</f>
        <v>12710</v>
      </c>
      <c r="E105" s="63">
        <f t="shared" si="3"/>
        <v>42010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TRUNC(13541,-1)</f>
        <v>13540</v>
      </c>
      <c r="E116" s="63">
        <f t="shared" si="3"/>
        <v>44760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TRUNC(93131,-1)</f>
        <v>93130</v>
      </c>
      <c r="E117" s="63">
        <f t="shared" si="3"/>
        <v>307860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242490</v>
      </c>
      <c r="E119" s="39">
        <f>SUM(E98:E118)</f>
        <v>801580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TRUNC(2859,-1)</f>
        <v>2850</v>
      </c>
      <c r="E122" s="62">
        <f t="shared" ref="E122:E132" si="4">TRUNC(+D122*3.3058,-1)</f>
        <v>9420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TRUNC(7128,-1)</f>
        <v>7120</v>
      </c>
      <c r="E125" s="63">
        <f t="shared" si="4"/>
        <v>23530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TRUNC(5659,-1)</f>
        <v>5650</v>
      </c>
      <c r="E128" s="63">
        <f t="shared" si="4"/>
        <v>18670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TRUNC(42992,-1)</f>
        <v>42990</v>
      </c>
      <c r="E130" s="63">
        <f t="shared" si="4"/>
        <v>142110</v>
      </c>
    </row>
    <row r="131" spans="1:7" x14ac:dyDescent="0.3">
      <c r="A131" s="2">
        <v>10</v>
      </c>
      <c r="C131" s="38" t="s">
        <v>148</v>
      </c>
      <c r="D131" s="42">
        <f>TRUNC(22906,-1)</f>
        <v>22900</v>
      </c>
      <c r="E131" s="63">
        <f t="shared" si="4"/>
        <v>75700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81510</v>
      </c>
      <c r="E133" s="39">
        <f>SUM(E122:E132)</f>
        <v>269430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TRUNC(6673,-1)</f>
        <v>6670</v>
      </c>
      <c r="E137" s="63">
        <f t="shared" si="5"/>
        <v>22040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TRUNC(1068,-1)</f>
        <v>1060</v>
      </c>
      <c r="E140" s="63">
        <f t="shared" si="5"/>
        <v>3500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TRUNC(9653,-1)</f>
        <v>9650</v>
      </c>
      <c r="E142" s="63">
        <f t="shared" si="5"/>
        <v>31900</v>
      </c>
    </row>
    <row r="143" spans="1:7" x14ac:dyDescent="0.3">
      <c r="A143" s="2">
        <v>8</v>
      </c>
      <c r="C143" s="38" t="s">
        <v>62</v>
      </c>
      <c r="D143" s="42">
        <f>TRUNC(8215,-1)</f>
        <v>8210</v>
      </c>
      <c r="E143" s="63">
        <f t="shared" si="5"/>
        <v>27140</v>
      </c>
    </row>
    <row r="144" spans="1:7" x14ac:dyDescent="0.3">
      <c r="A144" s="2">
        <v>9</v>
      </c>
      <c r="C144" s="38" t="s">
        <v>63</v>
      </c>
      <c r="D144" s="42">
        <f>TRUNC(9580,-1)</f>
        <v>9580</v>
      </c>
      <c r="E144" s="63">
        <f t="shared" si="5"/>
        <v>31660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35170</v>
      </c>
      <c r="E146" s="39">
        <f>SUM(E136:E145)</f>
        <v>116240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TRUNC(6990+3029,-1)</f>
        <v>10010</v>
      </c>
      <c r="E149" s="62">
        <f>TRUNC(+D149*3.3058,-1)</f>
        <v>33090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TRUNC(21669,-1)</f>
        <v>21660</v>
      </c>
      <c r="E150" s="63">
        <f>TRUNC(+D150*3.3058,-1)</f>
        <v>71600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TRUNC(2058,-1)</f>
        <v>2050</v>
      </c>
      <c r="E152" s="63">
        <f>TRUNC(+D152*3.3058,-1)</f>
        <v>6770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33720</v>
      </c>
      <c r="E154" s="39">
        <f>SUM(E149:E153)</f>
        <v>111460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2020-12-08T02:17:02Z</dcterms:modified>
</cp:coreProperties>
</file>