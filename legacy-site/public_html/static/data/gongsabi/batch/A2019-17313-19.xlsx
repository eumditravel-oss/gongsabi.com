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45" i="4"/>
  <c r="D153" i="4"/>
  <c r="D160" i="4"/>
  <c r="D159" i="4"/>
  <c r="D158" i="4"/>
  <c r="D157" i="4"/>
  <c r="D152" i="4"/>
  <c r="D150" i="4"/>
  <c r="D149" i="4"/>
  <c r="D139" i="4"/>
  <c r="D141" i="4"/>
  <c r="D142" i="4"/>
  <c r="D137" i="4"/>
  <c r="D125" i="4"/>
  <c r="D122" i="4"/>
  <c r="D130" i="4"/>
  <c r="D104" i="4"/>
  <c r="D103" i="4"/>
  <c r="D102" i="4"/>
  <c r="D101" i="4"/>
  <c r="D100" i="4"/>
  <c r="D99" i="4"/>
  <c r="D98" i="4"/>
  <c r="D94" i="4"/>
  <c r="D92" i="4"/>
  <c r="D73" i="4"/>
  <c r="D72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<sst xmlns="http://schemas.openxmlformats.org/spreadsheetml/2006/main" count="392" uniqueCount="265">
  <si>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</si>
  <si>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</si>
  <si>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</si>
  <si>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</si>
  <si>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</si>
  <si>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</si>
  <si>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</si>
  <si>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</si>
  <si>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</si>
  <si>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</si>
  <si>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</si>
  <si>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</si>
  <si>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</si>
  <si>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</si>
  <si>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</si>
  <si>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</si>
  <si>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</si>
  <si>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</si>
  <si>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</si>
  <si>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</si>
  <si>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</si>
  <si>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</si>
  <si>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</si>
  <si>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</si>
  <si>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</si>
  <si>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</si>
  <si>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</si>
  <si>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</si>
  <si>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</si>
  <si>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</si>
  <si>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</si>
  <si>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</si>
  <si>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</si>
  <si>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</si>
  <si>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</si>
  <si>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</si>
  <si>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</si>
  <si>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</si>
  <si>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</si>
  <si>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</si>
  <si>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</si>
  <si>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</si>
  <si>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</si>
  <si>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</si>
  <si>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</si>
  <si>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</si>
  <si>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</si>
  <si>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</si>
  <si>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</si>
  <si>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</si>
  <si>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</si>
  <si>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</si>
  <si>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</si>
  <si>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</si>
  <si>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</si>
  <si>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</si>
  <si>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</si>
  <si>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</si>
  <si>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</si>
  <si>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</si>
  <si>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</si>
  <si>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</si>
  <si>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</si>
  <si>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</si>
  <si>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</si>
  <si>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</si>
  <si>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</si>
  <si>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</si>
  <si>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</si>
  <si>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</si>
  <si>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</si>
  <si>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</si>
  <si>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</si>
  <si>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</si>
  <si>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</si>
  <si>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</si>
  <si>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</si>
  <si>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</si>
  <si>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</si>
  <si>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</si>
  <si>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</si>
  <si>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</si>
  <si>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</si>
  <si>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</si>
  <si>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</si>
  <si>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</si>
  <si>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</si>
  <si>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</si>
  <si>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</si>
  <si>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</si>
  <si>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</si>
  <si>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</si>
  <si>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</si>
  <si>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</si>
  <si>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</si>
  <si>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</si>
  <si>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</si>
  <si>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</si>
  <si>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</si>
  <si>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</si>
  <si>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</si>
  <si>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</si>
  <si>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</si>
  <si>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</si>
  <si>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</si>
  <si>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</si>
  <si>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</si>
  <si>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</si>
  <si>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</si>
  <si>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</si>
  <si>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</si>
  <si>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</si>
  <si>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</si>
  <si>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</si>
  <si>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</si>
  <si>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</si>
  <si>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</si>
  <si>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</si>
  <si>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</si>
  <si>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</si>
  <si>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</si>
  <si>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</si>
  <si>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</si>
  <si>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</si>
  <si>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</si>
  <si>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</si>
  <si>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</si>
  <si>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</si>
  <si>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</si>
  <si>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</si>
  <si>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</si>
  <si>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</si>
  <si>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</si>
  <si>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</si>
  <si>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</si>
  <si>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</si>
  <si>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</si>
  <si>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</si>
  <si>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</si>
  <si>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</si>
  <si>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</si>
  <si>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</si>
  <si>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</si>
  <si>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</si>
  <si>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</si>
  <si>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</si>
  <si>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</si>
  <si>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</si>
  <si>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</si>
  <si>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</si>
  <si>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</si>
  <si>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</si>
  <si>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</si>
  <si>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</si>
  <si>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</si>
  <si>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</si>
  <si>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</si>
  <si>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</si>
  <si>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</si>
  <si>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</si>
  <si>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</si>
  <si>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</si>
  <si>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</si>
  <si>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</si>
  <si>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</si>
  <si>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</si>
  <si>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</si>
  <si>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</si>
  <si>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</si>
  <si>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</si>
  <si>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</si>
  <si>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</si>
  <si>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</si>
  <si>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</si>
  <si>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</si>
  <si>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</si>
  <si>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</si>
  <si>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</si>
  <si>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</si>
  <si>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</si>
  <si>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</si>
  <si>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</si>
  <si>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</si>
  <si>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</si>
  <si>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</si>
  <si>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</si>
  <si>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</si>
  <si>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</si>
  <si>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</si>
  <si>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</si>
  <si>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</si>
  <si>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</si>
  <si>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</si>
  <si>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</si>
  <si>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</si>
  <si>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</si>
  <si>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</si>
  <si>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</si>
  <si>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</si>
  <si>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</si>
  <si>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</si>
  <si>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</si>
  <si>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</si>
  <si>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</si>
  <si>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</si>
  <si>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</si>
  <si>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</si>
  <si>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</si>
  <si>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</si>
  <si>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</si>
  <si>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</si>
  <si>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</si>
  <si>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</si>
  <si>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</si>
  <si>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</si>
  <si>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</si>
  <si>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</si>
  <si>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</si>
  <si>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</si>
  <si>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</si>
  <si>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</si>
  <si>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</si>
  <si>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</si>
  <si>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</si>
  <si>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</si>
  <si>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</si>
  <si>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</si>
  <si>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</si>
  <si>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</si>
  <si>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</si>
  <si>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</si>
  <si>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</si>
  <si>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</si>
  <si>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</si>
  <si>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</si>
  <si>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</si>
  <si>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</si>
  <si>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</si>
  <si>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</si>
  <si>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</si>
  <si>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</si>
  <si>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</si>
  <si>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</si>
  <si>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</si>
  <si>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</si>
  <si>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</si>
  <si>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</si>
  <si>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</si>
  <si>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정읍시 공공실버주택 건립공사</t>
    <phoneticPr fontId="2" type="noConversion"/>
  </si>
  <si>
    <t>기타</t>
  </si>
  <si>
    <t>전라도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</si>
  <si>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</si>
  <si>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</si>
  <si>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</si>
  <si>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기초공사,골재비및운반비,품질시험비,기타공사</t>
    <phoneticPr fontId="2" type="noConversion"/>
  </si>
  <si>
    <t>난방배관공사,우수처리시설공사,기타공사</t>
    <phoneticPr fontId="2" type="noConversion"/>
  </si>
  <si>
    <t>CATV 및 TV 설비공사</t>
    <phoneticPr fontId="2" type="noConversion"/>
  </si>
  <si>
    <t>옥외소화배관공사,펌프실배관공사,제연덕트설치공사,기타공사</t>
    <phoneticPr fontId="2" type="noConversion"/>
  </si>
  <si>
    <t>기타공사</t>
    <phoneticPr fontId="2" type="noConversion"/>
  </si>
  <si>
    <t>포장공사</t>
    <phoneticPr fontId="2" type="noConversion"/>
  </si>
  <si>
    <t>조경시설물</t>
    <phoneticPr fontId="2" type="noConversion"/>
  </si>
  <si>
    <t>우수공사,오수공사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</si>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</sst>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7821.59</v>
      </c>
      <c r="D7" s="36">
        <f>+C7/3.3058</f>
        <v>2366.0203279085245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818720</v>
      </c>
      <c r="E25" s="59">
        <f t="shared" si="0"/>
        <v>2706520</v>
      </c>
    </row>
    <row r="26" spans="1:5" x14ac:dyDescent="0.3">
      <c r="B26" s="2">
        <v>3</v>
      </c>
      <c r="C26" s="35" t="s">
        <v>95</v>
      </c>
      <c r="D26" s="45">
        <f>+D66</f>
        <v>74860</v>
      </c>
      <c r="E26" s="59">
        <f t="shared" si="0"/>
        <v>247470</v>
      </c>
    </row>
    <row r="27" spans="1:5" x14ac:dyDescent="0.3">
      <c r="B27" s="2">
        <v>4</v>
      </c>
      <c r="C27" s="35" t="s">
        <v>96</v>
      </c>
      <c r="D27" s="45">
        <f>+D95</f>
        <v>112470</v>
      </c>
      <c r="E27" s="59">
        <f t="shared" si="0"/>
        <v>371800</v>
      </c>
    </row>
    <row r="28" spans="1:5" x14ac:dyDescent="0.3">
      <c r="B28" s="2">
        <v>5</v>
      </c>
      <c r="C28" s="35" t="s">
        <v>97</v>
      </c>
      <c r="D28" s="45">
        <f>+D119</f>
        <v>151280</v>
      </c>
      <c r="E28" s="59">
        <f t="shared" si="0"/>
        <v>500100</v>
      </c>
    </row>
    <row r="29" spans="1:5" x14ac:dyDescent="0.3">
      <c r="B29" s="2">
        <v>6</v>
      </c>
      <c r="C29" s="35" t="s">
        <v>98</v>
      </c>
      <c r="D29" s="45">
        <f>+D133</f>
        <v>79260</v>
      </c>
      <c r="E29" s="59">
        <f t="shared" si="0"/>
        <v>262010</v>
      </c>
    </row>
    <row r="30" spans="1:5" x14ac:dyDescent="0.3">
      <c r="B30" s="2">
        <v>7</v>
      </c>
      <c r="C30" s="35" t="s">
        <v>99</v>
      </c>
      <c r="D30" s="45">
        <f>+D146</f>
        <v>118090</v>
      </c>
      <c r="E30" s="59">
        <f t="shared" si="0"/>
        <v>390380</v>
      </c>
    </row>
    <row r="31" spans="1:5" x14ac:dyDescent="0.3">
      <c r="B31" s="2">
        <v>8</v>
      </c>
      <c r="C31" s="35" t="s">
        <v>100</v>
      </c>
      <c r="D31" s="45">
        <f>+D154</f>
        <v>15000</v>
      </c>
      <c r="E31" s="59">
        <f t="shared" si="0"/>
        <v>49580</v>
      </c>
    </row>
    <row r="32" spans="1:5" x14ac:dyDescent="0.3">
      <c r="B32" s="2">
        <v>9</v>
      </c>
      <c r="C32" s="35" t="s">
        <v>101</v>
      </c>
      <c r="D32" s="45">
        <f>+D161</f>
        <v>25410</v>
      </c>
      <c r="E32" s="59">
        <f t="shared" si="0"/>
        <v>84000</v>
      </c>
    </row>
    <row r="33" spans="1:7" x14ac:dyDescent="0.3">
      <c r="B33" s="2">
        <v>10</v>
      </c>
      <c r="C33" s="35" t="s">
        <v>154</v>
      </c>
      <c r="D33" s="53">
        <f>TRUNC(SUM(D24:D32)*0.275,-1)</f>
        <v>383640</v>
      </c>
      <c r="E33" s="60">
        <f t="shared" si="0"/>
        <v>1268230</v>
      </c>
    </row>
    <row r="34" spans="1:7" x14ac:dyDescent="0.3">
      <c r="C34" s="35" t="s">
        <v>112</v>
      </c>
      <c r="D34" s="44">
        <f>SUM(D24:D33)</f>
        <v>1778730</v>
      </c>
      <c r="E34" s="44">
        <f>SUM(E24:E33)</f>
        <v>5880090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238</v>
      </c>
      <c r="D39" s="57" t="s">
        <v>235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TRUNC(75499,-1)</f>
        <v>75490</v>
      </c>
      <c r="E40" s="62">
        <f t="shared" ref="E40:E59" si="1">TRUNC(+D40*3.3058,-1)</f>
        <v>249550</v>
      </c>
    </row>
    <row r="41" spans="1:7" x14ac:dyDescent="0.3">
      <c r="A41" s="2">
        <v>2</v>
      </c>
      <c r="C41" s="38" t="s">
        <v>13</v>
      </c>
      <c r="D41" s="42">
        <f>TRUNC(208909,-1)</f>
        <v>208900</v>
      </c>
      <c r="E41" s="63">
        <f t="shared" si="1"/>
        <v>690580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TRUNC(11770,-1)</f>
        <v>11770</v>
      </c>
      <c r="E43" s="63">
        <f t="shared" si="1"/>
        <v>38900</v>
      </c>
    </row>
    <row r="44" spans="1:7" x14ac:dyDescent="0.3">
      <c r="A44" s="2">
        <v>5</v>
      </c>
      <c r="C44" s="38" t="s">
        <v>17</v>
      </c>
      <c r="D44" s="42">
        <f>TRUNC(34193,-1)</f>
        <v>34190</v>
      </c>
      <c r="E44" s="63">
        <f t="shared" si="1"/>
        <v>113020</v>
      </c>
    </row>
    <row r="45" spans="1:7" x14ac:dyDescent="0.3">
      <c r="A45" s="2">
        <v>6</v>
      </c>
      <c r="C45" s="38" t="s">
        <v>18</v>
      </c>
      <c r="D45" s="42">
        <f>TRUNC(22264,-1)</f>
        <v>22260</v>
      </c>
      <c r="E45" s="63">
        <f t="shared" si="1"/>
        <v>73580</v>
      </c>
    </row>
    <row r="46" spans="1:7" x14ac:dyDescent="0.3">
      <c r="A46" s="2">
        <v>7</v>
      </c>
      <c r="C46" s="38" t="s">
        <v>19</v>
      </c>
      <c r="D46" s="42">
        <f>TRUNC(4335,-1)</f>
        <v>4330</v>
      </c>
      <c r="E46" s="63">
        <f t="shared" si="1"/>
        <v>14310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TRUNC(34059,-1)</f>
        <v>34050</v>
      </c>
      <c r="E48" s="63">
        <f t="shared" si="1"/>
        <v>112560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TRUNC(18620,-1)</f>
        <v>18620</v>
      </c>
      <c r="E49" s="63">
        <f t="shared" si="1"/>
        <v>61550</v>
      </c>
    </row>
    <row r="50" spans="1:7" x14ac:dyDescent="0.3">
      <c r="A50" s="2">
        <v>11</v>
      </c>
      <c r="C50" s="38" t="s">
        <v>155</v>
      </c>
      <c r="D50" s="42">
        <f>TRUNC(40220,-1)</f>
        <v>40220</v>
      </c>
      <c r="E50" s="63">
        <f t="shared" si="1"/>
        <v>132950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TRUNC(19437,-1)</f>
        <v>19430</v>
      </c>
      <c r="E52" s="63">
        <f t="shared" si="1"/>
        <v>64230</v>
      </c>
    </row>
    <row r="53" spans="1:7" x14ac:dyDescent="0.3">
      <c r="A53" s="2">
        <v>14</v>
      </c>
      <c r="C53" s="38" t="s">
        <v>25</v>
      </c>
      <c r="D53" s="42">
        <f>TRUNC(40234,-1)</f>
        <v>40230</v>
      </c>
      <c r="E53" s="63">
        <f t="shared" si="1"/>
        <v>132990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TRUNC(5859+4214+331+3487,-1)</f>
        <v>13890</v>
      </c>
      <c r="E58" s="63">
        <f t="shared" si="1"/>
        <v>45910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TRUNC(295340,-1)</f>
        <v>295340</v>
      </c>
      <c r="E59" s="64">
        <f t="shared" si="1"/>
        <v>976330</v>
      </c>
    </row>
    <row r="60" spans="1:7" x14ac:dyDescent="0.3">
      <c r="A60" s="2">
        <v>21</v>
      </c>
      <c r="C60" s="27" t="s">
        <v>112</v>
      </c>
      <c r="D60" s="39">
        <f>SUM(D40:D59)</f>
        <v>818720</v>
      </c>
      <c r="E60" s="39">
        <f>SUM(E40:E59)</f>
        <v>2706460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TRUNC(8057,-1)</f>
        <v>8050</v>
      </c>
      <c r="E63" s="62">
        <f>TRUNC(+D63*3.3058,-1)</f>
        <v>26610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TRUNC(66818,-1)</f>
        <v>66810</v>
      </c>
      <c r="E65" s="64">
        <f>TRUNC(+D65*3.3058,-1)</f>
        <v>220860</v>
      </c>
    </row>
    <row r="66" spans="1:7" x14ac:dyDescent="0.3">
      <c r="A66" s="2">
        <v>4</v>
      </c>
      <c r="C66" s="27" t="s">
        <v>112</v>
      </c>
      <c r="D66" s="39">
        <f>SUM(D63:D65)</f>
        <v>74860</v>
      </c>
      <c r="E66" s="65">
        <f>SUM(E63:E65)</f>
        <v>247470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TRUNC(12144,-1)</f>
        <v>12140</v>
      </c>
      <c r="E69" s="62">
        <f t="shared" ref="E69:E94" si="2">TRUNC(+D69*3.3058,-1)</f>
        <v>40130</v>
      </c>
    </row>
    <row r="70" spans="1:7" ht="16.5" customHeight="1" x14ac:dyDescent="0.3">
      <c r="A70" s="2">
        <v>2</v>
      </c>
      <c r="C70" s="38" t="s">
        <v>31</v>
      </c>
      <c r="D70" s="42">
        <f>TRUNC(61,-1)</f>
        <v>60</v>
      </c>
      <c r="E70" s="63">
        <f t="shared" si="2"/>
        <v>190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TRUNC(8761,-1)</f>
        <v>8760</v>
      </c>
      <c r="E72" s="63">
        <f t="shared" si="2"/>
        <v>28950</v>
      </c>
    </row>
    <row r="73" spans="1:7" x14ac:dyDescent="0.3">
      <c r="A73" s="2">
        <v>5</v>
      </c>
      <c r="C73" s="38" t="s">
        <v>34</v>
      </c>
      <c r="D73" s="42">
        <f>TRUNC(19997,-1)</f>
        <v>19990</v>
      </c>
      <c r="E73" s="63">
        <f t="shared" si="2"/>
        <v>66080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TRUNC(12001,-1)</f>
        <v>12000</v>
      </c>
      <c r="E92" s="63">
        <f t="shared" si="2"/>
        <v>39660</v>
      </c>
    </row>
    <row r="93" spans="1:7" x14ac:dyDescent="0.3">
      <c r="A93" s="2">
        <v>25</v>
      </c>
      <c r="C93" s="38" t="s">
        <v>148</v>
      </c>
      <c r="D93" s="42">
        <f>TRUNC(26849,-1)</f>
        <v>26840</v>
      </c>
      <c r="E93" s="63">
        <f t="shared" si="2"/>
        <v>88720</v>
      </c>
    </row>
    <row r="94" spans="1:7" ht="17.25" thickBot="1" x14ac:dyDescent="0.35">
      <c r="A94" s="2">
        <v>26</v>
      </c>
      <c r="C94" s="38" t="s">
        <v>47</v>
      </c>
      <c r="D94" s="43">
        <f>TRUNC(11197+14409+7083,-1)</f>
        <v>32680</v>
      </c>
      <c r="E94" s="64">
        <f t="shared" si="2"/>
        <v>108030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112470</v>
      </c>
      <c r="E95" s="39">
        <f>SUM(E69:E94)</f>
        <v>371760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TRUNC(21324,-1)</f>
        <v>21320</v>
      </c>
      <c r="E98" s="62">
        <f t="shared" ref="E98:E118" si="3">TRUNC(+D98*3.3058,-1)</f>
        <v>70470</v>
      </c>
    </row>
    <row r="99" spans="1:7" x14ac:dyDescent="0.3">
      <c r="A99" s="2">
        <v>2</v>
      </c>
      <c r="C99" s="38" t="s">
        <v>40</v>
      </c>
      <c r="D99" s="42">
        <f>TRUNC(3281,-1)</f>
        <v>3280</v>
      </c>
      <c r="E99" s="63">
        <f t="shared" si="3"/>
        <v>10840</v>
      </c>
    </row>
    <row r="100" spans="1:7" x14ac:dyDescent="0.3">
      <c r="A100" s="2">
        <v>3</v>
      </c>
      <c r="C100" s="38" t="s">
        <v>41</v>
      </c>
      <c r="D100" s="42">
        <f>TRUNC(30434,-1)</f>
        <v>30430</v>
      </c>
      <c r="E100" s="63">
        <f t="shared" si="3"/>
        <v>100590</v>
      </c>
    </row>
    <row r="101" spans="1:7" x14ac:dyDescent="0.3">
      <c r="A101" s="2">
        <v>4</v>
      </c>
      <c r="C101" s="38" t="s">
        <v>42</v>
      </c>
      <c r="D101" s="42">
        <f>TRUNC(253,-1)</f>
        <v>250</v>
      </c>
      <c r="E101" s="63">
        <f t="shared" si="3"/>
        <v>820</v>
      </c>
    </row>
    <row r="102" spans="1:7" x14ac:dyDescent="0.3">
      <c r="A102" s="2">
        <v>5</v>
      </c>
      <c r="C102" s="38" t="s">
        <v>43</v>
      </c>
      <c r="D102" s="42">
        <f>TRUNC(29057,-1)</f>
        <v>29050</v>
      </c>
      <c r="E102" s="63">
        <f t="shared" si="3"/>
        <v>96030</v>
      </c>
    </row>
    <row r="103" spans="1:7" x14ac:dyDescent="0.3">
      <c r="A103" s="2">
        <v>6</v>
      </c>
      <c r="C103" s="38" t="s">
        <v>44</v>
      </c>
      <c r="D103" s="42">
        <f>TRUNC(1530,-1)</f>
        <v>1530</v>
      </c>
      <c r="E103" s="63">
        <f t="shared" si="3"/>
        <v>5050</v>
      </c>
    </row>
    <row r="104" spans="1:7" x14ac:dyDescent="0.3">
      <c r="A104" s="2">
        <v>7</v>
      </c>
      <c r="C104" s="38" t="s">
        <v>45</v>
      </c>
      <c r="D104" s="42">
        <f>TRUNC(2960,-1)</f>
        <v>2960</v>
      </c>
      <c r="E104" s="63">
        <f t="shared" si="3"/>
        <v>9780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TRUNC(62464,-1)</f>
        <v>62460</v>
      </c>
      <c r="E117" s="63">
        <f t="shared" si="3"/>
        <v>206480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151280</v>
      </c>
      <c r="E119" s="39">
        <f>SUM(E98:E118)</f>
        <v>500060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TRUNC(2953,-1)</f>
        <v>2950</v>
      </c>
      <c r="E122" s="62">
        <f t="shared" ref="E122:E132" si="4">TRUNC(+D122*3.3058,-1)</f>
        <v>9750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TRUNC(8291,-1)</f>
        <v>8290</v>
      </c>
      <c r="E125" s="63">
        <f t="shared" si="4"/>
        <v>27400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TRUNC(37076,-1)</f>
        <v>37070</v>
      </c>
      <c r="E130" s="63">
        <f t="shared" si="4"/>
        <v>122540</v>
      </c>
    </row>
    <row r="131" spans="1:7" x14ac:dyDescent="0.3">
      <c r="A131" s="2">
        <v>10</v>
      </c>
      <c r="C131" s="38" t="s">
        <v>148</v>
      </c>
      <c r="D131" s="42">
        <f>TRUNC(30958,-1)</f>
        <v>30950</v>
      </c>
      <c r="E131" s="63">
        <f t="shared" si="4"/>
        <v>102310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79260</v>
      </c>
      <c r="E133" s="39">
        <f>SUM(E122:E132)</f>
        <v>262000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TRUNC(2443+7478+6746+36069,-1)</f>
        <v>52730</v>
      </c>
      <c r="E137" s="63">
        <f t="shared" si="5"/>
        <v>174310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TRUNC(2826,-1)</f>
        <v>2820</v>
      </c>
      <c r="E139" s="63">
        <f t="shared" si="5"/>
        <v>9320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TRUNC(35944,-1)</f>
        <v>35940</v>
      </c>
      <c r="E141" s="63">
        <f t="shared" si="5"/>
        <v>118810</v>
      </c>
    </row>
    <row r="142" spans="1:7" x14ac:dyDescent="0.3">
      <c r="A142" s="2">
        <v>7</v>
      </c>
      <c r="C142" s="38" t="s">
        <v>58</v>
      </c>
      <c r="D142" s="42">
        <f>TRUNC(9082,-1)</f>
        <v>9080</v>
      </c>
      <c r="E142" s="63">
        <f t="shared" si="5"/>
        <v>30010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f>TRUNC(17521,-1)</f>
        <v>17520</v>
      </c>
      <c r="E145" s="64">
        <f t="shared" si="5"/>
        <v>57910</v>
      </c>
    </row>
    <row r="146" spans="1:7" x14ac:dyDescent="0.3">
      <c r="A146" s="2">
        <v>11</v>
      </c>
      <c r="C146" s="27" t="s">
        <v>112</v>
      </c>
      <c r="D146" s="39">
        <f>SUM(D136:D145)</f>
        <v>118090</v>
      </c>
      <c r="E146" s="39">
        <f>SUM(E136:E145)</f>
        <v>390360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TRUNC(5740+1270,-1)</f>
        <v>7010</v>
      </c>
      <c r="E149" s="62">
        <f>TRUNC(+D149*3.3058,-1)</f>
        <v>23170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TRUNC(4594,-1)</f>
        <v>4590</v>
      </c>
      <c r="E150" s="63">
        <f>TRUNC(+D150*3.3058,-1)</f>
        <v>15170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TRUNC(420,-1)</f>
        <v>420</v>
      </c>
      <c r="E152" s="63">
        <f>TRUNC(+D152*3.3058,-1)</f>
        <v>1380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f>TRUNC(2986,-1)</f>
        <v>2980</v>
      </c>
      <c r="E153" s="64">
        <f>TRUNC(+D153*3.3058,-1)</f>
        <v>9850</v>
      </c>
    </row>
    <row r="154" spans="1:7" x14ac:dyDescent="0.3">
      <c r="A154" s="2">
        <v>6</v>
      </c>
      <c r="C154" s="27" t="s">
        <v>112</v>
      </c>
      <c r="D154" s="39">
        <f>SUM(D149:D153)</f>
        <v>15000</v>
      </c>
      <c r="E154" s="39">
        <f>SUM(E149:E153)</f>
        <v>49570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TRUNC(17198,-1)</f>
        <v>17190</v>
      </c>
      <c r="E157" s="62">
        <f>TRUNC(+D157*3.3058,-1)</f>
        <v>56820</v>
      </c>
    </row>
    <row r="158" spans="1:7" x14ac:dyDescent="0.3">
      <c r="A158" s="2">
        <v>2</v>
      </c>
      <c r="C158" s="38" t="s">
        <v>52</v>
      </c>
      <c r="D158" s="42">
        <f>TRUNC(3011,-1)</f>
        <v>3010</v>
      </c>
      <c r="E158" s="63">
        <f>TRUNC(+D158*3.3058,-1)</f>
        <v>9950</v>
      </c>
      <c r="F158" s="2" t="s">
        <v>260</v>
      </c>
    </row>
    <row r="159" spans="1:7" x14ac:dyDescent="0.3">
      <c r="A159" s="2">
        <v>3</v>
      </c>
      <c r="C159" s="38" t="s">
        <v>47</v>
      </c>
      <c r="D159" s="42">
        <f>TRUNC(1780,-1)</f>
        <v>1780</v>
      </c>
      <c r="E159" s="63">
        <f>TRUNC(+D159*3.3058,-1)</f>
        <v>5880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f>TRUNC(3433,-1)</f>
        <v>3430</v>
      </c>
      <c r="E160" s="64">
        <f>TRUNC(+D160*3.3058,-1)</f>
        <v>11330</v>
      </c>
    </row>
    <row r="161" spans="1:5" x14ac:dyDescent="0.3">
      <c r="A161" s="2">
        <v>5</v>
      </c>
      <c r="C161" s="27" t="s">
        <v>112</v>
      </c>
      <c r="D161" s="39">
        <f>SUM(D157:D160)</f>
        <v>25410</v>
      </c>
      <c r="E161" s="39">
        <f>SUM(E157:E160)</f>
        <v>83980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2020-12-08T04:48:17Z</dcterms:modified>
</cp:coreProperties>
</file>