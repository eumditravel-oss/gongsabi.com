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7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9" i="4" l="1"/>
  <c r="D158" i="4"/>
  <c r="D157" i="4"/>
  <c r="D152" i="4"/>
  <c r="D150" i="4"/>
  <c r="D149" i="4"/>
  <c r="D144" i="4"/>
  <c r="D143" i="4"/>
  <c r="D142" i="4"/>
  <c r="D140" i="4"/>
  <c r="D139" i="4"/>
  <c r="D137" i="4"/>
  <c r="D132" i="4"/>
  <c r="D131" i="4"/>
  <c r="D128" i="4"/>
  <c r="D126" i="4"/>
  <c r="D124" i="4"/>
  <c r="D118" i="4"/>
  <c r="D114" i="4"/>
  <c r="D105" i="4"/>
  <c r="D104" i="4"/>
  <c r="D99" i="4"/>
  <c r="D98" i="4"/>
  <c r="D94" i="4"/>
  <c r="D92" i="4"/>
  <c r="D91" i="4"/>
  <c r="D76" i="4"/>
  <c r="D75" i="4"/>
  <c r="D73" i="4"/>
  <c r="D71" i="4"/>
  <c r="D69" i="4"/>
  <c r="D63" i="4"/>
  <c r="D59" i="4"/>
  <c r="D58" i="4"/>
  <c r="D52" i="4"/>
  <c r="D50" i="4"/>
  <c r="D49" i="4"/>
  <c r="D48" i="4"/>
  <c r="D46" i="4"/>
  <c r="D45" i="4"/>
  <c r="D44" i="4"/>
  <c r="D43" i="4"/>
  <c r="D42" i="4"/>
  <c r="D41" i="4"/>
  <c r="D40" i="4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66" i="4" s="1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54" i="4" l="1"/>
  <c r="E146" i="4"/>
  <c r="E133" i="4"/>
  <c r="E119" i="4"/>
  <c r="E95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<sst xmlns="http://schemas.openxmlformats.org/spreadsheetml/2006/main" count="393" uniqueCount="270">
  <si>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</si>
  <si>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</si>
  <si>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</si>
  <si>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</si>
  <si>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</si>
  <si>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</si>
  <si>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</si>
  <si>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</si>
  <si>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</si>
  <si>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</si>
  <si>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</si>
  <si>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</si>
  <si>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</si>
  <si>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</si>
  <si>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</si>
  <si>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</si>
  <si>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</si>
  <si>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</si>
  <si>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</si>
  <si>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</si>
  <si>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</si>
  <si>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</si>
  <si>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</si>
  <si>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</si>
  <si>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</si>
  <si>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</si>
  <si>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</si>
  <si>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</si>
  <si>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</si>
  <si>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</si>
  <si>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</si>
  <si>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</si>
  <si>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</si>
  <si>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</si>
  <si>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</si>
  <si>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</si>
  <si>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</si>
  <si>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</si>
  <si>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</si>
  <si>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</si>
  <si>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</si>
  <si>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</si>
  <si>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</si>
  <si>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</si>
  <si>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</si>
  <si>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</si>
  <si>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</si>
  <si>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</si>
  <si>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</si>
  <si>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</si>
  <si>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</si>
  <si>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</si>
  <si>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</si>
  <si>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</si>
  <si>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</si>
  <si>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</si>
  <si>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</si>
  <si>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</si>
  <si>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</si>
  <si>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</si>
  <si>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</si>
  <si>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</si>
  <si>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</si>
  <si>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</si>
  <si>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</si>
  <si>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</si>
  <si>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</si>
  <si>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</si>
  <si>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</si>
  <si>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</si>
  <si>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</si>
  <si>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</si>
  <si>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</si>
  <si>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</si>
  <si>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</si>
  <si>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</si>
  <si>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</si>
  <si>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</si>
  <si>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</si>
  <si>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</si>
  <si>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</si>
  <si>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</si>
  <si>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</si>
  <si>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</si>
  <si>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</si>
  <si>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</si>
  <si>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</si>
  <si>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</si>
  <si>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</si>
  <si>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</si>
  <si>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</si>
  <si>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</si>
  <si>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</si>
  <si>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</si>
  <si>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</si>
  <si>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</si>
  <si>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</si>
  <si>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</si>
  <si>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</si>
  <si>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</si>
  <si>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</si>
  <si>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</si>
  <si>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</si>
  <si>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</si>
  <si>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</si>
  <si>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</si>
  <si>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</si>
  <si>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</si>
  <si>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</si>
  <si>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</si>
  <si>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</si>
  <si>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</si>
  <si>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</si>
  <si>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</si>
  <si>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</si>
  <si>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</si>
  <si>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</si>
  <si>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</si>
  <si>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</si>
  <si>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</si>
  <si>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</si>
  <si>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</si>
  <si>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</si>
  <si>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</si>
  <si>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</si>
  <si>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</si>
  <si>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</si>
  <si>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</si>
  <si>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</si>
  <si>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</si>
  <si>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</si>
  <si>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</si>
  <si>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</si>
  <si>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</si>
  <si>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</si>
  <si>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</si>
  <si>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</si>
  <si>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</si>
  <si>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</si>
  <si>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</si>
  <si>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</si>
  <si>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</si>
  <si>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</si>
  <si>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</si>
  <si>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</si>
  <si>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</si>
  <si>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</si>
  <si>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</si>
  <si>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</si>
  <si>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</si>
  <si>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</si>
  <si>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</si>
  <si>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</si>
  <si>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</si>
  <si>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</si>
  <si>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</si>
  <si>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</si>
  <si>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</si>
  <si>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</si>
  <si>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</si>
  <si>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</si>
  <si>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</si>
  <si>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</si>
  <si>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</si>
  <si>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</si>
  <si>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</si>
  <si>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</si>
  <si>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</si>
  <si>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</si>
  <si>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</si>
  <si>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</si>
  <si>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</si>
  <si>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</si>
  <si>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</si>
  <si>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</si>
  <si>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</si>
  <si>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</si>
  <si>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</si>
  <si>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</si>
  <si>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</si>
  <si>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</si>
  <si>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</si>
  <si>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</si>
  <si>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</si>
  <si>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</si>
  <si>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</si>
  <si>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</si>
  <si>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</si>
  <si>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</si>
  <si>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</si>
  <si>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</si>
  <si>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</si>
  <si>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</si>
  <si>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</si>
  <si>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</si>
  <si>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</si>
  <si>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</si>
  <si>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</si>
  <si>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</si>
  <si>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</si>
  <si>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</si>
  <si>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</si>
  <si>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</si>
  <si>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</si>
  <si>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</si>
  <si>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</si>
  <si>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</si>
  <si>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</si>
  <si>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</si>
  <si>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</si>
  <si>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</si>
  <si>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</si>
  <si>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</si>
  <si>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</si>
  <si>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</si>
  <si>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</si>
  <si>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</si>
  <si>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</si>
  <si>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</si>
  <si>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</si>
  <si>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</si>
  <si>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</si>
  <si>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</si>
  <si>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</si>
  <si>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</si>
  <si>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</si>
  <si>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</si>
  <si>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</si>
  <si>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</si>
  <si>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</si>
  <si>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</si>
  <si>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</si>
  <si>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</si>
  <si>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</si>
  <si>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</si>
  <si>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</si>
  <si>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</si>
  <si>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</si>
  <si>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</si>
  <si>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</si>
  <si>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</si>
  <si>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</si>
  <si>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</si>
  <si>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</si>
  <si>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</si>
  <si>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</si>
  <si>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</si>
  <si>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</si>
  <si>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지붕및홈통공사 포함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</si>
  <si>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</si>
  <si>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</si>
  <si>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옥외보안등설비공사</t>
    <phoneticPr fontId="2" type="noConversion"/>
  </si>
  <si>
    <t>CATV 및 TV 설비공사</t>
    <phoneticPr fontId="2" type="noConversion"/>
  </si>
  <si>
    <t>옥외소화배관공사, 펌프실배관공사, 기타공사</t>
    <phoneticPr fontId="2" type="noConversion"/>
  </si>
  <si>
    <t>포장공사, 기타공사</t>
    <phoneticPr fontId="2" type="noConversion"/>
  </si>
  <si>
    <t>업무</t>
  </si>
  <si>
    <t>세종시</t>
  </si>
  <si>
    <t>기초공사, 폐기물처리비, 골재비및운반비, 품질시험비, 기타공사</t>
    <phoneticPr fontId="2" type="noConversion"/>
  </si>
  <si>
    <t>바닥난방공사, 기타공사</t>
    <phoneticPr fontId="2" type="noConversion"/>
  </si>
  <si>
    <t>원격검침 설비공사, 기타공사</t>
    <phoneticPr fontId="2" type="noConversion"/>
  </si>
  <si>
    <t>CCTV설비공사, 주차관제설비공사, 기타공사</t>
    <phoneticPr fontId="2" type="noConversion"/>
  </si>
  <si>
    <t>상수도공사, 사급자재비 , 운반비, 기타공사</t>
    <phoneticPr fontId="2" type="noConversion"/>
  </si>
  <si>
    <t>세종시선거관리위원회 청사 신축공사</t>
    <phoneticPr fontId="2" type="noConversion"/>
  </si>
  <si>
    <t>건축</t>
    <phoneticPr fontId="2" type="noConversion"/>
  </si>
  <si>
    <t>항 목</t>
    <phoneticPr fontId="2" type="noConversion"/>
  </si>
  <si>
    <t>원/ m2</t>
    <phoneticPr fontId="2" type="noConversion"/>
  </si>
  <si>
    <t>원 /평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</si>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</sst>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156</v>
      </c>
      <c r="B2" s="72" t="s">
        <v>0</v>
      </c>
      <c r="C2" s="73"/>
      <c r="D2" s="72" t="s">
        <v>1</v>
      </c>
      <c r="E2" s="73"/>
      <c r="F2" s="72" t="s">
        <v>157</v>
      </c>
      <c r="G2" s="73"/>
      <c r="H2" s="72" t="s">
        <v>2</v>
      </c>
      <c r="I2" s="73"/>
      <c r="J2" s="72" t="s">
        <v>3</v>
      </c>
      <c r="K2" s="73"/>
      <c r="L2" s="72" t="s">
        <v>158</v>
      </c>
      <c r="M2" s="73"/>
      <c r="N2" s="72" t="s">
        <v>159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267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262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255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2426.39</v>
      </c>
      <c r="D7" s="36">
        <f>+C7/3.3058</f>
        <v>733.97967209147555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256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207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268</v>
      </c>
    </row>
    <row r="19" spans="1:5" x14ac:dyDescent="0.3">
      <c r="A19" s="2">
        <v>9</v>
      </c>
      <c r="B19" s="2" t="s">
        <v>269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1376860</v>
      </c>
      <c r="E25" s="59">
        <f t="shared" si="0"/>
        <v>4551620</v>
      </c>
    </row>
    <row r="26" spans="1:5" x14ac:dyDescent="0.3">
      <c r="B26" s="2">
        <v>3</v>
      </c>
      <c r="C26" s="35" t="s">
        <v>95</v>
      </c>
      <c r="D26" s="45">
        <f>+D66</f>
        <v>14180</v>
      </c>
      <c r="E26" s="59">
        <f t="shared" si="0"/>
        <v>46870</v>
      </c>
    </row>
    <row r="27" spans="1:5" x14ac:dyDescent="0.3">
      <c r="B27" s="2">
        <v>4</v>
      </c>
      <c r="C27" s="35" t="s">
        <v>96</v>
      </c>
      <c r="D27" s="45">
        <f>+D95</f>
        <v>181980</v>
      </c>
      <c r="E27" s="59">
        <f t="shared" si="0"/>
        <v>601580</v>
      </c>
    </row>
    <row r="28" spans="1:5" x14ac:dyDescent="0.3">
      <c r="B28" s="2">
        <v>5</v>
      </c>
      <c r="C28" s="35" t="s">
        <v>97</v>
      </c>
      <c r="D28" s="45">
        <f>+D119</f>
        <v>267160</v>
      </c>
      <c r="E28" s="59">
        <f t="shared" si="0"/>
        <v>883170</v>
      </c>
    </row>
    <row r="29" spans="1:5" x14ac:dyDescent="0.3">
      <c r="B29" s="2">
        <v>6</v>
      </c>
      <c r="C29" s="35" t="s">
        <v>98</v>
      </c>
      <c r="D29" s="45">
        <f>+D133</f>
        <v>100490</v>
      </c>
      <c r="E29" s="59">
        <f t="shared" si="0"/>
        <v>332190</v>
      </c>
    </row>
    <row r="30" spans="1:5" x14ac:dyDescent="0.3">
      <c r="B30" s="2">
        <v>7</v>
      </c>
      <c r="C30" s="35" t="s">
        <v>99</v>
      </c>
      <c r="D30" s="45">
        <f>+D146</f>
        <v>34730</v>
      </c>
      <c r="E30" s="59">
        <f t="shared" si="0"/>
        <v>114810</v>
      </c>
    </row>
    <row r="31" spans="1:5" x14ac:dyDescent="0.3">
      <c r="B31" s="2">
        <v>8</v>
      </c>
      <c r="C31" s="35" t="s">
        <v>100</v>
      </c>
      <c r="D31" s="45">
        <f>+D154</f>
        <v>47360</v>
      </c>
      <c r="E31" s="59">
        <f t="shared" si="0"/>
        <v>156560</v>
      </c>
    </row>
    <row r="32" spans="1:5" x14ac:dyDescent="0.3">
      <c r="B32" s="2">
        <v>9</v>
      </c>
      <c r="C32" s="35" t="s">
        <v>101</v>
      </c>
      <c r="D32" s="45">
        <f>+D161</f>
        <v>39870</v>
      </c>
      <c r="E32" s="59">
        <f t="shared" si="0"/>
        <v>131800</v>
      </c>
    </row>
    <row r="33" spans="1:7" x14ac:dyDescent="0.3">
      <c r="B33" s="2">
        <v>10</v>
      </c>
      <c r="C33" s="35" t="s">
        <v>154</v>
      </c>
      <c r="D33" s="53">
        <f>TRUNC(SUM(D24:D32)*0.275,-1)</f>
        <v>567220</v>
      </c>
      <c r="E33" s="60">
        <f t="shared" si="0"/>
        <v>1875110</v>
      </c>
    </row>
    <row r="34" spans="1:7" x14ac:dyDescent="0.3">
      <c r="C34" s="35" t="s">
        <v>112</v>
      </c>
      <c r="D34" s="44">
        <f>SUM(D24:D33)</f>
        <v>2629850</v>
      </c>
      <c r="E34" s="44">
        <f>SUM(E24:E33)</f>
        <v>8693710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263</v>
      </c>
      <c r="C39" s="56" t="s">
        <v>264</v>
      </c>
      <c r="D39" s="57" t="s">
        <v>265</v>
      </c>
      <c r="E39" s="57" t="s">
        <v>266</v>
      </c>
      <c r="G39" s="55"/>
    </row>
    <row r="40" spans="1:7" x14ac:dyDescent="0.3">
      <c r="A40" s="2">
        <v>1</v>
      </c>
      <c r="C40" s="38" t="s">
        <v>15</v>
      </c>
      <c r="D40" s="40">
        <f>TRUNC(73584,-1)</f>
        <v>73580</v>
      </c>
      <c r="E40" s="62">
        <f t="shared" ref="E40:E59" si="1">TRUNC(+D40*3.3058,-1)</f>
        <v>243240</v>
      </c>
    </row>
    <row r="41" spans="1:7" x14ac:dyDescent="0.3">
      <c r="A41" s="2">
        <v>2</v>
      </c>
      <c r="C41" s="38" t="s">
        <v>13</v>
      </c>
      <c r="D41" s="42">
        <f>TRUNC(91327,-1)</f>
        <v>91320</v>
      </c>
      <c r="E41" s="63">
        <f t="shared" si="1"/>
        <v>301880</v>
      </c>
    </row>
    <row r="42" spans="1:7" x14ac:dyDescent="0.3">
      <c r="A42" s="2">
        <v>3</v>
      </c>
      <c r="C42" s="38" t="s">
        <v>14</v>
      </c>
      <c r="D42" s="42">
        <f>TRUNC(182393,-1)</f>
        <v>182390</v>
      </c>
      <c r="E42" s="63">
        <f t="shared" si="1"/>
        <v>602940</v>
      </c>
    </row>
    <row r="43" spans="1:7" x14ac:dyDescent="0.3">
      <c r="A43" s="2">
        <v>4</v>
      </c>
      <c r="C43" s="38" t="s">
        <v>16</v>
      </c>
      <c r="D43" s="42">
        <f>TRUNC(4047,-1)</f>
        <v>4040</v>
      </c>
      <c r="E43" s="63">
        <f t="shared" si="1"/>
        <v>13350</v>
      </c>
    </row>
    <row r="44" spans="1:7" x14ac:dyDescent="0.3">
      <c r="A44" s="2">
        <v>5</v>
      </c>
      <c r="C44" s="38" t="s">
        <v>17</v>
      </c>
      <c r="D44" s="42">
        <f>TRUNC(38288,-1)</f>
        <v>38280</v>
      </c>
      <c r="E44" s="63">
        <f t="shared" si="1"/>
        <v>126540</v>
      </c>
    </row>
    <row r="45" spans="1:7" x14ac:dyDescent="0.3">
      <c r="A45" s="2">
        <v>6</v>
      </c>
      <c r="C45" s="38" t="s">
        <v>18</v>
      </c>
      <c r="D45" s="42">
        <f>TRUNC(12248,-1)</f>
        <v>12240</v>
      </c>
      <c r="E45" s="63">
        <f t="shared" si="1"/>
        <v>40460</v>
      </c>
    </row>
    <row r="46" spans="1:7" x14ac:dyDescent="0.3">
      <c r="A46" s="2">
        <v>7</v>
      </c>
      <c r="C46" s="38" t="s">
        <v>19</v>
      </c>
      <c r="D46" s="42">
        <f>TRUNC(279825,-1)</f>
        <v>279820</v>
      </c>
      <c r="E46" s="63">
        <f t="shared" si="1"/>
        <v>925020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TRUNC(78041,-1)</f>
        <v>78040</v>
      </c>
      <c r="E48" s="63">
        <f t="shared" si="1"/>
        <v>257980</v>
      </c>
      <c r="F48" s="2" t="s">
        <v>248</v>
      </c>
    </row>
    <row r="49" spans="1:7" x14ac:dyDescent="0.3">
      <c r="A49" s="2">
        <v>10</v>
      </c>
      <c r="C49" s="38" t="s">
        <v>22</v>
      </c>
      <c r="D49" s="42">
        <f>TRUNC(16504,-1)</f>
        <v>16500</v>
      </c>
      <c r="E49" s="63">
        <f t="shared" si="1"/>
        <v>54540</v>
      </c>
    </row>
    <row r="50" spans="1:7" x14ac:dyDescent="0.3">
      <c r="A50" s="2">
        <v>11</v>
      </c>
      <c r="C50" s="38" t="s">
        <v>155</v>
      </c>
      <c r="D50" s="42">
        <f>TRUNC(84403,-1)</f>
        <v>84400</v>
      </c>
      <c r="E50" s="63">
        <f t="shared" si="1"/>
        <v>279000</v>
      </c>
      <c r="F50" s="2" t="s">
        <v>249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TRUNC(21268,-1)</f>
        <v>21260</v>
      </c>
      <c r="E52" s="63">
        <f t="shared" si="1"/>
        <v>70280</v>
      </c>
    </row>
    <row r="53" spans="1:7" x14ac:dyDescent="0.3">
      <c r="A53" s="2">
        <v>14</v>
      </c>
      <c r="C53" s="38" t="s">
        <v>25</v>
      </c>
      <c r="D53" s="42">
        <v>108870</v>
      </c>
      <c r="E53" s="63">
        <f t="shared" si="1"/>
        <v>359900</v>
      </c>
      <c r="F53" s="2" t="s">
        <v>250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TRUNC(23612+1197+3531+4440+78367,-1)</f>
        <v>111140</v>
      </c>
      <c r="E58" s="63">
        <f t="shared" si="1"/>
        <v>367400</v>
      </c>
      <c r="F58" s="2" t="s">
        <v>257</v>
      </c>
    </row>
    <row r="59" spans="1:7" ht="17.25" thickBot="1" x14ac:dyDescent="0.35">
      <c r="A59" s="2">
        <v>20</v>
      </c>
      <c r="C59" s="38" t="s">
        <v>148</v>
      </c>
      <c r="D59" s="43">
        <f>TRUNC(274981,-1)</f>
        <v>274980</v>
      </c>
      <c r="E59" s="64">
        <f t="shared" si="1"/>
        <v>909020</v>
      </c>
    </row>
    <row r="60" spans="1:7" x14ac:dyDescent="0.3">
      <c r="A60" s="2">
        <v>21</v>
      </c>
      <c r="C60" s="27" t="s">
        <v>112</v>
      </c>
      <c r="D60" s="39">
        <f>SUM(D40:D59)</f>
        <v>1376860</v>
      </c>
      <c r="E60" s="39">
        <f>SUM(E40:E59)</f>
        <v>4551550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TRUNC(14188,-1)</f>
        <v>14180</v>
      </c>
      <c r="E63" s="62">
        <f>TRUNC(+D63*3.3058,-1)</f>
        <v>46870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14180</v>
      </c>
      <c r="E66" s="65">
        <f>SUM(E63:E65)</f>
        <v>46870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TRUNC(37189,-1)</f>
        <v>37180</v>
      </c>
      <c r="E69" s="62">
        <f t="shared" ref="E69:E94" si="2">TRUNC(+D69*3.3058,-1)</f>
        <v>122900</v>
      </c>
    </row>
    <row r="70" spans="1:7" ht="16.5" customHeight="1" x14ac:dyDescent="0.3">
      <c r="A70" s="2">
        <v>2</v>
      </c>
      <c r="C70" s="38" t="s">
        <v>31</v>
      </c>
      <c r="D70" s="42">
        <v>0</v>
      </c>
      <c r="E70" s="63">
        <f t="shared" si="2"/>
        <v>0</v>
      </c>
    </row>
    <row r="71" spans="1:7" x14ac:dyDescent="0.3">
      <c r="A71" s="2">
        <v>3</v>
      </c>
      <c r="C71" s="38" t="s">
        <v>32</v>
      </c>
      <c r="D71" s="42">
        <f>TRUNC(8391,-1)</f>
        <v>8390</v>
      </c>
      <c r="E71" s="63">
        <f t="shared" si="2"/>
        <v>27730</v>
      </c>
    </row>
    <row r="72" spans="1:7" x14ac:dyDescent="0.3">
      <c r="A72" s="2">
        <v>4</v>
      </c>
      <c r="C72" s="38" t="s">
        <v>33</v>
      </c>
      <c r="D72" s="42">
        <v>0</v>
      </c>
      <c r="E72" s="63">
        <f t="shared" si="2"/>
        <v>0</v>
      </c>
    </row>
    <row r="73" spans="1:7" x14ac:dyDescent="0.3">
      <c r="A73" s="2">
        <v>5</v>
      </c>
      <c r="C73" s="38" t="s">
        <v>34</v>
      </c>
      <c r="D73" s="42">
        <f>TRUNC(19367,-1)</f>
        <v>19360</v>
      </c>
      <c r="E73" s="63">
        <f t="shared" si="2"/>
        <v>64000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f>TRUNC(56,-1)</f>
        <v>50</v>
      </c>
      <c r="E75" s="63">
        <f t="shared" si="2"/>
        <v>160</v>
      </c>
    </row>
    <row r="76" spans="1:7" x14ac:dyDescent="0.3">
      <c r="A76" s="2">
        <v>8</v>
      </c>
      <c r="C76" s="38" t="s">
        <v>119</v>
      </c>
      <c r="D76" s="42">
        <f>TRUNC(52481,-1)</f>
        <v>52480</v>
      </c>
      <c r="E76" s="63">
        <f t="shared" si="2"/>
        <v>173480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v>14530</v>
      </c>
      <c r="E89" s="63">
        <f t="shared" si="2"/>
        <v>48030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TRUNC(4047,-1)</f>
        <v>4040</v>
      </c>
      <c r="E91" s="63">
        <f t="shared" si="2"/>
        <v>13350</v>
      </c>
    </row>
    <row r="92" spans="1:7" x14ac:dyDescent="0.3">
      <c r="A92" s="2">
        <v>24</v>
      </c>
      <c r="C92" s="38" t="s">
        <v>38</v>
      </c>
      <c r="D92" s="42">
        <f>TRUNC(7883,-1)</f>
        <v>7880</v>
      </c>
      <c r="E92" s="63">
        <f t="shared" si="2"/>
        <v>26040</v>
      </c>
    </row>
    <row r="93" spans="1:7" x14ac:dyDescent="0.3">
      <c r="A93" s="2">
        <v>25</v>
      </c>
      <c r="C93" s="38" t="s">
        <v>148</v>
      </c>
      <c r="D93" s="42">
        <v>0</v>
      </c>
      <c r="E93" s="63">
        <f t="shared" si="2"/>
        <v>0</v>
      </c>
    </row>
    <row r="94" spans="1:7" ht="17.25" thickBot="1" x14ac:dyDescent="0.35">
      <c r="A94" s="2">
        <v>26</v>
      </c>
      <c r="C94" s="38" t="s">
        <v>47</v>
      </c>
      <c r="D94" s="43">
        <f>TRUNC(182+37895,-1)</f>
        <v>38070</v>
      </c>
      <c r="E94" s="64">
        <f t="shared" si="2"/>
        <v>125850</v>
      </c>
      <c r="F94" s="2" t="s">
        <v>258</v>
      </c>
    </row>
    <row r="95" spans="1:7" x14ac:dyDescent="0.3">
      <c r="A95" s="2">
        <v>27</v>
      </c>
      <c r="C95" s="27" t="s">
        <v>112</v>
      </c>
      <c r="D95" s="39">
        <f>SUM(D69:D94)</f>
        <v>181980</v>
      </c>
      <c r="E95" s="39">
        <f>SUM(E69:E94)</f>
        <v>601540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TRUNC(11935,-1)</f>
        <v>11930</v>
      </c>
      <c r="E98" s="62">
        <f t="shared" ref="E98:E118" si="3">TRUNC(+D98*3.3058,-1)</f>
        <v>39430</v>
      </c>
    </row>
    <row r="99" spans="1:7" x14ac:dyDescent="0.3">
      <c r="A99" s="2">
        <v>2</v>
      </c>
      <c r="C99" s="38" t="s">
        <v>40</v>
      </c>
      <c r="D99" s="42">
        <f>TRUNC(11383,-1)</f>
        <v>11380</v>
      </c>
      <c r="E99" s="63">
        <f t="shared" si="3"/>
        <v>37620</v>
      </c>
    </row>
    <row r="100" spans="1:7" x14ac:dyDescent="0.3">
      <c r="A100" s="2">
        <v>3</v>
      </c>
      <c r="C100" s="38" t="s">
        <v>41</v>
      </c>
      <c r="D100" s="42">
        <v>0</v>
      </c>
      <c r="E100" s="63">
        <f t="shared" si="3"/>
        <v>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v>25460</v>
      </c>
      <c r="E102" s="63">
        <f t="shared" si="3"/>
        <v>84160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45</v>
      </c>
      <c r="D104" s="42">
        <f>TRUNC(6384,-1)</f>
        <v>6380</v>
      </c>
      <c r="E104" s="63">
        <f t="shared" si="3"/>
        <v>21090</v>
      </c>
    </row>
    <row r="105" spans="1:7" x14ac:dyDescent="0.3">
      <c r="A105" s="2">
        <v>8</v>
      </c>
      <c r="C105" s="38" t="s">
        <v>46</v>
      </c>
      <c r="D105" s="42">
        <f>TRUNC(2392,-1)</f>
        <v>2390</v>
      </c>
      <c r="E105" s="63">
        <f t="shared" si="3"/>
        <v>7900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TRUNC(48991,-1)</f>
        <v>48990</v>
      </c>
      <c r="E114" s="63">
        <f t="shared" si="3"/>
        <v>161950</v>
      </c>
      <c r="F114" s="2" t="s">
        <v>251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v>0</v>
      </c>
      <c r="E116" s="63">
        <f t="shared" si="3"/>
        <v>0</v>
      </c>
    </row>
    <row r="117" spans="1:7" x14ac:dyDescent="0.3">
      <c r="A117" s="2">
        <v>20</v>
      </c>
      <c r="C117" s="38" t="s">
        <v>148</v>
      </c>
      <c r="D117" s="42">
        <v>152920</v>
      </c>
      <c r="E117" s="63">
        <f t="shared" si="3"/>
        <v>505520</v>
      </c>
    </row>
    <row r="118" spans="1:7" ht="17.25" thickBot="1" x14ac:dyDescent="0.35">
      <c r="A118" s="2">
        <v>21</v>
      </c>
      <c r="C118" s="38" t="s">
        <v>47</v>
      </c>
      <c r="D118" s="43">
        <f>TRUNC(5222+2495,-1)</f>
        <v>7710</v>
      </c>
      <c r="E118" s="64">
        <f t="shared" si="3"/>
        <v>25480</v>
      </c>
      <c r="F118" s="2" t="s">
        <v>259</v>
      </c>
    </row>
    <row r="119" spans="1:7" x14ac:dyDescent="0.3">
      <c r="A119" s="2">
        <v>22</v>
      </c>
      <c r="C119" s="27" t="s">
        <v>112</v>
      </c>
      <c r="D119" s="39">
        <f>SUM(D98:D118)</f>
        <v>267160</v>
      </c>
      <c r="E119" s="39">
        <f>SUM(E98:E118)</f>
        <v>883150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v>8910</v>
      </c>
      <c r="E122" s="62">
        <f t="shared" ref="E122:E132" si="4">TRUNC(+D122*3.3058,-1)</f>
        <v>29450</v>
      </c>
      <c r="F122" s="2" t="s">
        <v>252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TRUNC(7068,-1)</f>
        <v>7060</v>
      </c>
      <c r="E124" s="63">
        <f t="shared" si="4"/>
        <v>23330</v>
      </c>
    </row>
    <row r="125" spans="1:7" x14ac:dyDescent="0.3">
      <c r="A125" s="2">
        <v>4</v>
      </c>
      <c r="C125" s="38" t="s">
        <v>138</v>
      </c>
      <c r="D125" s="42">
        <v>0</v>
      </c>
      <c r="E125" s="63">
        <f t="shared" si="4"/>
        <v>0</v>
      </c>
    </row>
    <row r="126" spans="1:7" x14ac:dyDescent="0.3">
      <c r="A126" s="2">
        <v>5</v>
      </c>
      <c r="C126" s="38" t="s">
        <v>53</v>
      </c>
      <c r="D126" s="42">
        <f>TRUNC(41497,-1)</f>
        <v>41490</v>
      </c>
      <c r="E126" s="63">
        <f t="shared" si="4"/>
        <v>137150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TRUNC(1196,-1)</f>
        <v>1190</v>
      </c>
      <c r="E128" s="63">
        <f t="shared" si="4"/>
        <v>3930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v>0</v>
      </c>
      <c r="E130" s="63">
        <f t="shared" si="4"/>
        <v>0</v>
      </c>
    </row>
    <row r="131" spans="1:7" x14ac:dyDescent="0.3">
      <c r="A131" s="2">
        <v>10</v>
      </c>
      <c r="C131" s="38" t="s">
        <v>148</v>
      </c>
      <c r="D131" s="42">
        <f>TRUNC(18748,-1)</f>
        <v>18740</v>
      </c>
      <c r="E131" s="63">
        <f t="shared" si="4"/>
        <v>61950</v>
      </c>
    </row>
    <row r="132" spans="1:7" ht="18" thickBot="1" x14ac:dyDescent="0.35">
      <c r="A132" s="2">
        <v>11</v>
      </c>
      <c r="C132" s="38" t="s">
        <v>47</v>
      </c>
      <c r="D132" s="43">
        <f>TRUNC(7950+8558+6592,-1)</f>
        <v>23100</v>
      </c>
      <c r="E132" s="64">
        <f t="shared" si="4"/>
        <v>76360</v>
      </c>
      <c r="F132" s="54" t="s">
        <v>260</v>
      </c>
    </row>
    <row r="133" spans="1:7" x14ac:dyDescent="0.3">
      <c r="A133" s="2">
        <v>12</v>
      </c>
      <c r="C133" s="27" t="s">
        <v>112</v>
      </c>
      <c r="D133" s="39">
        <f>SUM(D122:D132)</f>
        <v>100490</v>
      </c>
      <c r="E133" s="39">
        <f>SUM(E122:E132)</f>
        <v>332170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TRUNC(838+2699,-1)</f>
        <v>3530</v>
      </c>
      <c r="E137" s="63">
        <f t="shared" si="5"/>
        <v>11660</v>
      </c>
      <c r="F137" s="2" t="s">
        <v>253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f>TRUNC(2836,-1)</f>
        <v>2830</v>
      </c>
      <c r="E139" s="63">
        <f t="shared" si="5"/>
        <v>9350</v>
      </c>
    </row>
    <row r="140" spans="1:7" x14ac:dyDescent="0.3">
      <c r="A140" s="2">
        <v>5</v>
      </c>
      <c r="C140" s="38" t="s">
        <v>57</v>
      </c>
      <c r="D140" s="42">
        <f>TRUNC(4748,-1)</f>
        <v>4740</v>
      </c>
      <c r="E140" s="63">
        <f t="shared" si="5"/>
        <v>15660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f>TRUNC(1825,-1)</f>
        <v>1820</v>
      </c>
      <c r="E142" s="63">
        <f t="shared" si="5"/>
        <v>6010</v>
      </c>
    </row>
    <row r="143" spans="1:7" x14ac:dyDescent="0.3">
      <c r="A143" s="2">
        <v>8</v>
      </c>
      <c r="C143" s="38" t="s">
        <v>62</v>
      </c>
      <c r="D143" s="42">
        <f>TRUNC(6381,-1)</f>
        <v>6380</v>
      </c>
      <c r="E143" s="63">
        <f t="shared" si="5"/>
        <v>21090</v>
      </c>
    </row>
    <row r="144" spans="1:7" x14ac:dyDescent="0.3">
      <c r="A144" s="2">
        <v>9</v>
      </c>
      <c r="C144" s="38" t="s">
        <v>63</v>
      </c>
      <c r="D144" s="42">
        <f>TRUNC(15435,-1)</f>
        <v>15430</v>
      </c>
      <c r="E144" s="63">
        <f t="shared" si="5"/>
        <v>51000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34730</v>
      </c>
      <c r="E146" s="39">
        <f>SUM(E136:E145)</f>
        <v>114770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TRUNC(15906+2840,-1)</f>
        <v>18740</v>
      </c>
      <c r="E149" s="62">
        <f>TRUNC(+D149*3.3058,-1)</f>
        <v>61950</v>
      </c>
    </row>
    <row r="150" spans="1:7" x14ac:dyDescent="0.3">
      <c r="A150" s="2">
        <v>2</v>
      </c>
      <c r="C150" s="38" t="s">
        <v>49</v>
      </c>
      <c r="D150" s="42">
        <f>TRUNC(6086,-1)</f>
        <v>6080</v>
      </c>
      <c r="E150" s="63">
        <f>TRUNC(+D150*3.3058,-1)</f>
        <v>20090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TRUNC(1703+7771+2110+10965,-1)</f>
        <v>22540</v>
      </c>
      <c r="E152" s="63">
        <f>TRUNC(+D152*3.3058,-1)</f>
        <v>74510</v>
      </c>
      <c r="F152" s="2" t="s">
        <v>261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47360</v>
      </c>
      <c r="E154" s="39">
        <f>SUM(E149:E153)</f>
        <v>156550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TRUNC(23458,-1)</f>
        <v>23450</v>
      </c>
      <c r="E157" s="62">
        <f>TRUNC(+D157*3.3058,-1)</f>
        <v>77520</v>
      </c>
    </row>
    <row r="158" spans="1:7" x14ac:dyDescent="0.3">
      <c r="A158" s="2">
        <v>2</v>
      </c>
      <c r="C158" s="38" t="s">
        <v>52</v>
      </c>
      <c r="D158" s="42">
        <f>TRUNC(8061,-1)</f>
        <v>8060</v>
      </c>
      <c r="E158" s="63">
        <f>TRUNC(+D158*3.3058,-1)</f>
        <v>26640</v>
      </c>
    </row>
    <row r="159" spans="1:7" x14ac:dyDescent="0.3">
      <c r="A159" s="2">
        <v>3</v>
      </c>
      <c r="C159" s="38" t="s">
        <v>47</v>
      </c>
      <c r="D159" s="42">
        <f>TRUNC(8360+8,-1)</f>
        <v>8360</v>
      </c>
      <c r="E159" s="63">
        <f>TRUNC(+D159*3.3058,-1)</f>
        <v>27630</v>
      </c>
      <c r="F159" s="2" t="s">
        <v>254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39870</v>
      </c>
      <c r="E161" s="39">
        <f>SUM(E157:E160)</f>
        <v>131790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2020-12-08T01:45:01Z</dcterms:modified>
</cp:coreProperties>
</file>