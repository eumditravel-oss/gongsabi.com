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0" i="4"/>
  <c r="D149" i="4"/>
  <c r="D143" i="4"/>
  <c r="D142" i="4"/>
  <c r="D141" i="4"/>
  <c r="D140" i="4"/>
  <c r="D132" i="4"/>
  <c r="D131" i="4"/>
  <c r="D130" i="4"/>
  <c r="D128" i="4"/>
  <c r="D125" i="4"/>
  <c r="D124" i="4"/>
  <c r="D122" i="4"/>
  <c r="D117" i="4"/>
  <c r="D116" i="4"/>
  <c r="D105" i="4"/>
  <c r="D104" i="4"/>
  <c r="D102" i="4"/>
  <c r="D101" i="4"/>
  <c r="D100" i="4"/>
  <c r="D99" i="4"/>
  <c r="D98" i="4"/>
  <c r="D94" i="4"/>
  <c r="D92" i="4"/>
  <c r="D91" i="4"/>
  <c r="D90" i="4"/>
  <c r="D89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1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<sst xmlns="http://schemas.openxmlformats.org/spreadsheetml/2006/main" count="391" uniqueCount="265">
  <si>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</si>
  <si>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</si>
  <si>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</si>
  <si>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</si>
  <si>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</si>
  <si>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</si>
  <si>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</si>
  <si>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</si>
  <si>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</si>
  <si>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</si>
  <si>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</si>
  <si>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</si>
  <si>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</si>
  <si>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</si>
  <si>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</si>
  <si>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</si>
  <si>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</si>
  <si>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</si>
  <si>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</si>
  <si>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</si>
  <si>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</si>
  <si>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</si>
  <si>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</si>
  <si>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</si>
  <si>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</si>
  <si>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</si>
  <si>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</si>
  <si>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</si>
  <si>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</si>
  <si>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</si>
  <si>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</si>
  <si>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</si>
  <si>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</si>
  <si>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</si>
  <si>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</si>
  <si>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</si>
  <si>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</si>
  <si>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</si>
  <si>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</si>
  <si>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</si>
  <si>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</si>
  <si>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</si>
  <si>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</si>
  <si>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</si>
  <si>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</si>
  <si>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</si>
  <si>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</si>
  <si>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</si>
  <si>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</si>
  <si>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</si>
  <si>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</si>
  <si>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</si>
  <si>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</si>
  <si>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</si>
  <si>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</si>
  <si>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</si>
  <si>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</si>
  <si>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</si>
  <si>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</si>
  <si>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</si>
  <si>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</si>
  <si>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</si>
  <si>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</si>
  <si>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</si>
  <si>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</si>
  <si>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</si>
  <si>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</si>
  <si>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</si>
  <si>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</si>
  <si>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</si>
  <si>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</si>
  <si>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</si>
  <si>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</si>
  <si>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</si>
  <si>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</si>
  <si>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</si>
  <si>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</si>
  <si>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</si>
  <si>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</si>
  <si>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</si>
  <si>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</si>
  <si>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</si>
  <si>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</si>
  <si>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</si>
  <si>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</si>
  <si>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</si>
  <si>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</si>
  <si>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</si>
  <si>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</si>
  <si>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</si>
  <si>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</si>
  <si>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</si>
  <si>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</si>
  <si>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</si>
  <si>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</si>
  <si>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</si>
  <si>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</si>
  <si>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</si>
  <si>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</si>
  <si>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</si>
  <si>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</si>
  <si>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</si>
  <si>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</si>
  <si>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</si>
  <si>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</si>
  <si>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</si>
  <si>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</si>
  <si>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</si>
  <si>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</si>
  <si>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</si>
  <si>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</si>
  <si>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</si>
  <si>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</si>
  <si>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</si>
  <si>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</si>
  <si>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</si>
  <si>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</si>
  <si>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</si>
  <si>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</si>
  <si>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</si>
  <si>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</si>
  <si>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</si>
  <si>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</si>
  <si>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</si>
  <si>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</si>
  <si>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</si>
  <si>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</si>
  <si>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</si>
  <si>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</si>
  <si>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</si>
  <si>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</si>
  <si>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</si>
  <si>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</si>
  <si>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</si>
  <si>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</si>
  <si>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</si>
  <si>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</si>
  <si>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</si>
  <si>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</si>
  <si>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</si>
  <si>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</si>
  <si>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</si>
  <si>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</si>
  <si>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</si>
  <si>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</si>
  <si>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</si>
  <si>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</si>
  <si>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</si>
  <si>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</si>
  <si>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</si>
  <si>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</si>
  <si>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</si>
  <si>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</si>
  <si>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</si>
  <si>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</si>
  <si>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</si>
  <si>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</si>
  <si>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</si>
  <si>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</si>
  <si>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</si>
  <si>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</si>
  <si>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</si>
  <si>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</si>
  <si>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</si>
  <si>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</si>
  <si>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</si>
  <si>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</si>
  <si>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</si>
  <si>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</si>
  <si>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</si>
  <si>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</si>
  <si>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</si>
  <si>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</si>
  <si>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</si>
  <si>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</si>
  <si>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</si>
  <si>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</si>
  <si>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</si>
  <si>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</si>
  <si>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</si>
  <si>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</si>
  <si>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</si>
  <si>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</si>
  <si>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</si>
  <si>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</si>
  <si>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</si>
  <si>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</si>
  <si>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</si>
  <si>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</si>
  <si>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</si>
  <si>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</si>
  <si>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</si>
  <si>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</si>
  <si>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</si>
  <si>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</si>
  <si>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</si>
  <si>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</si>
  <si>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</si>
  <si>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</si>
  <si>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</si>
  <si>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</si>
  <si>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</si>
  <si>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</si>
  <si>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</si>
  <si>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</si>
  <si>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</si>
  <si>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</si>
  <si>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</si>
  <si>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</si>
  <si>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</si>
  <si>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</si>
  <si>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</si>
  <si>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</si>
  <si>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</si>
  <si>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</si>
  <si>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</si>
  <si>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</si>
  <si>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</si>
  <si>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</si>
  <si>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</si>
  <si>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</si>
  <si>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</si>
  <si>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</si>
  <si>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</si>
  <si>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</si>
  <si>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</si>
  <si>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</si>
  <si>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</si>
  <si>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</si>
  <si>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</si>
  <si>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</si>
  <si>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</si>
  <si>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</si>
  <si>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</si>
  <si>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</si>
  <si>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</si>
  <si>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</si>
  <si>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</si>
  <si>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</si>
  <si>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</si>
  <si>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</si>
  <si>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</si>
  <si>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</si>
  <si>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</si>
  <si>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</si>
  <si>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</si>
  <si>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</si>
  <si>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</si>
  <si>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</si>
  <si>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</si>
  <si>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</si>
  <si>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</si>
  <si>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</si>
  <si>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</si>
  <si>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</si>
  <si>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</si>
  <si>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기타</t>
  </si>
  <si>
    <t>하남시 지역현안사업2지구 주차빌딩 건립공사</t>
    <phoneticPr fontId="2" type="noConversion"/>
  </si>
  <si>
    <t>경기도</t>
  </si>
  <si>
    <t>CCTV설비공사, 주차관제설비공사</t>
    <phoneticPr fontId="2" type="noConversion"/>
  </si>
  <si>
    <t>옥외소화배관공사, 펌프실배관공사, 기타공사</t>
    <phoneticPr fontId="2" type="noConversion"/>
  </si>
  <si>
    <t>상수도공사,사급자재비, 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</si>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</sst>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17827.62</v>
      </c>
      <c r="D7" s="36">
        <f>+C7/3.3058</f>
        <v>5392.8307822614797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575840</v>
      </c>
      <c r="E25" s="59">
        <f t="shared" si="0"/>
        <v>1903610</v>
      </c>
    </row>
    <row r="26" spans="1:5" x14ac:dyDescent="0.3">
      <c r="B26" s="2">
        <v>3</v>
      </c>
      <c r="C26" s="35" t="s">
        <v>95</v>
      </c>
      <c r="D26" s="45">
        <f>+D66</f>
        <v>11630</v>
      </c>
      <c r="E26" s="59">
        <f t="shared" si="0"/>
        <v>38440</v>
      </c>
    </row>
    <row r="27" spans="1:5" x14ac:dyDescent="0.3">
      <c r="B27" s="2">
        <v>4</v>
      </c>
      <c r="C27" s="35" t="s">
        <v>96</v>
      </c>
      <c r="D27" s="45">
        <f>+D95</f>
        <v>28500</v>
      </c>
      <c r="E27" s="59">
        <f t="shared" si="0"/>
        <v>94210</v>
      </c>
    </row>
    <row r="28" spans="1:5" x14ac:dyDescent="0.3">
      <c r="B28" s="2">
        <v>5</v>
      </c>
      <c r="C28" s="35" t="s">
        <v>97</v>
      </c>
      <c r="D28" s="45">
        <f>+D119</f>
        <v>91880</v>
      </c>
      <c r="E28" s="59">
        <f t="shared" si="0"/>
        <v>303730</v>
      </c>
    </row>
    <row r="29" spans="1:5" x14ac:dyDescent="0.3">
      <c r="B29" s="2">
        <v>6</v>
      </c>
      <c r="C29" s="35" t="s">
        <v>98</v>
      </c>
      <c r="D29" s="45">
        <f>+D133</f>
        <v>38700</v>
      </c>
      <c r="E29" s="59">
        <f t="shared" si="0"/>
        <v>127930</v>
      </c>
    </row>
    <row r="30" spans="1:5" x14ac:dyDescent="0.3">
      <c r="B30" s="2">
        <v>7</v>
      </c>
      <c r="C30" s="35" t="s">
        <v>99</v>
      </c>
      <c r="D30" s="45">
        <f>+D146</f>
        <v>49510</v>
      </c>
      <c r="E30" s="59">
        <f t="shared" si="0"/>
        <v>163670</v>
      </c>
    </row>
    <row r="31" spans="1:5" x14ac:dyDescent="0.3">
      <c r="B31" s="2">
        <v>8</v>
      </c>
      <c r="C31" s="35" t="s">
        <v>100</v>
      </c>
      <c r="D31" s="45">
        <f>+D154</f>
        <v>8800</v>
      </c>
      <c r="E31" s="59">
        <f t="shared" si="0"/>
        <v>29090</v>
      </c>
    </row>
    <row r="32" spans="1:5" x14ac:dyDescent="0.3">
      <c r="B32" s="2">
        <v>9</v>
      </c>
      <c r="C32" s="35" t="s">
        <v>101</v>
      </c>
      <c r="D32" s="45">
        <f>+D161</f>
        <v>7810</v>
      </c>
      <c r="E32" s="59">
        <f t="shared" si="0"/>
        <v>25810</v>
      </c>
    </row>
    <row r="33" spans="1:7" x14ac:dyDescent="0.3">
      <c r="B33" s="2">
        <v>10</v>
      </c>
      <c r="C33" s="35" t="s">
        <v>155</v>
      </c>
      <c r="D33" s="53">
        <f>TRUNC(SUM(D24:D32)*0.275,-1)</f>
        <v>223480</v>
      </c>
      <c r="E33" s="60">
        <f t="shared" si="0"/>
        <v>738780</v>
      </c>
    </row>
    <row r="34" spans="1:7" x14ac:dyDescent="0.3">
      <c r="C34" s="35" t="s">
        <v>112</v>
      </c>
      <c r="D34" s="44">
        <f>SUM(D24:D33)</f>
        <v>1036150</v>
      </c>
      <c r="E34" s="44">
        <f>SUM(E24:E33)</f>
        <v>3425270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TRUNC(63043,-1)</f>
        <v>63040</v>
      </c>
      <c r="E40" s="62">
        <f t="shared" ref="E40:E59" si="1">TRUNC(+D40*3.3058,-1)</f>
        <v>208390</v>
      </c>
    </row>
    <row r="41" spans="1:7" x14ac:dyDescent="0.3">
      <c r="A41" s="2">
        <v>2</v>
      </c>
      <c r="C41" s="38" t="s">
        <v>13</v>
      </c>
      <c r="D41" s="42">
        <f>TRUNC(128075,-1)</f>
        <v>128070</v>
      </c>
      <c r="E41" s="63">
        <f t="shared" si="1"/>
        <v>423370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TRUNC(7611,-1)</f>
        <v>7610</v>
      </c>
      <c r="E43" s="63">
        <f t="shared" si="1"/>
        <v>25150</v>
      </c>
    </row>
    <row r="44" spans="1:7" x14ac:dyDescent="0.3">
      <c r="A44" s="2">
        <v>5</v>
      </c>
      <c r="C44" s="38" t="s">
        <v>17</v>
      </c>
      <c r="D44" s="42">
        <f>TRUNC(20513,-1)</f>
        <v>20510</v>
      </c>
      <c r="E44" s="63">
        <f t="shared" si="1"/>
        <v>67800</v>
      </c>
    </row>
    <row r="45" spans="1:7" x14ac:dyDescent="0.3">
      <c r="A45" s="2">
        <v>6</v>
      </c>
      <c r="C45" s="38" t="s">
        <v>18</v>
      </c>
      <c r="D45" s="42">
        <f>TRUNC(2359,-1)</f>
        <v>2350</v>
      </c>
      <c r="E45" s="63">
        <f t="shared" si="1"/>
        <v>7760</v>
      </c>
    </row>
    <row r="46" spans="1:7" x14ac:dyDescent="0.3">
      <c r="A46" s="2">
        <v>7</v>
      </c>
      <c r="C46" s="38" t="s">
        <v>19</v>
      </c>
      <c r="D46" s="42">
        <f>TRUNC(10393,-1)</f>
        <v>10390</v>
      </c>
      <c r="E46" s="63">
        <f t="shared" si="1"/>
        <v>34340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TRUNC(68952,-1)</f>
        <v>68950</v>
      </c>
      <c r="E48" s="63">
        <f t="shared" si="1"/>
        <v>227930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TRUNC(19768,-1)</f>
        <v>19760</v>
      </c>
      <c r="E49" s="63">
        <f t="shared" si="1"/>
        <v>65320</v>
      </c>
    </row>
    <row r="50" spans="1:7" x14ac:dyDescent="0.3">
      <c r="A50" s="2">
        <v>11</v>
      </c>
      <c r="C50" s="38" t="s">
        <v>156</v>
      </c>
      <c r="D50" s="42">
        <f>TRUNC(26708,-1)</f>
        <v>26700</v>
      </c>
      <c r="E50" s="63">
        <f t="shared" si="1"/>
        <v>88260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TRUNC(4841,-1)</f>
        <v>4840</v>
      </c>
      <c r="E52" s="63">
        <f t="shared" si="1"/>
        <v>16000</v>
      </c>
    </row>
    <row r="53" spans="1:7" x14ac:dyDescent="0.3">
      <c r="A53" s="2">
        <v>14</v>
      </c>
      <c r="C53" s="38" t="s">
        <v>25</v>
      </c>
      <c r="D53" s="42">
        <f>TRUNC(39665,-1)</f>
        <v>39660</v>
      </c>
      <c r="E53" s="63">
        <f t="shared" si="1"/>
        <v>131100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TRUNC(21751+2855-335+1812,-1)</f>
        <v>26080</v>
      </c>
      <c r="E58" s="63">
        <f t="shared" si="1"/>
        <v>86210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TRUNC(157882,-1)</f>
        <v>157880</v>
      </c>
      <c r="E59" s="64">
        <f t="shared" si="1"/>
        <v>521910</v>
      </c>
    </row>
    <row r="60" spans="1:7" x14ac:dyDescent="0.3">
      <c r="A60" s="2">
        <v>21</v>
      </c>
      <c r="C60" s="27" t="s">
        <v>112</v>
      </c>
      <c r="D60" s="39">
        <f>SUM(D40:D59)</f>
        <v>575840</v>
      </c>
      <c r="E60" s="39">
        <f>SUM(E40:E59)</f>
        <v>1903540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TRUNC(5875,-1)</f>
        <v>5870</v>
      </c>
      <c r="E63" s="62">
        <f>TRUNC(+D63*3.3058,-1)</f>
        <v>19400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TRUNC(5761,-1)</f>
        <v>5760</v>
      </c>
      <c r="E65" s="64">
        <f>TRUNC(+D65*3.3058,-1)</f>
        <v>19040</v>
      </c>
    </row>
    <row r="66" spans="1:7" x14ac:dyDescent="0.3">
      <c r="A66" s="2">
        <v>4</v>
      </c>
      <c r="C66" s="27" t="s">
        <v>112</v>
      </c>
      <c r="D66" s="39">
        <f>SUM(D63:D65)</f>
        <v>11630</v>
      </c>
      <c r="E66" s="65">
        <f>SUM(E63:E65)</f>
        <v>38440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TRUNC(2661,-1)</f>
        <v>2660</v>
      </c>
      <c r="E69" s="62">
        <f t="shared" ref="E69:E94" si="2">TRUNC(+D69*3.3058,-1)</f>
        <v>8790</v>
      </c>
    </row>
    <row r="70" spans="1:7" ht="16.5" customHeight="1" x14ac:dyDescent="0.3">
      <c r="A70" s="2">
        <v>2</v>
      </c>
      <c r="C70" s="38" t="s">
        <v>31</v>
      </c>
      <c r="D70" s="42">
        <f>TRUNC(97,-1)</f>
        <v>90</v>
      </c>
      <c r="E70" s="63">
        <f t="shared" si="2"/>
        <v>290</v>
      </c>
    </row>
    <row r="71" spans="1:7" x14ac:dyDescent="0.3">
      <c r="A71" s="2">
        <v>3</v>
      </c>
      <c r="C71" s="38" t="s">
        <v>32</v>
      </c>
      <c r="D71" s="42">
        <f>TRUNC(1508,-1)</f>
        <v>1500</v>
      </c>
      <c r="E71" s="63">
        <f t="shared" si="2"/>
        <v>4950</v>
      </c>
    </row>
    <row r="72" spans="1:7" x14ac:dyDescent="0.3">
      <c r="A72" s="2">
        <v>4</v>
      </c>
      <c r="C72" s="38" t="s">
        <v>33</v>
      </c>
      <c r="D72" s="42">
        <f>TRUNC(1733,-1)</f>
        <v>1730</v>
      </c>
      <c r="E72" s="63">
        <f t="shared" si="2"/>
        <v>5710</v>
      </c>
    </row>
    <row r="73" spans="1:7" x14ac:dyDescent="0.3">
      <c r="A73" s="2">
        <v>5</v>
      </c>
      <c r="C73" s="38" t="s">
        <v>34</v>
      </c>
      <c r="D73" s="42">
        <f>TRUNC(2714,-1)</f>
        <v>2710</v>
      </c>
      <c r="E73" s="63">
        <f t="shared" si="2"/>
        <v>8950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TRUNC(1554,-1)</f>
        <v>1550</v>
      </c>
      <c r="E89" s="63">
        <f t="shared" si="2"/>
        <v>5120</v>
      </c>
    </row>
    <row r="90" spans="1:7" x14ac:dyDescent="0.3">
      <c r="A90" s="2">
        <v>22</v>
      </c>
      <c r="C90" s="38" t="s">
        <v>36</v>
      </c>
      <c r="D90" s="42">
        <f>TRUNC(637,-1)</f>
        <v>630</v>
      </c>
      <c r="E90" s="63">
        <f t="shared" si="2"/>
        <v>2080</v>
      </c>
    </row>
    <row r="91" spans="1:7" x14ac:dyDescent="0.3">
      <c r="A91" s="2">
        <v>23</v>
      </c>
      <c r="C91" s="38" t="s">
        <v>37</v>
      </c>
      <c r="D91" s="42">
        <f>TRUNC(1397,-1)</f>
        <v>1390</v>
      </c>
      <c r="E91" s="63">
        <f t="shared" si="2"/>
        <v>4590</v>
      </c>
    </row>
    <row r="92" spans="1:7" x14ac:dyDescent="0.3">
      <c r="A92" s="2">
        <v>24</v>
      </c>
      <c r="C92" s="38" t="s">
        <v>38</v>
      </c>
      <c r="D92" s="42">
        <f>TRUNC(1963,-1)</f>
        <v>1960</v>
      </c>
      <c r="E92" s="63">
        <f t="shared" si="2"/>
        <v>6470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TRUNC(14282,-1)</f>
        <v>14280</v>
      </c>
      <c r="E94" s="64">
        <f t="shared" si="2"/>
        <v>47200</v>
      </c>
    </row>
    <row r="95" spans="1:7" x14ac:dyDescent="0.3">
      <c r="A95" s="2">
        <v>27</v>
      </c>
      <c r="C95" s="27" t="s">
        <v>112</v>
      </c>
      <c r="D95" s="39">
        <f>SUM(D69:D94)</f>
        <v>28500</v>
      </c>
      <c r="E95" s="39">
        <f>SUM(E69:E94)</f>
        <v>94150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TRUNC(2962,-1)</f>
        <v>2960</v>
      </c>
      <c r="E98" s="62">
        <f t="shared" ref="E98:E118" si="3">TRUNC(+D98*3.3058,-1)</f>
        <v>9780</v>
      </c>
    </row>
    <row r="99" spans="1:7" x14ac:dyDescent="0.3">
      <c r="A99" s="2">
        <v>2</v>
      </c>
      <c r="C99" s="38" t="s">
        <v>40</v>
      </c>
      <c r="D99" s="42">
        <f>TRUNC(3098,-1)</f>
        <v>3090</v>
      </c>
      <c r="E99" s="63">
        <f t="shared" si="3"/>
        <v>10210</v>
      </c>
    </row>
    <row r="100" spans="1:7" x14ac:dyDescent="0.3">
      <c r="A100" s="2">
        <v>3</v>
      </c>
      <c r="C100" s="38" t="s">
        <v>41</v>
      </c>
      <c r="D100" s="42">
        <f>TRUNC(15136,-1)</f>
        <v>15130</v>
      </c>
      <c r="E100" s="63">
        <f t="shared" si="3"/>
        <v>50010</v>
      </c>
    </row>
    <row r="101" spans="1:7" x14ac:dyDescent="0.3">
      <c r="A101" s="2">
        <v>4</v>
      </c>
      <c r="C101" s="38" t="s">
        <v>42</v>
      </c>
      <c r="D101" s="42">
        <f>TRUNC(3671,-1)</f>
        <v>3670</v>
      </c>
      <c r="E101" s="63">
        <f t="shared" si="3"/>
        <v>12130</v>
      </c>
    </row>
    <row r="102" spans="1:7" x14ac:dyDescent="0.3">
      <c r="A102" s="2">
        <v>5</v>
      </c>
      <c r="C102" s="38" t="s">
        <v>43</v>
      </c>
      <c r="D102" s="42">
        <f>TRUNC(3911,-1)</f>
        <v>3910</v>
      </c>
      <c r="E102" s="63">
        <f t="shared" si="3"/>
        <v>12920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TRUNC(1732,-1)</f>
        <v>1730</v>
      </c>
      <c r="E104" s="63">
        <f t="shared" si="3"/>
        <v>5710</v>
      </c>
    </row>
    <row r="105" spans="1:7" x14ac:dyDescent="0.3">
      <c r="A105" s="2">
        <v>8</v>
      </c>
      <c r="C105" s="38" t="s">
        <v>46</v>
      </c>
      <c r="D105" s="42">
        <f>TRUNC(1906,-1)</f>
        <v>1900</v>
      </c>
      <c r="E105" s="63">
        <f t="shared" si="3"/>
        <v>6280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TRUNC(2123,-1)</f>
        <v>2120</v>
      </c>
      <c r="E116" s="63">
        <f t="shared" si="3"/>
        <v>7000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TRUNC(53657,-1)</f>
        <v>53650</v>
      </c>
      <c r="E117" s="63">
        <f t="shared" si="3"/>
        <v>177350</v>
      </c>
    </row>
    <row r="118" spans="1:7" ht="17.25" thickBot="1" x14ac:dyDescent="0.35">
      <c r="A118" s="2">
        <v>21</v>
      </c>
      <c r="C118" s="38" t="s">
        <v>47</v>
      </c>
      <c r="D118" s="43">
        <v>3720</v>
      </c>
      <c r="E118" s="64">
        <f t="shared" si="3"/>
        <v>12290</v>
      </c>
    </row>
    <row r="119" spans="1:7" x14ac:dyDescent="0.3">
      <c r="A119" s="2">
        <v>22</v>
      </c>
      <c r="C119" s="27" t="s">
        <v>112</v>
      </c>
      <c r="D119" s="39">
        <f>SUM(D98:D118)</f>
        <v>91880</v>
      </c>
      <c r="E119" s="39">
        <f>SUM(E98:E118)</f>
        <v>303680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TRUNC(1604,-1)</f>
        <v>1600</v>
      </c>
      <c r="E122" s="62">
        <f t="shared" ref="E122:E132" si="4">TRUNC(+D122*3.3058,-1)</f>
        <v>5280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TRUNC(891,-1)</f>
        <v>890</v>
      </c>
      <c r="E124" s="63">
        <f t="shared" si="4"/>
        <v>2940</v>
      </c>
    </row>
    <row r="125" spans="1:7" x14ac:dyDescent="0.3">
      <c r="A125" s="2">
        <v>4</v>
      </c>
      <c r="C125" s="38" t="s">
        <v>138</v>
      </c>
      <c r="D125" s="42">
        <f>TRUNC(3993,-1)</f>
        <v>3990</v>
      </c>
      <c r="E125" s="63">
        <f t="shared" si="4"/>
        <v>13190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TRUNC(6028,-1)</f>
        <v>6020</v>
      </c>
      <c r="E128" s="63">
        <f t="shared" si="4"/>
        <v>19900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TRUNC(8521,-1)</f>
        <v>8520</v>
      </c>
      <c r="E130" s="63">
        <f t="shared" si="4"/>
        <v>28160</v>
      </c>
    </row>
    <row r="131" spans="1:7" x14ac:dyDescent="0.3">
      <c r="A131" s="2">
        <v>10</v>
      </c>
      <c r="C131" s="38" t="s">
        <v>149</v>
      </c>
      <c r="D131" s="42">
        <f>TRUNC(13913,-1)</f>
        <v>13910</v>
      </c>
      <c r="E131" s="63">
        <f t="shared" si="4"/>
        <v>45980</v>
      </c>
    </row>
    <row r="132" spans="1:7" ht="18" thickBot="1" x14ac:dyDescent="0.35">
      <c r="A132" s="2">
        <v>11</v>
      </c>
      <c r="C132" s="38" t="s">
        <v>47</v>
      </c>
      <c r="D132" s="43">
        <f>TRUNC(1990+1784,-1)</f>
        <v>3770</v>
      </c>
      <c r="E132" s="64">
        <f t="shared" si="4"/>
        <v>12460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38700</v>
      </c>
      <c r="E133" s="39">
        <f>SUM(E122:E132)</f>
        <v>127910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503+1526+1421</f>
        <v>3450</v>
      </c>
      <c r="E137" s="63">
        <f t="shared" si="5"/>
        <v>11400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TRUNC(1214,-1)</f>
        <v>1210</v>
      </c>
      <c r="E140" s="63">
        <f t="shared" si="5"/>
        <v>4000</v>
      </c>
    </row>
    <row r="141" spans="1:7" x14ac:dyDescent="0.3">
      <c r="A141" s="2">
        <v>6</v>
      </c>
      <c r="C141" s="38" t="s">
        <v>59</v>
      </c>
      <c r="D141" s="42">
        <f>TRUNC(26359,-1)</f>
        <v>26350</v>
      </c>
      <c r="E141" s="63">
        <f t="shared" si="5"/>
        <v>87100</v>
      </c>
    </row>
    <row r="142" spans="1:7" x14ac:dyDescent="0.3">
      <c r="A142" s="2">
        <v>7</v>
      </c>
      <c r="C142" s="38" t="s">
        <v>58</v>
      </c>
      <c r="D142" s="42">
        <f>TRUNC(3693,-1)</f>
        <v>3690</v>
      </c>
      <c r="E142" s="63">
        <f t="shared" si="5"/>
        <v>12190</v>
      </c>
    </row>
    <row r="143" spans="1:7" x14ac:dyDescent="0.3">
      <c r="A143" s="2">
        <v>8</v>
      </c>
      <c r="C143" s="38" t="s">
        <v>62</v>
      </c>
      <c r="D143" s="42">
        <f>TRUNC(2827,-1)</f>
        <v>2820</v>
      </c>
      <c r="E143" s="63">
        <f t="shared" si="5"/>
        <v>9320</v>
      </c>
    </row>
    <row r="144" spans="1:7" x14ac:dyDescent="0.3">
      <c r="A144" s="2">
        <v>9</v>
      </c>
      <c r="C144" s="38" t="s">
        <v>63</v>
      </c>
      <c r="D144" s="42">
        <v>11990</v>
      </c>
      <c r="E144" s="63">
        <f t="shared" si="5"/>
        <v>39630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49510</v>
      </c>
      <c r="E146" s="39">
        <f>SUM(E136:E145)</f>
        <v>163640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TRUNC(1253+441,-1)</f>
        <v>1690</v>
      </c>
      <c r="E149" s="62">
        <f>TRUNC(+D149*3.3058,-1)</f>
        <v>5580</v>
      </c>
    </row>
    <row r="150" spans="1:7" x14ac:dyDescent="0.3">
      <c r="A150" s="2">
        <v>2</v>
      </c>
      <c r="C150" s="38" t="s">
        <v>49</v>
      </c>
      <c r="D150" s="42">
        <f>TRUNC(397,-1)</f>
        <v>390</v>
      </c>
      <c r="E150" s="63">
        <f>TRUNC(+D150*3.3058,-1)</f>
        <v>1280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TRUNC(233+704+40,-1)</f>
        <v>970</v>
      </c>
      <c r="E152" s="63">
        <f>TRUNC(+D152*3.3058,-1)</f>
        <v>3200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TRUNC(5754,-1)</f>
        <v>5750</v>
      </c>
      <c r="E153" s="64">
        <f>TRUNC(+D153*3.3058,-1)</f>
        <v>19000</v>
      </c>
    </row>
    <row r="154" spans="1:7" x14ac:dyDescent="0.3">
      <c r="A154" s="2">
        <v>6</v>
      </c>
      <c r="C154" s="27" t="s">
        <v>112</v>
      </c>
      <c r="D154" s="39">
        <f>SUM(D149:D153)</f>
        <v>8800</v>
      </c>
      <c r="E154" s="39">
        <f>SUM(E149:E153)</f>
        <v>29060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TRUNC(2521,-1)</f>
        <v>2520</v>
      </c>
      <c r="E157" s="62">
        <f>TRUNC(+D157*3.3058,-1)</f>
        <v>8330</v>
      </c>
    </row>
    <row r="158" spans="1:7" x14ac:dyDescent="0.3">
      <c r="A158" s="2">
        <v>2</v>
      </c>
      <c r="C158" s="38" t="s">
        <v>52</v>
      </c>
      <c r="D158" s="42">
        <v>3990</v>
      </c>
      <c r="E158" s="63">
        <f>TRUNC(+D158*3.3058,-1)</f>
        <v>13190</v>
      </c>
    </row>
    <row r="159" spans="1:7" x14ac:dyDescent="0.3">
      <c r="A159" s="2">
        <v>3</v>
      </c>
      <c r="C159" s="38" t="s">
        <v>47</v>
      </c>
      <c r="D159" s="42">
        <f>TRUNC(1300+4,-1)</f>
        <v>1300</v>
      </c>
      <c r="E159" s="63">
        <f>TRUNC(+D159*3.3058,-1)</f>
        <v>4290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7810</v>
      </c>
      <c r="E161" s="39">
        <f>SUM(E157:E160)</f>
        <v>25810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2020-12-08T01:18:36Z</dcterms:modified>
</cp:coreProperties>
</file>