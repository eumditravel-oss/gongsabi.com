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8" i="4" l="1"/>
  <c r="D101" i="4"/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18" i="4"/>
  <c r="E117" i="4"/>
  <c r="E116" i="4"/>
  <c r="E113" i="4"/>
  <c r="E112" i="4"/>
  <c r="E111" i="4"/>
  <c r="E110" i="4"/>
  <c r="E109" i="4"/>
  <c r="E107" i="4"/>
  <c r="E106" i="4"/>
  <c r="E105" i="4"/>
  <c r="E103" i="4"/>
  <c r="E101" i="4"/>
  <c r="E93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65" i="4"/>
  <c r="E64" i="4"/>
  <c r="E66" i="4" s="1"/>
  <c r="E63" i="4"/>
  <c r="E59" i="4"/>
  <c r="E57" i="4"/>
  <c r="E56" i="4"/>
  <c r="E54" i="4"/>
  <c r="E51" i="4"/>
  <c r="E49" i="4"/>
  <c r="E146" i="4" l="1"/>
  <c r="D132" i="4"/>
  <c r="E132" i="4" s="1"/>
  <c r="D126" i="4"/>
  <c r="E126" i="4" s="1"/>
  <c r="D125" i="4"/>
  <c r="E125" i="4" s="1"/>
  <c r="D124" i="4"/>
  <c r="E124" i="4" s="1"/>
  <c r="D123" i="4"/>
  <c r="E123" i="4" s="1"/>
  <c r="D122" i="4"/>
  <c r="E122" i="4" s="1"/>
  <c r="D115" i="4"/>
  <c r="E115" i="4" s="1"/>
  <c r="D114" i="4"/>
  <c r="E114" i="4" s="1"/>
  <c r="D108" i="4"/>
  <c r="E108" i="4" s="1"/>
  <c r="D104" i="4"/>
  <c r="E104" i="4" s="1"/>
  <c r="D102" i="4"/>
  <c r="E102" i="4" s="1"/>
  <c r="E119" i="4" s="1"/>
  <c r="D100" i="4"/>
  <c r="E100" i="4" s="1"/>
  <c r="D99" i="4"/>
  <c r="E99" i="4" s="1"/>
  <c r="D98" i="4"/>
  <c r="E98" i="4" s="1"/>
  <c r="D94" i="4"/>
  <c r="E94" i="4" s="1"/>
  <c r="D92" i="4"/>
  <c r="E92" i="4" s="1"/>
  <c r="D90" i="4"/>
  <c r="E90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58" i="4"/>
  <c r="E58" i="4" s="1"/>
  <c r="D55" i="4"/>
  <c r="E55" i="4" s="1"/>
  <c r="D53" i="4"/>
  <c r="E53" i="4" s="1"/>
  <c r="D52" i="4"/>
  <c r="E52" i="4" s="1"/>
  <c r="D50" i="4"/>
  <c r="E50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9" i="4"/>
  <c r="E159" i="4" s="1"/>
  <c r="E161" i="4" s="1"/>
  <c r="D152" i="4"/>
  <c r="E152" i="4" s="1"/>
  <c r="E154" i="4" s="1"/>
  <c r="E60" i="4" l="1"/>
  <c r="E133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<sst xmlns="http://schemas.openxmlformats.org/spreadsheetml/2006/main" count="394" uniqueCount="269">
  <si>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</si>
  <si>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</si>
  <si>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</si>
  <si>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</si>
  <si>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</si>
  <si>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</si>
  <si>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</si>
  <si>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</si>
  <si>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</si>
  <si>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</si>
  <si>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</si>
  <si>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</si>
  <si>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</si>
  <si>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</si>
  <si>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</si>
  <si>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</si>
  <si>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</si>
  <si>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</si>
  <si>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</si>
  <si>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</si>
  <si>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</si>
  <si>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</si>
  <si>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</si>
  <si>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</si>
  <si>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</si>
  <si>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</si>
  <si>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</si>
  <si>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</si>
  <si>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</si>
  <si>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</si>
  <si>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</si>
  <si>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</si>
  <si>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</si>
  <si>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</si>
  <si>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</si>
  <si>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</si>
  <si>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</si>
  <si>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</si>
  <si>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</si>
  <si>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</si>
  <si>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</si>
  <si>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</si>
  <si>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</si>
  <si>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</si>
  <si>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</si>
  <si>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</si>
  <si>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</si>
  <si>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</si>
  <si>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</si>
  <si>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</si>
  <si>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</si>
  <si>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</si>
  <si>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</si>
  <si>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</si>
  <si>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</si>
  <si>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</si>
  <si>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</si>
  <si>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</si>
  <si>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</si>
  <si>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</si>
  <si>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</si>
  <si>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</si>
  <si>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</si>
  <si>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</si>
  <si>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</si>
  <si>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</si>
  <si>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</si>
  <si>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</si>
  <si>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</si>
  <si>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</si>
  <si>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</si>
  <si>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</si>
  <si>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</si>
  <si>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</si>
  <si>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</si>
  <si>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</si>
  <si>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</si>
  <si>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</si>
  <si>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</si>
  <si>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</si>
  <si>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</si>
  <si>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</si>
  <si>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</si>
  <si>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</si>
  <si>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</si>
  <si>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</si>
  <si>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</si>
  <si>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</si>
  <si>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</si>
  <si>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</si>
  <si>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</si>
  <si>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</si>
  <si>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</si>
  <si>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</si>
  <si>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</si>
  <si>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</si>
  <si>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</si>
  <si>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</si>
  <si>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</si>
  <si>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</si>
  <si>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</si>
  <si>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</si>
  <si>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</si>
  <si>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</si>
  <si>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</si>
  <si>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</si>
  <si>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</si>
  <si>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</si>
  <si>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</si>
  <si>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</si>
  <si>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</si>
  <si>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</si>
  <si>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</si>
  <si>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</si>
  <si>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</si>
  <si>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</si>
  <si>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</si>
  <si>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</si>
  <si>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</si>
  <si>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</si>
  <si>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</si>
  <si>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</si>
  <si>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</si>
  <si>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</si>
  <si>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</si>
  <si>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</si>
  <si>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</si>
  <si>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</si>
  <si>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</si>
  <si>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</si>
  <si>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</si>
  <si>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</si>
  <si>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</si>
  <si>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</si>
  <si>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</si>
  <si>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</si>
  <si>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</si>
  <si>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</si>
  <si>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</si>
  <si>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</si>
  <si>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</si>
  <si>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</si>
  <si>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</si>
  <si>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</si>
  <si>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</si>
  <si>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</si>
  <si>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</si>
  <si>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</si>
  <si>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</si>
  <si>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</si>
  <si>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</si>
  <si>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</si>
  <si>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</si>
  <si>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</si>
  <si>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</si>
  <si>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</si>
  <si>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</si>
  <si>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</si>
  <si>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</si>
  <si>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</si>
  <si>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</si>
  <si>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</si>
  <si>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</si>
  <si>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</si>
  <si>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</si>
  <si>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</si>
  <si>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</si>
  <si>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</si>
  <si>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</si>
  <si>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</si>
  <si>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</si>
  <si>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</si>
  <si>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</si>
  <si>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</si>
  <si>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</si>
  <si>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</si>
  <si>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</si>
  <si>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</si>
  <si>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</si>
  <si>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</si>
  <si>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</si>
  <si>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</si>
  <si>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</si>
  <si>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</si>
  <si>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</si>
  <si>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</si>
  <si>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</si>
  <si>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</si>
  <si>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</si>
  <si>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</si>
  <si>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</si>
  <si>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</si>
  <si>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</si>
  <si>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</si>
  <si>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</si>
  <si>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</si>
  <si>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</si>
  <si>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</si>
  <si>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</si>
  <si>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</si>
  <si>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</si>
  <si>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</si>
  <si>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</si>
  <si>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</si>
  <si>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</si>
  <si>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</si>
  <si>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</si>
  <si>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</si>
  <si>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</si>
  <si>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</si>
  <si>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</si>
  <si>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</si>
  <si>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</si>
  <si>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</si>
  <si>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</si>
  <si>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</si>
  <si>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</si>
  <si>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</si>
  <si>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</si>
  <si>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</si>
  <si>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</si>
  <si>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</si>
  <si>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</si>
  <si>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</si>
  <si>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</si>
  <si>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</si>
  <si>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</si>
  <si>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</si>
  <si>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</si>
  <si>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</si>
  <si>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</si>
  <si>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</si>
  <si>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</si>
  <si>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</si>
  <si>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</si>
  <si>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</si>
  <si>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</si>
  <si>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</si>
  <si>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</si>
  <si>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</si>
  <si>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</si>
  <si>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</si>
  <si>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</si>
  <si>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</si>
  <si>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</si>
  <si>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</si>
  <si>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</si>
  <si>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</si>
  <si>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 배드민턴전용구장 건립공사</t>
    <phoneticPr fontId="2" type="noConversion"/>
  </si>
  <si>
    <t>문화및집회</t>
  </si>
  <si>
    <t>경상도</t>
  </si>
  <si>
    <t>부대공사,부대토목공사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</si>
  <si>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</si>
  <si>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</si>
  <si>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토및지정공사,기타공사,골재비,운반비,작업부산물</t>
    <phoneticPr fontId="2" type="noConversion"/>
  </si>
  <si>
    <t>연도설치공사,연도설치공사(구조물비용)</t>
    <phoneticPr fontId="2" type="noConversion"/>
  </si>
  <si>
    <t>위생설비공사</t>
    <phoneticPr fontId="2" type="noConversion"/>
  </si>
  <si>
    <t>공조배관공사,천정온수패널설치공사,초절전난방배관공사</t>
    <phoneticPr fontId="2" type="noConversion"/>
  </si>
  <si>
    <t>CCTV설비공사,이동통신설비공사</t>
    <phoneticPr fontId="2" type="noConversion"/>
  </si>
  <si>
    <t>전화및LAN설비공사</t>
    <phoneticPr fontId="2" type="noConversion"/>
  </si>
  <si>
    <t>전기 소방공사</t>
    <phoneticPr fontId="2" type="noConversion"/>
  </si>
  <si>
    <t>기계 소화설비공사</t>
    <phoneticPr fontId="2" type="noConversion"/>
  </si>
  <si>
    <t>조명제어설비공사</t>
    <phoneticPr fontId="2" type="noConversion"/>
  </si>
  <si>
    <t>옥외전기설비공사,장애인편의시설설비공사,태양광설비공사, 경관조명설비공사,스포츠조명설비공사,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</si>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</sst>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7198</v>
      </c>
      <c r="D7" s="36">
        <f>+C7/3.3058</f>
        <v>2177.3852017665922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6830</v>
      </c>
      <c r="E24" s="58">
        <f t="shared" ref="E24:E33" si="0">TRUNC(+D24*3.3058,-1)</f>
        <v>22570</v>
      </c>
    </row>
    <row r="25" spans="1:5" x14ac:dyDescent="0.3">
      <c r="B25" s="2">
        <v>2</v>
      </c>
      <c r="C25" s="35" t="s">
        <v>111</v>
      </c>
      <c r="D25" s="45">
        <f>+D60</f>
        <v>682020</v>
      </c>
      <c r="E25" s="59">
        <f t="shared" si="0"/>
        <v>2254620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117450</v>
      </c>
      <c r="E27" s="59">
        <f t="shared" si="0"/>
        <v>388260</v>
      </c>
    </row>
    <row r="28" spans="1:5" x14ac:dyDescent="0.3">
      <c r="B28" s="2">
        <v>5</v>
      </c>
      <c r="C28" s="35" t="s">
        <v>97</v>
      </c>
      <c r="D28" s="45">
        <f>+D119</f>
        <v>62830</v>
      </c>
      <c r="E28" s="59">
        <f t="shared" si="0"/>
        <v>207700</v>
      </c>
    </row>
    <row r="29" spans="1:5" x14ac:dyDescent="0.3">
      <c r="B29" s="2">
        <v>6</v>
      </c>
      <c r="C29" s="35" t="s">
        <v>98</v>
      </c>
      <c r="D29" s="45">
        <f>+D133</f>
        <v>36340</v>
      </c>
      <c r="E29" s="59">
        <f t="shared" si="0"/>
        <v>120130</v>
      </c>
    </row>
    <row r="30" spans="1:5" x14ac:dyDescent="0.3">
      <c r="B30" s="2">
        <v>7</v>
      </c>
      <c r="C30" s="35" t="s">
        <v>99</v>
      </c>
      <c r="D30" s="45">
        <f>+D146</f>
        <v>56040</v>
      </c>
      <c r="E30" s="59">
        <f t="shared" si="0"/>
        <v>185250</v>
      </c>
    </row>
    <row r="31" spans="1:5" x14ac:dyDescent="0.3">
      <c r="B31" s="2">
        <v>8</v>
      </c>
      <c r="C31" s="35" t="s">
        <v>100</v>
      </c>
      <c r="D31" s="45">
        <f>+D154</f>
        <v>102480</v>
      </c>
      <c r="E31" s="59">
        <f t="shared" si="0"/>
        <v>338770</v>
      </c>
    </row>
    <row r="32" spans="1:5" x14ac:dyDescent="0.3">
      <c r="B32" s="2">
        <v>9</v>
      </c>
      <c r="C32" s="35" t="s">
        <v>101</v>
      </c>
      <c r="D32" s="45">
        <f>+D161</f>
        <v>46850</v>
      </c>
      <c r="E32" s="59">
        <f t="shared" si="0"/>
        <v>154870</v>
      </c>
    </row>
    <row r="33" spans="1:7" x14ac:dyDescent="0.3">
      <c r="B33" s="2">
        <v>10</v>
      </c>
      <c r="C33" s="35" t="s">
        <v>154</v>
      </c>
      <c r="D33" s="53">
        <f>TRUNC(SUM(D24:D32)*0.275,-1)</f>
        <v>305480</v>
      </c>
      <c r="E33" s="60">
        <f t="shared" si="0"/>
        <v>1009850</v>
      </c>
    </row>
    <row r="34" spans="1:7" x14ac:dyDescent="0.3">
      <c r="C34" s="35" t="s">
        <v>112</v>
      </c>
      <c r="D34" s="44">
        <f>SUM(D24:D33)</f>
        <v>1416320</v>
      </c>
      <c r="E34" s="44">
        <f>SUM(E24:E33)</f>
        <v>4682020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TRUNC(6833,-1)</f>
        <v>6830</v>
      </c>
      <c r="E37" s="61">
        <f>TRUNC(+D37*3.3058,-1)</f>
        <v>22570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TRUNC(32986,-1)</f>
        <v>32980</v>
      </c>
      <c r="E40" s="62">
        <f t="shared" ref="E40:E59" si="1">TRUNC(+D40*3.3058,-1)</f>
        <v>109020</v>
      </c>
    </row>
    <row r="41" spans="1:7" x14ac:dyDescent="0.3">
      <c r="A41" s="2">
        <v>2</v>
      </c>
      <c r="C41" s="38" t="s">
        <v>13</v>
      </c>
      <c r="D41" s="42">
        <f>TRUNC(126767,-1)</f>
        <v>126760</v>
      </c>
      <c r="E41" s="63">
        <f t="shared" si="1"/>
        <v>419040</v>
      </c>
    </row>
    <row r="42" spans="1:7" x14ac:dyDescent="0.3">
      <c r="A42" s="2">
        <v>3</v>
      </c>
      <c r="C42" s="38" t="s">
        <v>14</v>
      </c>
      <c r="D42" s="42">
        <f>TRUNC(56158,-1)</f>
        <v>56150</v>
      </c>
      <c r="E42" s="63">
        <f t="shared" si="1"/>
        <v>185620</v>
      </c>
    </row>
    <row r="43" spans="1:7" x14ac:dyDescent="0.3">
      <c r="A43" s="2">
        <v>4</v>
      </c>
      <c r="C43" s="38" t="s">
        <v>16</v>
      </c>
      <c r="D43" s="42">
        <f>TRUNC(15450,-1)</f>
        <v>15450</v>
      </c>
      <c r="E43" s="63">
        <f t="shared" si="1"/>
        <v>51070</v>
      </c>
    </row>
    <row r="44" spans="1:7" x14ac:dyDescent="0.3">
      <c r="A44" s="2">
        <v>5</v>
      </c>
      <c r="C44" s="38" t="s">
        <v>17</v>
      </c>
      <c r="D44" s="42">
        <f>TRUNC(42881,-1)</f>
        <v>42880</v>
      </c>
      <c r="E44" s="63">
        <f t="shared" si="1"/>
        <v>141750</v>
      </c>
    </row>
    <row r="45" spans="1:7" x14ac:dyDescent="0.3">
      <c r="A45" s="2">
        <v>6</v>
      </c>
      <c r="C45" s="38" t="s">
        <v>18</v>
      </c>
      <c r="D45" s="42">
        <f>TRUNC(9203,-1)</f>
        <v>9200</v>
      </c>
      <c r="E45" s="63">
        <f t="shared" si="1"/>
        <v>30410</v>
      </c>
    </row>
    <row r="46" spans="1:7" x14ac:dyDescent="0.3">
      <c r="A46" s="2">
        <v>7</v>
      </c>
      <c r="C46" s="38" t="s">
        <v>19</v>
      </c>
      <c r="D46" s="42">
        <f>TRUNC(13816,-1)</f>
        <v>13810</v>
      </c>
      <c r="E46" s="63">
        <f t="shared" si="1"/>
        <v>45650</v>
      </c>
    </row>
    <row r="47" spans="1:7" x14ac:dyDescent="0.3">
      <c r="A47" s="2">
        <v>8</v>
      </c>
      <c r="C47" s="38" t="s">
        <v>20</v>
      </c>
      <c r="D47" s="42">
        <f>TRUNC(63265,-1)</f>
        <v>63260</v>
      </c>
      <c r="E47" s="63">
        <f t="shared" si="1"/>
        <v>209120</v>
      </c>
    </row>
    <row r="48" spans="1:7" x14ac:dyDescent="0.3">
      <c r="A48" s="2">
        <v>9</v>
      </c>
      <c r="C48" s="38" t="s">
        <v>21</v>
      </c>
      <c r="D48" s="42">
        <f>TRUNC(106600,-1)</f>
        <v>106600</v>
      </c>
      <c r="E48" s="63">
        <f t="shared" si="1"/>
        <v>352390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TRUNC(31062,-1)</f>
        <v>31060</v>
      </c>
      <c r="E50" s="63">
        <f t="shared" si="1"/>
        <v>102670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TRUNC(13316,-1)</f>
        <v>13310</v>
      </c>
      <c r="E52" s="63">
        <f t="shared" si="1"/>
        <v>44000</v>
      </c>
    </row>
    <row r="53" spans="1:7" x14ac:dyDescent="0.3">
      <c r="A53" s="2">
        <v>14</v>
      </c>
      <c r="C53" s="38" t="s">
        <v>25</v>
      </c>
      <c r="D53" s="42">
        <f>TRUNC(56460,-1)</f>
        <v>56460</v>
      </c>
      <c r="E53" s="63">
        <f t="shared" si="1"/>
        <v>186640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TRUNC(1279,-1)</f>
        <v>1270</v>
      </c>
      <c r="E55" s="63">
        <f t="shared" si="1"/>
        <v>4190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TRUNC(1884+99044+7782+5598-1471,-1)</f>
        <v>112830</v>
      </c>
      <c r="E58" s="63">
        <f t="shared" si="1"/>
        <v>372990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682020</v>
      </c>
      <c r="E60" s="39">
        <f>SUM(E40:E59)</f>
        <v>2254560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TRUNC(15140,-1)</f>
        <v>15140</v>
      </c>
      <c r="E69" s="62">
        <f t="shared" ref="E69:E94" si="2">TRUNC(+D69*3.3058,-1)</f>
        <v>50040</v>
      </c>
    </row>
    <row r="70" spans="1:7" ht="16.5" customHeight="1" x14ac:dyDescent="0.3">
      <c r="A70" s="2">
        <v>2</v>
      </c>
      <c r="C70" s="38" t="s">
        <v>31</v>
      </c>
      <c r="D70" s="42">
        <f>TRUNC(124,-1)</f>
        <v>120</v>
      </c>
      <c r="E70" s="63">
        <f t="shared" si="2"/>
        <v>390</v>
      </c>
    </row>
    <row r="71" spans="1:7" x14ac:dyDescent="0.3">
      <c r="A71" s="2">
        <v>3</v>
      </c>
      <c r="C71" s="38" t="s">
        <v>32</v>
      </c>
      <c r="D71" s="42">
        <f>TRUNC(9806,-1)</f>
        <v>9800</v>
      </c>
      <c r="E71" s="63">
        <f t="shared" si="2"/>
        <v>32390</v>
      </c>
    </row>
    <row r="72" spans="1:7" x14ac:dyDescent="0.3">
      <c r="A72" s="2">
        <v>4</v>
      </c>
      <c r="C72" s="38" t="s">
        <v>33</v>
      </c>
      <c r="D72" s="42">
        <f>TRUNC(7651,-1)</f>
        <v>7650</v>
      </c>
      <c r="E72" s="63">
        <f t="shared" si="2"/>
        <v>25280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TRUNC(998,-1)</f>
        <v>990</v>
      </c>
      <c r="E75" s="63">
        <f t="shared" si="2"/>
        <v>3270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TRUNC(30374,-1)</f>
        <v>30370</v>
      </c>
      <c r="E78" s="63">
        <f t="shared" si="2"/>
        <v>100390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TRUNC(2778+958,-1)</f>
        <v>3730</v>
      </c>
      <c r="E90" s="63">
        <f t="shared" si="2"/>
        <v>12330</v>
      </c>
      <c r="F90" s="2" t="s">
        <v>255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TRUNC(19157,-1)</f>
        <v>19150</v>
      </c>
      <c r="E92" s="63">
        <f t="shared" si="2"/>
        <v>63300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TRUNC(2746+27599+164,-1)</f>
        <v>30500</v>
      </c>
      <c r="E94" s="64">
        <f t="shared" si="2"/>
        <v>100820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117450</v>
      </c>
      <c r="E95" s="39">
        <f>SUM(E69:E94)</f>
        <v>388210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TRUNC(12023,-1)</f>
        <v>12020</v>
      </c>
      <c r="E98" s="62">
        <f t="shared" ref="E98:E118" si="3">TRUNC(+D98*3.3058,-1)</f>
        <v>39730</v>
      </c>
    </row>
    <row r="99" spans="1:7" x14ac:dyDescent="0.3">
      <c r="A99" s="2">
        <v>2</v>
      </c>
      <c r="C99" s="38" t="s">
        <v>40</v>
      </c>
      <c r="D99" s="42">
        <f>TRUNC(2481,-1)</f>
        <v>2480</v>
      </c>
      <c r="E99" s="63">
        <f t="shared" si="3"/>
        <v>8190</v>
      </c>
    </row>
    <row r="100" spans="1:7" x14ac:dyDescent="0.3">
      <c r="A100" s="2">
        <v>3</v>
      </c>
      <c r="C100" s="38" t="s">
        <v>41</v>
      </c>
      <c r="D100" s="42">
        <f>TRUNC(16874,-1)</f>
        <v>16870</v>
      </c>
      <c r="E100" s="63">
        <f t="shared" si="3"/>
        <v>55760</v>
      </c>
    </row>
    <row r="101" spans="1:7" x14ac:dyDescent="0.3">
      <c r="A101" s="2">
        <v>4</v>
      </c>
      <c r="C101" s="38" t="s">
        <v>42</v>
      </c>
      <c r="D101" s="42">
        <f>TRUNC(1743,-1)</f>
        <v>1740</v>
      </c>
      <c r="E101" s="63">
        <f t="shared" si="3"/>
        <v>5750</v>
      </c>
      <c r="F101" s="2" t="s">
        <v>262</v>
      </c>
    </row>
    <row r="102" spans="1:7" x14ac:dyDescent="0.3">
      <c r="A102" s="2">
        <v>5</v>
      </c>
      <c r="C102" s="38" t="s">
        <v>43</v>
      </c>
      <c r="D102" s="42">
        <f>TRUNC(3190,-1)</f>
        <v>3190</v>
      </c>
      <c r="E102" s="63">
        <f t="shared" si="3"/>
        <v>10540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TRUNC(3766,-1)</f>
        <v>3760</v>
      </c>
      <c r="E104" s="63">
        <f t="shared" si="3"/>
        <v>12420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TRUNC(1651,-1)</f>
        <v>1650</v>
      </c>
      <c r="E108" s="63">
        <f t="shared" si="3"/>
        <v>5450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TRUNC(4006,-1)</f>
        <v>4000</v>
      </c>
      <c r="E114" s="63">
        <f t="shared" si="3"/>
        <v>13220</v>
      </c>
    </row>
    <row r="115" spans="1:7" x14ac:dyDescent="0.3">
      <c r="A115" s="2">
        <v>18</v>
      </c>
      <c r="C115" s="38" t="s">
        <v>116</v>
      </c>
      <c r="D115" s="42">
        <f>TRUNC(820,-1)</f>
        <v>820</v>
      </c>
      <c r="E115" s="63">
        <f t="shared" si="3"/>
        <v>2710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TRUNC(2715+558+2263+5305+5465,-1)</f>
        <v>16300</v>
      </c>
      <c r="E118" s="64">
        <f t="shared" si="3"/>
        <v>53880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62830</v>
      </c>
      <c r="E119" s="39">
        <f>SUM(E98:E118)</f>
        <v>207650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TRUNC(1719,-1)</f>
        <v>1710</v>
      </c>
      <c r="E122" s="62">
        <f t="shared" ref="E122:E132" si="4">TRUNC(+D122*3.3058,-1)</f>
        <v>5650</v>
      </c>
    </row>
    <row r="123" spans="1:7" x14ac:dyDescent="0.3">
      <c r="A123" s="2">
        <v>2</v>
      </c>
      <c r="C123" s="38" t="s">
        <v>124</v>
      </c>
      <c r="D123" s="42">
        <f>TRUNC(12031,-1)</f>
        <v>12030</v>
      </c>
      <c r="E123" s="63">
        <f t="shared" si="4"/>
        <v>39760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f>TRUNC(16007,-1)</f>
        <v>16000</v>
      </c>
      <c r="E124" s="63">
        <f t="shared" si="4"/>
        <v>52890</v>
      </c>
    </row>
    <row r="125" spans="1:7" x14ac:dyDescent="0.3">
      <c r="A125" s="2">
        <v>4</v>
      </c>
      <c r="C125" s="38" t="s">
        <v>138</v>
      </c>
      <c r="D125" s="42">
        <f>TRUNC(3982,-1)</f>
        <v>3980</v>
      </c>
      <c r="E125" s="63">
        <f t="shared" si="4"/>
        <v>13150</v>
      </c>
    </row>
    <row r="126" spans="1:7" x14ac:dyDescent="0.3">
      <c r="A126" s="2">
        <v>5</v>
      </c>
      <c r="C126" s="38" t="s">
        <v>53</v>
      </c>
      <c r="D126" s="42">
        <f>TRUNC(926,-1)</f>
        <v>920</v>
      </c>
      <c r="E126" s="63">
        <f t="shared" si="4"/>
        <v>3040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TRUNC(1468+236,-1)</f>
        <v>1700</v>
      </c>
      <c r="E132" s="64">
        <f t="shared" si="4"/>
        <v>5610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36340</v>
      </c>
      <c r="E133" s="39">
        <f>SUM(E122:E132)</f>
        <v>120100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TRUNC(27447,-1)</f>
        <v>27440</v>
      </c>
      <c r="E136" s="62">
        <f t="shared" ref="E136:E145" si="5">TRUNC(+D136*3.3058,-1)</f>
        <v>90710</v>
      </c>
      <c r="F136" s="2" t="s">
        <v>261</v>
      </c>
    </row>
    <row r="137" spans="1:7" x14ac:dyDescent="0.3">
      <c r="A137" s="2">
        <v>2</v>
      </c>
      <c r="C137" s="38" t="s">
        <v>47</v>
      </c>
      <c r="D137" s="42">
        <f>TRUNC(28601,-1)</f>
        <v>28600</v>
      </c>
      <c r="E137" s="63">
        <f t="shared" si="5"/>
        <v>94540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56040</v>
      </c>
      <c r="E146" s="39">
        <f>SUM(E136:E145)</f>
        <v>185250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TRUNC(12389+90094,-1)</f>
        <v>102480</v>
      </c>
      <c r="E152" s="63">
        <f>TRUNC(+D152*3.3058,-1)</f>
        <v>338770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102480</v>
      </c>
      <c r="E154" s="39">
        <f>SUM(E149:E153)</f>
        <v>338770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TRUNC(46857,-1)</f>
        <v>46850</v>
      </c>
      <c r="E159" s="63">
        <f>TRUNC(+D159*3.3058,-1)</f>
        <v>154870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46850</v>
      </c>
      <c r="E161" s="39">
        <f>SUM(E157:E160)</f>
        <v>154870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2020-12-07T09:54:35Z</dcterms:modified>
</cp:coreProperties>
</file>