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32" i="4" l="1"/>
  <c r="D125" i="4"/>
  <c r="D123" i="4"/>
  <c r="D126" i="4"/>
  <c r="D137" i="4"/>
  <c r="D118" i="4"/>
  <c r="D102" i="4"/>
  <c r="D100" i="4"/>
  <c r="D99" i="4"/>
  <c r="D94" i="4"/>
  <c r="D85" i="4"/>
  <c r="D81" i="4"/>
  <c r="D90" i="4"/>
  <c r="D72" i="4"/>
  <c r="D78" i="4"/>
  <c r="D70" i="4"/>
  <c r="D69" i="4"/>
  <c r="D152" i="4"/>
  <c r="D58" i="4"/>
  <c r="D53" i="4"/>
  <c r="D52" i="4"/>
  <c r="D51" i="4"/>
  <c r="D50" i="4"/>
  <c r="D49" i="4"/>
  <c r="D48" i="4"/>
  <c r="D46" i="4"/>
  <c r="D44" i="4"/>
  <c r="D43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33" i="4" l="1"/>
  <c r="E146" i="4"/>
  <c r="E119" i="4"/>
  <c r="E95" i="4"/>
  <c r="E154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60" i="4"/>
  <c r="D25" i="4" s="1"/>
  <c r="D24" i="4"/>
  <c r="E24" i="4" s="1"/>
  <c r="D26" i="4"/>
  <c r="E26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<sst xmlns="http://schemas.openxmlformats.org/spreadsheetml/2006/main" count="390" uniqueCount="265">
  <si>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</si>
  <si>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</si>
  <si>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</si>
  <si>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</si>
  <si>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</si>
  <si>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</si>
  <si>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</si>
  <si>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</si>
  <si>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</si>
  <si>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</si>
  <si>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</si>
  <si>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</si>
  <si>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</si>
  <si>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</si>
  <si>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</si>
  <si>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</si>
  <si>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</si>
  <si>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</si>
  <si>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</si>
  <si>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</si>
  <si>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</si>
  <si>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</si>
  <si>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</si>
  <si>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</si>
  <si>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</si>
  <si>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</si>
  <si>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</si>
  <si>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</si>
  <si>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</si>
  <si>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</si>
  <si>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</si>
  <si>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</si>
  <si>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</si>
  <si>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</si>
  <si>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</si>
  <si>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</si>
  <si>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</si>
  <si>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</si>
  <si>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</si>
  <si>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</si>
  <si>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</si>
  <si>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</si>
  <si>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</si>
  <si>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</si>
  <si>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</si>
  <si>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</si>
  <si>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</si>
  <si>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</si>
  <si>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</si>
  <si>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</si>
  <si>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</si>
  <si>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</si>
  <si>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</si>
  <si>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</si>
  <si>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</si>
  <si>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</si>
  <si>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</si>
  <si>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</si>
  <si>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</si>
  <si>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</si>
  <si>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</si>
  <si>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</si>
  <si>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</si>
  <si>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</si>
  <si>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</si>
  <si>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</si>
  <si>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</si>
  <si>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</si>
  <si>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</si>
  <si>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</si>
  <si>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</si>
  <si>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</si>
  <si>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</si>
  <si>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</si>
  <si>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</si>
  <si>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</si>
  <si>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</si>
  <si>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</si>
  <si>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</si>
  <si>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</si>
  <si>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</si>
  <si>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</si>
  <si>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</si>
  <si>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</si>
  <si>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</si>
  <si>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</si>
  <si>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</si>
  <si>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</si>
  <si>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</si>
  <si>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</si>
  <si>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</si>
  <si>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</si>
  <si>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</si>
  <si>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</si>
  <si>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</si>
  <si>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</si>
  <si>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</si>
  <si>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</si>
  <si>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</si>
  <si>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</si>
  <si>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</si>
  <si>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</si>
  <si>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</si>
  <si>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</si>
  <si>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</si>
  <si>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</si>
  <si>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</si>
  <si>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</si>
  <si>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</si>
  <si>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</si>
  <si>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</si>
  <si>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</si>
  <si>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</si>
  <si>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</si>
  <si>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</si>
  <si>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</si>
  <si>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</si>
  <si>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</si>
  <si>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</si>
  <si>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</si>
  <si>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</si>
  <si>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</si>
  <si>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</si>
  <si>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</si>
  <si>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</si>
  <si>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</si>
  <si>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</si>
  <si>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</si>
  <si>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</si>
  <si>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</si>
  <si>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</si>
  <si>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</si>
  <si>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</si>
  <si>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</si>
  <si>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</si>
  <si>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</si>
  <si>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</si>
  <si>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</si>
  <si>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</si>
  <si>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</si>
  <si>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</si>
  <si>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</si>
  <si>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</si>
  <si>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</si>
  <si>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</si>
  <si>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</si>
  <si>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</si>
  <si>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</si>
  <si>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</si>
  <si>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</si>
  <si>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</si>
  <si>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</si>
  <si>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</si>
  <si>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</si>
  <si>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</si>
  <si>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</si>
  <si>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</si>
  <si>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</si>
  <si>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</si>
  <si>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</si>
  <si>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</si>
  <si>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</si>
  <si>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</si>
  <si>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</si>
  <si>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</si>
  <si>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</si>
  <si>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</si>
  <si>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</si>
  <si>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</si>
  <si>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</si>
  <si>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</si>
  <si>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</si>
  <si>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</si>
  <si>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</si>
  <si>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</si>
  <si>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</si>
  <si>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</si>
  <si>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</si>
  <si>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</si>
  <si>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</si>
  <si>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</si>
  <si>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</si>
  <si>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</si>
  <si>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</si>
  <si>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</si>
  <si>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</si>
  <si>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</si>
  <si>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</si>
  <si>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</si>
  <si>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</si>
  <si>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</si>
  <si>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</si>
  <si>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</si>
  <si>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</si>
  <si>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</si>
  <si>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</si>
  <si>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</si>
  <si>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</si>
  <si>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</si>
  <si>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</si>
  <si>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</si>
  <si>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</si>
  <si>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</si>
  <si>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</si>
  <si>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</si>
  <si>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</si>
  <si>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</si>
  <si>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</si>
  <si>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</si>
  <si>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</si>
  <si>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</si>
  <si>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</si>
  <si>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</si>
  <si>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</si>
  <si>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</si>
  <si>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</si>
  <si>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</si>
  <si>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</si>
  <si>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</si>
  <si>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</si>
  <si>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</si>
  <si>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</si>
  <si>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</si>
  <si>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</si>
  <si>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</si>
  <si>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</si>
  <si>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</si>
  <si>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</si>
  <si>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</si>
  <si>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</si>
  <si>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</si>
  <si>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</si>
  <si>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</si>
  <si>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</si>
  <si>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</si>
  <si>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</si>
  <si>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</si>
  <si>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</si>
  <si>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</si>
  <si>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</si>
  <si>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</si>
  <si>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</si>
  <si>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</si>
  <si>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</si>
  <si>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</si>
  <si>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</si>
  <si>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</si>
  <si>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</si>
  <si>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00고등학교 기숙사(생활관) 증축공사</t>
    <phoneticPr fontId="2" type="noConversion"/>
  </si>
  <si>
    <t>경상도</t>
  </si>
  <si>
    <t>타일및 석공사</t>
    <phoneticPr fontId="2" type="noConversion"/>
  </si>
  <si>
    <t>토공사,기타공사,골재대및운반비</t>
    <phoneticPr fontId="2" type="noConversion"/>
  </si>
  <si>
    <t>부대토목공사</t>
    <phoneticPr fontId="2" type="noConversion"/>
  </si>
  <si>
    <t>위생배관공사,빙축열시스템공사</t>
    <phoneticPr fontId="2" type="noConversion"/>
  </si>
  <si>
    <t>기계실 동력공사</t>
    <phoneticPr fontId="2" type="noConversion"/>
  </si>
  <si>
    <t>간선공사,팬코일전원공사,난방제어공사</t>
    <phoneticPr fontId="2" type="noConversion"/>
  </si>
  <si>
    <t>전기 소방공사</t>
    <phoneticPr fontId="2" type="noConversion"/>
  </si>
  <si>
    <t>구내통신 및 종합유선방송,LAN설비</t>
    <phoneticPr fontId="2" type="noConversion"/>
  </si>
  <si>
    <t>CCTV설비</t>
    <phoneticPr fontId="2" type="noConversion"/>
  </si>
  <si>
    <t>숙박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</si>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</sst>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988</v>
      </c>
      <c r="D7" s="36">
        <f>+C7/3.3058</f>
        <v>298.86865509105206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249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670600</v>
      </c>
      <c r="E25" s="59">
        <f t="shared" si="0"/>
        <v>2216860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293020</v>
      </c>
      <c r="E27" s="59">
        <f t="shared" si="0"/>
        <v>968660</v>
      </c>
    </row>
    <row r="28" spans="1:5" x14ac:dyDescent="0.3">
      <c r="B28" s="2">
        <v>5</v>
      </c>
      <c r="C28" s="35" t="s">
        <v>97</v>
      </c>
      <c r="D28" s="45">
        <f>+D119</f>
        <v>106040</v>
      </c>
      <c r="E28" s="59">
        <f t="shared" si="0"/>
        <v>350540</v>
      </c>
    </row>
    <row r="29" spans="1:5" x14ac:dyDescent="0.3">
      <c r="B29" s="2">
        <v>6</v>
      </c>
      <c r="C29" s="35" t="s">
        <v>98</v>
      </c>
      <c r="D29" s="45">
        <f>+D133</f>
        <v>28380</v>
      </c>
      <c r="E29" s="59">
        <f t="shared" si="0"/>
        <v>93810</v>
      </c>
    </row>
    <row r="30" spans="1:5" x14ac:dyDescent="0.3">
      <c r="B30" s="2">
        <v>7</v>
      </c>
      <c r="C30" s="35" t="s">
        <v>99</v>
      </c>
      <c r="D30" s="45">
        <f>+D146</f>
        <v>19490</v>
      </c>
      <c r="E30" s="59">
        <f t="shared" si="0"/>
        <v>64430</v>
      </c>
    </row>
    <row r="31" spans="1:5" x14ac:dyDescent="0.3">
      <c r="B31" s="2">
        <v>8</v>
      </c>
      <c r="C31" s="35" t="s">
        <v>100</v>
      </c>
      <c r="D31" s="45">
        <f>+D154</f>
        <v>19840</v>
      </c>
      <c r="E31" s="59">
        <f t="shared" si="0"/>
        <v>65580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312770</v>
      </c>
      <c r="E33" s="60">
        <f t="shared" si="0"/>
        <v>1033950</v>
      </c>
    </row>
    <row r="34" spans="1:7" x14ac:dyDescent="0.3">
      <c r="C34" s="35" t="s">
        <v>112</v>
      </c>
      <c r="D34" s="44">
        <f>SUM(D24:D33)</f>
        <v>1450140</v>
      </c>
      <c r="E34" s="44">
        <f>SUM(E24:E33)</f>
        <v>4793830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260</v>
      </c>
      <c r="E39" s="67" t="s">
        <v>261</v>
      </c>
      <c r="G39" s="68"/>
    </row>
    <row r="40" spans="1:7" x14ac:dyDescent="0.3">
      <c r="A40" s="2">
        <v>1</v>
      </c>
      <c r="C40" s="38" t="s">
        <v>15</v>
      </c>
      <c r="D40" s="40">
        <f>TRUNC(35345,-1)</f>
        <v>35340</v>
      </c>
      <c r="E40" s="62">
        <f t="shared" ref="E40:E59" si="1">TRUNC(+D40*3.3058,-1)</f>
        <v>116820</v>
      </c>
    </row>
    <row r="41" spans="1:7" x14ac:dyDescent="0.3">
      <c r="A41" s="2">
        <v>2</v>
      </c>
      <c r="C41" s="38" t="s">
        <v>13</v>
      </c>
      <c r="D41" s="42">
        <f>TRUNC(190202,-1)</f>
        <v>190200</v>
      </c>
      <c r="E41" s="63">
        <f t="shared" si="1"/>
        <v>628760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TRUNC(49908,-1)</f>
        <v>49900</v>
      </c>
      <c r="E43" s="63">
        <f t="shared" si="1"/>
        <v>164950</v>
      </c>
    </row>
    <row r="44" spans="1:7" x14ac:dyDescent="0.3">
      <c r="A44" s="2">
        <v>5</v>
      </c>
      <c r="C44" s="38" t="s">
        <v>17</v>
      </c>
      <c r="D44" s="42">
        <f>TRUNC(21907,-1)</f>
        <v>21900</v>
      </c>
      <c r="E44" s="63">
        <f t="shared" si="1"/>
        <v>72390</v>
      </c>
    </row>
    <row r="45" spans="1:7" x14ac:dyDescent="0.3">
      <c r="A45" s="2">
        <v>6</v>
      </c>
      <c r="C45" s="38" t="s">
        <v>18</v>
      </c>
      <c r="D45" s="42">
        <v>0</v>
      </c>
      <c r="E45" s="63">
        <f t="shared" si="1"/>
        <v>0</v>
      </c>
    </row>
    <row r="46" spans="1:7" x14ac:dyDescent="0.3">
      <c r="A46" s="2">
        <v>7</v>
      </c>
      <c r="C46" s="38" t="s">
        <v>19</v>
      </c>
      <c r="D46" s="42">
        <f>TRUNC(35240,-1)</f>
        <v>35240</v>
      </c>
      <c r="E46" s="63">
        <f t="shared" si="1"/>
        <v>116490</v>
      </c>
      <c r="F46" s="2" t="s">
        <v>250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TRUNC(104767,-1)</f>
        <v>104760</v>
      </c>
      <c r="E48" s="63">
        <f t="shared" si="1"/>
        <v>346310</v>
      </c>
    </row>
    <row r="49" spans="1:7" x14ac:dyDescent="0.3">
      <c r="A49" s="2">
        <v>10</v>
      </c>
      <c r="C49" s="38" t="s">
        <v>22</v>
      </c>
      <c r="D49" s="42">
        <f>TRUNC(23905,-1)</f>
        <v>23900</v>
      </c>
      <c r="E49" s="63">
        <f t="shared" si="1"/>
        <v>79000</v>
      </c>
    </row>
    <row r="50" spans="1:7" x14ac:dyDescent="0.3">
      <c r="A50" s="2">
        <v>11</v>
      </c>
      <c r="C50" s="38" t="s">
        <v>155</v>
      </c>
      <c r="D50" s="42">
        <f>TRUNC(31337,-1)</f>
        <v>31330</v>
      </c>
      <c r="E50" s="63">
        <f t="shared" si="1"/>
        <v>103570</v>
      </c>
    </row>
    <row r="51" spans="1:7" x14ac:dyDescent="0.3">
      <c r="A51" s="2">
        <v>12</v>
      </c>
      <c r="C51" s="38" t="s">
        <v>23</v>
      </c>
      <c r="D51" s="42">
        <f>TRUNC(12220,-1)</f>
        <v>12220</v>
      </c>
      <c r="E51" s="63">
        <f t="shared" si="1"/>
        <v>40390</v>
      </c>
    </row>
    <row r="52" spans="1:7" x14ac:dyDescent="0.3">
      <c r="A52" s="2">
        <v>13</v>
      </c>
      <c r="C52" s="38" t="s">
        <v>24</v>
      </c>
      <c r="D52" s="42">
        <f>TRUNC(8887,-1)</f>
        <v>8880</v>
      </c>
      <c r="E52" s="63">
        <f t="shared" si="1"/>
        <v>29350</v>
      </c>
    </row>
    <row r="53" spans="1:7" x14ac:dyDescent="0.3">
      <c r="A53" s="2">
        <v>14</v>
      </c>
      <c r="C53" s="38" t="s">
        <v>25</v>
      </c>
      <c r="D53" s="42">
        <f>TRUNC(90177,-1)</f>
        <v>90170</v>
      </c>
      <c r="E53" s="63">
        <f t="shared" si="1"/>
        <v>298080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TRUNC(58085+3045+5631,-1)</f>
        <v>66760</v>
      </c>
      <c r="E58" s="63">
        <f t="shared" si="1"/>
        <v>220690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670600</v>
      </c>
      <c r="E60" s="39">
        <f>SUM(E40:E59)</f>
        <v>2216800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TRUNC(56636,-1)</f>
        <v>56630</v>
      </c>
      <c r="E69" s="62">
        <f t="shared" ref="E69:E94" si="2">TRUNC(+D69*3.3058,-1)</f>
        <v>187200</v>
      </c>
    </row>
    <row r="70" spans="1:7" ht="16.5" customHeight="1" x14ac:dyDescent="0.3">
      <c r="A70" s="2">
        <v>2</v>
      </c>
      <c r="C70" s="38" t="s">
        <v>31</v>
      </c>
      <c r="D70" s="42">
        <f>TRUNC(12206,-1)</f>
        <v>12200</v>
      </c>
      <c r="E70" s="63">
        <f t="shared" si="2"/>
        <v>40330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TRUNC(3015,-1)</f>
        <v>3010</v>
      </c>
      <c r="E72" s="63">
        <f t="shared" si="2"/>
        <v>9950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TRUNC(3819,-1)</f>
        <v>3810</v>
      </c>
      <c r="E78" s="63">
        <f t="shared" si="2"/>
        <v>12590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TRUNC(20522,-1)</f>
        <v>20520</v>
      </c>
      <c r="E81" s="63">
        <f t="shared" si="2"/>
        <v>67830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f>TRUNC(1890,-1)</f>
        <v>1890</v>
      </c>
      <c r="E85" s="63">
        <f t="shared" si="2"/>
        <v>6240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TRUNC(4195,-1)</f>
        <v>4190</v>
      </c>
      <c r="E90" s="63">
        <f t="shared" si="2"/>
        <v>13850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TRUNC(70642+120131,-1)</f>
        <v>190770</v>
      </c>
      <c r="E94" s="64">
        <f t="shared" si="2"/>
        <v>630640</v>
      </c>
      <c r="F94" s="2" t="s">
        <v>253</v>
      </c>
    </row>
    <row r="95" spans="1:7" x14ac:dyDescent="0.3">
      <c r="A95" s="2">
        <v>27</v>
      </c>
      <c r="C95" s="27" t="s">
        <v>112</v>
      </c>
      <c r="D95" s="39">
        <f>SUM(D69:D94)</f>
        <v>293020</v>
      </c>
      <c r="E95" s="39">
        <f>SUM(E69:E94)</f>
        <v>968630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v>0</v>
      </c>
      <c r="E98" s="62">
        <f t="shared" ref="E98:E118" si="3">TRUNC(+D98*3.3058,-1)</f>
        <v>0</v>
      </c>
    </row>
    <row r="99" spans="1:7" x14ac:dyDescent="0.3">
      <c r="A99" s="2">
        <v>2</v>
      </c>
      <c r="C99" s="38" t="s">
        <v>40</v>
      </c>
      <c r="D99" s="42">
        <f>TRUNC(6750,-1)</f>
        <v>6750</v>
      </c>
      <c r="E99" s="63">
        <f t="shared" si="3"/>
        <v>22310</v>
      </c>
      <c r="F99" s="2" t="s">
        <v>254</v>
      </c>
    </row>
    <row r="100" spans="1:7" x14ac:dyDescent="0.3">
      <c r="A100" s="2">
        <v>3</v>
      </c>
      <c r="C100" s="38" t="s">
        <v>41</v>
      </c>
      <c r="D100" s="42">
        <f>TRUNC(30592,-1)</f>
        <v>30590</v>
      </c>
      <c r="E100" s="63">
        <f t="shared" si="3"/>
        <v>101120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TRUNC(17068,-1)</f>
        <v>17060</v>
      </c>
      <c r="E102" s="63">
        <f t="shared" si="3"/>
        <v>56390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v>0</v>
      </c>
      <c r="E104" s="63">
        <f t="shared" si="3"/>
        <v>0</v>
      </c>
    </row>
    <row r="105" spans="1:7" x14ac:dyDescent="0.3">
      <c r="A105" s="2">
        <v>8</v>
      </c>
      <c r="C105" s="38" t="s">
        <v>46</v>
      </c>
      <c r="D105" s="42">
        <v>0</v>
      </c>
      <c r="E105" s="63">
        <f t="shared" si="3"/>
        <v>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TRUNC(42378+7190+2075,-1)</f>
        <v>51640</v>
      </c>
      <c r="E118" s="64">
        <f t="shared" si="3"/>
        <v>170710</v>
      </c>
      <c r="F118" s="2" t="s">
        <v>255</v>
      </c>
    </row>
    <row r="119" spans="1:7" x14ac:dyDescent="0.3">
      <c r="A119" s="2">
        <v>22</v>
      </c>
      <c r="C119" s="27" t="s">
        <v>112</v>
      </c>
      <c r="D119" s="39">
        <f>SUM(D98:D118)</f>
        <v>106040</v>
      </c>
      <c r="E119" s="39">
        <f>SUM(E98:E118)</f>
        <v>350530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f>TRUNC(4857+186,-1)</f>
        <v>5040</v>
      </c>
      <c r="E123" s="63">
        <f t="shared" si="4"/>
        <v>16660</v>
      </c>
      <c r="F123" s="2" t="s">
        <v>257</v>
      </c>
    </row>
    <row r="124" spans="1:7" x14ac:dyDescent="0.3">
      <c r="A124" s="2">
        <v>3</v>
      </c>
      <c r="C124" s="38" t="s">
        <v>151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TRUNC(6967,-1)</f>
        <v>6960</v>
      </c>
      <c r="E125" s="63">
        <f t="shared" si="4"/>
        <v>23000</v>
      </c>
    </row>
    <row r="126" spans="1:7" x14ac:dyDescent="0.3">
      <c r="A126" s="2">
        <v>5</v>
      </c>
      <c r="C126" s="38" t="s">
        <v>53</v>
      </c>
      <c r="D126" s="42">
        <f>TRUNC(11353,-1)</f>
        <v>11350</v>
      </c>
      <c r="E126" s="63">
        <f t="shared" si="4"/>
        <v>37520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v>0</v>
      </c>
      <c r="E128" s="63">
        <f t="shared" si="4"/>
        <v>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TRUNC(5032,-1)</f>
        <v>5030</v>
      </c>
      <c r="E132" s="64">
        <f t="shared" si="4"/>
        <v>16620</v>
      </c>
      <c r="F132" s="54" t="s">
        <v>258</v>
      </c>
    </row>
    <row r="133" spans="1:7" x14ac:dyDescent="0.3">
      <c r="A133" s="2">
        <v>12</v>
      </c>
      <c r="C133" s="27" t="s">
        <v>112</v>
      </c>
      <c r="D133" s="39">
        <f>SUM(D122:D132)</f>
        <v>28380</v>
      </c>
      <c r="E133" s="39">
        <f>SUM(E122:E132)</f>
        <v>93800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TRUNC(19492,-1)</f>
        <v>19490</v>
      </c>
      <c r="E137" s="63">
        <f t="shared" si="5"/>
        <v>64430</v>
      </c>
      <c r="F137" s="2" t="s">
        <v>256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19490</v>
      </c>
      <c r="E146" s="39">
        <f>SUM(E136:E145)</f>
        <v>64430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TRUNC(19842,-1)</f>
        <v>19840</v>
      </c>
      <c r="E152" s="63">
        <f>TRUNC(+D152*3.3058,-1)</f>
        <v>65580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19840</v>
      </c>
      <c r="E154" s="39">
        <f>SUM(E149:E153)</f>
        <v>65580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2020-12-07T09:50:56Z</dcterms:modified>
</cp:coreProperties>
</file>