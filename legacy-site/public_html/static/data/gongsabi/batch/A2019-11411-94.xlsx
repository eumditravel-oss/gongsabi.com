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7" i="4"/>
  <c r="D126" i="4"/>
  <c r="D125" i="4"/>
  <c r="D117" i="4"/>
  <c r="D105" i="4"/>
  <c r="D104" i="4"/>
  <c r="D102" i="4"/>
  <c r="D100" i="4"/>
  <c r="D99" i="4"/>
  <c r="D98" i="4"/>
  <c r="D94" i="4"/>
  <c r="D93" i="4"/>
  <c r="D91" i="4"/>
  <c r="D89" i="4"/>
  <c r="D76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<sst xmlns="http://schemas.openxmlformats.org/spreadsheetml/2006/main" count="392" uniqueCount="266">
  <si>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</si>
  <si>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</si>
  <si>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</si>
  <si>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</si>
  <si>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</si>
  <si>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</si>
  <si>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</si>
  <si>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</si>
  <si>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</si>
  <si>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</si>
  <si>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</si>
  <si>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</si>
  <si>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</si>
  <si>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</si>
  <si>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</si>
  <si>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</si>
  <si>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</si>
  <si>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</si>
  <si>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</si>
  <si>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</si>
  <si>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</si>
  <si>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</si>
  <si>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</si>
  <si>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</si>
  <si>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</si>
  <si>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</si>
  <si>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</si>
  <si>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</si>
  <si>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</si>
  <si>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</si>
  <si>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</si>
  <si>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</si>
  <si>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</si>
  <si>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</si>
  <si>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</si>
  <si>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</si>
  <si>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</si>
  <si>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</si>
  <si>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</si>
  <si>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</si>
  <si>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</si>
  <si>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</si>
  <si>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</si>
  <si>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</si>
  <si>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</si>
  <si>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</si>
  <si>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</si>
  <si>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</si>
  <si>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</si>
  <si>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</si>
  <si>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</si>
  <si>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</si>
  <si>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</si>
  <si>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</si>
  <si>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</si>
  <si>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</si>
  <si>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</si>
  <si>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</si>
  <si>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</si>
  <si>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</si>
  <si>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</si>
  <si>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</si>
  <si>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</si>
  <si>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</si>
  <si>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</si>
  <si>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</si>
  <si>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</si>
  <si>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</si>
  <si>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</si>
  <si>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</si>
  <si>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</si>
  <si>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</si>
  <si>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</si>
  <si>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</si>
  <si>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</si>
  <si>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</si>
  <si>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</si>
  <si>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</si>
  <si>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</si>
  <si>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</si>
  <si>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</si>
  <si>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</si>
  <si>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</si>
  <si>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</si>
  <si>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</si>
  <si>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</si>
  <si>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</si>
  <si>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</si>
  <si>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</si>
  <si>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</si>
  <si>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</si>
  <si>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</si>
  <si>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</si>
  <si>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</si>
  <si>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</si>
  <si>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</si>
  <si>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</si>
  <si>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</si>
  <si>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</si>
  <si>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</si>
  <si>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</si>
  <si>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</si>
  <si>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</si>
  <si>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</si>
  <si>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</si>
  <si>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</si>
  <si>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</si>
  <si>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</si>
  <si>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</si>
  <si>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</si>
  <si>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</si>
  <si>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</si>
  <si>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</si>
  <si>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</si>
  <si>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</si>
  <si>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</si>
  <si>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</si>
  <si>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</si>
  <si>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</si>
  <si>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</si>
  <si>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</si>
  <si>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</si>
  <si>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</si>
  <si>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</si>
  <si>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</si>
  <si>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</si>
  <si>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</si>
  <si>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</si>
  <si>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</si>
  <si>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</si>
  <si>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</si>
  <si>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</si>
  <si>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</si>
  <si>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</si>
  <si>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</si>
  <si>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</si>
  <si>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</si>
  <si>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</si>
  <si>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</si>
  <si>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</si>
  <si>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</si>
  <si>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</si>
  <si>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</si>
  <si>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</si>
  <si>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</si>
  <si>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</si>
  <si>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</si>
  <si>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</si>
  <si>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</si>
  <si>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</si>
  <si>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</si>
  <si>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</si>
  <si>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</si>
  <si>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</si>
  <si>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</si>
  <si>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</si>
  <si>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</si>
  <si>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</si>
  <si>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</si>
  <si>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</si>
  <si>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</si>
  <si>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</si>
  <si>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</si>
  <si>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</si>
  <si>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</si>
  <si>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</si>
  <si>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</si>
  <si>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</si>
  <si>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</si>
  <si>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</si>
  <si>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</si>
  <si>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</si>
  <si>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</si>
  <si>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</si>
  <si>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</si>
  <si>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</si>
  <si>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</si>
  <si>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</si>
  <si>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</si>
  <si>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</si>
  <si>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</si>
  <si>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</si>
  <si>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</si>
  <si>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</si>
  <si>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</si>
  <si>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</si>
  <si>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</si>
  <si>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</si>
  <si>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</si>
  <si>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</si>
  <si>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</si>
  <si>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</si>
  <si>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</si>
  <si>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</si>
  <si>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</si>
  <si>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</si>
  <si>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</si>
  <si>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</si>
  <si>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</si>
  <si>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</si>
  <si>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</si>
  <si>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</si>
  <si>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</si>
  <si>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</si>
  <si>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</si>
  <si>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</si>
  <si>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</si>
  <si>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</si>
  <si>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</si>
  <si>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</si>
  <si>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</si>
  <si>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</si>
  <si>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</si>
  <si>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</si>
  <si>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</si>
  <si>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</si>
  <si>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</si>
  <si>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</si>
  <si>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</si>
  <si>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</si>
  <si>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</si>
  <si>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</si>
  <si>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</si>
  <si>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</si>
  <si>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</si>
  <si>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</si>
  <si>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</si>
  <si>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</si>
  <si>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</si>
  <si>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</si>
  <si>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</si>
  <si>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</si>
  <si>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</si>
  <si>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</si>
  <si>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</si>
  <si>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</si>
  <si>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</si>
  <si>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</si>
  <si>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</si>
  <si>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</si>
  <si>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</si>
  <si>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</si>
  <si>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</si>
  <si>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</si>
  <si>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</si>
  <si>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</si>
  <si>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</si>
  <si>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</si>
  <si>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</si>
  <si>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</si>
  <si>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</si>
  <si>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</si>
  <si>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</si>
  <si>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</si>
  <si>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</t>
    <phoneticPr fontId="2" type="noConversion"/>
  </si>
  <si>
    <t>충청도</t>
  </si>
  <si>
    <t>창호및유리공사</t>
    <phoneticPr fontId="2" type="noConversion"/>
  </si>
  <si>
    <t xml:space="preserve"> 가칭 수청초등학교 교사 신축공사</t>
    <phoneticPr fontId="2" type="noConversion"/>
  </si>
  <si>
    <t>기초공사, 골재비및운반비, 작업부산물, 품질시험비, 기타공사</t>
    <phoneticPr fontId="2" type="noConversion"/>
  </si>
  <si>
    <t>난방배관공사,바닥난방공사, 기타공사</t>
    <phoneticPr fontId="2" type="noConversion"/>
  </si>
  <si>
    <t>전기인입 및 수변전 설비공사</t>
    <phoneticPr fontId="2" type="noConversion"/>
  </si>
  <si>
    <t>옥외소화배관공사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</si>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</sst>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15331.4</v>
      </c>
      <c r="D7" s="36">
        <f>+C7/3.3058</f>
        <v>4637.7276302256641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681650</v>
      </c>
      <c r="E25" s="59">
        <f t="shared" si="0"/>
        <v>2253390</v>
      </c>
    </row>
    <row r="26" spans="1:5" x14ac:dyDescent="0.3">
      <c r="B26" s="2">
        <v>3</v>
      </c>
      <c r="C26" s="35" t="s">
        <v>95</v>
      </c>
      <c r="D26" s="45">
        <f>+D66</f>
        <v>21350</v>
      </c>
      <c r="E26" s="59">
        <f t="shared" si="0"/>
        <v>70570</v>
      </c>
    </row>
    <row r="27" spans="1:5" x14ac:dyDescent="0.3">
      <c r="B27" s="2">
        <v>4</v>
      </c>
      <c r="C27" s="35" t="s">
        <v>96</v>
      </c>
      <c r="D27" s="45">
        <f>+D95</f>
        <v>162240</v>
      </c>
      <c r="E27" s="59">
        <f t="shared" si="0"/>
        <v>536330</v>
      </c>
    </row>
    <row r="28" spans="1:5" x14ac:dyDescent="0.3">
      <c r="B28" s="2">
        <v>5</v>
      </c>
      <c r="C28" s="35" t="s">
        <v>97</v>
      </c>
      <c r="D28" s="45">
        <f>+D119</f>
        <v>120000</v>
      </c>
      <c r="E28" s="59">
        <f t="shared" si="0"/>
        <v>396690</v>
      </c>
    </row>
    <row r="29" spans="1:5" x14ac:dyDescent="0.3">
      <c r="B29" s="2">
        <v>6</v>
      </c>
      <c r="C29" s="35" t="s">
        <v>98</v>
      </c>
      <c r="D29" s="45">
        <f>+D133</f>
        <v>69340</v>
      </c>
      <c r="E29" s="59">
        <f t="shared" si="0"/>
        <v>229220</v>
      </c>
    </row>
    <row r="30" spans="1:5" x14ac:dyDescent="0.3">
      <c r="B30" s="2">
        <v>7</v>
      </c>
      <c r="C30" s="35" t="s">
        <v>99</v>
      </c>
      <c r="D30" s="45">
        <f>+D146</f>
        <v>51120</v>
      </c>
      <c r="E30" s="59">
        <f t="shared" si="0"/>
        <v>168990</v>
      </c>
    </row>
    <row r="31" spans="1:5" x14ac:dyDescent="0.3">
      <c r="B31" s="2">
        <v>8</v>
      </c>
      <c r="C31" s="35" t="s">
        <v>100</v>
      </c>
      <c r="D31" s="45">
        <f>+D154</f>
        <v>65700</v>
      </c>
      <c r="E31" s="59">
        <f t="shared" si="0"/>
        <v>217190</v>
      </c>
    </row>
    <row r="32" spans="1:5" x14ac:dyDescent="0.3">
      <c r="B32" s="2">
        <v>9</v>
      </c>
      <c r="C32" s="35" t="s">
        <v>101</v>
      </c>
      <c r="D32" s="45">
        <f>+D161</f>
        <v>16520</v>
      </c>
      <c r="E32" s="59">
        <f t="shared" si="0"/>
        <v>54610</v>
      </c>
    </row>
    <row r="33" spans="1:7" x14ac:dyDescent="0.3">
      <c r="B33" s="2">
        <v>10</v>
      </c>
      <c r="C33" s="35" t="s">
        <v>155</v>
      </c>
      <c r="D33" s="53">
        <f>TRUNC(SUM(D24:D32)*0.275,-1)</f>
        <v>326670</v>
      </c>
      <c r="E33" s="60">
        <f t="shared" si="0"/>
        <v>1079900</v>
      </c>
    </row>
    <row r="34" spans="1:7" x14ac:dyDescent="0.3">
      <c r="C34" s="35" t="s">
        <v>112</v>
      </c>
      <c r="D34" s="44">
        <f>SUM(D24:D33)</f>
        <v>1514590</v>
      </c>
      <c r="E34" s="44">
        <f>SUM(E24:E33)</f>
        <v>5006890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TRUNC(37046,-1)</f>
        <v>37040</v>
      </c>
      <c r="E40" s="62">
        <f t="shared" ref="E40:E59" si="1">TRUNC(+D40*3.3058,-1)</f>
        <v>122440</v>
      </c>
    </row>
    <row r="41" spans="1:7" x14ac:dyDescent="0.3">
      <c r="A41" s="2">
        <v>2</v>
      </c>
      <c r="C41" s="38" t="s">
        <v>13</v>
      </c>
      <c r="D41" s="42">
        <f>TRUNC(133328,-1)</f>
        <v>133320</v>
      </c>
      <c r="E41" s="63">
        <f t="shared" si="1"/>
        <v>440720</v>
      </c>
    </row>
    <row r="42" spans="1:7" x14ac:dyDescent="0.3">
      <c r="A42" s="2">
        <v>3</v>
      </c>
      <c r="C42" s="38" t="s">
        <v>14</v>
      </c>
      <c r="D42" s="42">
        <f>TRUNC(7656,-1)</f>
        <v>7650</v>
      </c>
      <c r="E42" s="63">
        <f t="shared" si="1"/>
        <v>25280</v>
      </c>
    </row>
    <row r="43" spans="1:7" x14ac:dyDescent="0.3">
      <c r="A43" s="2">
        <v>4</v>
      </c>
      <c r="C43" s="38" t="s">
        <v>16</v>
      </c>
      <c r="D43" s="42">
        <f>TRUNC(32155,-1)</f>
        <v>32150</v>
      </c>
      <c r="E43" s="63">
        <f t="shared" si="1"/>
        <v>106280</v>
      </c>
    </row>
    <row r="44" spans="1:7" x14ac:dyDescent="0.3">
      <c r="A44" s="2">
        <v>5</v>
      </c>
      <c r="C44" s="38" t="s">
        <v>17</v>
      </c>
      <c r="D44" s="42">
        <f>TRUNC(15872,-1)</f>
        <v>15870</v>
      </c>
      <c r="E44" s="63">
        <f t="shared" si="1"/>
        <v>52460</v>
      </c>
    </row>
    <row r="45" spans="1:7" x14ac:dyDescent="0.3">
      <c r="A45" s="2">
        <v>6</v>
      </c>
      <c r="C45" s="38" t="s">
        <v>18</v>
      </c>
      <c r="D45" s="42">
        <f>TRUNC(6332,-1)</f>
        <v>6330</v>
      </c>
      <c r="E45" s="63">
        <f t="shared" si="1"/>
        <v>20920</v>
      </c>
    </row>
    <row r="46" spans="1:7" x14ac:dyDescent="0.3">
      <c r="A46" s="2">
        <v>7</v>
      </c>
      <c r="C46" s="38" t="s">
        <v>19</v>
      </c>
      <c r="D46" s="42">
        <f>TRUNC(41731,-1)</f>
        <v>41730</v>
      </c>
      <c r="E46" s="63">
        <f t="shared" si="1"/>
        <v>137950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TRUNC(45635,-1)</f>
        <v>45630</v>
      </c>
      <c r="E48" s="63">
        <f t="shared" si="1"/>
        <v>150840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TRUNC(14463,-1)</f>
        <v>14460</v>
      </c>
      <c r="E49" s="63">
        <f t="shared" si="1"/>
        <v>47800</v>
      </c>
    </row>
    <row r="50" spans="1:7" x14ac:dyDescent="0.3">
      <c r="A50" s="2">
        <v>11</v>
      </c>
      <c r="C50" s="38" t="s">
        <v>156</v>
      </c>
      <c r="D50" s="42">
        <f>TRUNC(32435,-1)</f>
        <v>32430</v>
      </c>
      <c r="E50" s="63">
        <f t="shared" si="1"/>
        <v>107200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TRUNC(14677,-1)</f>
        <v>14670</v>
      </c>
      <c r="E52" s="63">
        <f t="shared" si="1"/>
        <v>48490</v>
      </c>
    </row>
    <row r="53" spans="1:7" x14ac:dyDescent="0.3">
      <c r="A53" s="2">
        <v>14</v>
      </c>
      <c r="C53" s="38" t="s">
        <v>25</v>
      </c>
      <c r="D53" s="42">
        <f>TRUNC(40481,-1)</f>
        <v>40480</v>
      </c>
      <c r="E53" s="63">
        <f t="shared" si="1"/>
        <v>133810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TRUNC(15837+8107-897+1022+6527,-1)</f>
        <v>30590</v>
      </c>
      <c r="E58" s="63">
        <f t="shared" si="1"/>
        <v>101120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TRUNC(229301,-1)</f>
        <v>229300</v>
      </c>
      <c r="E59" s="64">
        <f t="shared" si="1"/>
        <v>758010</v>
      </c>
    </row>
    <row r="60" spans="1:7" x14ac:dyDescent="0.3">
      <c r="A60" s="2">
        <v>21</v>
      </c>
      <c r="C60" s="27" t="s">
        <v>112</v>
      </c>
      <c r="D60" s="39">
        <f>SUM(D40:D59)</f>
        <v>681650</v>
      </c>
      <c r="E60" s="39">
        <f>SUM(E40:E59)</f>
        <v>2253320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TRUNC(21352,-1)</f>
        <v>21350</v>
      </c>
      <c r="E63" s="62">
        <f>TRUNC(+D63*3.3058,-1)</f>
        <v>70570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21350</v>
      </c>
      <c r="E66" s="65">
        <f>SUM(E63:E65)</f>
        <v>70570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TRUNC(6493,-1)</f>
        <v>6490</v>
      </c>
      <c r="E69" s="62">
        <f t="shared" ref="E69:E94" si="2">TRUNC(+D69*3.3058,-1)</f>
        <v>21450</v>
      </c>
    </row>
    <row r="70" spans="1:7" ht="16.5" customHeight="1" x14ac:dyDescent="0.3">
      <c r="A70" s="2">
        <v>2</v>
      </c>
      <c r="C70" s="38" t="s">
        <v>31</v>
      </c>
      <c r="D70" s="42">
        <f>TRUNC(1899,-1)</f>
        <v>1890</v>
      </c>
      <c r="E70" s="63">
        <f t="shared" si="2"/>
        <v>6240</v>
      </c>
    </row>
    <row r="71" spans="1:7" x14ac:dyDescent="0.3">
      <c r="A71" s="2">
        <v>3</v>
      </c>
      <c r="C71" s="38" t="s">
        <v>32</v>
      </c>
      <c r="D71" s="42">
        <f>TRUNC(5504,-1)</f>
        <v>5500</v>
      </c>
      <c r="E71" s="63">
        <f t="shared" si="2"/>
        <v>18180</v>
      </c>
    </row>
    <row r="72" spans="1:7" x14ac:dyDescent="0.3">
      <c r="A72" s="2">
        <v>4</v>
      </c>
      <c r="C72" s="38" t="s">
        <v>33</v>
      </c>
      <c r="D72" s="42">
        <f>TRUNC(3268,-1)</f>
        <v>3260</v>
      </c>
      <c r="E72" s="63">
        <f t="shared" si="2"/>
        <v>10770</v>
      </c>
    </row>
    <row r="73" spans="1:7" x14ac:dyDescent="0.3">
      <c r="A73" s="2">
        <v>5</v>
      </c>
      <c r="C73" s="38" t="s">
        <v>34</v>
      </c>
      <c r="D73" s="42">
        <f>TRUNC(13348,-1)</f>
        <v>13340</v>
      </c>
      <c r="E73" s="63">
        <f t="shared" si="2"/>
        <v>44090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TRUNC(12609,-1)</f>
        <v>12600</v>
      </c>
      <c r="E76" s="63">
        <f t="shared" si="2"/>
        <v>41650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TRUNC(6532,-1)</f>
        <v>6530</v>
      </c>
      <c r="E89" s="63">
        <f t="shared" si="2"/>
        <v>21580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TRUNC(7693,-1)</f>
        <v>7690</v>
      </c>
      <c r="E91" s="63">
        <f t="shared" si="2"/>
        <v>25420</v>
      </c>
    </row>
    <row r="92" spans="1:7" x14ac:dyDescent="0.3">
      <c r="A92" s="2">
        <v>24</v>
      </c>
      <c r="C92" s="38" t="s">
        <v>38</v>
      </c>
      <c r="D92" s="42">
        <v>7070</v>
      </c>
      <c r="E92" s="63">
        <f t="shared" si="2"/>
        <v>23370</v>
      </c>
    </row>
    <row r="93" spans="1:7" x14ac:dyDescent="0.3">
      <c r="A93" s="2">
        <v>25</v>
      </c>
      <c r="C93" s="38" t="s">
        <v>149</v>
      </c>
      <c r="D93" s="42">
        <f>TRUNC(90495,-1)</f>
        <v>90490</v>
      </c>
      <c r="E93" s="63">
        <f t="shared" si="2"/>
        <v>299140</v>
      </c>
    </row>
    <row r="94" spans="1:7" ht="17.25" thickBot="1" x14ac:dyDescent="0.35">
      <c r="A94" s="2">
        <v>26</v>
      </c>
      <c r="C94" s="38" t="s">
        <v>47</v>
      </c>
      <c r="D94" s="43">
        <f>TRUNC(2238+1990+3157,-1)</f>
        <v>7380</v>
      </c>
      <c r="E94" s="64">
        <f t="shared" si="2"/>
        <v>24390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162240</v>
      </c>
      <c r="E95" s="39">
        <f>SUM(E69:E94)</f>
        <v>536280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TRUNC(11933,-1)</f>
        <v>11930</v>
      </c>
      <c r="E98" s="62">
        <f t="shared" ref="E98:E118" si="3">TRUNC(+D98*3.3058,-1)</f>
        <v>39430</v>
      </c>
    </row>
    <row r="99" spans="1:7" x14ac:dyDescent="0.3">
      <c r="A99" s="2">
        <v>2</v>
      </c>
      <c r="C99" s="38" t="s">
        <v>40</v>
      </c>
      <c r="D99" s="42">
        <f>TRUNC(4753,-1)</f>
        <v>4750</v>
      </c>
      <c r="E99" s="63">
        <f t="shared" si="3"/>
        <v>15700</v>
      </c>
    </row>
    <row r="100" spans="1:7" x14ac:dyDescent="0.3">
      <c r="A100" s="2">
        <v>3</v>
      </c>
      <c r="C100" s="38" t="s">
        <v>41</v>
      </c>
      <c r="D100" s="42">
        <f>TRUNC(31667,-1)</f>
        <v>31660</v>
      </c>
      <c r="E100" s="63">
        <f t="shared" si="3"/>
        <v>104660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TRUNC(25652,-1)</f>
        <v>25650</v>
      </c>
      <c r="E102" s="63">
        <f t="shared" si="3"/>
        <v>84790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TRUNC(3856,-1)</f>
        <v>3850</v>
      </c>
      <c r="E104" s="63">
        <f t="shared" si="3"/>
        <v>12720</v>
      </c>
    </row>
    <row r="105" spans="1:7" x14ac:dyDescent="0.3">
      <c r="A105" s="2">
        <v>8</v>
      </c>
      <c r="C105" s="38" t="s">
        <v>46</v>
      </c>
      <c r="D105" s="42">
        <f>TRUNC(5102,-1)</f>
        <v>5100</v>
      </c>
      <c r="E105" s="63">
        <f t="shared" si="3"/>
        <v>16850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2930</v>
      </c>
      <c r="E116" s="63">
        <f t="shared" si="3"/>
        <v>9680</v>
      </c>
      <c r="F116" s="2" t="s">
        <v>260</v>
      </c>
    </row>
    <row r="117" spans="1:7" x14ac:dyDescent="0.3">
      <c r="A117" s="2">
        <v>20</v>
      </c>
      <c r="C117" s="38" t="s">
        <v>149</v>
      </c>
      <c r="D117" s="42">
        <f>TRUNC(33066,-1)</f>
        <v>33060</v>
      </c>
      <c r="E117" s="63">
        <f t="shared" si="3"/>
        <v>109280</v>
      </c>
    </row>
    <row r="118" spans="1:7" ht="17.25" thickBot="1" x14ac:dyDescent="0.35">
      <c r="A118" s="2">
        <v>21</v>
      </c>
      <c r="C118" s="38" t="s">
        <v>47</v>
      </c>
      <c r="D118" s="43">
        <v>1070</v>
      </c>
      <c r="E118" s="64">
        <f t="shared" si="3"/>
        <v>3530</v>
      </c>
    </row>
    <row r="119" spans="1:7" x14ac:dyDescent="0.3">
      <c r="A119" s="2">
        <v>22</v>
      </c>
      <c r="C119" s="27" t="s">
        <v>112</v>
      </c>
      <c r="D119" s="39">
        <f>SUM(D98:D118)</f>
        <v>120000</v>
      </c>
      <c r="E119" s="39">
        <f>SUM(E98:E118)</f>
        <v>396640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4690</v>
      </c>
      <c r="E122" s="62">
        <f t="shared" ref="E122:E132" si="4">TRUNC(+D122*3.3058,-1)</f>
        <v>15500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TRUNC(9384,-1)</f>
        <v>9380</v>
      </c>
      <c r="E125" s="63">
        <f t="shared" si="4"/>
        <v>31000</v>
      </c>
    </row>
    <row r="126" spans="1:7" x14ac:dyDescent="0.3">
      <c r="A126" s="2">
        <v>5</v>
      </c>
      <c r="C126" s="38" t="s">
        <v>53</v>
      </c>
      <c r="D126" s="42">
        <f>TRUNC(3364,-1)</f>
        <v>3360</v>
      </c>
      <c r="E126" s="63">
        <f t="shared" si="4"/>
        <v>11100</v>
      </c>
    </row>
    <row r="127" spans="1:7" x14ac:dyDescent="0.3">
      <c r="A127" s="2">
        <v>6</v>
      </c>
      <c r="C127" s="38" t="s">
        <v>56</v>
      </c>
      <c r="D127" s="42">
        <f>TRUNC(2188,-1)</f>
        <v>2180</v>
      </c>
      <c r="E127" s="63">
        <f t="shared" si="4"/>
        <v>7200</v>
      </c>
    </row>
    <row r="128" spans="1:7" x14ac:dyDescent="0.3">
      <c r="A128" s="2">
        <v>7</v>
      </c>
      <c r="C128" s="38" t="s">
        <v>46</v>
      </c>
      <c r="D128" s="42">
        <f>TRUNC(4483,-1)</f>
        <v>4480</v>
      </c>
      <c r="E128" s="63">
        <f t="shared" si="4"/>
        <v>14800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TRUNC(16314,-1)</f>
        <v>16310</v>
      </c>
      <c r="E130" s="63">
        <f t="shared" si="4"/>
        <v>53910</v>
      </c>
    </row>
    <row r="131" spans="1:7" x14ac:dyDescent="0.3">
      <c r="A131" s="2">
        <v>10</v>
      </c>
      <c r="C131" s="38" t="s">
        <v>149</v>
      </c>
      <c r="D131" s="42">
        <f>TRUNC(27598,-1)</f>
        <v>27590</v>
      </c>
      <c r="E131" s="63">
        <f t="shared" si="4"/>
        <v>91200</v>
      </c>
    </row>
    <row r="132" spans="1:7" ht="18" thickBot="1" x14ac:dyDescent="0.35">
      <c r="A132" s="2">
        <v>11</v>
      </c>
      <c r="C132" s="38" t="s">
        <v>47</v>
      </c>
      <c r="D132" s="43">
        <f>TRUNC(1357,-1)</f>
        <v>1350</v>
      </c>
      <c r="E132" s="64">
        <f t="shared" si="4"/>
        <v>4460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69340</v>
      </c>
      <c r="E133" s="39">
        <f>SUM(E122:E132)</f>
        <v>229170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TRUNC(123,-1)</f>
        <v>120</v>
      </c>
      <c r="E137" s="63">
        <f t="shared" si="5"/>
        <v>390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1950</v>
      </c>
      <c r="E139" s="63">
        <f t="shared" si="5"/>
        <v>6440</v>
      </c>
    </row>
    <row r="140" spans="1:7" x14ac:dyDescent="0.3">
      <c r="A140" s="2">
        <v>5</v>
      </c>
      <c r="C140" s="38" t="s">
        <v>57</v>
      </c>
      <c r="D140" s="42">
        <f>TRUNC(1684,-1)</f>
        <v>1680</v>
      </c>
      <c r="E140" s="63">
        <f t="shared" si="5"/>
        <v>5550</v>
      </c>
    </row>
    <row r="141" spans="1:7" x14ac:dyDescent="0.3">
      <c r="A141" s="2">
        <v>6</v>
      </c>
      <c r="C141" s="38" t="s">
        <v>59</v>
      </c>
      <c r="D141" s="42">
        <f>TRUNC(15522,-1)</f>
        <v>15520</v>
      </c>
      <c r="E141" s="63">
        <f t="shared" si="5"/>
        <v>51300</v>
      </c>
    </row>
    <row r="142" spans="1:7" x14ac:dyDescent="0.3">
      <c r="A142" s="2">
        <v>7</v>
      </c>
      <c r="C142" s="38" t="s">
        <v>58</v>
      </c>
      <c r="D142" s="42">
        <f>TRUNC(10016,-1)</f>
        <v>10010</v>
      </c>
      <c r="E142" s="63">
        <f t="shared" si="5"/>
        <v>33090</v>
      </c>
    </row>
    <row r="143" spans="1:7" x14ac:dyDescent="0.3">
      <c r="A143" s="2">
        <v>8</v>
      </c>
      <c r="C143" s="38" t="s">
        <v>62</v>
      </c>
      <c r="D143" s="42">
        <f>TRUNC(4038,-1)</f>
        <v>4030</v>
      </c>
      <c r="E143" s="63">
        <f t="shared" si="5"/>
        <v>13320</v>
      </c>
    </row>
    <row r="144" spans="1:7" x14ac:dyDescent="0.3">
      <c r="A144" s="2">
        <v>9</v>
      </c>
      <c r="C144" s="38" t="s">
        <v>63</v>
      </c>
      <c r="D144" s="42">
        <f>TRUNC(17819,-1)</f>
        <v>17810</v>
      </c>
      <c r="E144" s="63">
        <f t="shared" si="5"/>
        <v>58870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51120</v>
      </c>
      <c r="E146" s="39">
        <f>SUM(E136:E145)</f>
        <v>168960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TRUNC(12289+2127,-1)</f>
        <v>14410</v>
      </c>
      <c r="E149" s="62">
        <f>TRUNC(+D149*3.3058,-1)</f>
        <v>47630</v>
      </c>
    </row>
    <row r="150" spans="1:7" x14ac:dyDescent="0.3">
      <c r="A150" s="2">
        <v>2</v>
      </c>
      <c r="C150" s="38" t="s">
        <v>49</v>
      </c>
      <c r="D150" s="42">
        <f>TRUNC(8475,-1)</f>
        <v>8470</v>
      </c>
      <c r="E150" s="63">
        <f>TRUNC(+D150*3.3058,-1)</f>
        <v>28000</v>
      </c>
    </row>
    <row r="151" spans="1:7" x14ac:dyDescent="0.3">
      <c r="A151" s="2">
        <v>3</v>
      </c>
      <c r="C151" s="38" t="s">
        <v>50</v>
      </c>
      <c r="D151" s="42">
        <f>TRUNC(17773,-1)</f>
        <v>17770</v>
      </c>
      <c r="E151" s="63">
        <f>TRUNC(+D151*3.3058,-1)</f>
        <v>58740</v>
      </c>
    </row>
    <row r="152" spans="1:7" x14ac:dyDescent="0.3">
      <c r="A152" s="2">
        <v>4</v>
      </c>
      <c r="C152" s="38" t="s">
        <v>47</v>
      </c>
      <c r="D152" s="42">
        <f>TRUNC(72+396,-1)</f>
        <v>460</v>
      </c>
      <c r="E152" s="63">
        <f>TRUNC(+D152*3.3058,-1)</f>
        <v>1520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TRUNC(24593,-1)</f>
        <v>24590</v>
      </c>
      <c r="E153" s="64">
        <f>TRUNC(+D153*3.3058,-1)</f>
        <v>81280</v>
      </c>
    </row>
    <row r="154" spans="1:7" x14ac:dyDescent="0.3">
      <c r="A154" s="2">
        <v>6</v>
      </c>
      <c r="C154" s="27" t="s">
        <v>112</v>
      </c>
      <c r="D154" s="39">
        <f>SUM(D149:D153)</f>
        <v>65700</v>
      </c>
      <c r="E154" s="39">
        <f>SUM(E149:E153)</f>
        <v>217170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TRUNC(11396,-1)</f>
        <v>11390</v>
      </c>
      <c r="E157" s="62">
        <f>TRUNC(+D157*3.3058,-1)</f>
        <v>37650</v>
      </c>
    </row>
    <row r="158" spans="1:7" x14ac:dyDescent="0.3">
      <c r="A158" s="2">
        <v>2</v>
      </c>
      <c r="C158" s="38" t="s">
        <v>52</v>
      </c>
      <c r="D158" s="42">
        <f>TRUNC(5077,-1)</f>
        <v>5070</v>
      </c>
      <c r="E158" s="63">
        <f>TRUNC(+D158*3.3058,-1)</f>
        <v>16760</v>
      </c>
    </row>
    <row r="159" spans="1:7" x14ac:dyDescent="0.3">
      <c r="A159" s="2">
        <v>3</v>
      </c>
      <c r="C159" s="38" t="s">
        <v>47</v>
      </c>
      <c r="D159" s="42">
        <f>TRUNC(65,-1)</f>
        <v>60</v>
      </c>
      <c r="E159" s="63">
        <f>TRUNC(+D159*3.3058,-1)</f>
        <v>190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16520</v>
      </c>
      <c r="E161" s="39">
        <f>SUM(E157:E160)</f>
        <v>54600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2020-12-08T04:39:29Z</dcterms:modified>
</cp:coreProperties>
</file>