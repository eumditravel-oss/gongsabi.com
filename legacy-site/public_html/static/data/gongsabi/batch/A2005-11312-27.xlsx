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0" i="4"/>
  <c r="E129" i="4"/>
  <c r="E128" i="4"/>
  <c r="E127" i="4"/>
  <c r="E126" i="4"/>
  <c r="E124" i="4"/>
  <c r="E116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4" i="4"/>
  <c r="E91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65" i="4"/>
  <c r="E64" i="4"/>
  <c r="E57" i="4"/>
  <c r="E56" i="4"/>
  <c r="E54" i="4"/>
  <c r="E161" i="4" l="1"/>
  <c r="D117" i="4"/>
  <c r="E117" i="4" s="1"/>
  <c r="D93" i="4"/>
  <c r="E93" i="4" s="1"/>
  <c r="D59" i="4"/>
  <c r="E59" i="4" s="1"/>
  <c r="D161" i="4" l="1"/>
  <c r="D152" i="4"/>
  <c r="D137" i="4"/>
  <c r="E137" i="4" s="1"/>
  <c r="D136" i="4"/>
  <c r="D132" i="4"/>
  <c r="E132" i="4" s="1"/>
  <c r="D131" i="4"/>
  <c r="E131" i="4" s="1"/>
  <c r="D125" i="4"/>
  <c r="E125" i="4" s="1"/>
  <c r="D123" i="4"/>
  <c r="D122" i="4"/>
  <c r="E122" i="4" s="1"/>
  <c r="D118" i="4"/>
  <c r="E118" i="4" s="1"/>
  <c r="D115" i="4"/>
  <c r="E115" i="4" s="1"/>
  <c r="D108" i="4"/>
  <c r="E108" i="4" s="1"/>
  <c r="D102" i="4"/>
  <c r="E102" i="4" s="1"/>
  <c r="D100" i="4"/>
  <c r="E100" i="4" s="1"/>
  <c r="D99" i="4"/>
  <c r="E99" i="4" s="1"/>
  <c r="D98" i="4"/>
  <c r="D92" i="4"/>
  <c r="E92" i="4" s="1"/>
  <c r="D90" i="4"/>
  <c r="E90" i="4" s="1"/>
  <c r="D89" i="4"/>
  <c r="E89" i="4" s="1"/>
  <c r="D79" i="4"/>
  <c r="E79" i="4" s="1"/>
  <c r="D73" i="4"/>
  <c r="E73" i="4" s="1"/>
  <c r="D72" i="4"/>
  <c r="E72" i="4" s="1"/>
  <c r="D71" i="4"/>
  <c r="E71" i="4" s="1"/>
  <c r="D70" i="4"/>
  <c r="E70" i="4" s="1"/>
  <c r="D69" i="4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D32" i="4"/>
  <c r="E32" i="4" s="1"/>
  <c r="D7" i="4"/>
  <c r="D119" i="4" l="1"/>
  <c r="D28" i="4" s="1"/>
  <c r="E28" i="4" s="1"/>
  <c r="E98" i="4"/>
  <c r="D133" i="4"/>
  <c r="D29" i="4" s="1"/>
  <c r="E29" i="4" s="1"/>
  <c r="E123" i="4"/>
  <c r="D146" i="4"/>
  <c r="D30" i="4" s="1"/>
  <c r="E30" i="4" s="1"/>
  <c r="E136" i="4"/>
  <c r="E146" i="4" s="1"/>
  <c r="E119" i="4"/>
  <c r="E133" i="4"/>
  <c r="D24" i="4"/>
  <c r="E24" i="4" s="1"/>
  <c r="E37" i="4"/>
  <c r="D66" i="4"/>
  <c r="D26" i="4" s="1"/>
  <c r="E26" i="4" s="1"/>
  <c r="E63" i="4"/>
  <c r="E66" i="4" s="1"/>
  <c r="D154" i="4"/>
  <c r="D31" i="4" s="1"/>
  <c r="E31" i="4" s="1"/>
  <c r="E152" i="4"/>
  <c r="E154" i="4" s="1"/>
  <c r="D60" i="4"/>
  <c r="D25" i="4" s="1"/>
  <c r="E25" i="4" s="1"/>
  <c r="E40" i="4"/>
  <c r="E60" i="4" s="1"/>
  <c r="D95" i="4"/>
  <c r="D27" i="4" s="1"/>
  <c r="E27" i="4" s="1"/>
  <c r="E69" i="4"/>
  <c r="E95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<sst xmlns="http://schemas.openxmlformats.org/spreadsheetml/2006/main" count="394" uniqueCount="268">
  <si>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</si>
  <si>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</si>
  <si>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</si>
  <si>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</si>
  <si>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</si>
  <si>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</si>
  <si>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</si>
  <si>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</si>
  <si>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</si>
  <si>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</si>
  <si>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</si>
  <si>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</si>
  <si>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</si>
  <si>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</si>
  <si>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</si>
  <si>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</si>
  <si>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</si>
  <si>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</si>
  <si>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</si>
  <si>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</si>
  <si>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</si>
  <si>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</si>
  <si>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</si>
  <si>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</si>
  <si>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</si>
  <si>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</si>
  <si>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</si>
  <si>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</si>
  <si>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</si>
  <si>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</si>
  <si>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</si>
  <si>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</si>
  <si>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</si>
  <si>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</si>
  <si>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</si>
  <si>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</si>
  <si>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</si>
  <si>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</si>
  <si>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</si>
  <si>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</si>
  <si>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</si>
  <si>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</si>
  <si>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</si>
  <si>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</si>
  <si>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</si>
  <si>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</si>
  <si>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</si>
  <si>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</si>
  <si>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</si>
  <si>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</si>
  <si>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</si>
  <si>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</si>
  <si>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</si>
  <si>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</si>
  <si>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</si>
  <si>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</si>
  <si>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</si>
  <si>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</si>
  <si>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</si>
  <si>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</si>
  <si>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</si>
  <si>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</si>
  <si>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</si>
  <si>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</si>
  <si>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</si>
  <si>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</si>
  <si>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</si>
  <si>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</si>
  <si>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</si>
  <si>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</si>
  <si>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</si>
  <si>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</si>
  <si>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</si>
  <si>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</si>
  <si>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</si>
  <si>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</si>
  <si>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</si>
  <si>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</si>
  <si>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</si>
  <si>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</si>
  <si>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</si>
  <si>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</si>
  <si>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</si>
  <si>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</si>
  <si>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</si>
  <si>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</si>
  <si>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</si>
  <si>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</si>
  <si>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</si>
  <si>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</si>
  <si>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</si>
  <si>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</si>
  <si>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</si>
  <si>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</si>
  <si>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</si>
  <si>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</si>
  <si>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</si>
  <si>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</si>
  <si>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</si>
  <si>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</si>
  <si>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</si>
  <si>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</si>
  <si>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</si>
  <si>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</si>
  <si>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</si>
  <si>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</si>
  <si>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</si>
  <si>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</si>
  <si>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</si>
  <si>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</si>
  <si>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</si>
  <si>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</si>
  <si>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</si>
  <si>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</si>
  <si>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</si>
  <si>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</si>
  <si>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</si>
  <si>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</si>
  <si>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</si>
  <si>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</si>
  <si>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</si>
  <si>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</si>
  <si>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</si>
  <si>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</si>
  <si>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</si>
  <si>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</si>
  <si>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</si>
  <si>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</si>
  <si>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</si>
  <si>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</si>
  <si>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</si>
  <si>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</si>
  <si>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</si>
  <si>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</si>
  <si>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</si>
  <si>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</si>
  <si>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</si>
  <si>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</si>
  <si>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</si>
  <si>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</si>
  <si>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</si>
  <si>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</si>
  <si>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</si>
  <si>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</si>
  <si>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</si>
  <si>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</si>
  <si>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</si>
  <si>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</si>
  <si>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</si>
  <si>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</si>
  <si>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</si>
  <si>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</si>
  <si>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</si>
  <si>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</si>
  <si>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</si>
  <si>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</si>
  <si>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</si>
  <si>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</si>
  <si>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</si>
  <si>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</si>
  <si>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</si>
  <si>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</si>
  <si>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</si>
  <si>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</si>
  <si>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</si>
  <si>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</si>
  <si>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</si>
  <si>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</si>
  <si>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</si>
  <si>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</si>
  <si>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</si>
  <si>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</si>
  <si>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</si>
  <si>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</si>
  <si>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</si>
  <si>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</si>
  <si>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</si>
  <si>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</si>
  <si>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</si>
  <si>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</si>
  <si>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</si>
  <si>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</si>
  <si>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</si>
  <si>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</si>
  <si>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</si>
  <si>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</si>
  <si>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</si>
  <si>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</si>
  <si>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</si>
  <si>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</si>
  <si>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</si>
  <si>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</si>
  <si>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</si>
  <si>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</si>
  <si>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</si>
  <si>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</si>
  <si>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</si>
  <si>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</si>
  <si>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</si>
  <si>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</si>
  <si>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</si>
  <si>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</si>
  <si>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</si>
  <si>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</si>
  <si>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</si>
  <si>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</si>
  <si>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</si>
  <si>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</si>
  <si>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</si>
  <si>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</si>
  <si>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</si>
  <si>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</si>
  <si>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</si>
  <si>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</si>
  <si>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</si>
  <si>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</si>
  <si>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</si>
  <si>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</si>
  <si>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</si>
  <si>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</si>
  <si>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</si>
  <si>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</si>
  <si>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</si>
  <si>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</si>
  <si>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</si>
  <si>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</si>
  <si>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</si>
  <si>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</si>
  <si>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</si>
  <si>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</si>
  <si>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</si>
  <si>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</si>
  <si>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</si>
  <si>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</si>
  <si>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</si>
  <si>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</si>
  <si>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</si>
  <si>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</si>
  <si>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</si>
  <si>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</si>
  <si>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</si>
  <si>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</si>
  <si>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</si>
  <si>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</si>
  <si>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</si>
  <si>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</si>
  <si>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</si>
  <si>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00초등학교 신축공사</t>
  </si>
  <si>
    <t>경상도</t>
  </si>
  <si>
    <t>평</t>
    <phoneticPr fontId="2" type="noConversion"/>
  </si>
  <si>
    <t>원/ m2</t>
    <phoneticPr fontId="2" type="noConversion"/>
  </si>
  <si>
    <t>사급자재대, 운반비, 작업부산물, 토공사, 조회대, 정문, 후문, 국기게양대</t>
    <phoneticPr fontId="2" type="noConversion"/>
  </si>
  <si>
    <t>환기덕트설치공사</t>
  </si>
  <si>
    <t>위생설비공사</t>
  </si>
  <si>
    <t xml:space="preserve"> 전열설비공사,간선 및 전열설비공사</t>
    <phoneticPr fontId="2" type="noConversion"/>
  </si>
  <si>
    <t>TEC-TRAY설비공사</t>
  </si>
  <si>
    <t>전화설비공사, LAN설비공사</t>
    <phoneticPr fontId="2" type="noConversion"/>
  </si>
  <si>
    <t>방송설비공사,강당방송설비및영상설비공사,전관방송및CATV영상설치공사</t>
    <phoneticPr fontId="2" type="noConversion"/>
  </si>
  <si>
    <t>도급자설치관급자재</t>
  </si>
  <si>
    <t>도난경보설비</t>
  </si>
  <si>
    <t>토목 지하수개발공사</t>
    <phoneticPr fontId="2" type="noConversion"/>
  </si>
  <si>
    <t>도급자설치, 관급자설치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</si>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</sst>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9846</v>
      </c>
      <c r="D7" s="36">
        <f>+C7/3.3058</f>
        <v>2978.4015971928125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300</v>
      </c>
      <c r="E24" s="60">
        <f t="shared" ref="E24:E33" si="0">TRUNC(+D24*3.3058,-1)</f>
        <v>990</v>
      </c>
    </row>
    <row r="25" spans="1:5" x14ac:dyDescent="0.3">
      <c r="B25" s="2">
        <v>2</v>
      </c>
      <c r="C25" s="35" t="s">
        <v>111</v>
      </c>
      <c r="D25" s="45">
        <f>+D60</f>
        <v>546130</v>
      </c>
      <c r="E25" s="61">
        <f t="shared" si="0"/>
        <v>1805390</v>
      </c>
    </row>
    <row r="26" spans="1:5" x14ac:dyDescent="0.3">
      <c r="B26" s="2">
        <v>3</v>
      </c>
      <c r="C26" s="35" t="s">
        <v>95</v>
      </c>
      <c r="D26" s="56">
        <f>+D66</f>
        <v>41470</v>
      </c>
      <c r="E26" s="61">
        <f t="shared" si="0"/>
        <v>137090</v>
      </c>
    </row>
    <row r="27" spans="1:5" x14ac:dyDescent="0.3">
      <c r="B27" s="2">
        <v>4</v>
      </c>
      <c r="C27" s="35" t="s">
        <v>96</v>
      </c>
      <c r="D27" s="56">
        <f>+D95</f>
        <v>31790</v>
      </c>
      <c r="E27" s="61">
        <f t="shared" si="0"/>
        <v>105090</v>
      </c>
    </row>
    <row r="28" spans="1:5" x14ac:dyDescent="0.3">
      <c r="B28" s="2">
        <v>5</v>
      </c>
      <c r="C28" s="35" t="s">
        <v>97</v>
      </c>
      <c r="D28" s="56">
        <f>+D119</f>
        <v>76670</v>
      </c>
      <c r="E28" s="61">
        <f t="shared" si="0"/>
        <v>253450</v>
      </c>
    </row>
    <row r="29" spans="1:5" x14ac:dyDescent="0.3">
      <c r="B29" s="2">
        <v>6</v>
      </c>
      <c r="C29" s="35" t="s">
        <v>98</v>
      </c>
      <c r="D29" s="56">
        <f>+D133</f>
        <v>18950</v>
      </c>
      <c r="E29" s="61">
        <f t="shared" si="0"/>
        <v>62640</v>
      </c>
    </row>
    <row r="30" spans="1:5" x14ac:dyDescent="0.3">
      <c r="B30" s="2">
        <v>7</v>
      </c>
      <c r="C30" s="35" t="s">
        <v>99</v>
      </c>
      <c r="D30" s="56">
        <f>+D146</f>
        <v>13700</v>
      </c>
      <c r="E30" s="61">
        <f t="shared" si="0"/>
        <v>45280</v>
      </c>
    </row>
    <row r="31" spans="1:5" x14ac:dyDescent="0.3">
      <c r="B31" s="2">
        <v>8</v>
      </c>
      <c r="C31" s="35" t="s">
        <v>100</v>
      </c>
      <c r="D31" s="56">
        <f>+D154</f>
        <v>2300</v>
      </c>
      <c r="E31" s="61">
        <f t="shared" si="0"/>
        <v>7600</v>
      </c>
    </row>
    <row r="32" spans="1:5" x14ac:dyDescent="0.3">
      <c r="B32" s="2">
        <v>9</v>
      </c>
      <c r="C32" s="35" t="s">
        <v>101</v>
      </c>
      <c r="D32" s="56">
        <f>+D161</f>
        <v>0</v>
      </c>
      <c r="E32" s="61">
        <f t="shared" si="0"/>
        <v>0</v>
      </c>
    </row>
    <row r="33" spans="1:7" x14ac:dyDescent="0.3">
      <c r="B33" s="2">
        <v>10</v>
      </c>
      <c r="C33" s="35" t="s">
        <v>154</v>
      </c>
      <c r="D33" s="57">
        <f>TRUNC(SUM(D24:D32)*0.275,-1)</f>
        <v>201110</v>
      </c>
      <c r="E33" s="62">
        <f t="shared" si="0"/>
        <v>664820</v>
      </c>
    </row>
    <row r="34" spans="1:7" x14ac:dyDescent="0.3">
      <c r="C34" s="35" t="s">
        <v>112</v>
      </c>
      <c r="D34" s="44">
        <f>SUM(D24:D33)</f>
        <v>932420</v>
      </c>
      <c r="E34" s="44">
        <f>SUM(E24:E33)</f>
        <v>3082350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236</v>
      </c>
      <c r="D36" s="55" t="s">
        <v>235</v>
      </c>
      <c r="E36" s="55" t="s">
        <v>153</v>
      </c>
      <c r="F36" s="53"/>
      <c r="G36" s="53"/>
    </row>
    <row r="37" spans="1:7" ht="17.25" thickBot="1" x14ac:dyDescent="0.35">
      <c r="C37" s="38" t="s">
        <v>143</v>
      </c>
      <c r="D37" s="52">
        <f>TRUNC(307.188401381272,-1)</f>
        <v>300</v>
      </c>
      <c r="E37" s="63">
        <f>TRUNC(+D37*3.3058,-1)</f>
        <v>990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240</v>
      </c>
      <c r="D39" s="68" t="s">
        <v>263</v>
      </c>
      <c r="E39" s="68" t="s">
        <v>264</v>
      </c>
      <c r="G39" s="69"/>
    </row>
    <row r="40" spans="1:7" x14ac:dyDescent="0.3">
      <c r="A40" s="2">
        <v>1</v>
      </c>
      <c r="C40" s="38" t="s">
        <v>15</v>
      </c>
      <c r="D40" s="40">
        <f>TRUNC(25592.7374568353,-1)</f>
        <v>25590</v>
      </c>
      <c r="E40" s="64">
        <f t="shared" ref="E40:E59" si="1">TRUNC(+D40*3.3058,-1)</f>
        <v>84590</v>
      </c>
    </row>
    <row r="41" spans="1:7" x14ac:dyDescent="0.3">
      <c r="A41" s="2">
        <v>2</v>
      </c>
      <c r="C41" s="38" t="s">
        <v>13</v>
      </c>
      <c r="D41" s="42">
        <f>TRUNC(116929.425858217,-1)</f>
        <v>116920</v>
      </c>
      <c r="E41" s="65">
        <f t="shared" si="1"/>
        <v>386510</v>
      </c>
    </row>
    <row r="42" spans="1:7" x14ac:dyDescent="0.3">
      <c r="A42" s="2">
        <v>3</v>
      </c>
      <c r="C42" s="38" t="s">
        <v>14</v>
      </c>
      <c r="D42" s="42">
        <f>TRUNC(10705.8860450945,-1)</f>
        <v>10700</v>
      </c>
      <c r="E42" s="65">
        <f t="shared" si="1"/>
        <v>35370</v>
      </c>
    </row>
    <row r="43" spans="1:7" x14ac:dyDescent="0.3">
      <c r="A43" s="2">
        <v>4</v>
      </c>
      <c r="C43" s="38" t="s">
        <v>16</v>
      </c>
      <c r="D43" s="42">
        <f>TRUNC(42077.4986796669,-1)</f>
        <v>42070</v>
      </c>
      <c r="E43" s="65">
        <f t="shared" si="1"/>
        <v>139070</v>
      </c>
    </row>
    <row r="44" spans="1:7" x14ac:dyDescent="0.3">
      <c r="A44" s="2">
        <v>5</v>
      </c>
      <c r="C44" s="38" t="s">
        <v>17</v>
      </c>
      <c r="D44" s="42">
        <f>TRUNC(10598.0522039407,-1)</f>
        <v>10590</v>
      </c>
      <c r="E44" s="65">
        <f t="shared" si="1"/>
        <v>35000</v>
      </c>
    </row>
    <row r="45" spans="1:7" x14ac:dyDescent="0.3">
      <c r="A45" s="2">
        <v>6</v>
      </c>
      <c r="C45" s="38" t="s">
        <v>18</v>
      </c>
      <c r="D45" s="42">
        <f>TRUNC(8490.49979687183,-1)</f>
        <v>8490</v>
      </c>
      <c r="E45" s="65">
        <f t="shared" si="1"/>
        <v>28060</v>
      </c>
    </row>
    <row r="46" spans="1:7" x14ac:dyDescent="0.3">
      <c r="A46" s="2">
        <v>7</v>
      </c>
      <c r="C46" s="38" t="s">
        <v>19</v>
      </c>
      <c r="D46" s="42">
        <f>TRUNC(10023.8053016453,-1)</f>
        <v>10020</v>
      </c>
      <c r="E46" s="65">
        <f t="shared" si="1"/>
        <v>33120</v>
      </c>
    </row>
    <row r="47" spans="1:7" x14ac:dyDescent="0.3">
      <c r="A47" s="2">
        <v>8</v>
      </c>
      <c r="C47" s="38" t="s">
        <v>20</v>
      </c>
      <c r="D47" s="42">
        <f>TRUNC(16863.6268535446,-1)</f>
        <v>16860</v>
      </c>
      <c r="E47" s="65">
        <f t="shared" si="1"/>
        <v>55730</v>
      </c>
    </row>
    <row r="48" spans="1:7" x14ac:dyDescent="0.3">
      <c r="A48" s="2">
        <v>9</v>
      </c>
      <c r="C48" s="38" t="s">
        <v>21</v>
      </c>
      <c r="D48" s="42">
        <f>TRUNC(21471.07007922,-1)</f>
        <v>21470</v>
      </c>
      <c r="E48" s="65">
        <f t="shared" si="1"/>
        <v>70970</v>
      </c>
    </row>
    <row r="49" spans="1:7" x14ac:dyDescent="0.3">
      <c r="A49" s="2">
        <v>10</v>
      </c>
      <c r="C49" s="38" t="s">
        <v>22</v>
      </c>
      <c r="D49" s="42">
        <f>TRUNC(14664.8910217347,-1)</f>
        <v>14660</v>
      </c>
      <c r="E49" s="65">
        <f t="shared" si="1"/>
        <v>48460</v>
      </c>
    </row>
    <row r="50" spans="1:7" x14ac:dyDescent="0.3">
      <c r="A50" s="2">
        <v>11</v>
      </c>
      <c r="C50" s="38" t="s">
        <v>155</v>
      </c>
      <c r="D50" s="42">
        <f>TRUNC(6927.42179565306,-1)</f>
        <v>6920</v>
      </c>
      <c r="E50" s="65">
        <f t="shared" si="1"/>
        <v>22870</v>
      </c>
    </row>
    <row r="51" spans="1:7" x14ac:dyDescent="0.3">
      <c r="A51" s="2">
        <v>12</v>
      </c>
      <c r="C51" s="38" t="s">
        <v>23</v>
      </c>
      <c r="D51" s="42">
        <f>TRUNC(8306.87670119846,-1)</f>
        <v>8300</v>
      </c>
      <c r="E51" s="65">
        <f t="shared" si="1"/>
        <v>27430</v>
      </c>
    </row>
    <row r="52" spans="1:7" x14ac:dyDescent="0.3">
      <c r="A52" s="2">
        <v>13</v>
      </c>
      <c r="C52" s="38" t="s">
        <v>24</v>
      </c>
      <c r="D52" s="42">
        <f>TRUNC(6625.09029047329,-1)</f>
        <v>6620</v>
      </c>
      <c r="E52" s="65">
        <f t="shared" si="1"/>
        <v>21880</v>
      </c>
    </row>
    <row r="53" spans="1:7" x14ac:dyDescent="0.3">
      <c r="A53" s="2">
        <v>14</v>
      </c>
      <c r="C53" s="38" t="s">
        <v>25</v>
      </c>
      <c r="D53" s="42">
        <f>TRUNC(23525.5196018688,-1)</f>
        <v>23520</v>
      </c>
      <c r="E53" s="65">
        <f t="shared" si="1"/>
        <v>77750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TRUNC(11275.1395490555,-1)</f>
        <v>11270</v>
      </c>
      <c r="E55" s="65">
        <f t="shared" si="1"/>
        <v>37250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TRUNC(28868.6674791794+1224.73623806622-501.157830591103+12378.7470038594+1046.19327645744+2279.76396506195+296.49502335974,-1)</f>
        <v>45590</v>
      </c>
      <c r="E58" s="65">
        <f t="shared" si="1"/>
        <v>150710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TRUNC(121113.853341458+45435.1005484461,-1)</f>
        <v>166540</v>
      </c>
      <c r="E59" s="66">
        <f t="shared" si="1"/>
        <v>550540</v>
      </c>
      <c r="F59" s="2" t="s">
        <v>261</v>
      </c>
    </row>
    <row r="60" spans="1:7" x14ac:dyDescent="0.3">
      <c r="A60" s="2">
        <v>21</v>
      </c>
      <c r="C60" s="27" t="s">
        <v>112</v>
      </c>
      <c r="D60" s="39">
        <f>SUM(D40:D59)</f>
        <v>546130</v>
      </c>
      <c r="E60" s="39">
        <f>SUM(E40:E59)</f>
        <v>1805310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237</v>
      </c>
      <c r="C62" s="54" t="s">
        <v>238</v>
      </c>
      <c r="D62" s="55" t="s">
        <v>250</v>
      </c>
      <c r="E62" s="55" t="s">
        <v>153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TRUNC(41476.9327645744,-1)</f>
        <v>41470</v>
      </c>
      <c r="E63" s="64">
        <f>TRUNC(+D63*3.3058,-1)</f>
        <v>137090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41470</v>
      </c>
      <c r="E66" s="58">
        <f>SUM(E63:E65)</f>
        <v>137090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239</v>
      </c>
      <c r="C68" s="54" t="s">
        <v>240</v>
      </c>
      <c r="D68" s="55" t="s">
        <v>235</v>
      </c>
      <c r="E68" s="55" t="s">
        <v>153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TRUNC(3459.88086532602,-1)</f>
        <v>3450</v>
      </c>
      <c r="E69" s="64">
        <f>TRUNC(+D69*3.3058,-1)</f>
        <v>11400</v>
      </c>
    </row>
    <row r="70" spans="1:7" ht="16.5" customHeight="1" x14ac:dyDescent="0.3">
      <c r="A70" s="2">
        <v>2</v>
      </c>
      <c r="C70" s="38" t="s">
        <v>31</v>
      </c>
      <c r="D70" s="42">
        <f>TRUNC(428.196729636401,-1)</f>
        <v>420</v>
      </c>
      <c r="E70" s="65">
        <f>TRUNC(+D70*3.3058,-1)</f>
        <v>1380</v>
      </c>
    </row>
    <row r="71" spans="1:7" x14ac:dyDescent="0.3">
      <c r="A71" s="2">
        <v>3</v>
      </c>
      <c r="C71" s="38" t="s">
        <v>32</v>
      </c>
      <c r="D71" s="42">
        <f>TRUNC(3883.04032094251,-1)</f>
        <v>3880</v>
      </c>
      <c r="E71" s="65">
        <f t="shared" ref="E71:E73" si="2">TRUNC(+D71*3.3058,-1)</f>
        <v>12820</v>
      </c>
    </row>
    <row r="72" spans="1:7" x14ac:dyDescent="0.3">
      <c r="A72" s="2">
        <v>4</v>
      </c>
      <c r="C72" s="38" t="s">
        <v>33</v>
      </c>
      <c r="D72" s="42">
        <f>TRUNC(1392.69215925249,-1)</f>
        <v>1390</v>
      </c>
      <c r="E72" s="65">
        <f t="shared" si="2"/>
        <v>4590</v>
      </c>
    </row>
    <row r="73" spans="1:7" x14ac:dyDescent="0.3">
      <c r="A73" s="2">
        <v>5</v>
      </c>
      <c r="C73" s="38" t="s">
        <v>34</v>
      </c>
      <c r="D73" s="42">
        <f>TRUNC(819.548344505383,-1)</f>
        <v>810</v>
      </c>
      <c r="E73" s="65">
        <f t="shared" si="2"/>
        <v>2670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TRUNC(1054.78255128986,-1)</f>
        <v>1050</v>
      </c>
      <c r="E79" s="65">
        <f t="shared" si="3"/>
        <v>3470</v>
      </c>
      <c r="F79" s="2" t="s">
        <v>252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5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TRUNC(383.332317692464,-1)</f>
        <v>380</v>
      </c>
      <c r="E89" s="65">
        <f t="shared" si="3"/>
        <v>1250</v>
      </c>
    </row>
    <row r="90" spans="1:7" x14ac:dyDescent="0.3">
      <c r="A90" s="2">
        <v>22</v>
      </c>
      <c r="C90" s="38" t="s">
        <v>36</v>
      </c>
      <c r="D90" s="42">
        <f>TRUNC(158.709932967703,-1)</f>
        <v>150</v>
      </c>
      <c r="E90" s="65">
        <f>TRUNC(+D90*3.3058,-1)</f>
        <v>490</v>
      </c>
    </row>
    <row r="91" spans="1:7" x14ac:dyDescent="0.3">
      <c r="A91" s="2">
        <v>23</v>
      </c>
      <c r="C91" s="38" t="s">
        <v>37</v>
      </c>
      <c r="D91" s="42">
        <v>0</v>
      </c>
      <c r="E91" s="65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TRUNC(17648.306114158,-1)</f>
        <v>17640</v>
      </c>
      <c r="E92" s="65">
        <f>TRUNC(+D92*3.3058,-1)</f>
        <v>58310</v>
      </c>
      <c r="F92" s="2" t="s">
        <v>253</v>
      </c>
    </row>
    <row r="93" spans="1:7" x14ac:dyDescent="0.3">
      <c r="A93" s="2">
        <v>25</v>
      </c>
      <c r="C93" s="38" t="s">
        <v>148</v>
      </c>
      <c r="D93" s="42">
        <f>TRUNC(2629.36725573837,-1)</f>
        <v>2620</v>
      </c>
      <c r="E93" s="65">
        <f>TRUNC(+D93*3.3058,-1)</f>
        <v>8660</v>
      </c>
      <c r="F93" s="2" t="s">
        <v>262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6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31790</v>
      </c>
      <c r="E95" s="39">
        <f>SUM(E69:E94)</f>
        <v>105040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241</v>
      </c>
      <c r="C97" s="54" t="s">
        <v>240</v>
      </c>
      <c r="D97" s="55" t="s">
        <v>235</v>
      </c>
      <c r="E97" s="55" t="s">
        <v>153</v>
      </c>
      <c r="F97" s="53"/>
      <c r="G97" s="53"/>
    </row>
    <row r="98" spans="1:7" x14ac:dyDescent="0.3">
      <c r="A98" s="2">
        <v>1</v>
      </c>
      <c r="C98" s="38" t="s">
        <v>39</v>
      </c>
      <c r="D98" s="40">
        <f>TRUNC(4042.82124720699,-1)</f>
        <v>4040</v>
      </c>
      <c r="E98" s="64">
        <f t="shared" ref="E98:E118" si="4">TRUNC(+D98*3.3058,-1)</f>
        <v>13350</v>
      </c>
    </row>
    <row r="99" spans="1:7" x14ac:dyDescent="0.3">
      <c r="A99" s="2">
        <v>2</v>
      </c>
      <c r="C99" s="38" t="s">
        <v>40</v>
      </c>
      <c r="D99" s="42">
        <f>TRUNC(1027.67204956327,-1)</f>
        <v>1020</v>
      </c>
      <c r="E99" s="65">
        <f t="shared" si="4"/>
        <v>3370</v>
      </c>
    </row>
    <row r="100" spans="1:7" x14ac:dyDescent="0.3">
      <c r="A100" s="2">
        <v>3</v>
      </c>
      <c r="C100" s="38" t="s">
        <v>41</v>
      </c>
      <c r="D100" s="42">
        <f>TRUNC(13226.3647166362,-1)</f>
        <v>13220</v>
      </c>
      <c r="E100" s="65">
        <f t="shared" si="4"/>
        <v>43700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TRUNC(6591.31007515742+1068.32013000203,-1)</f>
        <v>7650</v>
      </c>
      <c r="E102" s="65">
        <f t="shared" si="4"/>
        <v>25280</v>
      </c>
      <c r="F102" s="2" t="s">
        <v>254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5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5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TRUNC(4155.0871419866,-1)</f>
        <v>4150</v>
      </c>
      <c r="E108" s="65">
        <f t="shared" si="4"/>
        <v>13710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5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TRUNC(1816.8957952468,-1)</f>
        <v>1810</v>
      </c>
      <c r="E115" s="65">
        <f t="shared" si="4"/>
        <v>5980</v>
      </c>
    </row>
    <row r="116" spans="1:7" x14ac:dyDescent="0.3">
      <c r="A116" s="2">
        <v>19</v>
      </c>
      <c r="C116" s="38" t="s">
        <v>115</v>
      </c>
      <c r="D116" s="42">
        <v>0</v>
      </c>
      <c r="E116" s="65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TRUNC(16472.5238675604+26414.8791387365,-1)</f>
        <v>42880</v>
      </c>
      <c r="E117" s="65">
        <f t="shared" si="4"/>
        <v>141750</v>
      </c>
      <c r="F117" s="2" t="s">
        <v>261</v>
      </c>
    </row>
    <row r="118" spans="1:7" ht="17.25" thickBot="1" x14ac:dyDescent="0.35">
      <c r="A118" s="2">
        <v>21</v>
      </c>
      <c r="C118" s="38" t="s">
        <v>47</v>
      </c>
      <c r="D118" s="43">
        <f>TRUNC(1901.41956124314,-1)</f>
        <v>1900</v>
      </c>
      <c r="E118" s="66">
        <f t="shared" si="4"/>
        <v>6280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76670</v>
      </c>
      <c r="E119" s="39">
        <f>SUM(E98:E118)</f>
        <v>253420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242</v>
      </c>
      <c r="C121" s="54" t="s">
        <v>240</v>
      </c>
      <c r="D121" s="55" t="s">
        <v>235</v>
      </c>
      <c r="E121" s="55" t="s">
        <v>153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f>TRUNC(1823.78813731465,-1)</f>
        <v>1820</v>
      </c>
      <c r="E122" s="64">
        <f t="shared" ref="E122:E132" si="5">TRUNC(+D122*3.3058,-1)</f>
        <v>6010</v>
      </c>
    </row>
    <row r="123" spans="1:7" x14ac:dyDescent="0.3">
      <c r="A123" s="2">
        <v>2</v>
      </c>
      <c r="C123" s="38" t="s">
        <v>124</v>
      </c>
      <c r="D123" s="42">
        <f>TRUNC(2702.79128580134+2871.64432256754,-1)</f>
        <v>5570</v>
      </c>
      <c r="E123" s="65">
        <f t="shared" si="5"/>
        <v>18410</v>
      </c>
      <c r="F123" s="2" t="s">
        <v>256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TRUNC(2516.54946171034+163.243550680479+461.498781230957,-1)</f>
        <v>3140</v>
      </c>
      <c r="E125" s="65">
        <f t="shared" si="5"/>
        <v>10380</v>
      </c>
      <c r="F125" s="2" t="s">
        <v>257</v>
      </c>
    </row>
    <row r="126" spans="1:7" x14ac:dyDescent="0.3">
      <c r="A126" s="2">
        <v>5</v>
      </c>
      <c r="C126" s="38" t="s">
        <v>53</v>
      </c>
      <c r="D126" s="42">
        <v>0</v>
      </c>
      <c r="E126" s="65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5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5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TRUNC(7965.1127361365,-1)</f>
        <v>7960</v>
      </c>
      <c r="E131" s="65">
        <f t="shared" si="5"/>
        <v>26310</v>
      </c>
      <c r="F131" s="2" t="s">
        <v>258</v>
      </c>
    </row>
    <row r="132" spans="1:7" ht="17.25" thickBot="1" x14ac:dyDescent="0.35">
      <c r="A132" s="2">
        <v>11</v>
      </c>
      <c r="C132" s="38" t="s">
        <v>47</v>
      </c>
      <c r="D132" s="43">
        <f>TRUNC(460.612533008328,-1)</f>
        <v>460</v>
      </c>
      <c r="E132" s="66">
        <f t="shared" si="5"/>
        <v>1520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18950</v>
      </c>
      <c r="E133" s="39">
        <f>SUM(E122:E132)</f>
        <v>62630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243</v>
      </c>
      <c r="C135" s="54" t="s">
        <v>240</v>
      </c>
      <c r="D135" s="55" t="s">
        <v>235</v>
      </c>
      <c r="E135" s="55" t="s">
        <v>153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f>TRUNC(7792.66859638432,-1)</f>
        <v>7790</v>
      </c>
      <c r="E136" s="64">
        <f t="shared" ref="E136:E145" si="6">TRUNC(+D136*3.3058,-1)</f>
        <v>25750</v>
      </c>
    </row>
    <row r="137" spans="1:7" x14ac:dyDescent="0.3">
      <c r="A137" s="2">
        <v>2</v>
      </c>
      <c r="C137" s="38" t="s">
        <v>47</v>
      </c>
      <c r="D137" s="42">
        <f>TRUNC(5911.41346739793,-1)</f>
        <v>5910</v>
      </c>
      <c r="E137" s="65">
        <f t="shared" si="6"/>
        <v>19530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5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5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5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13700</v>
      </c>
      <c r="E146" s="39">
        <f>SUM(E136:E145)</f>
        <v>45280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244</v>
      </c>
      <c r="C148" s="54" t="s">
        <v>240</v>
      </c>
      <c r="D148" s="55" t="s">
        <v>235</v>
      </c>
      <c r="E148" s="55" t="s">
        <v>153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v>0</v>
      </c>
      <c r="E149" s="64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5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5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TRUNC(2307.78407475117,-1)</f>
        <v>2300</v>
      </c>
      <c r="E152" s="65">
        <f>TRUNC(+D152*3.3058,-1)</f>
        <v>7600</v>
      </c>
      <c r="F152" s="59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2300</v>
      </c>
      <c r="E154" s="39">
        <f>SUM(E149:E153)</f>
        <v>7600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245</v>
      </c>
      <c r="C156" s="54" t="s">
        <v>240</v>
      </c>
      <c r="D156" s="55" t="s">
        <v>235</v>
      </c>
      <c r="E156" s="55" t="s">
        <v>153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v>0</v>
      </c>
      <c r="E157" s="64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5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2020-12-07T09:05:08Z</dcterms:modified>
</cp:coreProperties>
</file>