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58" i="4" l="1"/>
  <c r="D53" i="4"/>
  <c r="D52" i="4"/>
  <c r="D51" i="4"/>
  <c r="D50" i="4"/>
  <c r="D49" i="4"/>
  <c r="D48" i="4"/>
  <c r="D55" i="4"/>
  <c r="D44" i="4"/>
  <c r="D47" i="4"/>
  <c r="D45" i="4"/>
  <c r="D46" i="4"/>
  <c r="D43" i="4"/>
  <c r="D42" i="4"/>
  <c r="D41" i="4"/>
  <c r="D40" i="4"/>
  <c r="D37" i="4"/>
  <c r="D59" i="4"/>
  <c r="D152" i="4"/>
  <c r="D150" i="4"/>
  <c r="D151" i="4"/>
  <c r="D63" i="4"/>
  <c r="D94" i="4"/>
  <c r="D92" i="4"/>
  <c r="D78" i="4"/>
  <c r="D70" i="4"/>
  <c r="D69" i="4"/>
  <c r="D93" i="4"/>
  <c r="D117" i="4"/>
  <c r="D102" i="4"/>
  <c r="D100" i="4"/>
  <c r="D99" i="4"/>
  <c r="D98" i="4"/>
  <c r="D115" i="4"/>
  <c r="D131" i="4"/>
  <c r="D132" i="4"/>
  <c r="D122" i="4"/>
  <c r="D125" i="4"/>
  <c r="D123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60" i="4"/>
  <c r="E154" i="4"/>
  <c r="E95" i="4"/>
  <c r="E119" i="4"/>
  <c r="E146" i="4"/>
  <c r="E133" i="4"/>
  <c r="D161" i="4"/>
  <c r="D154" i="4"/>
  <c r="D31" i="4" s="1"/>
  <c r="E31" i="4" s="1"/>
  <c r="D146" i="4"/>
  <c r="D133" i="4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9" i="4"/>
  <c r="E29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<sst xmlns="http://schemas.openxmlformats.org/spreadsheetml/2006/main" count="391" uniqueCount="266">
  <si>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</si>
  <si>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</si>
  <si>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</si>
  <si>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</si>
  <si>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</si>
  <si>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</si>
  <si>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</si>
  <si>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</si>
  <si>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</si>
  <si>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</si>
  <si>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</si>
  <si>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</si>
  <si>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</si>
  <si>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</si>
  <si>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</si>
  <si>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</si>
  <si>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</si>
  <si>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</si>
  <si>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</si>
  <si>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</si>
  <si>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</si>
  <si>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</si>
  <si>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</si>
  <si>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</si>
  <si>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</si>
  <si>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</si>
  <si>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</si>
  <si>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</si>
  <si>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</si>
  <si>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</si>
  <si>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</si>
  <si>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</si>
  <si>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</si>
  <si>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</si>
  <si>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</si>
  <si>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</si>
  <si>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</si>
  <si>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</si>
  <si>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</si>
  <si>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</si>
  <si>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</si>
  <si>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</si>
  <si>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</si>
  <si>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</si>
  <si>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</si>
  <si>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</si>
  <si>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</si>
  <si>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</si>
  <si>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</si>
  <si>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</si>
  <si>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</si>
  <si>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</si>
  <si>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</si>
  <si>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</si>
  <si>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</si>
  <si>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</si>
  <si>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</si>
  <si>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</si>
  <si>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</si>
  <si>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</si>
  <si>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</si>
  <si>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</si>
  <si>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</si>
  <si>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</si>
  <si>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</si>
  <si>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</si>
  <si>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</si>
  <si>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</si>
  <si>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</si>
  <si>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</si>
  <si>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</si>
  <si>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</si>
  <si>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</si>
  <si>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</si>
  <si>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</si>
  <si>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</si>
  <si>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</si>
  <si>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</si>
  <si>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</si>
  <si>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</si>
  <si>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</si>
  <si>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</si>
  <si>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</si>
  <si>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</si>
  <si>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</si>
  <si>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</si>
  <si>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</si>
  <si>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</si>
  <si>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</si>
  <si>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</si>
  <si>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</si>
  <si>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</si>
  <si>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</si>
  <si>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</si>
  <si>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</si>
  <si>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</si>
  <si>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</si>
  <si>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</si>
  <si>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</si>
  <si>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</si>
  <si>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</si>
  <si>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</si>
  <si>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</si>
  <si>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</si>
  <si>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</si>
  <si>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</si>
  <si>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</si>
  <si>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</si>
  <si>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</si>
  <si>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</si>
  <si>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</si>
  <si>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</si>
  <si>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</si>
  <si>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</si>
  <si>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</si>
  <si>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</si>
  <si>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</si>
  <si>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</si>
  <si>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</si>
  <si>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</si>
  <si>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</si>
  <si>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</si>
  <si>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</si>
  <si>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</si>
  <si>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</si>
  <si>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</si>
  <si>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</si>
  <si>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</si>
  <si>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</si>
  <si>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</si>
  <si>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</si>
  <si>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</si>
  <si>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</si>
  <si>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</si>
  <si>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</si>
  <si>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</si>
  <si>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</si>
  <si>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</si>
  <si>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</si>
  <si>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</si>
  <si>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</si>
  <si>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</si>
  <si>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</si>
  <si>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</si>
  <si>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</si>
  <si>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</si>
  <si>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</si>
  <si>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</si>
  <si>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</si>
  <si>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</si>
  <si>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</si>
  <si>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</si>
  <si>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</si>
  <si>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</si>
  <si>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</si>
  <si>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</si>
  <si>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</si>
  <si>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</si>
  <si>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</si>
  <si>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</si>
  <si>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</si>
  <si>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</si>
  <si>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</si>
  <si>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</si>
  <si>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</si>
  <si>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</si>
  <si>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</si>
  <si>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</si>
  <si>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</si>
  <si>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</si>
  <si>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</si>
  <si>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</si>
  <si>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</si>
  <si>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</si>
  <si>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</si>
  <si>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</si>
  <si>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</si>
  <si>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</si>
  <si>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</si>
  <si>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</si>
  <si>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</si>
  <si>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</si>
  <si>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</si>
  <si>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</si>
  <si>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</si>
  <si>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</si>
  <si>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</si>
  <si>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</si>
  <si>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</si>
  <si>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</si>
  <si>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</si>
  <si>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</si>
  <si>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</si>
  <si>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</si>
  <si>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</si>
  <si>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</si>
  <si>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</si>
  <si>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</si>
  <si>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</si>
  <si>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</si>
  <si>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</si>
  <si>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</si>
  <si>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</si>
  <si>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</si>
  <si>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</si>
  <si>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</si>
  <si>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</si>
  <si>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</si>
  <si>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</si>
  <si>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</si>
  <si>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</si>
  <si>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</si>
  <si>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</si>
  <si>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</si>
  <si>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</si>
  <si>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</si>
  <si>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</si>
  <si>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</si>
  <si>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</si>
  <si>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</si>
  <si>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</si>
  <si>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</si>
  <si>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</si>
  <si>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</si>
  <si>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</si>
  <si>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</si>
  <si>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</si>
  <si>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</si>
  <si>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</si>
  <si>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</si>
  <si>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</si>
  <si>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</si>
  <si>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</si>
  <si>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</si>
  <si>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</si>
  <si>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</si>
  <si>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</si>
  <si>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</si>
  <si>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</si>
  <si>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</si>
  <si>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</si>
  <si>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</si>
  <si>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</si>
  <si>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</si>
  <si>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</si>
  <si>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</si>
  <si>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</si>
  <si>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</si>
  <si>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00도서관 건립공사</t>
  </si>
  <si>
    <t>교육연구</t>
  </si>
  <si>
    <t>충청도</t>
  </si>
  <si>
    <t>전화공사</t>
  </si>
  <si>
    <t>TV공청설비공사</t>
  </si>
  <si>
    <t>CCTV설치공사</t>
  </si>
  <si>
    <t>변전설비공사</t>
  </si>
  <si>
    <t>공조닥트,배관공사</t>
  </si>
  <si>
    <t>위생기구,배관공사</t>
  </si>
  <si>
    <t>기계실공사,기타공사</t>
    <phoneticPr fontId="2" type="noConversion"/>
  </si>
  <si>
    <t>관로공,부대시설공,부대공,사급자재대,조경공사</t>
    <phoneticPr fontId="2" type="noConversion"/>
  </si>
  <si>
    <t>창호공사,창호하드웨어공사</t>
    <phoneticPr fontId="2" type="noConversion"/>
  </si>
  <si>
    <t>토및지정공사,기타공사,골재비및운반비,철거공사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</si>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</sst>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4457</v>
      </c>
      <c r="D7" s="36">
        <f>+C7/3.3058</f>
        <v>1348.2364329360519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2940</v>
      </c>
      <c r="E24" s="58">
        <f t="shared" ref="E24:E33" si="0">TRUNC(+D24*3.3058,-1)</f>
        <v>9710</v>
      </c>
    </row>
    <row r="25" spans="1:5" x14ac:dyDescent="0.3">
      <c r="B25" s="2">
        <v>2</v>
      </c>
      <c r="C25" s="35" t="s">
        <v>111</v>
      </c>
      <c r="D25" s="45">
        <f>+D60</f>
        <v>656050</v>
      </c>
      <c r="E25" s="59">
        <f t="shared" si="0"/>
        <v>2168770</v>
      </c>
    </row>
    <row r="26" spans="1:5" x14ac:dyDescent="0.3">
      <c r="B26" s="2">
        <v>3</v>
      </c>
      <c r="C26" s="35" t="s">
        <v>95</v>
      </c>
      <c r="D26" s="45">
        <f>+D66</f>
        <v>89800</v>
      </c>
      <c r="E26" s="59">
        <f t="shared" si="0"/>
        <v>296860</v>
      </c>
    </row>
    <row r="27" spans="1:5" x14ac:dyDescent="0.3">
      <c r="B27" s="2">
        <v>4</v>
      </c>
      <c r="C27" s="35" t="s">
        <v>96</v>
      </c>
      <c r="D27" s="45">
        <f>+D95</f>
        <v>364770</v>
      </c>
      <c r="E27" s="59">
        <f t="shared" si="0"/>
        <v>1205850</v>
      </c>
    </row>
    <row r="28" spans="1:5" x14ac:dyDescent="0.3">
      <c r="B28" s="2">
        <v>5</v>
      </c>
      <c r="C28" s="35" t="s">
        <v>97</v>
      </c>
      <c r="D28" s="45">
        <f>+D119</f>
        <v>128360</v>
      </c>
      <c r="E28" s="59">
        <f t="shared" si="0"/>
        <v>424330</v>
      </c>
    </row>
    <row r="29" spans="1:5" x14ac:dyDescent="0.3">
      <c r="B29" s="2">
        <v>6</v>
      </c>
      <c r="C29" s="35" t="s">
        <v>98</v>
      </c>
      <c r="D29" s="45">
        <f>+D133</f>
        <v>48380</v>
      </c>
      <c r="E29" s="59">
        <f t="shared" si="0"/>
        <v>159930</v>
      </c>
    </row>
    <row r="30" spans="1:5" x14ac:dyDescent="0.3">
      <c r="B30" s="2">
        <v>7</v>
      </c>
      <c r="C30" s="35" t="s">
        <v>99</v>
      </c>
      <c r="D30" s="45">
        <f>+D146</f>
        <v>31740</v>
      </c>
      <c r="E30" s="59">
        <f t="shared" si="0"/>
        <v>104920</v>
      </c>
    </row>
    <row r="31" spans="1:5" x14ac:dyDescent="0.3">
      <c r="B31" s="2">
        <v>8</v>
      </c>
      <c r="C31" s="35" t="s">
        <v>100</v>
      </c>
      <c r="D31" s="45">
        <f>+D154</f>
        <v>51750</v>
      </c>
      <c r="E31" s="59">
        <f t="shared" si="0"/>
        <v>171070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377790</v>
      </c>
      <c r="E33" s="60">
        <f t="shared" si="0"/>
        <v>1248890</v>
      </c>
    </row>
    <row r="34" spans="1:7" x14ac:dyDescent="0.3">
      <c r="C34" s="35" t="s">
        <v>112</v>
      </c>
      <c r="D34" s="44">
        <f>SUM(D24:D33)</f>
        <v>1751580</v>
      </c>
      <c r="E34" s="44">
        <f>SUM(E24:E33)</f>
        <v>5790330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TRUNC(2948.86807269464,-1)</f>
        <v>2940</v>
      </c>
      <c r="E37" s="61">
        <f>TRUNC(+D37*3.3058,-1)</f>
        <v>9710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TRUNC(46141.4906888041,-1)</f>
        <v>46140</v>
      </c>
      <c r="E40" s="62">
        <f t="shared" ref="E40:E59" si="1">TRUNC(+D40*3.3058,-1)</f>
        <v>152520</v>
      </c>
    </row>
    <row r="41" spans="1:7" x14ac:dyDescent="0.3">
      <c r="A41" s="2">
        <v>2</v>
      </c>
      <c r="C41" s="38" t="s">
        <v>13</v>
      </c>
      <c r="D41" s="42">
        <f>TRUNC(139213.415750505,-1)</f>
        <v>139210</v>
      </c>
      <c r="E41" s="63">
        <f t="shared" si="1"/>
        <v>460200</v>
      </c>
    </row>
    <row r="42" spans="1:7" x14ac:dyDescent="0.3">
      <c r="A42" s="2">
        <v>3</v>
      </c>
      <c r="C42" s="38" t="s">
        <v>14</v>
      </c>
      <c r="D42" s="42">
        <f>TRUNC(6373.53735696657,-1)</f>
        <v>6370</v>
      </c>
      <c r="E42" s="63">
        <f t="shared" si="1"/>
        <v>21050</v>
      </c>
    </row>
    <row r="43" spans="1:7" x14ac:dyDescent="0.3">
      <c r="A43" s="2">
        <v>4</v>
      </c>
      <c r="C43" s="38" t="s">
        <v>16</v>
      </c>
      <c r="D43" s="42">
        <f>TRUNC(39576.4597262733,-1)</f>
        <v>39570</v>
      </c>
      <c r="E43" s="63">
        <f t="shared" si="1"/>
        <v>130810</v>
      </c>
    </row>
    <row r="44" spans="1:7" x14ac:dyDescent="0.3">
      <c r="A44" s="2">
        <v>5</v>
      </c>
      <c r="C44" s="38" t="s">
        <v>17</v>
      </c>
      <c r="D44" s="42">
        <f>TRUNC(37738.166704061,-1)</f>
        <v>37730</v>
      </c>
      <c r="E44" s="63">
        <f t="shared" si="1"/>
        <v>124720</v>
      </c>
    </row>
    <row r="45" spans="1:7" x14ac:dyDescent="0.3">
      <c r="A45" s="2">
        <v>6</v>
      </c>
      <c r="C45" s="38" t="s">
        <v>18</v>
      </c>
      <c r="D45" s="42">
        <f>TRUNC(4221.56652456809,-1)</f>
        <v>4220</v>
      </c>
      <c r="E45" s="63">
        <f t="shared" si="1"/>
        <v>13950</v>
      </c>
    </row>
    <row r="46" spans="1:7" x14ac:dyDescent="0.3">
      <c r="A46" s="2">
        <v>7</v>
      </c>
      <c r="C46" s="38" t="s">
        <v>19</v>
      </c>
      <c r="D46" s="42">
        <f>TRUNC(45550.6672649764,-1)</f>
        <v>45550</v>
      </c>
      <c r="E46" s="63">
        <f t="shared" si="1"/>
        <v>150570</v>
      </c>
    </row>
    <row r="47" spans="1:7" x14ac:dyDescent="0.3">
      <c r="A47" s="2">
        <v>8</v>
      </c>
      <c r="C47" s="38" t="s">
        <v>20</v>
      </c>
      <c r="D47" s="42">
        <f>TRUNC(11867.3749158626,-1)</f>
        <v>11860</v>
      </c>
      <c r="E47" s="63">
        <f t="shared" si="1"/>
        <v>39200</v>
      </c>
    </row>
    <row r="48" spans="1:7" x14ac:dyDescent="0.3">
      <c r="A48" s="2">
        <v>9</v>
      </c>
      <c r="C48" s="38" t="s">
        <v>21</v>
      </c>
      <c r="D48" s="42">
        <f>TRUNC(47378.9636526812,-1)</f>
        <v>47370</v>
      </c>
      <c r="E48" s="63">
        <f t="shared" si="1"/>
        <v>156590</v>
      </c>
    </row>
    <row r="49" spans="1:7" x14ac:dyDescent="0.3">
      <c r="A49" s="2">
        <v>10</v>
      </c>
      <c r="C49" s="38" t="s">
        <v>22</v>
      </c>
      <c r="D49" s="42">
        <f>TRUNC(12660.2797846085,-1)</f>
        <v>12660</v>
      </c>
      <c r="E49" s="63">
        <f t="shared" si="1"/>
        <v>41850</v>
      </c>
    </row>
    <row r="50" spans="1:7" x14ac:dyDescent="0.3">
      <c r="A50" s="2">
        <v>11</v>
      </c>
      <c r="C50" s="38" t="s">
        <v>155</v>
      </c>
      <c r="D50" s="42">
        <f>TRUNC(75862.1539151896+9119.71954229302,-1)</f>
        <v>84980</v>
      </c>
      <c r="E50" s="63">
        <f t="shared" si="1"/>
        <v>280920</v>
      </c>
      <c r="F50" s="2" t="s">
        <v>259</v>
      </c>
    </row>
    <row r="51" spans="1:7" x14ac:dyDescent="0.3">
      <c r="A51" s="2">
        <v>12</v>
      </c>
      <c r="C51" s="38" t="s">
        <v>23</v>
      </c>
      <c r="D51" s="42">
        <f>TRUNC(19397.9537805699,-1)</f>
        <v>19390</v>
      </c>
      <c r="E51" s="63">
        <f t="shared" si="1"/>
        <v>64090</v>
      </c>
    </row>
    <row r="52" spans="1:7" x14ac:dyDescent="0.3">
      <c r="A52" s="2">
        <v>13</v>
      </c>
      <c r="C52" s="38" t="s">
        <v>24</v>
      </c>
      <c r="D52" s="42">
        <f>TRUNC(6364.11330491362,-1)</f>
        <v>6360</v>
      </c>
      <c r="E52" s="63">
        <f t="shared" si="1"/>
        <v>21020</v>
      </c>
    </row>
    <row r="53" spans="1:7" x14ac:dyDescent="0.3">
      <c r="A53" s="2">
        <v>14</v>
      </c>
      <c r="C53" s="38" t="s">
        <v>25</v>
      </c>
      <c r="D53" s="42">
        <f>TRUNC(39404.3926407898,-1)</f>
        <v>39400</v>
      </c>
      <c r="E53" s="63">
        <f t="shared" si="1"/>
        <v>130240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TRUNC(1209.74870989455,-1)</f>
        <v>1200</v>
      </c>
      <c r="E55" s="63">
        <f t="shared" si="1"/>
        <v>3960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TRUNC(539.195198564057+3433.49652232443+8301.78056989006+1310.74938299304,-1)</f>
        <v>13580</v>
      </c>
      <c r="E58" s="63">
        <f t="shared" si="1"/>
        <v>44890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TRUNC(100469.822750729,-1)</f>
        <v>100460</v>
      </c>
      <c r="E59" s="64">
        <f t="shared" si="1"/>
        <v>332100</v>
      </c>
    </row>
    <row r="60" spans="1:7" x14ac:dyDescent="0.3">
      <c r="A60" s="2">
        <v>21</v>
      </c>
      <c r="C60" s="27" t="s">
        <v>112</v>
      </c>
      <c r="D60" s="39">
        <f>SUM(D40:D59)</f>
        <v>656050</v>
      </c>
      <c r="E60" s="39">
        <f>SUM(E40:E59)</f>
        <v>2168680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TRUNC(89802.2910029168,-1)</f>
        <v>89800</v>
      </c>
      <c r="E63" s="62">
        <f>TRUNC(+D63*3.3058,-1)</f>
        <v>296860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89800</v>
      </c>
      <c r="E66" s="65">
        <f>SUM(E63:E65)</f>
        <v>296860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TRUNC(9819.97756338344,-1)</f>
        <v>9810</v>
      </c>
      <c r="E69" s="62">
        <f t="shared" ref="E69:E94" si="2">TRUNC(+D69*3.3058,-1)</f>
        <v>32420</v>
      </c>
    </row>
    <row r="70" spans="1:7" ht="16.5" customHeight="1" x14ac:dyDescent="0.3">
      <c r="A70" s="2">
        <v>2</v>
      </c>
      <c r="C70" s="38" t="s">
        <v>31</v>
      </c>
      <c r="D70" s="42">
        <f>TRUNC(2309.86201480817,-1)</f>
        <v>2300</v>
      </c>
      <c r="E70" s="63">
        <f t="shared" si="2"/>
        <v>7600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TRUNC(65896.2180839129,-1)</f>
        <v>65890</v>
      </c>
      <c r="E78" s="63">
        <f t="shared" si="2"/>
        <v>217810</v>
      </c>
      <c r="F78" s="2" t="s">
        <v>255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TRUNC(21155.8344177698,-1)</f>
        <v>21150</v>
      </c>
      <c r="E92" s="63">
        <f t="shared" si="2"/>
        <v>69910</v>
      </c>
      <c r="F92" s="2" t="s">
        <v>256</v>
      </c>
    </row>
    <row r="93" spans="1:7" x14ac:dyDescent="0.3">
      <c r="A93" s="2">
        <v>25</v>
      </c>
      <c r="C93" s="38" t="s">
        <v>148</v>
      </c>
      <c r="D93" s="42">
        <f>TRUNC(250889.163114202,-1)</f>
        <v>250880</v>
      </c>
      <c r="E93" s="63">
        <f t="shared" si="2"/>
        <v>829350</v>
      </c>
    </row>
    <row r="94" spans="1:7" ht="17.25" thickBot="1" x14ac:dyDescent="0.35">
      <c r="A94" s="2">
        <v>26</v>
      </c>
      <c r="C94" s="38" t="s">
        <v>47</v>
      </c>
      <c r="D94" s="43">
        <f>TRUNC(9277.69710567646+5469.03343055867,-1)</f>
        <v>14740</v>
      </c>
      <c r="E94" s="64">
        <f t="shared" si="2"/>
        <v>48720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364770</v>
      </c>
      <c r="E95" s="39">
        <f>SUM(E69:E94)</f>
        <v>1205810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TRUNC(13042.3325106574,-1)</f>
        <v>13040</v>
      </c>
      <c r="E98" s="62">
        <f t="shared" ref="E98:E118" si="3">TRUNC(+D98*3.3058,-1)</f>
        <v>43100</v>
      </c>
    </row>
    <row r="99" spans="1:7" x14ac:dyDescent="0.3">
      <c r="A99" s="2">
        <v>2</v>
      </c>
      <c r="C99" s="38" t="s">
        <v>40</v>
      </c>
      <c r="D99" s="42">
        <f>TRUNC(7479.0065066188,-1)</f>
        <v>7470</v>
      </c>
      <c r="E99" s="63">
        <f t="shared" si="3"/>
        <v>24690</v>
      </c>
    </row>
    <row r="100" spans="1:7" x14ac:dyDescent="0.3">
      <c r="A100" s="2">
        <v>3</v>
      </c>
      <c r="C100" s="38" t="s">
        <v>41</v>
      </c>
      <c r="D100" s="42">
        <f>TRUNC(30667.8893874804,-1)</f>
        <v>30660</v>
      </c>
      <c r="E100" s="63">
        <f t="shared" si="3"/>
        <v>101350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TRUNC(3375.93313888266,-1)</f>
        <v>3370</v>
      </c>
      <c r="E102" s="63">
        <f t="shared" si="3"/>
        <v>11140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TRUNC(5194.84002692394,-1)</f>
        <v>5190</v>
      </c>
      <c r="E115" s="63">
        <f t="shared" si="3"/>
        <v>17150</v>
      </c>
      <c r="F115" s="2" t="s">
        <v>254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TRUNC(68636.975544088,-1)</f>
        <v>68630</v>
      </c>
      <c r="E117" s="63">
        <f t="shared" si="3"/>
        <v>226870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128360</v>
      </c>
      <c r="E119" s="39">
        <f>SUM(E98:E118)</f>
        <v>424300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TRUNC(1465.76486425847,-1)</f>
        <v>1460</v>
      </c>
      <c r="E122" s="62">
        <f t="shared" ref="E122:E132" si="4">TRUNC(+D122*3.3058,-1)</f>
        <v>4820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f>TRUNC(5110.18196096029,-1)</f>
        <v>5110</v>
      </c>
      <c r="E123" s="63">
        <f t="shared" si="4"/>
        <v>16890</v>
      </c>
      <c r="F123" s="2" t="s">
        <v>251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TRUNC(3702.35719093561,-1)</f>
        <v>3700</v>
      </c>
      <c r="E125" s="63">
        <f t="shared" si="4"/>
        <v>12230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TRUNC(37417.3210679829,-1)</f>
        <v>37410</v>
      </c>
      <c r="E131" s="63">
        <f t="shared" si="4"/>
        <v>123660</v>
      </c>
    </row>
    <row r="132" spans="1:7" ht="18" thickBot="1" x14ac:dyDescent="0.35">
      <c r="A132" s="2">
        <v>11</v>
      </c>
      <c r="C132" s="38" t="s">
        <v>47</v>
      </c>
      <c r="D132" s="43">
        <f>TRUNC(708.464662328921,-1)</f>
        <v>700</v>
      </c>
      <c r="E132" s="64">
        <f t="shared" si="4"/>
        <v>2310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48380</v>
      </c>
      <c r="E133" s="39">
        <f>SUM(E122:E132)</f>
        <v>159910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TRUNC(23346.1846533543,-1)</f>
        <v>23340</v>
      </c>
      <c r="E136" s="62">
        <f t="shared" ref="E136:E145" si="5">TRUNC(+D136*3.3058,-1)</f>
        <v>77150</v>
      </c>
    </row>
    <row r="137" spans="1:7" x14ac:dyDescent="0.3">
      <c r="A137" s="2">
        <v>2</v>
      </c>
      <c r="C137" s="38" t="s">
        <v>47</v>
      </c>
      <c r="D137" s="42">
        <f>TRUNC(8400.73838905093,-1)</f>
        <v>8400</v>
      </c>
      <c r="E137" s="63">
        <f t="shared" si="5"/>
        <v>27760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31740</v>
      </c>
      <c r="E146" s="39">
        <f>SUM(E136:E145)</f>
        <v>104910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TRUNC(4516.30625981602,-1)</f>
        <v>4510</v>
      </c>
      <c r="E150" s="63">
        <f>TRUNC(+D150*3.3058,-1)</f>
        <v>14900</v>
      </c>
    </row>
    <row r="151" spans="1:7" x14ac:dyDescent="0.3">
      <c r="A151" s="2">
        <v>3</v>
      </c>
      <c r="C151" s="38" t="s">
        <v>50</v>
      </c>
      <c r="D151" s="42">
        <f>TRUNC(4689.67736145389,-1)</f>
        <v>4680</v>
      </c>
      <c r="E151" s="63">
        <f>TRUNC(+D151*3.3058,-1)</f>
        <v>15470</v>
      </c>
    </row>
    <row r="152" spans="1:7" x14ac:dyDescent="0.3">
      <c r="A152" s="2">
        <v>4</v>
      </c>
      <c r="C152" s="38" t="s">
        <v>47</v>
      </c>
      <c r="D152" s="42">
        <f>TRUNC(7858.5932241418+1300.27103432802+2520.69104778999+6784.30738164685+24103.7332286291,-1)</f>
        <v>42560</v>
      </c>
      <c r="E152" s="63">
        <f>TRUNC(+D152*3.3058,-1)</f>
        <v>140690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51750</v>
      </c>
      <c r="E154" s="39">
        <f>SUM(E149:E153)</f>
        <v>171060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2020-12-07T09:21:33Z</dcterms:modified>
</cp:coreProperties>
</file>