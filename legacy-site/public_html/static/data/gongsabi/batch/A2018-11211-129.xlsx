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8" i="4" l="1"/>
  <c r="D53" i="4"/>
  <c r="D52" i="4"/>
  <c r="D50" i="4"/>
  <c r="D49" i="4"/>
  <c r="D48" i="4"/>
  <c r="D46" i="4"/>
  <c r="D45" i="4"/>
  <c r="D44" i="4"/>
  <c r="D43" i="4"/>
  <c r="D42" i="4"/>
  <c r="D41" i="4"/>
  <c r="D40" i="4"/>
  <c r="D63" i="4"/>
  <c r="D92" i="4"/>
  <c r="D91" i="4"/>
  <c r="D90" i="4"/>
  <c r="D89" i="4"/>
  <c r="D73" i="4"/>
  <c r="D72" i="4"/>
  <c r="D70" i="4"/>
  <c r="D69" i="4"/>
  <c r="D118" i="4"/>
  <c r="D105" i="4"/>
  <c r="D104" i="4"/>
  <c r="D102" i="4"/>
  <c r="D100" i="4"/>
  <c r="D99" i="4"/>
  <c r="D98" i="4"/>
  <c r="D116" i="4"/>
  <c r="D132" i="4"/>
  <c r="D124" i="4"/>
  <c r="D125" i="4"/>
  <c r="D122" i="4"/>
  <c r="D130" i="4"/>
  <c r="D126" i="4"/>
  <c r="D144" i="4"/>
  <c r="D143" i="4"/>
  <c r="D139" i="4"/>
  <c r="D142" i="4"/>
  <c r="D140" i="4"/>
  <c r="D152" i="4"/>
  <c r="D151" i="4"/>
  <c r="D150" i="4"/>
  <c r="D149" i="4"/>
  <c r="D157" i="4"/>
  <c r="D153" i="4"/>
  <c r="D131" i="4"/>
  <c r="D117" i="4"/>
  <c r="D93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60" i="4"/>
  <c r="E95" i="4"/>
  <c r="E133" i="4"/>
  <c r="E146" i="4"/>
  <c r="E154" i="4"/>
  <c r="E119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<sst xmlns="http://schemas.openxmlformats.org/spreadsheetml/2006/main" count="392" uniqueCount="267">
  <si>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</si>
  <si>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</si>
  <si>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</si>
  <si>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</si>
  <si>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</si>
  <si>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</si>
  <si>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</si>
  <si>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</si>
  <si>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</si>
  <si>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</si>
  <si>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</si>
  <si>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</si>
  <si>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</si>
  <si>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</si>
  <si>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</si>
  <si>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</si>
  <si>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</si>
  <si>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</si>
  <si>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</si>
  <si>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</si>
  <si>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</si>
  <si>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</si>
  <si>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</si>
  <si>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</si>
  <si>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</si>
  <si>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</si>
  <si>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</si>
  <si>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</si>
  <si>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</si>
  <si>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</si>
  <si>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</si>
  <si>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</si>
  <si>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</si>
  <si>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</si>
  <si>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</si>
  <si>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</si>
  <si>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</si>
  <si>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</si>
  <si>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</si>
  <si>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</si>
  <si>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</si>
  <si>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</si>
  <si>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</si>
  <si>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</si>
  <si>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</si>
  <si>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</si>
  <si>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</si>
  <si>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</si>
  <si>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</si>
  <si>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</si>
  <si>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</si>
  <si>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</si>
  <si>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</si>
  <si>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</si>
  <si>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</si>
  <si>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</si>
  <si>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</si>
  <si>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</si>
  <si>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</si>
  <si>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</si>
  <si>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</si>
  <si>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</si>
  <si>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</si>
  <si>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</si>
  <si>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</si>
  <si>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</si>
  <si>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</si>
  <si>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</si>
  <si>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</si>
  <si>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</si>
  <si>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</si>
  <si>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</si>
  <si>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</si>
  <si>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</si>
  <si>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</si>
  <si>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</si>
  <si>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</si>
  <si>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</si>
  <si>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</si>
  <si>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</si>
  <si>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</si>
  <si>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</si>
  <si>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</si>
  <si>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</si>
  <si>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</si>
  <si>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</si>
  <si>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</si>
  <si>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</si>
  <si>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</si>
  <si>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</si>
  <si>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</si>
  <si>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</si>
  <si>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</si>
  <si>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</si>
  <si>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</si>
  <si>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</si>
  <si>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</si>
  <si>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</si>
  <si>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</si>
  <si>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</si>
  <si>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</si>
  <si>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</si>
  <si>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</si>
  <si>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</si>
  <si>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</si>
  <si>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</si>
  <si>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</si>
  <si>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</si>
  <si>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</si>
  <si>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</si>
  <si>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</si>
  <si>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</si>
  <si>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</si>
  <si>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</si>
  <si>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</si>
  <si>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</si>
  <si>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</si>
  <si>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</si>
  <si>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</si>
  <si>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</si>
  <si>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</si>
  <si>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</si>
  <si>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</si>
  <si>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</si>
  <si>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</si>
  <si>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</si>
  <si>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</si>
  <si>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</si>
  <si>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</si>
  <si>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</si>
  <si>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</si>
  <si>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</si>
  <si>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</si>
  <si>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</si>
  <si>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</si>
  <si>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</si>
  <si>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</si>
  <si>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</si>
  <si>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</si>
  <si>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</si>
  <si>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</si>
  <si>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</si>
  <si>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</si>
  <si>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</si>
  <si>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</si>
  <si>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</si>
  <si>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</si>
  <si>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</si>
  <si>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</si>
  <si>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</si>
  <si>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</si>
  <si>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</si>
  <si>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</si>
  <si>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</si>
  <si>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</si>
  <si>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</si>
  <si>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</si>
  <si>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</si>
  <si>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</si>
  <si>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</si>
  <si>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</si>
  <si>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</si>
  <si>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</si>
  <si>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</si>
  <si>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</si>
  <si>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</si>
  <si>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</si>
  <si>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</si>
  <si>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</si>
  <si>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</si>
  <si>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</si>
  <si>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</si>
  <si>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</si>
  <si>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</si>
  <si>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</si>
  <si>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</si>
  <si>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</si>
  <si>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</si>
  <si>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</si>
  <si>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</si>
  <si>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</si>
  <si>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</si>
  <si>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</si>
  <si>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</si>
  <si>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</si>
  <si>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</si>
  <si>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</si>
  <si>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</si>
  <si>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</si>
  <si>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</si>
  <si>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</si>
  <si>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</si>
  <si>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</si>
  <si>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</si>
  <si>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</si>
  <si>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</si>
  <si>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</si>
  <si>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</si>
  <si>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</si>
  <si>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</si>
  <si>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</si>
  <si>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</si>
  <si>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</si>
  <si>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</si>
  <si>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</si>
  <si>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</si>
  <si>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</si>
  <si>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</si>
  <si>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</si>
  <si>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</si>
  <si>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</si>
  <si>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</si>
  <si>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</si>
  <si>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</si>
  <si>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</si>
  <si>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</si>
  <si>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</si>
  <si>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</si>
  <si>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</si>
  <si>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</si>
  <si>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</si>
  <si>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</si>
  <si>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</si>
  <si>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</si>
  <si>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</si>
  <si>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</si>
  <si>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</si>
  <si>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</si>
  <si>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</si>
  <si>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</si>
  <si>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</si>
  <si>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</si>
  <si>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</si>
  <si>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</si>
  <si>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</si>
  <si>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</si>
  <si>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</si>
  <si>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</si>
  <si>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</si>
  <si>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</si>
  <si>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</si>
  <si>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</si>
  <si>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</si>
  <si>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</si>
  <si>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</si>
  <si>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</si>
  <si>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</si>
  <si>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</si>
  <si>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 천안학생수영장 및 체조연습장 건립공사</t>
    <phoneticPr fontId="2" type="noConversion"/>
  </si>
  <si>
    <t>교육연구</t>
  </si>
  <si>
    <t>충청도</t>
  </si>
  <si>
    <t>우수공사,오수공사</t>
    <phoneticPr fontId="2" type="noConversion"/>
  </si>
  <si>
    <t>운반비,기타공사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</si>
  <si>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</si>
  <si>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</si>
  <si>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</si>
  <si>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</si>
  <si>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</si>
  <si>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</si>
  <si>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</si>
  <si>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기초공사,폐기물처리비,작업부산물,품질시험비,기타공사</t>
    <phoneticPr fontId="2" type="noConversion"/>
  </si>
  <si>
    <t>난방배관공사,기타공사,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</si>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</sst>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3463.76</v>
      </c>
      <c r="D7" s="36">
        <f>+C7/3.3058</f>
        <v>1047.7826849779176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1078930</v>
      </c>
      <c r="E25" s="59">
        <f t="shared" si="0"/>
        <v>3566720</v>
      </c>
    </row>
    <row r="26" spans="1:5" x14ac:dyDescent="0.3">
      <c r="B26" s="2">
        <v>3</v>
      </c>
      <c r="C26" s="35" t="s">
        <v>95</v>
      </c>
      <c r="D26" s="45">
        <f>+D66</f>
        <v>26150</v>
      </c>
      <c r="E26" s="59">
        <f t="shared" si="0"/>
        <v>86440</v>
      </c>
    </row>
    <row r="27" spans="1:5" x14ac:dyDescent="0.3">
      <c r="B27" s="2">
        <v>4</v>
      </c>
      <c r="C27" s="35" t="s">
        <v>96</v>
      </c>
      <c r="D27" s="45">
        <f>+D95</f>
        <v>466890</v>
      </c>
      <c r="E27" s="59">
        <f t="shared" si="0"/>
        <v>1543440</v>
      </c>
    </row>
    <row r="28" spans="1:5" x14ac:dyDescent="0.3">
      <c r="B28" s="2">
        <v>5</v>
      </c>
      <c r="C28" s="35" t="s">
        <v>97</v>
      </c>
      <c r="D28" s="45">
        <f>+D119</f>
        <v>299880</v>
      </c>
      <c r="E28" s="59">
        <f t="shared" si="0"/>
        <v>991340</v>
      </c>
    </row>
    <row r="29" spans="1:5" x14ac:dyDescent="0.3">
      <c r="B29" s="2">
        <v>6</v>
      </c>
      <c r="C29" s="35" t="s">
        <v>98</v>
      </c>
      <c r="D29" s="45">
        <f>+D133</f>
        <v>59480</v>
      </c>
      <c r="E29" s="59">
        <f t="shared" si="0"/>
        <v>196620</v>
      </c>
    </row>
    <row r="30" spans="1:5" x14ac:dyDescent="0.3">
      <c r="B30" s="2">
        <v>7</v>
      </c>
      <c r="C30" s="35" t="s">
        <v>99</v>
      </c>
      <c r="D30" s="45">
        <f>+D146</f>
        <v>35460</v>
      </c>
      <c r="E30" s="59">
        <f t="shared" si="0"/>
        <v>117220</v>
      </c>
    </row>
    <row r="31" spans="1:5" x14ac:dyDescent="0.3">
      <c r="B31" s="2">
        <v>8</v>
      </c>
      <c r="C31" s="35" t="s">
        <v>100</v>
      </c>
      <c r="D31" s="45">
        <f>+D154</f>
        <v>37610</v>
      </c>
      <c r="E31" s="59">
        <f t="shared" si="0"/>
        <v>124330</v>
      </c>
    </row>
    <row r="32" spans="1:5" x14ac:dyDescent="0.3">
      <c r="B32" s="2">
        <v>9</v>
      </c>
      <c r="C32" s="35" t="s">
        <v>101</v>
      </c>
      <c r="D32" s="45">
        <f>+D161</f>
        <v>15510</v>
      </c>
      <c r="E32" s="59">
        <f t="shared" si="0"/>
        <v>51270</v>
      </c>
    </row>
    <row r="33" spans="1:7" x14ac:dyDescent="0.3">
      <c r="B33" s="2">
        <v>10</v>
      </c>
      <c r="C33" s="35" t="s">
        <v>154</v>
      </c>
      <c r="D33" s="53">
        <f>TRUNC(SUM(D24:D32)*0.275,-1)</f>
        <v>555470</v>
      </c>
      <c r="E33" s="60">
        <f t="shared" si="0"/>
        <v>1836270</v>
      </c>
    </row>
    <row r="34" spans="1:7" x14ac:dyDescent="0.3">
      <c r="C34" s="35" t="s">
        <v>112</v>
      </c>
      <c r="D34" s="44">
        <f>SUM(D24:D33)</f>
        <v>2575380</v>
      </c>
      <c r="E34" s="44">
        <f>SUM(E24:E33)</f>
        <v>8513650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TRUNC(63262,-1)</f>
        <v>63260</v>
      </c>
      <c r="E40" s="62">
        <f t="shared" ref="E40:E59" si="1">TRUNC(+D40*3.3058,-1)</f>
        <v>209120</v>
      </c>
    </row>
    <row r="41" spans="1:7" x14ac:dyDescent="0.3">
      <c r="A41" s="2">
        <v>2</v>
      </c>
      <c r="C41" s="38" t="s">
        <v>13</v>
      </c>
      <c r="D41" s="42">
        <f>TRUNC(196248,-1)</f>
        <v>196240</v>
      </c>
      <c r="E41" s="63">
        <f t="shared" si="1"/>
        <v>648730</v>
      </c>
    </row>
    <row r="42" spans="1:7" x14ac:dyDescent="0.3">
      <c r="A42" s="2">
        <v>3</v>
      </c>
      <c r="C42" s="38" t="s">
        <v>14</v>
      </c>
      <c r="D42" s="42">
        <f>TRUNC(78194,-1)</f>
        <v>78190</v>
      </c>
      <c r="E42" s="63">
        <f t="shared" si="1"/>
        <v>258480</v>
      </c>
    </row>
    <row r="43" spans="1:7" x14ac:dyDescent="0.3">
      <c r="A43" s="2">
        <v>4</v>
      </c>
      <c r="C43" s="38" t="s">
        <v>16</v>
      </c>
      <c r="D43" s="42">
        <f>TRUNC(51729,-1)</f>
        <v>51720</v>
      </c>
      <c r="E43" s="63">
        <f t="shared" si="1"/>
        <v>170970</v>
      </c>
    </row>
    <row r="44" spans="1:7" x14ac:dyDescent="0.3">
      <c r="A44" s="2">
        <v>5</v>
      </c>
      <c r="C44" s="38" t="s">
        <v>17</v>
      </c>
      <c r="D44" s="42">
        <f>TRUNC(46170,-1)</f>
        <v>46170</v>
      </c>
      <c r="E44" s="63">
        <f t="shared" si="1"/>
        <v>152620</v>
      </c>
    </row>
    <row r="45" spans="1:7" x14ac:dyDescent="0.3">
      <c r="A45" s="2">
        <v>6</v>
      </c>
      <c r="C45" s="38" t="s">
        <v>18</v>
      </c>
      <c r="D45" s="42">
        <f>TRUNC(39565,-1)</f>
        <v>39560</v>
      </c>
      <c r="E45" s="63">
        <f t="shared" si="1"/>
        <v>130770</v>
      </c>
    </row>
    <row r="46" spans="1:7" x14ac:dyDescent="0.3">
      <c r="A46" s="2">
        <v>7</v>
      </c>
      <c r="C46" s="38" t="s">
        <v>19</v>
      </c>
      <c r="D46" s="42">
        <f>TRUNC(47835,-1)</f>
        <v>47830</v>
      </c>
      <c r="E46" s="63">
        <f t="shared" si="1"/>
        <v>158110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TRUNC(115207,-1)</f>
        <v>115200</v>
      </c>
      <c r="E48" s="63">
        <f t="shared" si="1"/>
        <v>380820</v>
      </c>
      <c r="F48" s="2" t="s">
        <v>257</v>
      </c>
    </row>
    <row r="49" spans="1:7" x14ac:dyDescent="0.3">
      <c r="A49" s="2">
        <v>10</v>
      </c>
      <c r="C49" s="38" t="s">
        <v>22</v>
      </c>
      <c r="D49" s="42">
        <f>TRUNC(24165,-1)</f>
        <v>24160</v>
      </c>
      <c r="E49" s="63">
        <f t="shared" si="1"/>
        <v>79860</v>
      </c>
    </row>
    <row r="50" spans="1:7" x14ac:dyDescent="0.3">
      <c r="A50" s="2">
        <v>11</v>
      </c>
      <c r="C50" s="38" t="s">
        <v>155</v>
      </c>
      <c r="D50" s="42">
        <f>TRUNC(27280,-1)</f>
        <v>27280</v>
      </c>
      <c r="E50" s="63">
        <f t="shared" si="1"/>
        <v>90180</v>
      </c>
      <c r="F50" s="2" t="s">
        <v>258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TRUNC(9985,-1)</f>
        <v>9980</v>
      </c>
      <c r="E52" s="63">
        <f t="shared" si="1"/>
        <v>32990</v>
      </c>
    </row>
    <row r="53" spans="1:7" x14ac:dyDescent="0.3">
      <c r="A53" s="2">
        <v>14</v>
      </c>
      <c r="C53" s="38" t="s">
        <v>25</v>
      </c>
      <c r="D53" s="42">
        <f>TRUNC(108944,-1)</f>
        <v>108940</v>
      </c>
      <c r="E53" s="63">
        <f t="shared" si="1"/>
        <v>360130</v>
      </c>
      <c r="F53" s="2" t="s">
        <v>259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TRUNC(9310+265+9730-1899+1391+35572,-1)</f>
        <v>54360</v>
      </c>
      <c r="E58" s="63">
        <f t="shared" si="1"/>
        <v>179700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TRUNC(216047,-1)</f>
        <v>216040</v>
      </c>
      <c r="E59" s="64">
        <f t="shared" si="1"/>
        <v>714180</v>
      </c>
    </row>
    <row r="60" spans="1:7" x14ac:dyDescent="0.3">
      <c r="A60" s="2">
        <v>21</v>
      </c>
      <c r="C60" s="27" t="s">
        <v>112</v>
      </c>
      <c r="D60" s="39">
        <f>SUM(D40:D59)</f>
        <v>1078930</v>
      </c>
      <c r="E60" s="39">
        <f>SUM(E40:E59)</f>
        <v>3566660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TRUNC(26154,-1)</f>
        <v>26150</v>
      </c>
      <c r="E63" s="62">
        <f>TRUNC(+D63*3.3058,-1)</f>
        <v>86440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26150</v>
      </c>
      <c r="E66" s="65">
        <f>SUM(E63:E65)</f>
        <v>86440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TRUNC(76122,-1)</f>
        <v>76120</v>
      </c>
      <c r="E69" s="62">
        <f t="shared" ref="E69:E94" si="2">TRUNC(+D69*3.3058,-1)</f>
        <v>251630</v>
      </c>
    </row>
    <row r="70" spans="1:7" ht="16.5" customHeight="1" x14ac:dyDescent="0.3">
      <c r="A70" s="2">
        <v>2</v>
      </c>
      <c r="C70" s="38" t="s">
        <v>31</v>
      </c>
      <c r="D70" s="42">
        <f>TRUNC(1363,-1)</f>
        <v>1360</v>
      </c>
      <c r="E70" s="63">
        <f t="shared" si="2"/>
        <v>4490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TRUNC(14711,-1)</f>
        <v>14710</v>
      </c>
      <c r="E72" s="63">
        <f t="shared" si="2"/>
        <v>48620</v>
      </c>
    </row>
    <row r="73" spans="1:7" x14ac:dyDescent="0.3">
      <c r="A73" s="2">
        <v>5</v>
      </c>
      <c r="C73" s="38" t="s">
        <v>34</v>
      </c>
      <c r="D73" s="42">
        <f>TRUNC(86241,-1)</f>
        <v>86240</v>
      </c>
      <c r="E73" s="63">
        <f t="shared" si="2"/>
        <v>285090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TRUNC(10707,-1)</f>
        <v>10700</v>
      </c>
      <c r="E89" s="63">
        <f t="shared" si="2"/>
        <v>35370</v>
      </c>
    </row>
    <row r="90" spans="1:7" x14ac:dyDescent="0.3">
      <c r="A90" s="2">
        <v>22</v>
      </c>
      <c r="C90" s="38" t="s">
        <v>36</v>
      </c>
      <c r="D90" s="42">
        <f>TRUNC(8154,-1)</f>
        <v>8150</v>
      </c>
      <c r="E90" s="63">
        <f t="shared" si="2"/>
        <v>26940</v>
      </c>
    </row>
    <row r="91" spans="1:7" x14ac:dyDescent="0.3">
      <c r="A91" s="2">
        <v>23</v>
      </c>
      <c r="C91" s="38" t="s">
        <v>37</v>
      </c>
      <c r="D91" s="42">
        <f>TRUNC(33660,-1)</f>
        <v>33660</v>
      </c>
      <c r="E91" s="63">
        <f t="shared" si="2"/>
        <v>111270</v>
      </c>
    </row>
    <row r="92" spans="1:7" x14ac:dyDescent="0.3">
      <c r="A92" s="2">
        <v>24</v>
      </c>
      <c r="C92" s="38" t="s">
        <v>38</v>
      </c>
      <c r="D92" s="42">
        <f>TRUNC(8901,-1)</f>
        <v>8900</v>
      </c>
      <c r="E92" s="63">
        <f t="shared" si="2"/>
        <v>29420</v>
      </c>
    </row>
    <row r="93" spans="1:7" x14ac:dyDescent="0.3">
      <c r="A93" s="2">
        <v>25</v>
      </c>
      <c r="C93" s="38" t="s">
        <v>148</v>
      </c>
      <c r="D93" s="42">
        <f>TRUNC(200767,-1)</f>
        <v>200760</v>
      </c>
      <c r="E93" s="63">
        <f t="shared" si="2"/>
        <v>663670</v>
      </c>
    </row>
    <row r="94" spans="1:7" ht="17.25" thickBot="1" x14ac:dyDescent="0.35">
      <c r="A94" s="2">
        <v>26</v>
      </c>
      <c r="C94" s="38" t="s">
        <v>47</v>
      </c>
      <c r="D94" s="43">
        <f>TRUNC(19387+3958+2946,-1)</f>
        <v>26290</v>
      </c>
      <c r="E94" s="64">
        <f t="shared" si="2"/>
        <v>86900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466890</v>
      </c>
      <c r="E95" s="39">
        <f>SUM(E69:E94)</f>
        <v>1543400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TRUNC(5431,-1)</f>
        <v>5430</v>
      </c>
      <c r="E98" s="62">
        <f t="shared" ref="E98:E118" si="3">TRUNC(+D98*3.3058,-1)</f>
        <v>17950</v>
      </c>
    </row>
    <row r="99" spans="1:7" x14ac:dyDescent="0.3">
      <c r="A99" s="2">
        <v>2</v>
      </c>
      <c r="C99" s="38" t="s">
        <v>40</v>
      </c>
      <c r="D99" s="42">
        <f>TRUNC(12394,-1)</f>
        <v>12390</v>
      </c>
      <c r="E99" s="63">
        <f t="shared" si="3"/>
        <v>40950</v>
      </c>
    </row>
    <row r="100" spans="1:7" x14ac:dyDescent="0.3">
      <c r="A100" s="2">
        <v>3</v>
      </c>
      <c r="C100" s="38" t="s">
        <v>41</v>
      </c>
      <c r="D100" s="42">
        <f>TRUNC(41222,-1)</f>
        <v>41220</v>
      </c>
      <c r="E100" s="63">
        <f t="shared" si="3"/>
        <v>136260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TRUNC(9236,-1)</f>
        <v>9230</v>
      </c>
      <c r="E102" s="63">
        <f t="shared" si="3"/>
        <v>30510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TRUNC(1518,-1)</f>
        <v>1510</v>
      </c>
      <c r="E104" s="63">
        <f t="shared" si="3"/>
        <v>4990</v>
      </c>
    </row>
    <row r="105" spans="1:7" x14ac:dyDescent="0.3">
      <c r="A105" s="2">
        <v>8</v>
      </c>
      <c r="C105" s="38" t="s">
        <v>46</v>
      </c>
      <c r="D105" s="42">
        <f>TRUNC(6118,-1)</f>
        <v>6110</v>
      </c>
      <c r="E105" s="63">
        <f t="shared" si="3"/>
        <v>20190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TRUNC(40917,-1)</f>
        <v>40910</v>
      </c>
      <c r="E116" s="63">
        <f t="shared" si="3"/>
        <v>135240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TRUNC(178565,-1)</f>
        <v>178560</v>
      </c>
      <c r="E117" s="63">
        <f t="shared" si="3"/>
        <v>590280</v>
      </c>
    </row>
    <row r="118" spans="1:7" ht="17.25" thickBot="1" x14ac:dyDescent="0.35">
      <c r="A118" s="2">
        <v>21</v>
      </c>
      <c r="C118" s="38" t="s">
        <v>47</v>
      </c>
      <c r="D118" s="43">
        <f>TRUNC(4523,-1)</f>
        <v>4520</v>
      </c>
      <c r="E118" s="64">
        <f t="shared" si="3"/>
        <v>14940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299880</v>
      </c>
      <c r="E119" s="39">
        <f>SUM(E98:E118)</f>
        <v>991310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TRUNC(2014,-1)</f>
        <v>2010</v>
      </c>
      <c r="E122" s="62">
        <f t="shared" ref="E122:E132" si="4">TRUNC(+D122*3.3058,-1)</f>
        <v>6640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TRUNC(1920,-1)</f>
        <v>1920</v>
      </c>
      <c r="E124" s="63">
        <f t="shared" si="4"/>
        <v>6340</v>
      </c>
    </row>
    <row r="125" spans="1:7" x14ac:dyDescent="0.3">
      <c r="A125" s="2">
        <v>4</v>
      </c>
      <c r="C125" s="38" t="s">
        <v>138</v>
      </c>
      <c r="D125" s="42">
        <f>TRUNC(3835,-1)</f>
        <v>3830</v>
      </c>
      <c r="E125" s="63">
        <f t="shared" si="4"/>
        <v>12660</v>
      </c>
    </row>
    <row r="126" spans="1:7" x14ac:dyDescent="0.3">
      <c r="A126" s="2">
        <v>5</v>
      </c>
      <c r="C126" s="38" t="s">
        <v>53</v>
      </c>
      <c r="D126" s="42">
        <f>TRUNC(10159,-1)</f>
        <v>10150</v>
      </c>
      <c r="E126" s="63">
        <f t="shared" si="4"/>
        <v>33550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TRUNC(5750,-1)</f>
        <v>5750</v>
      </c>
      <c r="E130" s="63">
        <f t="shared" si="4"/>
        <v>19000</v>
      </c>
    </row>
    <row r="131" spans="1:7" x14ac:dyDescent="0.3">
      <c r="A131" s="2">
        <v>10</v>
      </c>
      <c r="C131" s="38" t="s">
        <v>148</v>
      </c>
      <c r="D131" s="42">
        <f>TRUNC(28802,-1)</f>
        <v>28800</v>
      </c>
      <c r="E131" s="63">
        <f t="shared" si="4"/>
        <v>95200</v>
      </c>
    </row>
    <row r="132" spans="1:7" ht="18" thickBot="1" x14ac:dyDescent="0.35">
      <c r="A132" s="2">
        <v>11</v>
      </c>
      <c r="C132" s="38" t="s">
        <v>47</v>
      </c>
      <c r="D132" s="43">
        <f>TRUNC(1909+5114,-1)</f>
        <v>7020</v>
      </c>
      <c r="E132" s="64">
        <f t="shared" si="4"/>
        <v>23200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59480</v>
      </c>
      <c r="E133" s="39">
        <f>SUM(E122:E132)</f>
        <v>196590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TRUNC(909,-1)</f>
        <v>900</v>
      </c>
      <c r="E139" s="63">
        <f t="shared" si="5"/>
        <v>2970</v>
      </c>
    </row>
    <row r="140" spans="1:7" x14ac:dyDescent="0.3">
      <c r="A140" s="2">
        <v>5</v>
      </c>
      <c r="C140" s="38" t="s">
        <v>57</v>
      </c>
      <c r="D140" s="42">
        <f>TRUNC(3056,-1)</f>
        <v>3050</v>
      </c>
      <c r="E140" s="63">
        <f t="shared" si="5"/>
        <v>10080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TRUNC(9666,-1)</f>
        <v>9660</v>
      </c>
      <c r="E142" s="63">
        <f t="shared" si="5"/>
        <v>31930</v>
      </c>
    </row>
    <row r="143" spans="1:7" x14ac:dyDescent="0.3">
      <c r="A143" s="2">
        <v>8</v>
      </c>
      <c r="C143" s="38" t="s">
        <v>62</v>
      </c>
      <c r="D143" s="42">
        <f>TRUNC(4300,-1)</f>
        <v>4300</v>
      </c>
      <c r="E143" s="63">
        <f t="shared" si="5"/>
        <v>14210</v>
      </c>
    </row>
    <row r="144" spans="1:7" x14ac:dyDescent="0.3">
      <c r="A144" s="2">
        <v>9</v>
      </c>
      <c r="C144" s="38" t="s">
        <v>63</v>
      </c>
      <c r="D144" s="42">
        <f>TRUNC(17554,-1)</f>
        <v>17550</v>
      </c>
      <c r="E144" s="63">
        <f t="shared" si="5"/>
        <v>58010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35460</v>
      </c>
      <c r="E146" s="39">
        <f>SUM(E136:E145)</f>
        <v>117200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TRUNC(5900+4961,-1)</f>
        <v>10860</v>
      </c>
      <c r="E149" s="62">
        <f>TRUNC(+D149*3.3058,-1)</f>
        <v>35900</v>
      </c>
      <c r="F149" s="2" t="s">
        <v>251</v>
      </c>
    </row>
    <row r="150" spans="1:7" x14ac:dyDescent="0.3">
      <c r="A150" s="2">
        <v>2</v>
      </c>
      <c r="C150" s="38" t="s">
        <v>49</v>
      </c>
      <c r="D150" s="42">
        <f>TRUNC(18593,-1)</f>
        <v>18590</v>
      </c>
      <c r="E150" s="63">
        <f>TRUNC(+D150*3.3058,-1)</f>
        <v>61450</v>
      </c>
    </row>
    <row r="151" spans="1:7" x14ac:dyDescent="0.3">
      <c r="A151" s="2">
        <v>3</v>
      </c>
      <c r="C151" s="38" t="s">
        <v>50</v>
      </c>
      <c r="D151" s="42">
        <f>TRUNC(5775,-1)</f>
        <v>5770</v>
      </c>
      <c r="E151" s="63">
        <f>TRUNC(+D151*3.3058,-1)</f>
        <v>19070</v>
      </c>
    </row>
    <row r="152" spans="1:7" x14ac:dyDescent="0.3">
      <c r="A152" s="2">
        <v>4</v>
      </c>
      <c r="C152" s="38" t="s">
        <v>47</v>
      </c>
      <c r="D152" s="42">
        <f>TRUNC(78-98,-1)</f>
        <v>-20</v>
      </c>
      <c r="E152" s="63">
        <f>TRUNC(+D152*3.3058,-1)</f>
        <v>-60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f>TRUNC(2413,-1)</f>
        <v>2410</v>
      </c>
      <c r="E153" s="64">
        <f>TRUNC(+D153*3.3058,-1)</f>
        <v>7960</v>
      </c>
    </row>
    <row r="154" spans="1:7" x14ac:dyDescent="0.3">
      <c r="A154" s="2">
        <v>6</v>
      </c>
      <c r="C154" s="27" t="s">
        <v>112</v>
      </c>
      <c r="D154" s="39">
        <f>SUM(D149:D153)</f>
        <v>37610</v>
      </c>
      <c r="E154" s="39">
        <f>SUM(E149:E153)</f>
        <v>124320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TRUNC(15514,-1)</f>
        <v>15510</v>
      </c>
      <c r="E157" s="62">
        <f>TRUNC(+D157*3.3058,-1)</f>
        <v>51270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15510</v>
      </c>
      <c r="E161" s="39">
        <f>SUM(E157:E160)</f>
        <v>51270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2020-12-08T02:33:16Z</dcterms:modified>
</cp:coreProperties>
</file>