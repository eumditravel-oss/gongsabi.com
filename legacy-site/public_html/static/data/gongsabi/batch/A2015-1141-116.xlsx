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49" i="4"/>
  <c r="D144" i="4"/>
  <c r="D143" i="4"/>
  <c r="D142" i="4"/>
  <c r="D141" i="4"/>
  <c r="D140" i="4"/>
  <c r="D137" i="4"/>
  <c r="D132" i="4"/>
  <c r="D131" i="4"/>
  <c r="D130" i="4"/>
  <c r="D125" i="4"/>
  <c r="D122" i="4"/>
  <c r="D118" i="4"/>
  <c r="D117" i="4"/>
  <c r="D116" i="4"/>
  <c r="D104" i="4"/>
  <c r="D102" i="4"/>
  <c r="D100" i="4"/>
  <c r="D99" i="4"/>
  <c r="D98" i="4"/>
  <c r="D92" i="4"/>
  <c r="D91" i="4"/>
  <c r="D90" i="4"/>
  <c r="D89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<sst xmlns="http://schemas.openxmlformats.org/spreadsheetml/2006/main" count="393" uniqueCount="269">
  <si>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</si>
  <si>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</si>
  <si>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</si>
  <si>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</si>
  <si>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</si>
  <si>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</si>
  <si>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</si>
  <si>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</si>
  <si>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</si>
  <si>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</si>
  <si>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</si>
  <si>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</si>
  <si>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</si>
  <si>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</si>
  <si>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</si>
  <si>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</si>
  <si>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</si>
  <si>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</si>
  <si>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</si>
  <si>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</si>
  <si>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</si>
  <si>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</si>
  <si>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</si>
  <si>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</si>
  <si>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</si>
  <si>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</si>
  <si>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</si>
  <si>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</si>
  <si>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</si>
  <si>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</si>
  <si>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</si>
  <si>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</si>
  <si>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</si>
  <si>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</si>
  <si>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</si>
  <si>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</si>
  <si>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</si>
  <si>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</si>
  <si>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</si>
  <si>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</si>
  <si>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</si>
  <si>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</si>
  <si>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</si>
  <si>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</si>
  <si>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</si>
  <si>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</si>
  <si>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</si>
  <si>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</si>
  <si>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</si>
  <si>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</si>
  <si>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</si>
  <si>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</si>
  <si>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</si>
  <si>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</si>
  <si>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</si>
  <si>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</si>
  <si>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</si>
  <si>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</si>
  <si>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</si>
  <si>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</si>
  <si>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</si>
  <si>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</si>
  <si>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</si>
  <si>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</si>
  <si>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</si>
  <si>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</si>
  <si>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</si>
  <si>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</si>
  <si>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</si>
  <si>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</si>
  <si>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</si>
  <si>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</si>
  <si>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</si>
  <si>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</si>
  <si>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</si>
  <si>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</si>
  <si>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</si>
  <si>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</si>
  <si>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</si>
  <si>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</si>
  <si>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</si>
  <si>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</si>
  <si>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</si>
  <si>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</si>
  <si>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</si>
  <si>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</si>
  <si>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</si>
  <si>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</si>
  <si>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</si>
  <si>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</si>
  <si>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</si>
  <si>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</si>
  <si>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</si>
  <si>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</si>
  <si>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</si>
  <si>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</si>
  <si>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</si>
  <si>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</si>
  <si>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</si>
  <si>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</si>
  <si>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</si>
  <si>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</si>
  <si>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</si>
  <si>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</si>
  <si>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</si>
  <si>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</si>
  <si>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</si>
  <si>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</si>
  <si>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</si>
  <si>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</si>
  <si>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</si>
  <si>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</si>
  <si>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</si>
  <si>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</si>
  <si>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</si>
  <si>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</si>
  <si>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</si>
  <si>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</si>
  <si>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</si>
  <si>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</si>
  <si>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</si>
  <si>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</si>
  <si>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</si>
  <si>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</si>
  <si>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</si>
  <si>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</si>
  <si>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</si>
  <si>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</si>
  <si>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</si>
  <si>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</si>
  <si>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</si>
  <si>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</si>
  <si>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</si>
  <si>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</si>
  <si>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</si>
  <si>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</si>
  <si>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</si>
  <si>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</si>
  <si>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</si>
  <si>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</si>
  <si>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</si>
  <si>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</si>
  <si>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</si>
  <si>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</si>
  <si>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</si>
  <si>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</si>
  <si>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</si>
  <si>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</si>
  <si>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</si>
  <si>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</si>
  <si>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</si>
  <si>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</si>
  <si>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</si>
  <si>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</si>
  <si>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</si>
  <si>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</si>
  <si>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</si>
  <si>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</si>
  <si>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</si>
  <si>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</si>
  <si>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</si>
  <si>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</si>
  <si>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</si>
  <si>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</si>
  <si>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</si>
  <si>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</si>
  <si>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</si>
  <si>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</si>
  <si>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</si>
  <si>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</si>
  <si>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</si>
  <si>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</si>
  <si>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</si>
  <si>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</si>
  <si>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</si>
  <si>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</si>
  <si>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</si>
  <si>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</si>
  <si>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</si>
  <si>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</si>
  <si>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</si>
  <si>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</si>
  <si>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</si>
  <si>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</si>
  <si>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</si>
  <si>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</si>
  <si>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</si>
  <si>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</si>
  <si>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</si>
  <si>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</si>
  <si>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</si>
  <si>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</si>
  <si>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</si>
  <si>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</si>
  <si>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</si>
  <si>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</si>
  <si>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</si>
  <si>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</si>
  <si>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</si>
  <si>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</si>
  <si>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</si>
  <si>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</si>
  <si>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</si>
  <si>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</si>
  <si>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</si>
  <si>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</si>
  <si>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</si>
  <si>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</si>
  <si>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</si>
  <si>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</si>
  <si>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</si>
  <si>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</si>
  <si>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</si>
  <si>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</si>
  <si>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</si>
  <si>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</si>
  <si>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</si>
  <si>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</si>
  <si>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</si>
  <si>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</si>
  <si>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</si>
  <si>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</si>
  <si>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</si>
  <si>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</si>
  <si>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</si>
  <si>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</si>
  <si>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</si>
  <si>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</si>
  <si>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</si>
  <si>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</si>
  <si>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</si>
  <si>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</si>
  <si>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</si>
  <si>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</si>
  <si>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</si>
  <si>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</si>
  <si>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</si>
  <si>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</si>
  <si>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</si>
  <si>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</si>
  <si>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</si>
  <si>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</si>
  <si>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</si>
  <si>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</si>
  <si>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</si>
  <si>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</si>
  <si>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</si>
  <si>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</si>
  <si>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</si>
  <si>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</si>
  <si>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</si>
  <si>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</si>
  <si>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</si>
  <si>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</si>
  <si>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</si>
  <si>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</si>
  <si>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</si>
  <si>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</si>
  <si>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</si>
  <si>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서울수송초등학교 복합화시설 증축공사</t>
    <phoneticPr fontId="2" type="noConversion"/>
  </si>
  <si>
    <t>서울</t>
  </si>
  <si>
    <t>바닥난방공사,기타공사</t>
    <phoneticPr fontId="2" type="noConversion"/>
  </si>
  <si>
    <t>CCTV설비공사, 주차관제설비공사</t>
    <phoneticPr fontId="2" type="noConversion"/>
  </si>
  <si>
    <t>펌프실배관공사, 무선통신보조설비공사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</si>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</sst>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10635.89</v>
      </c>
      <c r="D7" s="36">
        <f>+C7/3.3058</f>
        <v>3217.3422469598886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546810</v>
      </c>
      <c r="E25" s="59">
        <f t="shared" si="0"/>
        <v>1807640</v>
      </c>
    </row>
    <row r="26" spans="1:5" x14ac:dyDescent="0.3">
      <c r="B26" s="2">
        <v>3</v>
      </c>
      <c r="C26" s="35" t="s">
        <v>95</v>
      </c>
      <c r="D26" s="45">
        <f>+D66</f>
        <v>140210</v>
      </c>
      <c r="E26" s="59">
        <f t="shared" si="0"/>
        <v>463500</v>
      </c>
    </row>
    <row r="27" spans="1:5" x14ac:dyDescent="0.3">
      <c r="B27" s="2">
        <v>4</v>
      </c>
      <c r="C27" s="35" t="s">
        <v>96</v>
      </c>
      <c r="D27" s="45">
        <f>+D95</f>
        <v>48730</v>
      </c>
      <c r="E27" s="59">
        <f t="shared" si="0"/>
        <v>161090</v>
      </c>
    </row>
    <row r="28" spans="1:5" x14ac:dyDescent="0.3">
      <c r="B28" s="2">
        <v>5</v>
      </c>
      <c r="C28" s="35" t="s">
        <v>97</v>
      </c>
      <c r="D28" s="45">
        <f>+D119</f>
        <v>102040</v>
      </c>
      <c r="E28" s="59">
        <f t="shared" si="0"/>
        <v>337320</v>
      </c>
    </row>
    <row r="29" spans="1:5" x14ac:dyDescent="0.3">
      <c r="B29" s="2">
        <v>6</v>
      </c>
      <c r="C29" s="35" t="s">
        <v>98</v>
      </c>
      <c r="D29" s="45">
        <f>+D133</f>
        <v>60240</v>
      </c>
      <c r="E29" s="59">
        <f t="shared" si="0"/>
        <v>199140</v>
      </c>
    </row>
    <row r="30" spans="1:5" x14ac:dyDescent="0.3">
      <c r="B30" s="2">
        <v>7</v>
      </c>
      <c r="C30" s="35" t="s">
        <v>99</v>
      </c>
      <c r="D30" s="45">
        <f>+D146</f>
        <v>36650</v>
      </c>
      <c r="E30" s="59">
        <f t="shared" si="0"/>
        <v>121150</v>
      </c>
    </row>
    <row r="31" spans="1:5" x14ac:dyDescent="0.3">
      <c r="B31" s="2">
        <v>8</v>
      </c>
      <c r="C31" s="35" t="s">
        <v>100</v>
      </c>
      <c r="D31" s="45">
        <f>+D154</f>
        <v>22030</v>
      </c>
      <c r="E31" s="59">
        <f t="shared" si="0"/>
        <v>72820</v>
      </c>
    </row>
    <row r="32" spans="1:5" x14ac:dyDescent="0.3">
      <c r="B32" s="2">
        <v>9</v>
      </c>
      <c r="C32" s="35" t="s">
        <v>101</v>
      </c>
      <c r="D32" s="45">
        <f>+D161</f>
        <v>16920</v>
      </c>
      <c r="E32" s="59">
        <f t="shared" si="0"/>
        <v>55930</v>
      </c>
    </row>
    <row r="33" spans="1:7" x14ac:dyDescent="0.3">
      <c r="B33" s="2">
        <v>10</v>
      </c>
      <c r="C33" s="35" t="s">
        <v>154</v>
      </c>
      <c r="D33" s="53">
        <f>TRUNC(SUM(D24:D32)*0.275,-1)</f>
        <v>267740</v>
      </c>
      <c r="E33" s="60">
        <f t="shared" si="0"/>
        <v>885090</v>
      </c>
    </row>
    <row r="34" spans="1:7" x14ac:dyDescent="0.3">
      <c r="C34" s="35" t="s">
        <v>112</v>
      </c>
      <c r="D34" s="44">
        <f>SUM(D24:D33)</f>
        <v>1241370</v>
      </c>
      <c r="E34" s="44">
        <f>SUM(E24:E33)</f>
        <v>4103680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TRUNC(56713,-1)</f>
        <v>56710</v>
      </c>
      <c r="E40" s="62">
        <f t="shared" ref="E40:E59" si="1">TRUNC(+D40*3.3058,-1)</f>
        <v>187470</v>
      </c>
    </row>
    <row r="41" spans="1:7" x14ac:dyDescent="0.3">
      <c r="A41" s="2">
        <v>2</v>
      </c>
      <c r="C41" s="38" t="s">
        <v>13</v>
      </c>
      <c r="D41" s="42">
        <f>TRUNC(124666,-10)</f>
        <v>0</v>
      </c>
      <c r="E41" s="63">
        <f t="shared" si="1"/>
        <v>0</v>
      </c>
    </row>
    <row r="42" spans="1:7" x14ac:dyDescent="0.3">
      <c r="A42" s="2">
        <v>3</v>
      </c>
      <c r="C42" s="38" t="s">
        <v>14</v>
      </c>
      <c r="D42" s="42">
        <f>TRUNC(14095,-1)</f>
        <v>14090</v>
      </c>
      <c r="E42" s="63">
        <f t="shared" si="1"/>
        <v>46570</v>
      </c>
    </row>
    <row r="43" spans="1:7" x14ac:dyDescent="0.3">
      <c r="A43" s="2">
        <v>4</v>
      </c>
      <c r="C43" s="38" t="s">
        <v>16</v>
      </c>
      <c r="D43" s="42">
        <f>TRUNC(18532,-1)</f>
        <v>18530</v>
      </c>
      <c r="E43" s="63">
        <f t="shared" si="1"/>
        <v>61250</v>
      </c>
    </row>
    <row r="44" spans="1:7" x14ac:dyDescent="0.3">
      <c r="A44" s="2">
        <v>5</v>
      </c>
      <c r="C44" s="38" t="s">
        <v>17</v>
      </c>
      <c r="D44" s="42">
        <f>TRUNC(56511,-1)</f>
        <v>56510</v>
      </c>
      <c r="E44" s="63">
        <f t="shared" si="1"/>
        <v>186810</v>
      </c>
    </row>
    <row r="45" spans="1:7" x14ac:dyDescent="0.3">
      <c r="A45" s="2">
        <v>6</v>
      </c>
      <c r="C45" s="38" t="s">
        <v>18</v>
      </c>
      <c r="D45" s="42">
        <f>TRUNC(3142,-1)</f>
        <v>3140</v>
      </c>
      <c r="E45" s="63">
        <f t="shared" si="1"/>
        <v>10380</v>
      </c>
    </row>
    <row r="46" spans="1:7" x14ac:dyDescent="0.3">
      <c r="A46" s="2">
        <v>7</v>
      </c>
      <c r="C46" s="38" t="s">
        <v>19</v>
      </c>
      <c r="D46" s="42">
        <f>TRUNC(19327,-1)</f>
        <v>19320</v>
      </c>
      <c r="E46" s="63">
        <f t="shared" si="1"/>
        <v>63860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TRUNC(43348,-1)</f>
        <v>43340</v>
      </c>
      <c r="E48" s="63">
        <f t="shared" si="1"/>
        <v>143270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TRUNC(14808,-1)</f>
        <v>14800</v>
      </c>
      <c r="E49" s="63">
        <f t="shared" si="1"/>
        <v>48920</v>
      </c>
    </row>
    <row r="50" spans="1:7" x14ac:dyDescent="0.3">
      <c r="A50" s="2">
        <v>11</v>
      </c>
      <c r="C50" s="38" t="s">
        <v>155</v>
      </c>
      <c r="D50" s="42">
        <f>TRUNC(21395,-1)</f>
        <v>21390</v>
      </c>
      <c r="E50" s="63">
        <f t="shared" si="1"/>
        <v>70710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TRUNC(6511,-1)</f>
        <v>6510</v>
      </c>
      <c r="E52" s="63">
        <f t="shared" si="1"/>
        <v>21520</v>
      </c>
    </row>
    <row r="53" spans="1:7" x14ac:dyDescent="0.3">
      <c r="A53" s="2">
        <v>14</v>
      </c>
      <c r="C53" s="38" t="s">
        <v>25</v>
      </c>
      <c r="D53" s="42">
        <f>TRUNC(52368,-1)</f>
        <v>52360</v>
      </c>
      <c r="E53" s="63">
        <f t="shared" si="1"/>
        <v>173090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TRUNC(1429+4796+7452,-1)</f>
        <v>13670</v>
      </c>
      <c r="E58" s="63">
        <f t="shared" si="1"/>
        <v>45190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TRUNC(226447,-1)</f>
        <v>226440</v>
      </c>
      <c r="E59" s="64">
        <f t="shared" si="1"/>
        <v>748560</v>
      </c>
    </row>
    <row r="60" spans="1:7" x14ac:dyDescent="0.3">
      <c r="A60" s="2">
        <v>21</v>
      </c>
      <c r="C60" s="27" t="s">
        <v>112</v>
      </c>
      <c r="D60" s="39">
        <f>SUM(D40:D59)</f>
        <v>546810</v>
      </c>
      <c r="E60" s="39">
        <f>SUM(E40:E59)</f>
        <v>1807600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TRUNC(22671,-1)</f>
        <v>22670</v>
      </c>
      <c r="E63" s="62">
        <f>TRUNC(+D63*3.3058,-1)</f>
        <v>74940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TRUNC(117549,-1)</f>
        <v>117540</v>
      </c>
      <c r="E65" s="64">
        <f>TRUNC(+D65*3.3058,-1)</f>
        <v>388560</v>
      </c>
    </row>
    <row r="66" spans="1:7" x14ac:dyDescent="0.3">
      <c r="A66" s="2">
        <v>4</v>
      </c>
      <c r="C66" s="27" t="s">
        <v>112</v>
      </c>
      <c r="D66" s="39">
        <f>SUM(D63:D65)</f>
        <v>140210</v>
      </c>
      <c r="E66" s="65">
        <f>SUM(E63:E65)</f>
        <v>463500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TRUNC(15636,-1)</f>
        <v>15630</v>
      </c>
      <c r="E69" s="62">
        <f t="shared" ref="E69:E94" si="2">TRUNC(+D69*3.3058,-1)</f>
        <v>51660</v>
      </c>
    </row>
    <row r="70" spans="1:7" ht="16.5" customHeight="1" x14ac:dyDescent="0.3">
      <c r="A70" s="2">
        <v>2</v>
      </c>
      <c r="C70" s="38" t="s">
        <v>31</v>
      </c>
      <c r="D70" s="42">
        <f>TRUNC(981,-1)</f>
        <v>980</v>
      </c>
      <c r="E70" s="63">
        <f t="shared" si="2"/>
        <v>3230</v>
      </c>
    </row>
    <row r="71" spans="1:7" x14ac:dyDescent="0.3">
      <c r="A71" s="2">
        <v>3</v>
      </c>
      <c r="C71" s="38" t="s">
        <v>32</v>
      </c>
      <c r="D71" s="42">
        <f>TRUNC(2926,-1)</f>
        <v>2920</v>
      </c>
      <c r="E71" s="63">
        <f t="shared" si="2"/>
        <v>9650</v>
      </c>
    </row>
    <row r="72" spans="1:7" x14ac:dyDescent="0.3">
      <c r="A72" s="2">
        <v>4</v>
      </c>
      <c r="C72" s="38" t="s">
        <v>33</v>
      </c>
      <c r="D72" s="42">
        <f>TRUNC(3582,-1)</f>
        <v>3580</v>
      </c>
      <c r="E72" s="63">
        <f t="shared" si="2"/>
        <v>11830</v>
      </c>
    </row>
    <row r="73" spans="1:7" x14ac:dyDescent="0.3">
      <c r="A73" s="2">
        <v>5</v>
      </c>
      <c r="C73" s="38" t="s">
        <v>34</v>
      </c>
      <c r="D73" s="42">
        <f>TRUNC(5981,-1)</f>
        <v>5980</v>
      </c>
      <c r="E73" s="63">
        <f t="shared" si="2"/>
        <v>19760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TRUNC(4971,-1)</f>
        <v>4970</v>
      </c>
      <c r="E89" s="63">
        <f t="shared" si="2"/>
        <v>16420</v>
      </c>
    </row>
    <row r="90" spans="1:7" x14ac:dyDescent="0.3">
      <c r="A90" s="2">
        <v>22</v>
      </c>
      <c r="C90" s="38" t="s">
        <v>36</v>
      </c>
      <c r="D90" s="42">
        <f>TRUNC(795,-1)</f>
        <v>790</v>
      </c>
      <c r="E90" s="63">
        <f t="shared" si="2"/>
        <v>2610</v>
      </c>
    </row>
    <row r="91" spans="1:7" x14ac:dyDescent="0.3">
      <c r="A91" s="2">
        <v>23</v>
      </c>
      <c r="C91" s="38" t="s">
        <v>37</v>
      </c>
      <c r="D91" s="42">
        <f>TRUNC(8448,-1)</f>
        <v>8440</v>
      </c>
      <c r="E91" s="63">
        <f t="shared" si="2"/>
        <v>27900</v>
      </c>
    </row>
    <row r="92" spans="1:7" x14ac:dyDescent="0.3">
      <c r="A92" s="2">
        <v>24</v>
      </c>
      <c r="C92" s="38" t="s">
        <v>38</v>
      </c>
      <c r="D92" s="42">
        <f>TRUNC(2137,-1)</f>
        <v>2130</v>
      </c>
      <c r="E92" s="63">
        <f t="shared" si="2"/>
        <v>7040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583+2727</f>
        <v>3310</v>
      </c>
      <c r="E94" s="64">
        <f t="shared" si="2"/>
        <v>10940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48730</v>
      </c>
      <c r="E95" s="39">
        <f>SUM(E69:E94)</f>
        <v>161040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TRUNC(11825,-1)</f>
        <v>11820</v>
      </c>
      <c r="E98" s="62">
        <f t="shared" ref="E98:E118" si="3">TRUNC(+D98*3.3058,-1)</f>
        <v>39070</v>
      </c>
    </row>
    <row r="99" spans="1:7" x14ac:dyDescent="0.3">
      <c r="A99" s="2">
        <v>2</v>
      </c>
      <c r="C99" s="38" t="s">
        <v>40</v>
      </c>
      <c r="D99" s="42">
        <f>TRUNC(6929,-1)</f>
        <v>6920</v>
      </c>
      <c r="E99" s="63">
        <f t="shared" si="3"/>
        <v>22870</v>
      </c>
    </row>
    <row r="100" spans="1:7" x14ac:dyDescent="0.3">
      <c r="A100" s="2">
        <v>3</v>
      </c>
      <c r="C100" s="38" t="s">
        <v>41</v>
      </c>
      <c r="D100" s="42">
        <f>TRUNC(13904,-1)</f>
        <v>13900</v>
      </c>
      <c r="E100" s="63">
        <f t="shared" si="3"/>
        <v>45950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TRUNC(2503,-1)</f>
        <v>2500</v>
      </c>
      <c r="E102" s="63">
        <f t="shared" si="3"/>
        <v>8260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TRUNC(922,-1)</f>
        <v>920</v>
      </c>
      <c r="E104" s="63">
        <f t="shared" si="3"/>
        <v>3040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TRUNC(2798,-1)</f>
        <v>2790</v>
      </c>
      <c r="E116" s="63">
        <f t="shared" si="3"/>
        <v>9220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TRUNC(57944,-1)</f>
        <v>57940</v>
      </c>
      <c r="E117" s="63">
        <f t="shared" si="3"/>
        <v>191530</v>
      </c>
    </row>
    <row r="118" spans="1:7" ht="17.25" thickBot="1" x14ac:dyDescent="0.35">
      <c r="A118" s="2">
        <v>21</v>
      </c>
      <c r="C118" s="38" t="s">
        <v>47</v>
      </c>
      <c r="D118" s="43">
        <f>TRUNC(5255,-1)</f>
        <v>5250</v>
      </c>
      <c r="E118" s="64">
        <f t="shared" si="3"/>
        <v>17350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102040</v>
      </c>
      <c r="E119" s="39">
        <f>SUM(E98:E118)</f>
        <v>337290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TRUNC(1429,-1)</f>
        <v>1420</v>
      </c>
      <c r="E122" s="62">
        <f t="shared" ref="E122:E132" si="4">TRUNC(+D122*3.3058,-1)</f>
        <v>4690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TRUNC(6292,-1)</f>
        <v>6290</v>
      </c>
      <c r="E125" s="63">
        <f t="shared" si="4"/>
        <v>20790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TRUNC(8878,-1)</f>
        <v>8870</v>
      </c>
      <c r="E130" s="63">
        <f t="shared" si="4"/>
        <v>29320</v>
      </c>
    </row>
    <row r="131" spans="1:7" x14ac:dyDescent="0.3">
      <c r="A131" s="2">
        <v>10</v>
      </c>
      <c r="C131" s="38" t="s">
        <v>148</v>
      </c>
      <c r="D131" s="42">
        <f>TRUNC(39272,-1)</f>
        <v>39270</v>
      </c>
      <c r="E131" s="63">
        <f t="shared" si="4"/>
        <v>129810</v>
      </c>
    </row>
    <row r="132" spans="1:7" ht="18" thickBot="1" x14ac:dyDescent="0.35">
      <c r="A132" s="2">
        <v>11</v>
      </c>
      <c r="C132" s="38" t="s">
        <v>47</v>
      </c>
      <c r="D132" s="43">
        <f>TRUNC(2628+1763,-1)</f>
        <v>4390</v>
      </c>
      <c r="E132" s="64">
        <f t="shared" si="4"/>
        <v>14510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60240</v>
      </c>
      <c r="E133" s="39">
        <f>SUM(E122:E132)</f>
        <v>199120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TRUNC(1440+1967,-1)</f>
        <v>3400</v>
      </c>
      <c r="E137" s="63">
        <f t="shared" si="5"/>
        <v>11230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TRUNC(1911,-1)</f>
        <v>1910</v>
      </c>
      <c r="E140" s="63">
        <f t="shared" si="5"/>
        <v>6310</v>
      </c>
    </row>
    <row r="141" spans="1:7" x14ac:dyDescent="0.3">
      <c r="A141" s="2">
        <v>6</v>
      </c>
      <c r="C141" s="38" t="s">
        <v>59</v>
      </c>
      <c r="D141" s="42">
        <f>TRUNC(12991,-1)</f>
        <v>12990</v>
      </c>
      <c r="E141" s="63">
        <f t="shared" si="5"/>
        <v>42940</v>
      </c>
    </row>
    <row r="142" spans="1:7" x14ac:dyDescent="0.3">
      <c r="A142" s="2">
        <v>7</v>
      </c>
      <c r="C142" s="38" t="s">
        <v>58</v>
      </c>
      <c r="D142" s="42">
        <f>TRUNC(3927,-1)</f>
        <v>3920</v>
      </c>
      <c r="E142" s="63">
        <f t="shared" si="5"/>
        <v>12950</v>
      </c>
    </row>
    <row r="143" spans="1:7" x14ac:dyDescent="0.3">
      <c r="A143" s="2">
        <v>8</v>
      </c>
      <c r="C143" s="38" t="s">
        <v>62</v>
      </c>
      <c r="D143" s="42">
        <f>TRUNC(4042,-1)</f>
        <v>4040</v>
      </c>
      <c r="E143" s="63">
        <f t="shared" si="5"/>
        <v>13350</v>
      </c>
    </row>
    <row r="144" spans="1:7" x14ac:dyDescent="0.3">
      <c r="A144" s="2">
        <v>9</v>
      </c>
      <c r="C144" s="38" t="s">
        <v>63</v>
      </c>
      <c r="D144" s="42">
        <f>TRUNC(10397,-1)</f>
        <v>10390</v>
      </c>
      <c r="E144" s="63">
        <f t="shared" si="5"/>
        <v>34340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36650</v>
      </c>
      <c r="E146" s="39">
        <f>SUM(E136:E145)</f>
        <v>121120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TRUNC(5650+986,-1)</f>
        <v>6630</v>
      </c>
      <c r="E149" s="62">
        <f>TRUNC(+D149*3.3058,-1)</f>
        <v>21910</v>
      </c>
    </row>
    <row r="150" spans="1:7" x14ac:dyDescent="0.3">
      <c r="A150" s="2">
        <v>2</v>
      </c>
      <c r="C150" s="38" t="s">
        <v>49</v>
      </c>
      <c r="D150" s="42">
        <v>5260</v>
      </c>
      <c r="E150" s="63">
        <f>TRUNC(+D150*3.3058,-1)</f>
        <v>17380</v>
      </c>
    </row>
    <row r="151" spans="1:7" x14ac:dyDescent="0.3">
      <c r="A151" s="2">
        <v>3</v>
      </c>
      <c r="C151" s="38" t="s">
        <v>50</v>
      </c>
      <c r="D151" s="42">
        <f>TRUNC(4152,-1)</f>
        <v>4150</v>
      </c>
      <c r="E151" s="63">
        <f>TRUNC(+D151*3.3058,-1)</f>
        <v>13710</v>
      </c>
    </row>
    <row r="152" spans="1:7" x14ac:dyDescent="0.3">
      <c r="A152" s="2">
        <v>4</v>
      </c>
      <c r="C152" s="38" t="s">
        <v>47</v>
      </c>
      <c r="D152" s="42">
        <f>TRUNC(439+5558,-1)</f>
        <v>5990</v>
      </c>
      <c r="E152" s="63">
        <f>TRUNC(+D152*3.3058,-1)</f>
        <v>19800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22030</v>
      </c>
      <c r="E154" s="39">
        <f>SUM(E149:E153)</f>
        <v>72800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TRUNC(6084,-1)</f>
        <v>6080</v>
      </c>
      <c r="E157" s="62">
        <f>TRUNC(+D157*3.3058,-1)</f>
        <v>20090</v>
      </c>
    </row>
    <row r="158" spans="1:7" x14ac:dyDescent="0.3">
      <c r="A158" s="2">
        <v>2</v>
      </c>
      <c r="C158" s="38" t="s">
        <v>52</v>
      </c>
      <c r="D158" s="42">
        <f>TRUNC(2284,-1)</f>
        <v>2280</v>
      </c>
      <c r="E158" s="63">
        <f>TRUNC(+D158*3.3058,-1)</f>
        <v>7530</v>
      </c>
    </row>
    <row r="159" spans="1:7" x14ac:dyDescent="0.3">
      <c r="A159" s="2">
        <v>3</v>
      </c>
      <c r="C159" s="38" t="s">
        <v>47</v>
      </c>
      <c r="D159" s="42">
        <f>TRUNC(8567,-1)</f>
        <v>8560</v>
      </c>
      <c r="E159" s="63">
        <f>TRUNC(+D159*3.3058,-1)</f>
        <v>28290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16920</v>
      </c>
      <c r="E161" s="39">
        <f>SUM(E157:E160)</f>
        <v>55910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2020-12-07T10:00:30Z</dcterms:modified>
</cp:coreProperties>
</file>