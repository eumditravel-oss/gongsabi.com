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41" i="4"/>
  <c r="E138" i="4"/>
  <c r="E136" i="4"/>
  <c r="E130" i="4"/>
  <c r="E129" i="4"/>
  <c r="E126" i="4"/>
  <c r="E123" i="4"/>
  <c r="E115" i="4"/>
  <c r="E114" i="4"/>
  <c r="E113" i="4"/>
  <c r="E112" i="4"/>
  <c r="E111" i="4"/>
  <c r="E110" i="4"/>
  <c r="E109" i="4"/>
  <c r="E108" i="4"/>
  <c r="E107" i="4"/>
  <c r="E106" i="4"/>
  <c r="E101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65" i="4"/>
  <c r="E64" i="4"/>
  <c r="E59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E157" i="4" s="1"/>
  <c r="E161" i="4" s="1"/>
  <c r="D153" i="4"/>
  <c r="E153" i="4" s="1"/>
  <c r="D152" i="4"/>
  <c r="E152" i="4" s="1"/>
  <c r="D151" i="4"/>
  <c r="E151" i="4" s="1"/>
  <c r="D150" i="4"/>
  <c r="E150" i="4" s="1"/>
  <c r="D149" i="4"/>
  <c r="E149" i="4" s="1"/>
  <c r="D144" i="4"/>
  <c r="E144" i="4" s="1"/>
  <c r="D143" i="4"/>
  <c r="E143" i="4" s="1"/>
  <c r="D142" i="4"/>
  <c r="E142" i="4" s="1"/>
  <c r="D140" i="4"/>
  <c r="E140" i="4" s="1"/>
  <c r="D139" i="4"/>
  <c r="E139" i="4" s="1"/>
  <c r="D137" i="4"/>
  <c r="E137" i="4" s="1"/>
  <c r="E146" i="4" s="1"/>
  <c r="D132" i="4"/>
  <c r="E132" i="4" s="1"/>
  <c r="D131" i="4"/>
  <c r="E131" i="4" s="1"/>
  <c r="D128" i="4"/>
  <c r="E128" i="4" s="1"/>
  <c r="D127" i="4"/>
  <c r="E127" i="4" s="1"/>
  <c r="D125" i="4"/>
  <c r="E125" i="4" s="1"/>
  <c r="E133" i="4" s="1"/>
  <c r="D124" i="4"/>
  <c r="E124" i="4" s="1"/>
  <c r="D122" i="4"/>
  <c r="E122" i="4" s="1"/>
  <c r="D118" i="4"/>
  <c r="E118" i="4" s="1"/>
  <c r="D117" i="4"/>
  <c r="E117" i="4" s="1"/>
  <c r="D116" i="4"/>
  <c r="E116" i="4" s="1"/>
  <c r="D105" i="4"/>
  <c r="E105" i="4" s="1"/>
  <c r="D104" i="4"/>
  <c r="E104" i="4" s="1"/>
  <c r="D103" i="4"/>
  <c r="E103" i="4" s="1"/>
  <c r="D102" i="4"/>
  <c r="E102" i="4" s="1"/>
  <c r="D100" i="4"/>
  <c r="E100" i="4" s="1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3" i="4"/>
  <c r="E73" i="4" s="1"/>
  <c r="D72" i="4"/>
  <c r="E72" i="4" s="1"/>
  <c r="D70" i="4"/>
  <c r="E70" i="4" s="1"/>
  <c r="D69" i="4"/>
  <c r="E69" i="4" s="1"/>
  <c r="D63" i="4"/>
  <c r="E63" i="4" s="1"/>
  <c r="E66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E119" i="4" l="1"/>
  <c r="E95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<sst xmlns="http://schemas.openxmlformats.org/spreadsheetml/2006/main" count="392" uniqueCount="267">
  <si>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</si>
  <si>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</si>
  <si>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</si>
  <si>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</si>
  <si>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</si>
  <si>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</si>
  <si>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</si>
  <si>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</si>
  <si>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</si>
  <si>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</si>
  <si>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</si>
  <si>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</si>
  <si>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</si>
  <si>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</si>
  <si>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</si>
  <si>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</si>
  <si>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</si>
  <si>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</si>
  <si>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</si>
  <si>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</si>
  <si>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</si>
  <si>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</si>
  <si>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</si>
  <si>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</si>
  <si>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</si>
  <si>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</si>
  <si>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</si>
  <si>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</si>
  <si>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</si>
  <si>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</si>
  <si>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</si>
  <si>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</si>
  <si>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</si>
  <si>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</si>
  <si>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</si>
  <si>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</si>
  <si>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</si>
  <si>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</si>
  <si>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</si>
  <si>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</si>
  <si>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</si>
  <si>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</si>
  <si>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</si>
  <si>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</si>
  <si>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</si>
  <si>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</si>
  <si>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</si>
  <si>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</si>
  <si>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</si>
  <si>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</si>
  <si>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</si>
  <si>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</si>
  <si>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</si>
  <si>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</si>
  <si>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</si>
  <si>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</si>
  <si>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</si>
  <si>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</si>
  <si>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</si>
  <si>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</si>
  <si>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</si>
  <si>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</si>
  <si>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</si>
  <si>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</si>
  <si>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</si>
  <si>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</si>
  <si>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</si>
  <si>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</si>
  <si>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</si>
  <si>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</si>
  <si>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</si>
  <si>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</si>
  <si>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</si>
  <si>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</si>
  <si>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</si>
  <si>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</si>
  <si>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</si>
  <si>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</si>
  <si>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</si>
  <si>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</si>
  <si>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</si>
  <si>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</si>
  <si>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</si>
  <si>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</si>
  <si>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</si>
  <si>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</si>
  <si>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</si>
  <si>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</si>
  <si>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</si>
  <si>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</si>
  <si>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</si>
  <si>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</si>
  <si>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</si>
  <si>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</si>
  <si>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</si>
  <si>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</si>
  <si>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</si>
  <si>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</si>
  <si>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</si>
  <si>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</si>
  <si>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</si>
  <si>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</si>
  <si>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</si>
  <si>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</si>
  <si>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</si>
  <si>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</si>
  <si>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</si>
  <si>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</si>
  <si>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</si>
  <si>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</si>
  <si>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</si>
  <si>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</si>
  <si>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</si>
  <si>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</si>
  <si>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</si>
  <si>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</si>
  <si>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</si>
  <si>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</si>
  <si>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</si>
  <si>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</si>
  <si>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</si>
  <si>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</si>
  <si>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</si>
  <si>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</si>
  <si>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</si>
  <si>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</si>
  <si>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</si>
  <si>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</si>
  <si>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</si>
  <si>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</si>
  <si>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</si>
  <si>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</si>
  <si>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</si>
  <si>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</si>
  <si>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</si>
  <si>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</si>
  <si>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</si>
  <si>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</si>
  <si>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</si>
  <si>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</si>
  <si>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</si>
  <si>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</si>
  <si>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</si>
  <si>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</si>
  <si>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</si>
  <si>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</si>
  <si>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</si>
  <si>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</si>
  <si>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</si>
  <si>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</si>
  <si>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</si>
  <si>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</si>
  <si>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</si>
  <si>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</si>
  <si>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</si>
  <si>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</si>
  <si>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</si>
  <si>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</si>
  <si>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</si>
  <si>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</si>
  <si>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</si>
  <si>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</si>
  <si>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</si>
  <si>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</si>
  <si>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</si>
  <si>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</si>
  <si>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</si>
  <si>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</si>
  <si>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</si>
  <si>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</si>
  <si>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</si>
  <si>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</si>
  <si>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</si>
  <si>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</si>
  <si>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</si>
  <si>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</si>
  <si>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</si>
  <si>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</si>
  <si>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</si>
  <si>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</si>
  <si>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</si>
  <si>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</si>
  <si>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</si>
  <si>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</si>
  <si>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</si>
  <si>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</si>
  <si>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</si>
  <si>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</si>
  <si>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</si>
  <si>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</si>
  <si>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</si>
  <si>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</si>
  <si>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</si>
  <si>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</si>
  <si>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</si>
  <si>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</si>
  <si>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</si>
  <si>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</si>
  <si>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</si>
  <si>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</si>
  <si>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</si>
  <si>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</si>
  <si>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</si>
  <si>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</si>
  <si>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</si>
  <si>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</si>
  <si>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</si>
  <si>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</si>
  <si>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</si>
  <si>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</si>
  <si>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</si>
  <si>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</si>
  <si>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</si>
  <si>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</si>
  <si>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</si>
  <si>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</si>
  <si>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</si>
  <si>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</si>
  <si>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</si>
  <si>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</si>
  <si>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</si>
  <si>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</si>
  <si>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</si>
  <si>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</si>
  <si>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</si>
  <si>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</si>
  <si>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</si>
  <si>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</si>
  <si>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</si>
  <si>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</si>
  <si>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</si>
  <si>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</si>
  <si>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</si>
  <si>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</si>
  <si>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</si>
  <si>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</si>
  <si>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</si>
  <si>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</si>
  <si>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</si>
  <si>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</si>
  <si>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</si>
  <si>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</si>
  <si>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</si>
  <si>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</si>
  <si>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</si>
  <si>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</si>
  <si>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</si>
  <si>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</si>
  <si>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</si>
  <si>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</si>
  <si>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경북대학교 농업생명과학관 신축공사</t>
    <phoneticPr fontId="2" type="noConversion"/>
  </si>
  <si>
    <t>대구시</t>
  </si>
  <si>
    <t>창호및유리공사</t>
    <phoneticPr fontId="2" type="noConversion"/>
  </si>
  <si>
    <t>기초공사, 해체및철거공사, 골재비및운반비, 작업부산물, 기타공사</t>
    <phoneticPr fontId="2" type="noConversion"/>
  </si>
  <si>
    <t>우수처리시설공사,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</si>
  <si>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</si>
  <si>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</si>
  <si>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</si>
  <si>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제연덕트설치공사, 기타공사</t>
    <phoneticPr fontId="2" type="noConversion"/>
  </si>
  <si>
    <t>토목 사급자재비, 기타공사</t>
    <phoneticPr fontId="2" type="noConversion"/>
  </si>
  <si>
    <r>
      <rPr>
        <sz val="10"/>
        <color rgb="FF505050"/>
        <rFont val="돋움"/>
        <family val="3"/>
        <charset val="129"/>
      </rPr>
      <t>포장공사</t>
    </r>
    <r>
      <rPr>
        <sz val="10"/>
        <color rgb="FF505050"/>
        <rFont val="Verdana"/>
        <family val="2"/>
      </rPr>
      <t xml:space="preserve">, </t>
    </r>
    <r>
      <rPr>
        <sz val="10"/>
        <color rgb="FF505050"/>
        <rFont val="돋움"/>
        <family val="3"/>
        <charset val="129"/>
      </rPr>
      <t>기타공사</t>
    </r>
    <phoneticPr fontId="2" type="noConversion"/>
  </si>
  <si>
    <t>교육연구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</si>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</sst>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0"/>
      <color rgb="FF505050"/>
      <name val="Verdana"/>
      <family val="2"/>
    </font>
    <font>
      <sz val="10"/>
      <color rgb="FF50505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5" fillId="0" borderId="0" xfId="0" applyFont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11791</v>
      </c>
      <c r="D7" s="36">
        <f>+C7/3.3058</f>
        <v>3566.761449573477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815340</v>
      </c>
      <c r="E25" s="60">
        <f t="shared" si="0"/>
        <v>2695350</v>
      </c>
    </row>
    <row r="26" spans="1:5" x14ac:dyDescent="0.3">
      <c r="B26" s="2">
        <v>3</v>
      </c>
      <c r="C26" s="35" t="s">
        <v>95</v>
      </c>
      <c r="D26" s="45">
        <f>+D66</f>
        <v>3830</v>
      </c>
      <c r="E26" s="60">
        <f t="shared" si="0"/>
        <v>12660</v>
      </c>
    </row>
    <row r="27" spans="1:5" x14ac:dyDescent="0.3">
      <c r="B27" s="2">
        <v>4</v>
      </c>
      <c r="C27" s="35" t="s">
        <v>96</v>
      </c>
      <c r="D27" s="45">
        <f>+D95</f>
        <v>274480</v>
      </c>
      <c r="E27" s="60">
        <f t="shared" si="0"/>
        <v>907370</v>
      </c>
    </row>
    <row r="28" spans="1:5" x14ac:dyDescent="0.3">
      <c r="B28" s="2">
        <v>5</v>
      </c>
      <c r="C28" s="35" t="s">
        <v>97</v>
      </c>
      <c r="D28" s="45">
        <f>+D119</f>
        <v>152870</v>
      </c>
      <c r="E28" s="60">
        <f t="shared" si="0"/>
        <v>505350</v>
      </c>
    </row>
    <row r="29" spans="1:5" x14ac:dyDescent="0.3">
      <c r="B29" s="2">
        <v>6</v>
      </c>
      <c r="C29" s="35" t="s">
        <v>98</v>
      </c>
      <c r="D29" s="45">
        <f>+D133</f>
        <v>142230</v>
      </c>
      <c r="E29" s="60">
        <f t="shared" si="0"/>
        <v>470180</v>
      </c>
    </row>
    <row r="30" spans="1:5" x14ac:dyDescent="0.3">
      <c r="B30" s="2">
        <v>7</v>
      </c>
      <c r="C30" s="35" t="s">
        <v>99</v>
      </c>
      <c r="D30" s="45">
        <f>+D146</f>
        <v>42880</v>
      </c>
      <c r="E30" s="60">
        <f t="shared" si="0"/>
        <v>141750</v>
      </c>
    </row>
    <row r="31" spans="1:5" x14ac:dyDescent="0.3">
      <c r="B31" s="2">
        <v>8</v>
      </c>
      <c r="C31" s="35" t="s">
        <v>100</v>
      </c>
      <c r="D31" s="45">
        <f>+D154</f>
        <v>21090</v>
      </c>
      <c r="E31" s="60">
        <f t="shared" si="0"/>
        <v>69710</v>
      </c>
    </row>
    <row r="32" spans="1:5" x14ac:dyDescent="0.3">
      <c r="B32" s="2">
        <v>9</v>
      </c>
      <c r="C32" s="35" t="s">
        <v>101</v>
      </c>
      <c r="D32" s="45">
        <f>+D161</f>
        <v>21960</v>
      </c>
      <c r="E32" s="60">
        <f t="shared" si="0"/>
        <v>72590</v>
      </c>
    </row>
    <row r="33" spans="1:7" x14ac:dyDescent="0.3">
      <c r="B33" s="2">
        <v>10</v>
      </c>
      <c r="C33" s="35" t="s">
        <v>154</v>
      </c>
      <c r="D33" s="53">
        <f>TRUNC(SUM(D24:D32)*0.275,-1)</f>
        <v>405530</v>
      </c>
      <c r="E33" s="61">
        <f t="shared" si="0"/>
        <v>1340600</v>
      </c>
    </row>
    <row r="34" spans="1:7" x14ac:dyDescent="0.3">
      <c r="C34" s="35" t="s">
        <v>112</v>
      </c>
      <c r="D34" s="44">
        <f>SUM(D24:D33)</f>
        <v>1880210</v>
      </c>
      <c r="E34" s="44">
        <f>SUM(E24:E33)</f>
        <v>6215560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242</v>
      </c>
      <c r="D39" s="68" t="s">
        <v>262</v>
      </c>
      <c r="E39" s="68" t="s">
        <v>263</v>
      </c>
      <c r="G39" s="69"/>
    </row>
    <row r="40" spans="1:7" x14ac:dyDescent="0.3">
      <c r="A40" s="2">
        <v>1</v>
      </c>
      <c r="C40" s="38" t="s">
        <v>15</v>
      </c>
      <c r="D40" s="40">
        <f>TRUNC(55535,-1)</f>
        <v>55530</v>
      </c>
      <c r="E40" s="63">
        <f t="shared" ref="E40:E59" si="1">TRUNC(+D40*3.3058,-1)</f>
        <v>183570</v>
      </c>
    </row>
    <row r="41" spans="1:7" x14ac:dyDescent="0.3">
      <c r="A41" s="2">
        <v>2</v>
      </c>
      <c r="C41" s="38" t="s">
        <v>13</v>
      </c>
      <c r="D41" s="42">
        <f>TRUNC(125252,-1)</f>
        <v>125250</v>
      </c>
      <c r="E41" s="64">
        <f t="shared" si="1"/>
        <v>414050</v>
      </c>
    </row>
    <row r="42" spans="1:7" x14ac:dyDescent="0.3">
      <c r="A42" s="2">
        <v>3</v>
      </c>
      <c r="C42" s="38" t="s">
        <v>14</v>
      </c>
      <c r="D42" s="42">
        <f>TRUNC(967,-1)</f>
        <v>960</v>
      </c>
      <c r="E42" s="64">
        <f t="shared" si="1"/>
        <v>3170</v>
      </c>
    </row>
    <row r="43" spans="1:7" x14ac:dyDescent="0.3">
      <c r="A43" s="2">
        <v>4</v>
      </c>
      <c r="C43" s="38" t="s">
        <v>16</v>
      </c>
      <c r="D43" s="42">
        <f>TRUNC(33141,-1)</f>
        <v>33140</v>
      </c>
      <c r="E43" s="64">
        <f t="shared" si="1"/>
        <v>109550</v>
      </c>
    </row>
    <row r="44" spans="1:7" x14ac:dyDescent="0.3">
      <c r="A44" s="2">
        <v>5</v>
      </c>
      <c r="C44" s="38" t="s">
        <v>17</v>
      </c>
      <c r="D44" s="42">
        <f>TRUNC(28436,-1)</f>
        <v>28430</v>
      </c>
      <c r="E44" s="64">
        <f t="shared" si="1"/>
        <v>93980</v>
      </c>
    </row>
    <row r="45" spans="1:7" x14ac:dyDescent="0.3">
      <c r="A45" s="2">
        <v>6</v>
      </c>
      <c r="C45" s="38" t="s">
        <v>18</v>
      </c>
      <c r="D45" s="42">
        <f>TRUNC(8665,-1)</f>
        <v>8660</v>
      </c>
      <c r="E45" s="64">
        <f t="shared" si="1"/>
        <v>28620</v>
      </c>
    </row>
    <row r="46" spans="1:7" x14ac:dyDescent="0.3">
      <c r="A46" s="2">
        <v>7</v>
      </c>
      <c r="C46" s="38" t="s">
        <v>19</v>
      </c>
      <c r="D46" s="42">
        <f>TRUNC(37105,-1)</f>
        <v>37100</v>
      </c>
      <c r="E46" s="64">
        <f t="shared" si="1"/>
        <v>122640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TRUNC(17656,-1)</f>
        <v>17650</v>
      </c>
      <c r="E48" s="64">
        <f t="shared" si="1"/>
        <v>58340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TRUNC(20705,-1)</f>
        <v>20700</v>
      </c>
      <c r="E49" s="64">
        <f t="shared" si="1"/>
        <v>68430</v>
      </c>
    </row>
    <row r="50" spans="1:7" x14ac:dyDescent="0.3">
      <c r="A50" s="2">
        <v>11</v>
      </c>
      <c r="C50" s="38" t="s">
        <v>155</v>
      </c>
      <c r="D50" s="42">
        <f>TRUNC(79073,-1)</f>
        <v>79070</v>
      </c>
      <c r="E50" s="64">
        <f t="shared" si="1"/>
        <v>261380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TRUNC(30744,-1)</f>
        <v>30740</v>
      </c>
      <c r="E52" s="64">
        <f t="shared" si="1"/>
        <v>101620</v>
      </c>
    </row>
    <row r="53" spans="1:7" x14ac:dyDescent="0.3">
      <c r="A53" s="2">
        <v>14</v>
      </c>
      <c r="C53" s="38" t="s">
        <v>25</v>
      </c>
      <c r="D53" s="42">
        <f>TRUNC(96057,-1)</f>
        <v>96050</v>
      </c>
      <c r="E53" s="64">
        <f t="shared" si="1"/>
        <v>317520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TRUNC(13943+320+3060-401+5612,-1)</f>
        <v>22530</v>
      </c>
      <c r="E58" s="64">
        <f t="shared" si="1"/>
        <v>74470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259530</v>
      </c>
      <c r="E59" s="65">
        <f t="shared" si="1"/>
        <v>857950</v>
      </c>
    </row>
    <row r="60" spans="1:7" x14ac:dyDescent="0.3">
      <c r="A60" s="2">
        <v>21</v>
      </c>
      <c r="C60" s="27" t="s">
        <v>112</v>
      </c>
      <c r="D60" s="39">
        <f>SUM(D40:D59)</f>
        <v>815340</v>
      </c>
      <c r="E60" s="39">
        <f>SUM(E40:E59)</f>
        <v>2695290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TRUNC(3835,-1)</f>
        <v>3830</v>
      </c>
      <c r="E63" s="63">
        <f>TRUNC(+D63*3.3058,-1)</f>
        <v>12660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3830</v>
      </c>
      <c r="E66" s="66">
        <f>SUM(E63:E65)</f>
        <v>12660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TRUNC(13963,-1)</f>
        <v>13960</v>
      </c>
      <c r="E69" s="63">
        <f t="shared" ref="E69:E94" si="2">TRUNC(+D69*3.3058,-1)</f>
        <v>46140</v>
      </c>
    </row>
    <row r="70" spans="1:7" ht="16.5" customHeight="1" x14ac:dyDescent="0.3">
      <c r="A70" s="2">
        <v>2</v>
      </c>
      <c r="C70" s="38" t="s">
        <v>31</v>
      </c>
      <c r="D70" s="42">
        <f>TRUNC(68,-1)</f>
        <v>60</v>
      </c>
      <c r="E70" s="64">
        <f t="shared" si="2"/>
        <v>190</v>
      </c>
    </row>
    <row r="71" spans="1:7" x14ac:dyDescent="0.3">
      <c r="A71" s="2">
        <v>3</v>
      </c>
      <c r="C71" s="38" t="s">
        <v>32</v>
      </c>
      <c r="D71" s="42">
        <v>1580</v>
      </c>
      <c r="E71" s="64">
        <f t="shared" si="2"/>
        <v>5220</v>
      </c>
    </row>
    <row r="72" spans="1:7" x14ac:dyDescent="0.3">
      <c r="A72" s="2">
        <v>4</v>
      </c>
      <c r="C72" s="38" t="s">
        <v>33</v>
      </c>
      <c r="D72" s="42">
        <f>TRUNC(1356,-1)</f>
        <v>1350</v>
      </c>
      <c r="E72" s="64">
        <f t="shared" si="2"/>
        <v>4460</v>
      </c>
    </row>
    <row r="73" spans="1:7" x14ac:dyDescent="0.3">
      <c r="A73" s="2">
        <v>5</v>
      </c>
      <c r="C73" s="38" t="s">
        <v>34</v>
      </c>
      <c r="D73" s="42">
        <f>TRUNC(12414,-1)</f>
        <v>12410</v>
      </c>
      <c r="E73" s="64">
        <f t="shared" si="2"/>
        <v>41020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TRUNC(10099,-1)</f>
        <v>10090</v>
      </c>
      <c r="E89" s="64">
        <f t="shared" si="2"/>
        <v>33350</v>
      </c>
    </row>
    <row r="90" spans="1:7" x14ac:dyDescent="0.3">
      <c r="A90" s="2">
        <v>22</v>
      </c>
      <c r="C90" s="38" t="s">
        <v>36</v>
      </c>
      <c r="D90" s="42">
        <f>TRUNC(898,-1)</f>
        <v>890</v>
      </c>
      <c r="E90" s="64">
        <f t="shared" si="2"/>
        <v>2940</v>
      </c>
    </row>
    <row r="91" spans="1:7" x14ac:dyDescent="0.3">
      <c r="A91" s="2">
        <v>23</v>
      </c>
      <c r="C91" s="38" t="s">
        <v>37</v>
      </c>
      <c r="D91" s="42">
        <f>TRUNC(11856,-1)</f>
        <v>11850</v>
      </c>
      <c r="E91" s="64">
        <f t="shared" si="2"/>
        <v>39170</v>
      </c>
    </row>
    <row r="92" spans="1:7" x14ac:dyDescent="0.3">
      <c r="A92" s="2">
        <v>24</v>
      </c>
      <c r="C92" s="38" t="s">
        <v>38</v>
      </c>
      <c r="D92" s="42">
        <f>TRUNC(26829,-1)</f>
        <v>26820</v>
      </c>
      <c r="E92" s="64">
        <f t="shared" si="2"/>
        <v>88660</v>
      </c>
    </row>
    <row r="93" spans="1:7" x14ac:dyDescent="0.3">
      <c r="A93" s="2">
        <v>25</v>
      </c>
      <c r="C93" s="38" t="s">
        <v>148</v>
      </c>
      <c r="D93" s="42">
        <f>TRUNC(188971,-1)</f>
        <v>188970</v>
      </c>
      <c r="E93" s="64">
        <f t="shared" si="2"/>
        <v>624690</v>
      </c>
    </row>
    <row r="94" spans="1:7" ht="17.25" thickBot="1" x14ac:dyDescent="0.35">
      <c r="A94" s="2">
        <v>26</v>
      </c>
      <c r="C94" s="38" t="s">
        <v>47</v>
      </c>
      <c r="D94" s="43">
        <f>TRUNC(4435+2073,-1)</f>
        <v>6500</v>
      </c>
      <c r="E94" s="65">
        <f t="shared" si="2"/>
        <v>21480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274480</v>
      </c>
      <c r="E95" s="39">
        <f>SUM(E69:E94)</f>
        <v>907320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TRUNC(11696,-1)</f>
        <v>11690</v>
      </c>
      <c r="E98" s="63">
        <f t="shared" ref="E98:E118" si="3">TRUNC(+D98*3.3058,-1)</f>
        <v>38640</v>
      </c>
    </row>
    <row r="99" spans="1:7" x14ac:dyDescent="0.3">
      <c r="A99" s="2">
        <v>2</v>
      </c>
      <c r="C99" s="38" t="s">
        <v>40</v>
      </c>
      <c r="D99" s="42">
        <f>TRUNC(4795,-1)</f>
        <v>4790</v>
      </c>
      <c r="E99" s="64">
        <f t="shared" si="3"/>
        <v>15830</v>
      </c>
    </row>
    <row r="100" spans="1:7" x14ac:dyDescent="0.3">
      <c r="A100" s="2">
        <v>3</v>
      </c>
      <c r="C100" s="38" t="s">
        <v>41</v>
      </c>
      <c r="D100" s="42">
        <f>TRUNC(32415,-1)</f>
        <v>32410</v>
      </c>
      <c r="E100" s="64">
        <f t="shared" si="3"/>
        <v>107140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TRUNC(18239,-1)</f>
        <v>18230</v>
      </c>
      <c r="E102" s="64">
        <f t="shared" si="3"/>
        <v>60260</v>
      </c>
    </row>
    <row r="103" spans="1:7" x14ac:dyDescent="0.3">
      <c r="A103" s="2">
        <v>6</v>
      </c>
      <c r="C103" s="38" t="s">
        <v>44</v>
      </c>
      <c r="D103" s="42">
        <f>TRUNC(6036,-1)</f>
        <v>6030</v>
      </c>
      <c r="E103" s="64">
        <f t="shared" si="3"/>
        <v>19930</v>
      </c>
    </row>
    <row r="104" spans="1:7" x14ac:dyDescent="0.3">
      <c r="A104" s="2">
        <v>7</v>
      </c>
      <c r="C104" s="38" t="s">
        <v>45</v>
      </c>
      <c r="D104" s="42">
        <f>TRUNC(2187,-1)</f>
        <v>2180</v>
      </c>
      <c r="E104" s="64">
        <f t="shared" si="3"/>
        <v>7200</v>
      </c>
    </row>
    <row r="105" spans="1:7" x14ac:dyDescent="0.3">
      <c r="A105" s="2">
        <v>8</v>
      </c>
      <c r="C105" s="38" t="s">
        <v>46</v>
      </c>
      <c r="D105" s="42">
        <f>TRUNC(9991,-1)</f>
        <v>9990</v>
      </c>
      <c r="E105" s="64">
        <f t="shared" si="3"/>
        <v>33020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TRUNC(4724,-1)</f>
        <v>4720</v>
      </c>
      <c r="E116" s="64">
        <f t="shared" si="3"/>
        <v>15600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TRUNC(62526,-1)</f>
        <v>62520</v>
      </c>
      <c r="E117" s="64">
        <f t="shared" si="3"/>
        <v>206670</v>
      </c>
    </row>
    <row r="118" spans="1:7" ht="17.25" thickBot="1" x14ac:dyDescent="0.35">
      <c r="A118" s="2">
        <v>21</v>
      </c>
      <c r="C118" s="38" t="s">
        <v>47</v>
      </c>
      <c r="D118" s="43">
        <f>TRUNC(317,-1)</f>
        <v>310</v>
      </c>
      <c r="E118" s="65">
        <f t="shared" si="3"/>
        <v>1020</v>
      </c>
    </row>
    <row r="119" spans="1:7" x14ac:dyDescent="0.3">
      <c r="A119" s="2">
        <v>22</v>
      </c>
      <c r="C119" s="27" t="s">
        <v>112</v>
      </c>
      <c r="D119" s="39">
        <f>SUM(D98:D118)</f>
        <v>152870</v>
      </c>
      <c r="E119" s="39">
        <f>SUM(E98:E118)</f>
        <v>505310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TRUNC(2334,-1)</f>
        <v>2330</v>
      </c>
      <c r="E122" s="63">
        <f t="shared" ref="E122:E132" si="4">TRUNC(+D122*3.3058,-1)</f>
        <v>7700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TRUNC(3163,-1)</f>
        <v>3160</v>
      </c>
      <c r="E124" s="64">
        <f t="shared" si="4"/>
        <v>10440</v>
      </c>
    </row>
    <row r="125" spans="1:7" x14ac:dyDescent="0.3">
      <c r="A125" s="2">
        <v>4</v>
      </c>
      <c r="C125" s="38" t="s">
        <v>138</v>
      </c>
      <c r="D125" s="42">
        <f>TRUNC(6129,-1)</f>
        <v>6120</v>
      </c>
      <c r="E125" s="64">
        <f t="shared" si="4"/>
        <v>20230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TRUNC(14909,-1)</f>
        <v>14900</v>
      </c>
      <c r="E127" s="64">
        <f t="shared" si="4"/>
        <v>49250</v>
      </c>
    </row>
    <row r="128" spans="1:7" x14ac:dyDescent="0.3">
      <c r="A128" s="2">
        <v>7</v>
      </c>
      <c r="C128" s="38" t="s">
        <v>46</v>
      </c>
      <c r="D128" s="42">
        <f>TRUNC(6884,-1)</f>
        <v>6880</v>
      </c>
      <c r="E128" s="64">
        <f t="shared" si="4"/>
        <v>22740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30270</v>
      </c>
      <c r="E130" s="64">
        <f t="shared" si="4"/>
        <v>100060</v>
      </c>
    </row>
    <row r="131" spans="1:7" x14ac:dyDescent="0.3">
      <c r="A131" s="2">
        <v>10</v>
      </c>
      <c r="C131" s="38" t="s">
        <v>148</v>
      </c>
      <c r="D131" s="42">
        <f>TRUNC(76608,-1)</f>
        <v>76600</v>
      </c>
      <c r="E131" s="64">
        <f t="shared" si="4"/>
        <v>253220</v>
      </c>
    </row>
    <row r="132" spans="1:7" ht="18" thickBot="1" x14ac:dyDescent="0.35">
      <c r="A132" s="2">
        <v>11</v>
      </c>
      <c r="C132" s="38" t="s">
        <v>47</v>
      </c>
      <c r="D132" s="43">
        <f>TRUNC(1569+406,-1)</f>
        <v>1970</v>
      </c>
      <c r="E132" s="65">
        <f t="shared" si="4"/>
        <v>6510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142230</v>
      </c>
      <c r="E133" s="39">
        <f>SUM(E122:E132)</f>
        <v>470150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TRUNC(2780+407,-1)</f>
        <v>3180</v>
      </c>
      <c r="E137" s="64">
        <f t="shared" si="5"/>
        <v>10510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TRUNC(2082,-1)</f>
        <v>2080</v>
      </c>
      <c r="E139" s="64">
        <f t="shared" si="5"/>
        <v>6870</v>
      </c>
    </row>
    <row r="140" spans="1:7" x14ac:dyDescent="0.3">
      <c r="A140" s="2">
        <v>5</v>
      </c>
      <c r="C140" s="38" t="s">
        <v>57</v>
      </c>
      <c r="D140" s="42">
        <f>TRUNC(1426,-1)</f>
        <v>1420</v>
      </c>
      <c r="E140" s="64">
        <f t="shared" si="5"/>
        <v>4690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TRUNC(18503,-1)</f>
        <v>18500</v>
      </c>
      <c r="E142" s="64">
        <f t="shared" si="5"/>
        <v>61150</v>
      </c>
    </row>
    <row r="143" spans="1:7" x14ac:dyDescent="0.3">
      <c r="A143" s="2">
        <v>8</v>
      </c>
      <c r="C143" s="38" t="s">
        <v>62</v>
      </c>
      <c r="D143" s="42">
        <f>TRUNC(6137,-1)</f>
        <v>6130</v>
      </c>
      <c r="E143" s="64">
        <f t="shared" si="5"/>
        <v>20260</v>
      </c>
    </row>
    <row r="144" spans="1:7" x14ac:dyDescent="0.3">
      <c r="A144" s="2">
        <v>9</v>
      </c>
      <c r="C144" s="38" t="s">
        <v>63</v>
      </c>
      <c r="D144" s="42">
        <f>TRUNC(11573,-1)</f>
        <v>11570</v>
      </c>
      <c r="E144" s="64">
        <f t="shared" si="5"/>
        <v>38240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42880</v>
      </c>
      <c r="E146" s="39">
        <f>SUM(E136:E145)</f>
        <v>141720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TRUNC(2078+51,-1)</f>
        <v>2120</v>
      </c>
      <c r="E149" s="63">
        <f>TRUNC(+D149*3.3058,-1)</f>
        <v>7000</v>
      </c>
    </row>
    <row r="150" spans="1:7" x14ac:dyDescent="0.3">
      <c r="A150" s="2">
        <v>2</v>
      </c>
      <c r="C150" s="38" t="s">
        <v>49</v>
      </c>
      <c r="D150" s="42">
        <f>TRUNC(1348,-1)</f>
        <v>1340</v>
      </c>
      <c r="E150" s="64">
        <f>TRUNC(+D150*3.3058,-1)</f>
        <v>4420</v>
      </c>
    </row>
    <row r="151" spans="1:7" x14ac:dyDescent="0.3">
      <c r="A151" s="2">
        <v>3</v>
      </c>
      <c r="C151" s="38" t="s">
        <v>50</v>
      </c>
      <c r="D151" s="42">
        <f>TRUNC(7182,-1)</f>
        <v>7180</v>
      </c>
      <c r="E151" s="64">
        <f>TRUNC(+D151*3.3058,-1)</f>
        <v>23730</v>
      </c>
    </row>
    <row r="152" spans="1:7" x14ac:dyDescent="0.3">
      <c r="A152" s="2">
        <v>4</v>
      </c>
      <c r="C152" s="38" t="s">
        <v>47</v>
      </c>
      <c r="D152" s="42">
        <f>TRUNC(4556+253,-1)</f>
        <v>4800</v>
      </c>
      <c r="E152" s="64">
        <f>TRUNC(+D152*3.3058,-1)</f>
        <v>15860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TRUNC(5655,-1)</f>
        <v>5650</v>
      </c>
      <c r="E153" s="65">
        <f>TRUNC(+D153*3.3058,-1)</f>
        <v>18670</v>
      </c>
    </row>
    <row r="154" spans="1:7" x14ac:dyDescent="0.3">
      <c r="A154" s="2">
        <v>6</v>
      </c>
      <c r="C154" s="27" t="s">
        <v>112</v>
      </c>
      <c r="D154" s="39">
        <f>SUM(D149:D153)</f>
        <v>21090</v>
      </c>
      <c r="E154" s="39">
        <f>SUM(E149:E153)</f>
        <v>69680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TRUNC(12115,-1)</f>
        <v>12110</v>
      </c>
      <c r="E157" s="63">
        <f>TRUNC(+D157*3.3058,-1)</f>
        <v>40030</v>
      </c>
    </row>
    <row r="158" spans="1:7" x14ac:dyDescent="0.3">
      <c r="A158" s="2">
        <v>2</v>
      </c>
      <c r="C158" s="38" t="s">
        <v>52</v>
      </c>
      <c r="D158" s="42">
        <f>TRUNC(6813,-1)</f>
        <v>6810</v>
      </c>
      <c r="E158" s="64">
        <f>TRUNC(+D158*3.3058,-1)</f>
        <v>22510</v>
      </c>
    </row>
    <row r="159" spans="1:7" x14ac:dyDescent="0.3">
      <c r="A159" s="2">
        <v>3</v>
      </c>
      <c r="C159" s="38" t="s">
        <v>47</v>
      </c>
      <c r="D159" s="42">
        <f>TRUNC(2568+475,-1)</f>
        <v>3040</v>
      </c>
      <c r="E159" s="64">
        <f>TRUNC(+D159*3.3058,-1)</f>
        <v>10040</v>
      </c>
      <c r="F159" s="58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21960</v>
      </c>
      <c r="E161" s="39">
        <f>SUM(E157:E160)</f>
        <v>72580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2020-12-08T01:16:41Z</dcterms:modified>
</cp:coreProperties>
</file>