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59" i="4"/>
  <c r="D158" i="4"/>
  <c r="D157" i="4"/>
  <c r="D152" i="4"/>
  <c r="D151" i="4"/>
  <c r="D150" i="4"/>
  <c r="D149" i="4"/>
  <c r="D144" i="4"/>
  <c r="D143" i="4"/>
  <c r="D139" i="4"/>
  <c r="D141" i="4"/>
  <c r="D137" i="4"/>
  <c r="D142" i="4"/>
  <c r="D140" i="4"/>
  <c r="D128" i="4"/>
  <c r="D132" i="4"/>
  <c r="D124" i="4"/>
  <c r="D125" i="4"/>
  <c r="D122" i="4"/>
  <c r="D130" i="4"/>
  <c r="D105" i="4"/>
  <c r="D104" i="4"/>
  <c r="D102" i="4"/>
  <c r="D101" i="4"/>
  <c r="D100" i="4"/>
  <c r="D118" i="4"/>
  <c r="D99" i="4"/>
  <c r="D114" i="4"/>
  <c r="D98" i="4"/>
  <c r="D116" i="4"/>
  <c r="D94" i="4"/>
  <c r="D76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<sst xmlns="http://schemas.openxmlformats.org/spreadsheetml/2006/main" count="395" uniqueCount="271">
  <si>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</si>
  <si>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</si>
  <si>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</si>
  <si>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</si>
  <si>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</si>
  <si>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</si>
  <si>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</si>
  <si>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</si>
  <si>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</si>
  <si>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</si>
  <si>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</si>
  <si>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</si>
  <si>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</si>
  <si>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</si>
  <si>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</si>
  <si>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</si>
  <si>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</si>
  <si>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</si>
  <si>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</si>
  <si>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</si>
  <si>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</si>
  <si>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</si>
  <si>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</si>
  <si>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</si>
  <si>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</si>
  <si>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</si>
  <si>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</si>
  <si>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</si>
  <si>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</si>
  <si>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</si>
  <si>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</si>
  <si>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</si>
  <si>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</si>
  <si>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</si>
  <si>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</si>
  <si>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</si>
  <si>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</si>
  <si>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</si>
  <si>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</si>
  <si>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</si>
  <si>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</si>
  <si>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</si>
  <si>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</si>
  <si>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</si>
  <si>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</si>
  <si>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</si>
  <si>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</si>
  <si>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</si>
  <si>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</si>
  <si>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</si>
  <si>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</si>
  <si>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</si>
  <si>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</si>
  <si>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</si>
  <si>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</si>
  <si>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</si>
  <si>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</si>
  <si>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</si>
  <si>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</si>
  <si>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</si>
  <si>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</si>
  <si>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</si>
  <si>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</si>
  <si>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</si>
  <si>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</si>
  <si>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</si>
  <si>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</si>
  <si>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</si>
  <si>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</si>
  <si>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</si>
  <si>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</si>
  <si>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</si>
  <si>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</si>
  <si>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</si>
  <si>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</si>
  <si>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</si>
  <si>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</si>
  <si>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</si>
  <si>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</si>
  <si>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</si>
  <si>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</si>
  <si>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</si>
  <si>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</si>
  <si>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</si>
  <si>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</si>
  <si>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</si>
  <si>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</si>
  <si>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</si>
  <si>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</si>
  <si>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</si>
  <si>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</si>
  <si>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</si>
  <si>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</si>
  <si>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</si>
  <si>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</si>
  <si>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</si>
  <si>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</si>
  <si>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</si>
  <si>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</si>
  <si>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</si>
  <si>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</si>
  <si>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</si>
  <si>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</si>
  <si>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</si>
  <si>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</si>
  <si>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</si>
  <si>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</si>
  <si>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</si>
  <si>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</si>
  <si>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</si>
  <si>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</si>
  <si>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</si>
  <si>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</si>
  <si>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</si>
  <si>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</si>
  <si>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</si>
  <si>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</si>
  <si>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</si>
  <si>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</si>
  <si>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</si>
  <si>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</si>
  <si>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</si>
  <si>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</si>
  <si>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</si>
  <si>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</si>
  <si>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</si>
  <si>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</si>
  <si>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</si>
  <si>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</si>
  <si>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</si>
  <si>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</si>
  <si>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</si>
  <si>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</si>
  <si>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</si>
  <si>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</si>
  <si>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</si>
  <si>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</si>
  <si>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</si>
  <si>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</si>
  <si>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</si>
  <si>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</si>
  <si>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</si>
  <si>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</si>
  <si>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</si>
  <si>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</si>
  <si>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</si>
  <si>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</si>
  <si>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</si>
  <si>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</si>
  <si>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</si>
  <si>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</si>
  <si>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</si>
  <si>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</si>
  <si>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</si>
  <si>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</si>
  <si>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</si>
  <si>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</si>
  <si>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</si>
  <si>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</si>
  <si>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</si>
  <si>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</si>
  <si>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</si>
  <si>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</si>
  <si>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</si>
  <si>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</si>
  <si>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</si>
  <si>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</si>
  <si>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</si>
  <si>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</si>
  <si>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</si>
  <si>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</si>
  <si>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</si>
  <si>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</si>
  <si>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</si>
  <si>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</si>
  <si>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</si>
  <si>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</si>
  <si>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</si>
  <si>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</si>
  <si>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</si>
  <si>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</si>
  <si>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</si>
  <si>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</si>
  <si>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</si>
  <si>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</si>
  <si>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</si>
  <si>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</si>
  <si>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</si>
  <si>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</si>
  <si>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</si>
  <si>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</si>
  <si>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</si>
  <si>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</si>
  <si>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</si>
  <si>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</si>
  <si>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</si>
  <si>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</si>
  <si>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</si>
  <si>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</si>
  <si>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</si>
  <si>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</si>
  <si>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</si>
  <si>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</si>
  <si>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</si>
  <si>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</si>
  <si>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</si>
  <si>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</si>
  <si>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</si>
  <si>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</si>
  <si>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</si>
  <si>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</si>
  <si>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</si>
  <si>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</si>
  <si>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</si>
  <si>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</si>
  <si>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</si>
  <si>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</si>
  <si>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</si>
  <si>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</si>
  <si>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</si>
  <si>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</si>
  <si>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</si>
  <si>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</si>
  <si>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</si>
  <si>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</si>
  <si>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</si>
  <si>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</si>
  <si>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</si>
  <si>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</si>
  <si>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</si>
  <si>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</si>
  <si>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</si>
  <si>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</si>
  <si>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</si>
  <si>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</si>
  <si>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</si>
  <si>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</si>
  <si>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</si>
  <si>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</si>
  <si>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</si>
  <si>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</si>
  <si>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</si>
  <si>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</si>
  <si>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</si>
  <si>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</si>
  <si>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</si>
  <si>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</si>
  <si>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</si>
  <si>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세종교육원 신축공사</t>
    <phoneticPr fontId="2" type="noConversion"/>
  </si>
  <si>
    <t>교육연구</t>
  </si>
  <si>
    <t>세종시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</si>
  <si>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</si>
  <si>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</si>
  <si>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</si>
  <si>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기초공사,골재비및운반비,작업부산물,기타공사</t>
    <phoneticPr fontId="2" type="noConversion"/>
  </si>
  <si>
    <t>공조배관공사,난방배관공사,기타공사</t>
    <phoneticPr fontId="2" type="noConversion"/>
  </si>
  <si>
    <t>전기인입 및 수변전 설비공사</t>
    <phoneticPr fontId="2" type="noConversion"/>
  </si>
  <si>
    <t xml:space="preserve">원격검침 설비공사,기타공사 </t>
    <phoneticPr fontId="2" type="noConversion"/>
  </si>
  <si>
    <t>CATV 및 TV 설비공사</t>
    <phoneticPr fontId="2" type="noConversion"/>
  </si>
  <si>
    <t>CCTV설비공사,주차관제설비공사</t>
    <phoneticPr fontId="2" type="noConversion"/>
  </si>
  <si>
    <t>펌프실배관공사,무선통신보조설비공사,기타공사</t>
    <phoneticPr fontId="2" type="noConversion"/>
  </si>
  <si>
    <t>우수공사,오수공사</t>
    <phoneticPr fontId="2" type="noConversion"/>
  </si>
  <si>
    <t>사급자재비,기타공사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</si>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</sst>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16629.27</v>
      </c>
      <c r="D7" s="36">
        <f>+C7/3.3058</f>
        <v>5030.3315385080768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981950</v>
      </c>
      <c r="E25" s="59">
        <f t="shared" si="0"/>
        <v>3246130</v>
      </c>
    </row>
    <row r="26" spans="1:5" x14ac:dyDescent="0.3">
      <c r="B26" s="2">
        <v>3</v>
      </c>
      <c r="C26" s="35" t="s">
        <v>95</v>
      </c>
      <c r="D26" s="45">
        <f>+D66</f>
        <v>4930</v>
      </c>
      <c r="E26" s="59">
        <f t="shared" si="0"/>
        <v>16290</v>
      </c>
    </row>
    <row r="27" spans="1:5" x14ac:dyDescent="0.3">
      <c r="B27" s="2">
        <v>4</v>
      </c>
      <c r="C27" s="35" t="s">
        <v>96</v>
      </c>
      <c r="D27" s="45">
        <f>+D95</f>
        <v>197900</v>
      </c>
      <c r="E27" s="59">
        <f t="shared" si="0"/>
        <v>654210</v>
      </c>
    </row>
    <row r="28" spans="1:5" x14ac:dyDescent="0.3">
      <c r="B28" s="2">
        <v>5</v>
      </c>
      <c r="C28" s="35" t="s">
        <v>97</v>
      </c>
      <c r="D28" s="45">
        <f>+D119</f>
        <v>224820</v>
      </c>
      <c r="E28" s="59">
        <f t="shared" si="0"/>
        <v>743200</v>
      </c>
    </row>
    <row r="29" spans="1:5" x14ac:dyDescent="0.3">
      <c r="B29" s="2">
        <v>6</v>
      </c>
      <c r="C29" s="35" t="s">
        <v>98</v>
      </c>
      <c r="D29" s="45">
        <f>+D133</f>
        <v>162120</v>
      </c>
      <c r="E29" s="59">
        <f t="shared" si="0"/>
        <v>535930</v>
      </c>
    </row>
    <row r="30" spans="1:5" x14ac:dyDescent="0.3">
      <c r="B30" s="2">
        <v>7</v>
      </c>
      <c r="C30" s="35" t="s">
        <v>99</v>
      </c>
      <c r="D30" s="45">
        <f>+D146</f>
        <v>49790</v>
      </c>
      <c r="E30" s="59">
        <f t="shared" si="0"/>
        <v>164590</v>
      </c>
    </row>
    <row r="31" spans="1:5" x14ac:dyDescent="0.3">
      <c r="B31" s="2">
        <v>8</v>
      </c>
      <c r="C31" s="35" t="s">
        <v>100</v>
      </c>
      <c r="D31" s="45">
        <f>+D154</f>
        <v>48490</v>
      </c>
      <c r="E31" s="59">
        <f t="shared" si="0"/>
        <v>160290</v>
      </c>
    </row>
    <row r="32" spans="1:5" x14ac:dyDescent="0.3">
      <c r="B32" s="2">
        <v>9</v>
      </c>
      <c r="C32" s="35" t="s">
        <v>101</v>
      </c>
      <c r="D32" s="45">
        <f>+D161</f>
        <v>42680</v>
      </c>
      <c r="E32" s="59">
        <f t="shared" si="0"/>
        <v>141090</v>
      </c>
    </row>
    <row r="33" spans="1:7" x14ac:dyDescent="0.3">
      <c r="B33" s="2">
        <v>10</v>
      </c>
      <c r="C33" s="35" t="s">
        <v>154</v>
      </c>
      <c r="D33" s="53">
        <f>TRUNC(SUM(D24:D32)*0.275,-1)</f>
        <v>470980</v>
      </c>
      <c r="E33" s="60">
        <f t="shared" si="0"/>
        <v>1556960</v>
      </c>
    </row>
    <row r="34" spans="1:7" x14ac:dyDescent="0.3">
      <c r="C34" s="35" t="s">
        <v>112</v>
      </c>
      <c r="D34" s="44">
        <f>SUM(D24:D33)</f>
        <v>2183660</v>
      </c>
      <c r="E34" s="44">
        <f>SUM(E24:E33)</f>
        <v>7218690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265</v>
      </c>
      <c r="D39" s="57" t="s">
        <v>266</v>
      </c>
      <c r="E39" s="57" t="s">
        <v>267</v>
      </c>
      <c r="G39" s="55"/>
    </row>
    <row r="40" spans="1:7" x14ac:dyDescent="0.3">
      <c r="A40" s="2">
        <v>1</v>
      </c>
      <c r="C40" s="38" t="s">
        <v>15</v>
      </c>
      <c r="D40" s="40">
        <f>TRUNC(74360,-1)</f>
        <v>74360</v>
      </c>
      <c r="E40" s="62">
        <f t="shared" ref="E40:E59" si="1">TRUNC(+D40*3.3058,-1)</f>
        <v>245810</v>
      </c>
    </row>
    <row r="41" spans="1:7" x14ac:dyDescent="0.3">
      <c r="A41" s="2">
        <v>2</v>
      </c>
      <c r="C41" s="38" t="s">
        <v>13</v>
      </c>
      <c r="D41" s="42">
        <f>TRUNC(165583,-1)</f>
        <v>165580</v>
      </c>
      <c r="E41" s="63">
        <f t="shared" si="1"/>
        <v>547370</v>
      </c>
    </row>
    <row r="42" spans="1:7" x14ac:dyDescent="0.3">
      <c r="A42" s="2">
        <v>3</v>
      </c>
      <c r="C42" s="38" t="s">
        <v>14</v>
      </c>
      <c r="D42" s="42">
        <f>TRUNC(7074,-1)</f>
        <v>7070</v>
      </c>
      <c r="E42" s="63">
        <f t="shared" si="1"/>
        <v>23370</v>
      </c>
    </row>
    <row r="43" spans="1:7" x14ac:dyDescent="0.3">
      <c r="A43" s="2">
        <v>4</v>
      </c>
      <c r="C43" s="38" t="s">
        <v>16</v>
      </c>
      <c r="D43" s="42">
        <f>TRUNC(12044,-1)</f>
        <v>12040</v>
      </c>
      <c r="E43" s="63">
        <f t="shared" si="1"/>
        <v>39800</v>
      </c>
    </row>
    <row r="44" spans="1:7" x14ac:dyDescent="0.3">
      <c r="A44" s="2">
        <v>5</v>
      </c>
      <c r="C44" s="38" t="s">
        <v>17</v>
      </c>
      <c r="D44" s="42">
        <f>TRUNC(27958,-1)</f>
        <v>27950</v>
      </c>
      <c r="E44" s="63">
        <f t="shared" si="1"/>
        <v>92390</v>
      </c>
    </row>
    <row r="45" spans="1:7" x14ac:dyDescent="0.3">
      <c r="A45" s="2">
        <v>6</v>
      </c>
      <c r="C45" s="38" t="s">
        <v>18</v>
      </c>
      <c r="D45" s="42">
        <f>TRUNC(4783,-1)</f>
        <v>4780</v>
      </c>
      <c r="E45" s="63">
        <f t="shared" si="1"/>
        <v>15800</v>
      </c>
    </row>
    <row r="46" spans="1:7" x14ac:dyDescent="0.3">
      <c r="A46" s="2">
        <v>7</v>
      </c>
      <c r="C46" s="38" t="s">
        <v>19</v>
      </c>
      <c r="D46" s="42">
        <f>TRUNC(95931,-1)</f>
        <v>95930</v>
      </c>
      <c r="E46" s="63">
        <f t="shared" si="1"/>
        <v>317120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TRUNC(49544,-1)</f>
        <v>49540</v>
      </c>
      <c r="E48" s="63">
        <f t="shared" si="1"/>
        <v>163760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TRUNC(13757,-1)</f>
        <v>13750</v>
      </c>
      <c r="E49" s="63">
        <f t="shared" si="1"/>
        <v>45450</v>
      </c>
    </row>
    <row r="50" spans="1:7" x14ac:dyDescent="0.3">
      <c r="A50" s="2">
        <v>11</v>
      </c>
      <c r="C50" s="38" t="s">
        <v>155</v>
      </c>
      <c r="D50" s="42">
        <f>TRUNC(56829,-1)</f>
        <v>56820</v>
      </c>
      <c r="E50" s="63">
        <f t="shared" si="1"/>
        <v>187830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TRUNC(20364,-1)</f>
        <v>20360</v>
      </c>
      <c r="E52" s="63">
        <f t="shared" si="1"/>
        <v>67300</v>
      </c>
    </row>
    <row r="53" spans="1:7" x14ac:dyDescent="0.3">
      <c r="A53" s="2">
        <v>14</v>
      </c>
      <c r="C53" s="38" t="s">
        <v>25</v>
      </c>
      <c r="D53" s="42">
        <f>TRUNC(111073,-1)</f>
        <v>111070</v>
      </c>
      <c r="E53" s="63">
        <f t="shared" si="1"/>
        <v>367170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TRUNC(48313+5091-844+2737,-1)</f>
        <v>55290</v>
      </c>
      <c r="E58" s="63">
        <f t="shared" si="1"/>
        <v>182770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TRUNC(287413,-1)</f>
        <v>287410</v>
      </c>
      <c r="E59" s="64">
        <f t="shared" si="1"/>
        <v>950110</v>
      </c>
    </row>
    <row r="60" spans="1:7" x14ac:dyDescent="0.3">
      <c r="A60" s="2">
        <v>21</v>
      </c>
      <c r="C60" s="27" t="s">
        <v>112</v>
      </c>
      <c r="D60" s="39">
        <f>SUM(D40:D59)</f>
        <v>981950</v>
      </c>
      <c r="E60" s="39">
        <f>SUM(E40:E59)</f>
        <v>3246050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TRUNC(4938,-1)</f>
        <v>4930</v>
      </c>
      <c r="E63" s="62">
        <f>TRUNC(+D63*3.3058,-1)</f>
        <v>16290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4930</v>
      </c>
      <c r="E66" s="65">
        <f>SUM(E63:E65)</f>
        <v>16290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TRUNC(9402,-1)</f>
        <v>9400</v>
      </c>
      <c r="E69" s="62">
        <f t="shared" ref="E69:E94" si="2">TRUNC(+D69*3.3058,-1)</f>
        <v>31070</v>
      </c>
    </row>
    <row r="70" spans="1:7" ht="16.5" customHeight="1" x14ac:dyDescent="0.3">
      <c r="A70" s="2">
        <v>2</v>
      </c>
      <c r="C70" s="38" t="s">
        <v>31</v>
      </c>
      <c r="D70" s="42">
        <f>TRUNC(1160,-1)</f>
        <v>1160</v>
      </c>
      <c r="E70" s="63">
        <f t="shared" si="2"/>
        <v>3830</v>
      </c>
    </row>
    <row r="71" spans="1:7" x14ac:dyDescent="0.3">
      <c r="A71" s="2">
        <v>3</v>
      </c>
      <c r="C71" s="38" t="s">
        <v>32</v>
      </c>
      <c r="D71" s="42">
        <f>TRUNC(4164,-1)</f>
        <v>4160</v>
      </c>
      <c r="E71" s="63">
        <f t="shared" si="2"/>
        <v>13750</v>
      </c>
    </row>
    <row r="72" spans="1:7" x14ac:dyDescent="0.3">
      <c r="A72" s="2">
        <v>4</v>
      </c>
      <c r="C72" s="38" t="s">
        <v>33</v>
      </c>
      <c r="D72" s="42">
        <f>TRUNC(1902,-1)</f>
        <v>1900</v>
      </c>
      <c r="E72" s="63">
        <f t="shared" si="2"/>
        <v>6280</v>
      </c>
    </row>
    <row r="73" spans="1:7" x14ac:dyDescent="0.3">
      <c r="A73" s="2">
        <v>5</v>
      </c>
      <c r="C73" s="38" t="s">
        <v>34</v>
      </c>
      <c r="D73" s="42">
        <f>TRUNC(12276,-1)</f>
        <v>12270</v>
      </c>
      <c r="E73" s="63">
        <f t="shared" si="2"/>
        <v>40560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TRUNC(29415,-1)</f>
        <v>29410</v>
      </c>
      <c r="E76" s="63">
        <f t="shared" si="2"/>
        <v>97220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TRUNC(10861,-1)</f>
        <v>10860</v>
      </c>
      <c r="E89" s="63">
        <f t="shared" si="2"/>
        <v>35900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TRUNC(13504,-1)</f>
        <v>13500</v>
      </c>
      <c r="E91" s="63">
        <f t="shared" si="2"/>
        <v>44620</v>
      </c>
    </row>
    <row r="92" spans="1:7" x14ac:dyDescent="0.3">
      <c r="A92" s="2">
        <v>24</v>
      </c>
      <c r="C92" s="38" t="s">
        <v>38</v>
      </c>
      <c r="D92" s="42">
        <f>TRUNC(6824,-1)</f>
        <v>6820</v>
      </c>
      <c r="E92" s="63">
        <f t="shared" si="2"/>
        <v>22540</v>
      </c>
    </row>
    <row r="93" spans="1:7" x14ac:dyDescent="0.3">
      <c r="A93" s="2">
        <v>25</v>
      </c>
      <c r="C93" s="38" t="s">
        <v>148</v>
      </c>
      <c r="D93" s="42">
        <f>TRUNC(97585,-1)</f>
        <v>97580</v>
      </c>
      <c r="E93" s="63">
        <f t="shared" si="2"/>
        <v>322570</v>
      </c>
    </row>
    <row r="94" spans="1:7" ht="17.25" thickBot="1" x14ac:dyDescent="0.35">
      <c r="A94" s="2">
        <v>26</v>
      </c>
      <c r="C94" s="38" t="s">
        <v>47</v>
      </c>
      <c r="D94" s="43">
        <f>TRUNC(569+1029+9247,-1)</f>
        <v>10840</v>
      </c>
      <c r="E94" s="64">
        <f t="shared" si="2"/>
        <v>35830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197900</v>
      </c>
      <c r="E95" s="39">
        <f>SUM(E69:E94)</f>
        <v>654170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TRUNC(18549,-1)</f>
        <v>18540</v>
      </c>
      <c r="E98" s="62">
        <f t="shared" ref="E98:E118" si="3">TRUNC(+D98*3.3058,-1)</f>
        <v>61280</v>
      </c>
    </row>
    <row r="99" spans="1:7" x14ac:dyDescent="0.3">
      <c r="A99" s="2">
        <v>2</v>
      </c>
      <c r="C99" s="38" t="s">
        <v>40</v>
      </c>
      <c r="D99" s="42">
        <f>TRUNC(14542,-1)</f>
        <v>14540</v>
      </c>
      <c r="E99" s="63">
        <f t="shared" si="3"/>
        <v>48060</v>
      </c>
    </row>
    <row r="100" spans="1:7" x14ac:dyDescent="0.3">
      <c r="A100" s="2">
        <v>3</v>
      </c>
      <c r="C100" s="38" t="s">
        <v>41</v>
      </c>
      <c r="D100" s="42">
        <f>TRUNC(34320,-1)</f>
        <v>34320</v>
      </c>
      <c r="E100" s="63">
        <f t="shared" si="3"/>
        <v>113450</v>
      </c>
    </row>
    <row r="101" spans="1:7" x14ac:dyDescent="0.3">
      <c r="A101" s="2">
        <v>4</v>
      </c>
      <c r="C101" s="38" t="s">
        <v>42</v>
      </c>
      <c r="D101" s="42">
        <f>TRUNC(853,-1)</f>
        <v>850</v>
      </c>
      <c r="E101" s="63">
        <f t="shared" si="3"/>
        <v>2800</v>
      </c>
    </row>
    <row r="102" spans="1:7" x14ac:dyDescent="0.3">
      <c r="A102" s="2">
        <v>5</v>
      </c>
      <c r="C102" s="38" t="s">
        <v>43</v>
      </c>
      <c r="D102" s="42">
        <f>TRUNC(8930,-1)</f>
        <v>8930</v>
      </c>
      <c r="E102" s="63">
        <f t="shared" si="3"/>
        <v>29520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TRUNC(2776,-1)</f>
        <v>2770</v>
      </c>
      <c r="E104" s="63">
        <f t="shared" si="3"/>
        <v>9150</v>
      </c>
    </row>
    <row r="105" spans="1:7" x14ac:dyDescent="0.3">
      <c r="A105" s="2">
        <v>8</v>
      </c>
      <c r="C105" s="38" t="s">
        <v>46</v>
      </c>
      <c r="D105" s="42">
        <f>TRUNC(8684,-1)</f>
        <v>8680</v>
      </c>
      <c r="E105" s="63">
        <f t="shared" si="3"/>
        <v>28690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TRUNC(4048,-1)</f>
        <v>4040</v>
      </c>
      <c r="E114" s="63">
        <f t="shared" si="3"/>
        <v>13350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TRUNC(7780,-1)</f>
        <v>7780</v>
      </c>
      <c r="E116" s="63">
        <f t="shared" si="3"/>
        <v>25710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TRUNC(118335,-1)</f>
        <v>118330</v>
      </c>
      <c r="E117" s="63">
        <f t="shared" si="3"/>
        <v>391170</v>
      </c>
    </row>
    <row r="118" spans="1:7" ht="17.25" thickBot="1" x14ac:dyDescent="0.35">
      <c r="A118" s="2">
        <v>21</v>
      </c>
      <c r="C118" s="38" t="s">
        <v>47</v>
      </c>
      <c r="D118" s="43">
        <f>TRUNC(1322+4725,-1)</f>
        <v>6040</v>
      </c>
      <c r="E118" s="64">
        <f t="shared" si="3"/>
        <v>19960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224820</v>
      </c>
      <c r="E119" s="39">
        <f>SUM(E98:E118)</f>
        <v>743140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TRUNC(5355,-1)</f>
        <v>5350</v>
      </c>
      <c r="E122" s="62">
        <f t="shared" ref="E122:E132" si="4">TRUNC(+D122*3.3058,-1)</f>
        <v>17680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TRUNC(5997,-1)</f>
        <v>5990</v>
      </c>
      <c r="E124" s="63">
        <f t="shared" si="4"/>
        <v>19800</v>
      </c>
    </row>
    <row r="125" spans="1:7" x14ac:dyDescent="0.3">
      <c r="A125" s="2">
        <v>4</v>
      </c>
      <c r="C125" s="38" t="s">
        <v>138</v>
      </c>
      <c r="D125" s="42">
        <f>TRUNC(7000,-1)</f>
        <v>7000</v>
      </c>
      <c r="E125" s="63">
        <f t="shared" si="4"/>
        <v>23140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TRUNC(7366,-1)</f>
        <v>7360</v>
      </c>
      <c r="E128" s="63">
        <f t="shared" si="4"/>
        <v>24330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TRUNC(20001,-1)</f>
        <v>20000</v>
      </c>
      <c r="E130" s="63">
        <f t="shared" si="4"/>
        <v>66110</v>
      </c>
    </row>
    <row r="131" spans="1:7" x14ac:dyDescent="0.3">
      <c r="A131" s="2">
        <v>10</v>
      </c>
      <c r="C131" s="38" t="s">
        <v>148</v>
      </c>
      <c r="D131" s="42">
        <f>TRUNC(110806,-1)</f>
        <v>110800</v>
      </c>
      <c r="E131" s="63">
        <f t="shared" si="4"/>
        <v>366280</v>
      </c>
    </row>
    <row r="132" spans="1:7" ht="18" thickBot="1" x14ac:dyDescent="0.35">
      <c r="A132" s="2">
        <v>11</v>
      </c>
      <c r="C132" s="38" t="s">
        <v>47</v>
      </c>
      <c r="D132" s="43">
        <f>TRUNC(4272+1351,-1)</f>
        <v>5620</v>
      </c>
      <c r="E132" s="64">
        <f t="shared" si="4"/>
        <v>18570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162120</v>
      </c>
      <c r="E133" s="39">
        <f>SUM(E122:E132)</f>
        <v>535910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TRUNC(1082+2545+5355,-1)</f>
        <v>8980</v>
      </c>
      <c r="E137" s="63">
        <f t="shared" si="5"/>
        <v>29680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TRUNC(1257,-1)</f>
        <v>1250</v>
      </c>
      <c r="E139" s="63">
        <f t="shared" si="5"/>
        <v>4130</v>
      </c>
    </row>
    <row r="140" spans="1:7" x14ac:dyDescent="0.3">
      <c r="A140" s="2">
        <v>5</v>
      </c>
      <c r="C140" s="38" t="s">
        <v>57</v>
      </c>
      <c r="D140" s="42">
        <f>TRUNC(1211,-1)</f>
        <v>1210</v>
      </c>
      <c r="E140" s="63">
        <f t="shared" si="5"/>
        <v>4000</v>
      </c>
    </row>
    <row r="141" spans="1:7" x14ac:dyDescent="0.3">
      <c r="A141" s="2">
        <v>6</v>
      </c>
      <c r="C141" s="38" t="s">
        <v>59</v>
      </c>
      <c r="D141" s="42">
        <f>TRUNC(11779,-1)</f>
        <v>11770</v>
      </c>
      <c r="E141" s="63">
        <f t="shared" si="5"/>
        <v>38900</v>
      </c>
    </row>
    <row r="142" spans="1:7" x14ac:dyDescent="0.3">
      <c r="A142" s="2">
        <v>7</v>
      </c>
      <c r="C142" s="38" t="s">
        <v>58</v>
      </c>
      <c r="D142" s="42">
        <f>TRUNC(5894,-1)</f>
        <v>5890</v>
      </c>
      <c r="E142" s="63">
        <f t="shared" si="5"/>
        <v>19470</v>
      </c>
    </row>
    <row r="143" spans="1:7" x14ac:dyDescent="0.3">
      <c r="A143" s="2">
        <v>8</v>
      </c>
      <c r="C143" s="38" t="s">
        <v>62</v>
      </c>
      <c r="D143" s="42">
        <f>TRUNC(5425,-1)</f>
        <v>5420</v>
      </c>
      <c r="E143" s="63">
        <f t="shared" si="5"/>
        <v>17910</v>
      </c>
    </row>
    <row r="144" spans="1:7" x14ac:dyDescent="0.3">
      <c r="A144" s="2">
        <v>9</v>
      </c>
      <c r="C144" s="38" t="s">
        <v>63</v>
      </c>
      <c r="D144" s="42">
        <f>TRUNC(15279,-1)</f>
        <v>15270</v>
      </c>
      <c r="E144" s="63">
        <f t="shared" si="5"/>
        <v>50470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49790</v>
      </c>
      <c r="E146" s="39">
        <f>SUM(E136:E145)</f>
        <v>164560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TRUNC(6368+536,-1)</f>
        <v>6900</v>
      </c>
      <c r="E149" s="62">
        <f>TRUNC(+D149*3.3058,-1)</f>
        <v>22810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TRUNC(5330,-1)</f>
        <v>5330</v>
      </c>
      <c r="E150" s="63">
        <f>TRUNC(+D150*3.3058,-1)</f>
        <v>17610</v>
      </c>
    </row>
    <row r="151" spans="1:7" x14ac:dyDescent="0.3">
      <c r="A151" s="2">
        <v>3</v>
      </c>
      <c r="C151" s="38" t="s">
        <v>50</v>
      </c>
      <c r="D151" s="42">
        <f>TRUNC(2688,-1)</f>
        <v>2680</v>
      </c>
      <c r="E151" s="63">
        <f>TRUNC(+D151*3.3058,-1)</f>
        <v>8850</v>
      </c>
    </row>
    <row r="152" spans="1:7" x14ac:dyDescent="0.3">
      <c r="A152" s="2">
        <v>4</v>
      </c>
      <c r="C152" s="38" t="s">
        <v>47</v>
      </c>
      <c r="D152" s="42">
        <f>TRUNC(2404+87,-1)</f>
        <v>2490</v>
      </c>
      <c r="E152" s="63">
        <f>TRUNC(+D152*3.3058,-1)</f>
        <v>8230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TRUNC(31096,-1)</f>
        <v>31090</v>
      </c>
      <c r="E153" s="64">
        <f>TRUNC(+D153*3.3058,-1)</f>
        <v>102770</v>
      </c>
    </row>
    <row r="154" spans="1:7" x14ac:dyDescent="0.3">
      <c r="A154" s="2">
        <v>6</v>
      </c>
      <c r="C154" s="27" t="s">
        <v>112</v>
      </c>
      <c r="D154" s="39">
        <f>SUM(D149:D153)</f>
        <v>48490</v>
      </c>
      <c r="E154" s="39">
        <f>SUM(E149:E153)</f>
        <v>160270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TRUNC(22728,-1)</f>
        <v>22720</v>
      </c>
      <c r="E157" s="62">
        <f>TRUNC(+D157*3.3058,-1)</f>
        <v>75100</v>
      </c>
    </row>
    <row r="158" spans="1:7" x14ac:dyDescent="0.3">
      <c r="A158" s="2">
        <v>2</v>
      </c>
      <c r="C158" s="38" t="s">
        <v>52</v>
      </c>
      <c r="D158" s="42">
        <f>TRUNC(8231,-1)</f>
        <v>8230</v>
      </c>
      <c r="E158" s="63">
        <f>TRUNC(+D158*3.3058,-1)</f>
        <v>27200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TRUNC(11713+19,-1)</f>
        <v>11730</v>
      </c>
      <c r="E159" s="63">
        <f>TRUNC(+D159*3.3058,-1)</f>
        <v>38770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42680</v>
      </c>
      <c r="E161" s="39">
        <f>SUM(E157:E160)</f>
        <v>141070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2020-12-08T01:46:15Z</dcterms:modified>
</cp:coreProperties>
</file>