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5" i="4"/>
  <c r="E141" i="4"/>
  <c r="E140" i="4"/>
  <c r="E139" i="4"/>
  <c r="E138" i="4"/>
  <c r="E136" i="4"/>
  <c r="E129" i="4"/>
  <c r="E123" i="4"/>
  <c r="E115" i="4"/>
  <c r="E113" i="4"/>
  <c r="E112" i="4"/>
  <c r="E111" i="4"/>
  <c r="E109" i="4"/>
  <c r="E108" i="4"/>
  <c r="E107" i="4"/>
  <c r="E106" i="4"/>
  <c r="E101" i="4"/>
  <c r="E99" i="4"/>
  <c r="E9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1" i="4"/>
  <c r="E47" i="4"/>
  <c r="E42" i="4"/>
  <c r="E37" i="4"/>
  <c r="D159" i="4" l="1"/>
  <c r="E159" i="4" s="1"/>
  <c r="D158" i="4"/>
  <c r="E158" i="4" s="1"/>
  <c r="D157" i="4"/>
  <c r="D152" i="4"/>
  <c r="E152" i="4" s="1"/>
  <c r="D150" i="4"/>
  <c r="E150" i="4" s="1"/>
  <c r="D149" i="4"/>
  <c r="D144" i="4"/>
  <c r="E144" i="4" s="1"/>
  <c r="D143" i="4"/>
  <c r="E143" i="4" s="1"/>
  <c r="D142" i="4"/>
  <c r="E142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14" i="4"/>
  <c r="E114" i="4" s="1"/>
  <c r="D110" i="4"/>
  <c r="E110" i="4" s="1"/>
  <c r="D105" i="4"/>
  <c r="E105" i="4" s="1"/>
  <c r="D104" i="4"/>
  <c r="E104" i="4" s="1"/>
  <c r="D103" i="4"/>
  <c r="E103" i="4" s="1"/>
  <c r="D102" i="4"/>
  <c r="E102" i="4" s="1"/>
  <c r="D100" i="4"/>
  <c r="E100" i="4" s="1"/>
  <c r="D98" i="4"/>
  <c r="E98" i="4" s="1"/>
  <c r="E119" i="4" s="1"/>
  <c r="D94" i="4"/>
  <c r="E94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D24" i="4"/>
  <c r="E24" i="4" s="1"/>
  <c r="D7" i="4"/>
  <c r="D60" i="4" l="1"/>
  <c r="D25" i="4" s="1"/>
  <c r="E25" i="4" s="1"/>
  <c r="E40" i="4"/>
  <c r="E60" i="4" s="1"/>
  <c r="D146" i="4"/>
  <c r="D30" i="4" s="1"/>
  <c r="E30" i="4" s="1"/>
  <c r="E137" i="4"/>
  <c r="E146" i="4" s="1"/>
  <c r="D66" i="4"/>
  <c r="D26" i="4" s="1"/>
  <c r="E26" i="4" s="1"/>
  <c r="D95" i="4"/>
  <c r="D27" i="4" s="1"/>
  <c r="E27" i="4" s="1"/>
  <c r="D119" i="4"/>
  <c r="D28" i="4" s="1"/>
  <c r="E28" i="4" s="1"/>
  <c r="D154" i="4"/>
  <c r="D31" i="4" s="1"/>
  <c r="E31" i="4" s="1"/>
  <c r="E149" i="4"/>
  <c r="E154" i="4" s="1"/>
  <c r="E95" i="4"/>
  <c r="D133" i="4"/>
  <c r="D29" i="4" s="1"/>
  <c r="E29" i="4" s="1"/>
  <c r="E122" i="4"/>
  <c r="E133" i="4" s="1"/>
  <c r="D161" i="4"/>
  <c r="D32" i="4" s="1"/>
  <c r="E32" i="4" s="1"/>
  <c r="E157" i="4"/>
  <c r="E161" i="4" s="1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<sst xmlns="http://schemas.openxmlformats.org/spreadsheetml/2006/main" count="391" uniqueCount="265">
  <si>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</si>
  <si>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</si>
  <si>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</si>
  <si>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</si>
  <si>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</si>
  <si>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</si>
  <si>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</si>
  <si>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</si>
  <si>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</si>
  <si>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</si>
  <si>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</si>
  <si>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</si>
  <si>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</si>
  <si>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</si>
  <si>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</si>
  <si>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</si>
  <si>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</si>
  <si>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</si>
  <si>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</si>
  <si>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</si>
  <si>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</si>
  <si>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</si>
  <si>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</si>
  <si>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</si>
  <si>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</si>
  <si>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</si>
  <si>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</si>
  <si>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</si>
  <si>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</si>
  <si>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</si>
  <si>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</si>
  <si>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</si>
  <si>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</si>
  <si>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</si>
  <si>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</si>
  <si>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</si>
  <si>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</si>
  <si>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</si>
  <si>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</si>
  <si>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</si>
  <si>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</si>
  <si>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</si>
  <si>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</si>
  <si>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</si>
  <si>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</si>
  <si>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</si>
  <si>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</si>
  <si>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</si>
  <si>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</si>
  <si>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</si>
  <si>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</si>
  <si>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</si>
  <si>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</si>
  <si>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</si>
  <si>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</si>
  <si>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</si>
  <si>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</si>
  <si>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</si>
  <si>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</si>
  <si>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</si>
  <si>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</si>
  <si>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</si>
  <si>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</si>
  <si>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</si>
  <si>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</si>
  <si>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</si>
  <si>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</si>
  <si>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</si>
  <si>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</si>
  <si>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</si>
  <si>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</si>
  <si>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</si>
  <si>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</si>
  <si>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</si>
  <si>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</si>
  <si>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</si>
  <si>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</si>
  <si>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</si>
  <si>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</si>
  <si>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</si>
  <si>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</si>
  <si>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</si>
  <si>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</si>
  <si>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</si>
  <si>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</si>
  <si>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</si>
  <si>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</si>
  <si>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</si>
  <si>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</si>
  <si>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</si>
  <si>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</si>
  <si>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</si>
  <si>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</si>
  <si>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</si>
  <si>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</si>
  <si>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</si>
  <si>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</si>
  <si>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</si>
  <si>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</si>
  <si>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</si>
  <si>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</si>
  <si>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</si>
  <si>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</si>
  <si>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</si>
  <si>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</si>
  <si>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</si>
  <si>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</si>
  <si>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</si>
  <si>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</si>
  <si>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</si>
  <si>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</si>
  <si>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</si>
  <si>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</si>
  <si>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</si>
  <si>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</si>
  <si>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</si>
  <si>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</si>
  <si>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</si>
  <si>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</si>
  <si>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</si>
  <si>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</si>
  <si>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</si>
  <si>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</si>
  <si>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</si>
  <si>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</si>
  <si>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</si>
  <si>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</si>
  <si>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</si>
  <si>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</si>
  <si>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</si>
  <si>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</si>
  <si>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</si>
  <si>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</si>
  <si>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</si>
  <si>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</si>
  <si>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</si>
  <si>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</si>
  <si>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</si>
  <si>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</si>
  <si>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</si>
  <si>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</si>
  <si>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</si>
  <si>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</si>
  <si>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</si>
  <si>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</si>
  <si>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</si>
  <si>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</si>
  <si>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</si>
  <si>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</si>
  <si>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</si>
  <si>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</si>
  <si>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</si>
  <si>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</si>
  <si>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</si>
  <si>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</si>
  <si>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</si>
  <si>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</si>
  <si>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</si>
  <si>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</si>
  <si>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</si>
  <si>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</si>
  <si>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</si>
  <si>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</si>
  <si>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</si>
  <si>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</si>
  <si>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</si>
  <si>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</si>
  <si>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</si>
  <si>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</si>
  <si>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</si>
  <si>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</si>
  <si>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</si>
  <si>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</si>
  <si>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</si>
  <si>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</si>
  <si>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</si>
  <si>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</si>
  <si>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</si>
  <si>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</si>
  <si>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</si>
  <si>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</si>
  <si>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</si>
  <si>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</si>
  <si>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</si>
  <si>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</si>
  <si>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</si>
  <si>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</si>
  <si>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</si>
  <si>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</si>
  <si>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</si>
  <si>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</si>
  <si>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</si>
  <si>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</si>
  <si>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</si>
  <si>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</si>
  <si>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</si>
  <si>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</si>
  <si>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</si>
  <si>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</si>
  <si>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</si>
  <si>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</si>
  <si>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</si>
  <si>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</si>
  <si>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</si>
  <si>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</si>
  <si>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</si>
  <si>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</si>
  <si>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</si>
  <si>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</si>
  <si>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</si>
  <si>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</si>
  <si>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</si>
  <si>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</si>
  <si>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</si>
  <si>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</si>
  <si>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</si>
  <si>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</si>
  <si>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</si>
  <si>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</si>
  <si>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</si>
  <si>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</si>
  <si>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</si>
  <si>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</si>
  <si>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</si>
  <si>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</si>
  <si>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</si>
  <si>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</si>
  <si>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</si>
  <si>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</si>
  <si>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</si>
  <si>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</si>
  <si>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</si>
  <si>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</si>
  <si>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</si>
  <si>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</si>
  <si>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</si>
  <si>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</si>
  <si>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</si>
  <si>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</si>
  <si>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</si>
  <si>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</si>
  <si>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</si>
  <si>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</si>
  <si>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</si>
  <si>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</si>
  <si>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</si>
  <si>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농림축산검역본부 호남지역본부 청사 신축공사</t>
  </si>
  <si>
    <t>업무</t>
  </si>
  <si>
    <t>전라도</t>
  </si>
  <si>
    <t>평</t>
    <phoneticPr fontId="2" type="noConversion"/>
  </si>
  <si>
    <t>원/ m2</t>
    <phoneticPr fontId="2" type="noConversion"/>
  </si>
  <si>
    <t>창호및유리공사</t>
    <phoneticPr fontId="2" type="noConversion"/>
  </si>
  <si>
    <t>기초공사, 폐기물처리비, 골재비 및 운반비, 품질시험비, 기타공사</t>
    <phoneticPr fontId="2" type="noConversion"/>
  </si>
  <si>
    <t>우수처리시설공사, 바닥난방공사, 기타공사</t>
    <phoneticPr fontId="2" type="noConversion"/>
  </si>
  <si>
    <t>옥외보안등설비공사</t>
    <phoneticPr fontId="2" type="noConversion"/>
  </si>
  <si>
    <t xml:space="preserve"> 전기인입 및 수변전 설비공사</t>
    <phoneticPr fontId="2" type="noConversion"/>
  </si>
  <si>
    <t>기타공사</t>
    <phoneticPr fontId="2" type="noConversion"/>
  </si>
  <si>
    <t>CCTV 설비공사, 기타공사</t>
    <phoneticPr fontId="2" type="noConversion"/>
  </si>
  <si>
    <t>토목 사급자재비, 토목 운반비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</si>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</sst>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3256.06</v>
      </c>
      <c r="D7" s="36">
        <f>+C7/3.3058</f>
        <v>984.95371770827023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1398690</v>
      </c>
      <c r="E25" s="59">
        <f t="shared" si="0"/>
        <v>4623780</v>
      </c>
    </row>
    <row r="26" spans="1:5" x14ac:dyDescent="0.3">
      <c r="B26" s="2">
        <v>3</v>
      </c>
      <c r="C26" s="35" t="s">
        <v>95</v>
      </c>
      <c r="D26" s="45">
        <f>+D66</f>
        <v>6250</v>
      </c>
      <c r="E26" s="59">
        <f t="shared" si="0"/>
        <v>20660</v>
      </c>
    </row>
    <row r="27" spans="1:5" x14ac:dyDescent="0.3">
      <c r="B27" s="2">
        <v>4</v>
      </c>
      <c r="C27" s="35" t="s">
        <v>96</v>
      </c>
      <c r="D27" s="45">
        <f>+D95</f>
        <v>99260</v>
      </c>
      <c r="E27" s="59">
        <f t="shared" si="0"/>
        <v>328130</v>
      </c>
    </row>
    <row r="28" spans="1:5" x14ac:dyDescent="0.3">
      <c r="B28" s="2">
        <v>5</v>
      </c>
      <c r="C28" s="35" t="s">
        <v>97</v>
      </c>
      <c r="D28" s="45">
        <f>+D119</f>
        <v>226020</v>
      </c>
      <c r="E28" s="59">
        <f t="shared" si="0"/>
        <v>747170</v>
      </c>
    </row>
    <row r="29" spans="1:5" x14ac:dyDescent="0.3">
      <c r="B29" s="2">
        <v>6</v>
      </c>
      <c r="C29" s="35" t="s">
        <v>98</v>
      </c>
      <c r="D29" s="45">
        <f>+D133</f>
        <v>133740</v>
      </c>
      <c r="E29" s="59">
        <f t="shared" si="0"/>
        <v>442110</v>
      </c>
    </row>
    <row r="30" spans="1:5" x14ac:dyDescent="0.3">
      <c r="B30" s="2">
        <v>7</v>
      </c>
      <c r="C30" s="35" t="s">
        <v>99</v>
      </c>
      <c r="D30" s="45">
        <f>+D146</f>
        <v>61490</v>
      </c>
      <c r="E30" s="59">
        <f t="shared" si="0"/>
        <v>203270</v>
      </c>
    </row>
    <row r="31" spans="1:5" x14ac:dyDescent="0.3">
      <c r="B31" s="2">
        <v>8</v>
      </c>
      <c r="C31" s="35" t="s">
        <v>100</v>
      </c>
      <c r="D31" s="45">
        <f>+D154</f>
        <v>47120</v>
      </c>
      <c r="E31" s="59">
        <f t="shared" si="0"/>
        <v>155760</v>
      </c>
    </row>
    <row r="32" spans="1:5" x14ac:dyDescent="0.3">
      <c r="B32" s="2">
        <v>9</v>
      </c>
      <c r="C32" s="35" t="s">
        <v>101</v>
      </c>
      <c r="D32" s="45">
        <f>+D161</f>
        <v>68080</v>
      </c>
      <c r="E32" s="59">
        <f t="shared" si="0"/>
        <v>225050</v>
      </c>
    </row>
    <row r="33" spans="1:7" x14ac:dyDescent="0.3">
      <c r="B33" s="2">
        <v>10</v>
      </c>
      <c r="C33" s="35" t="s">
        <v>154</v>
      </c>
      <c r="D33" s="53">
        <f>TRUNC(SUM(D24:D32)*0.275,-1)</f>
        <v>561170</v>
      </c>
      <c r="E33" s="60">
        <f t="shared" si="0"/>
        <v>1855110</v>
      </c>
    </row>
    <row r="34" spans="1:7" x14ac:dyDescent="0.3">
      <c r="C34" s="35" t="s">
        <v>112</v>
      </c>
      <c r="D34" s="44">
        <f>SUM(D24:D33)</f>
        <v>2601820</v>
      </c>
      <c r="E34" s="44">
        <f>SUM(E24:E33)</f>
        <v>8601040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260</v>
      </c>
      <c r="E39" s="66" t="s">
        <v>261</v>
      </c>
      <c r="G39" s="67"/>
    </row>
    <row r="40" spans="1:7" x14ac:dyDescent="0.3">
      <c r="A40" s="2">
        <v>1</v>
      </c>
      <c r="C40" s="38" t="s">
        <v>15</v>
      </c>
      <c r="D40" s="40">
        <f>TRUNC(91604,-1)</f>
        <v>91600</v>
      </c>
      <c r="E40" s="62">
        <f t="shared" ref="E40:E59" si="1">TRUNC(+D40*3.3058,-1)</f>
        <v>302810</v>
      </c>
    </row>
    <row r="41" spans="1:7" x14ac:dyDescent="0.3">
      <c r="A41" s="2">
        <v>2</v>
      </c>
      <c r="C41" s="38" t="s">
        <v>13</v>
      </c>
      <c r="D41" s="42">
        <f>TRUNC(167993,-1)</f>
        <v>167990</v>
      </c>
      <c r="E41" s="63">
        <f t="shared" si="1"/>
        <v>555340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TRUNC(19850,-1)</f>
        <v>19850</v>
      </c>
      <c r="E43" s="63">
        <f t="shared" si="1"/>
        <v>65620</v>
      </c>
    </row>
    <row r="44" spans="1:7" x14ac:dyDescent="0.3">
      <c r="A44" s="2">
        <v>5</v>
      </c>
      <c r="C44" s="38" t="s">
        <v>17</v>
      </c>
      <c r="D44" s="42">
        <f>TRUNC(33760,-1)</f>
        <v>33760</v>
      </c>
      <c r="E44" s="63">
        <f t="shared" si="1"/>
        <v>111600</v>
      </c>
    </row>
    <row r="45" spans="1:7" x14ac:dyDescent="0.3">
      <c r="A45" s="2">
        <v>6</v>
      </c>
      <c r="C45" s="38" t="s">
        <v>18</v>
      </c>
      <c r="D45" s="42">
        <f>TRUNC(18983,-1)</f>
        <v>18980</v>
      </c>
      <c r="E45" s="63">
        <f t="shared" si="1"/>
        <v>62740</v>
      </c>
    </row>
    <row r="46" spans="1:7" x14ac:dyDescent="0.3">
      <c r="A46" s="2">
        <v>7</v>
      </c>
      <c r="C46" s="38" t="s">
        <v>19</v>
      </c>
      <c r="D46" s="42">
        <f>TRUNC(85670,-1)</f>
        <v>85670</v>
      </c>
      <c r="E46" s="63">
        <f t="shared" si="1"/>
        <v>283200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TRUNC(90623,-1)</f>
        <v>90620</v>
      </c>
      <c r="E48" s="63">
        <f t="shared" si="1"/>
        <v>299570</v>
      </c>
    </row>
    <row r="49" spans="1:7" x14ac:dyDescent="0.3">
      <c r="A49" s="2">
        <v>10</v>
      </c>
      <c r="C49" s="38" t="s">
        <v>22</v>
      </c>
      <c r="D49" s="42">
        <f>TRUNC(20651,-1)</f>
        <v>20650</v>
      </c>
      <c r="E49" s="63">
        <f t="shared" si="1"/>
        <v>68260</v>
      </c>
    </row>
    <row r="50" spans="1:7" x14ac:dyDescent="0.3">
      <c r="A50" s="2">
        <v>11</v>
      </c>
      <c r="C50" s="38" t="s">
        <v>155</v>
      </c>
      <c r="D50" s="42">
        <f>TRUNC(61438,-1)</f>
        <v>61430</v>
      </c>
      <c r="E50" s="63">
        <f t="shared" si="1"/>
        <v>203070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TRUNC(9713,-1)</f>
        <v>9710</v>
      </c>
      <c r="E52" s="63">
        <f t="shared" si="1"/>
        <v>32090</v>
      </c>
    </row>
    <row r="53" spans="1:7" x14ac:dyDescent="0.3">
      <c r="A53" s="2">
        <v>14</v>
      </c>
      <c r="C53" s="38" t="s">
        <v>25</v>
      </c>
      <c r="D53" s="42">
        <f>TRUNC(126241,-1)</f>
        <v>126240</v>
      </c>
      <c r="E53" s="63">
        <f t="shared" si="1"/>
        <v>417320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TRUNC(64299+1219+8048+1477+74833,-1)</f>
        <v>149870</v>
      </c>
      <c r="E58" s="63">
        <f t="shared" si="1"/>
        <v>495440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TRUNC(522321,-1)</f>
        <v>522320</v>
      </c>
      <c r="E59" s="64">
        <f t="shared" si="1"/>
        <v>1726680</v>
      </c>
    </row>
    <row r="60" spans="1:7" x14ac:dyDescent="0.3">
      <c r="A60" s="2">
        <v>21</v>
      </c>
      <c r="C60" s="27" t="s">
        <v>112</v>
      </c>
      <c r="D60" s="39">
        <f>SUM(D40:D59)</f>
        <v>1398690</v>
      </c>
      <c r="E60" s="39">
        <f>SUM(E40:E59)</f>
        <v>4623740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TRUNC(6250,-1)</f>
        <v>6250</v>
      </c>
      <c r="E63" s="62">
        <f>TRUNC(+D63*3.3058,-1)</f>
        <v>20660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6250</v>
      </c>
      <c r="E66" s="57">
        <f>SUM(E63:E65)</f>
        <v>20660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TRUNC(12940,-1)</f>
        <v>12940</v>
      </c>
      <c r="E69" s="62">
        <f t="shared" ref="E69:E94" si="2">TRUNC(+D69*3.3058,-1)</f>
        <v>42770</v>
      </c>
    </row>
    <row r="70" spans="1:7" ht="16.5" customHeight="1" x14ac:dyDescent="0.3">
      <c r="A70" s="2">
        <v>2</v>
      </c>
      <c r="C70" s="38" t="s">
        <v>31</v>
      </c>
      <c r="D70" s="42">
        <f>TRUNC(2742,-1)</f>
        <v>2740</v>
      </c>
      <c r="E70" s="63">
        <f t="shared" si="2"/>
        <v>9050</v>
      </c>
    </row>
    <row r="71" spans="1:7" x14ac:dyDescent="0.3">
      <c r="A71" s="2">
        <v>3</v>
      </c>
      <c r="C71" s="38" t="s">
        <v>32</v>
      </c>
      <c r="D71" s="42">
        <f>TRUNC(7217,-1)</f>
        <v>7210</v>
      </c>
      <c r="E71" s="63">
        <f t="shared" si="2"/>
        <v>23830</v>
      </c>
    </row>
    <row r="72" spans="1:7" x14ac:dyDescent="0.3">
      <c r="A72" s="2">
        <v>4</v>
      </c>
      <c r="C72" s="38" t="s">
        <v>33</v>
      </c>
      <c r="D72" s="42">
        <f>TRUNC(9231,-1)</f>
        <v>9230</v>
      </c>
      <c r="E72" s="63">
        <f t="shared" si="2"/>
        <v>30510</v>
      </c>
    </row>
    <row r="73" spans="1:7" x14ac:dyDescent="0.3">
      <c r="A73" s="2">
        <v>5</v>
      </c>
      <c r="C73" s="38" t="s">
        <v>34</v>
      </c>
      <c r="D73" s="42">
        <f>TRUNC(11727,-1)</f>
        <v>11720</v>
      </c>
      <c r="E73" s="63">
        <f t="shared" si="2"/>
        <v>38740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TRUNC(402,-1)</f>
        <v>400</v>
      </c>
      <c r="E75" s="63">
        <f t="shared" si="2"/>
        <v>1320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TRUNC(6565,-1)</f>
        <v>6560</v>
      </c>
      <c r="E89" s="63">
        <f t="shared" si="2"/>
        <v>21680</v>
      </c>
    </row>
    <row r="90" spans="1:7" x14ac:dyDescent="0.3">
      <c r="A90" s="2">
        <v>22</v>
      </c>
      <c r="C90" s="38" t="s">
        <v>36</v>
      </c>
      <c r="D90" s="42">
        <f>TRUNC(2636,-1)</f>
        <v>2630</v>
      </c>
      <c r="E90" s="63">
        <f t="shared" si="2"/>
        <v>8690</v>
      </c>
    </row>
    <row r="91" spans="1:7" x14ac:dyDescent="0.3">
      <c r="A91" s="2">
        <v>23</v>
      </c>
      <c r="C91" s="38" t="s">
        <v>37</v>
      </c>
      <c r="D91" s="42">
        <f>TRUNC(11450,-1)</f>
        <v>11450</v>
      </c>
      <c r="E91" s="63">
        <f t="shared" si="2"/>
        <v>37850</v>
      </c>
    </row>
    <row r="92" spans="1:7" x14ac:dyDescent="0.3">
      <c r="A92" s="2">
        <v>24</v>
      </c>
      <c r="C92" s="38" t="s">
        <v>38</v>
      </c>
      <c r="D92" s="42">
        <f>TRUNC(7652,-1)</f>
        <v>7650</v>
      </c>
      <c r="E92" s="63">
        <f t="shared" si="2"/>
        <v>25280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TRUNC(19548+1087+6101,-1)</f>
        <v>26730</v>
      </c>
      <c r="E94" s="64">
        <f t="shared" si="2"/>
        <v>88360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99260</v>
      </c>
      <c r="E95" s="39">
        <f>SUM(E69:E94)</f>
        <v>328080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TRUNC(10109,-1)</f>
        <v>10100</v>
      </c>
      <c r="E98" s="62">
        <f t="shared" ref="E98:E118" si="3">TRUNC(+D98*3.3058,-1)</f>
        <v>33380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TRUNC(31135,-1)</f>
        <v>31130</v>
      </c>
      <c r="E100" s="63">
        <f t="shared" si="3"/>
        <v>102900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TRUNC(15716,-1)</f>
        <v>15710</v>
      </c>
      <c r="E102" s="63">
        <f t="shared" si="3"/>
        <v>51930</v>
      </c>
    </row>
    <row r="103" spans="1:7" x14ac:dyDescent="0.3">
      <c r="A103" s="2">
        <v>6</v>
      </c>
      <c r="C103" s="38" t="s">
        <v>44</v>
      </c>
      <c r="D103" s="42">
        <f>TRUNC(4705,-1)</f>
        <v>4700</v>
      </c>
      <c r="E103" s="63">
        <f t="shared" si="3"/>
        <v>15530</v>
      </c>
    </row>
    <row r="104" spans="1:7" x14ac:dyDescent="0.3">
      <c r="A104" s="2">
        <v>7</v>
      </c>
      <c r="C104" s="38" t="s">
        <v>45</v>
      </c>
      <c r="D104" s="42">
        <f>TRUNC(3698,-1)</f>
        <v>3690</v>
      </c>
      <c r="E104" s="63">
        <f t="shared" si="3"/>
        <v>12190</v>
      </c>
    </row>
    <row r="105" spans="1:7" x14ac:dyDescent="0.3">
      <c r="A105" s="2">
        <v>8</v>
      </c>
      <c r="C105" s="38" t="s">
        <v>46</v>
      </c>
      <c r="D105" s="42">
        <f>TRUNC(3469,-1)</f>
        <v>3460</v>
      </c>
      <c r="E105" s="63">
        <f t="shared" si="3"/>
        <v>11430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f>TRUNC(12090,-1)</f>
        <v>12090</v>
      </c>
      <c r="E110" s="63">
        <f t="shared" si="3"/>
        <v>39960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TRUNC(7802,-1)</f>
        <v>7800</v>
      </c>
      <c r="E114" s="63">
        <f t="shared" si="3"/>
        <v>25780</v>
      </c>
      <c r="F114" s="2" t="s">
        <v>254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TRUNC(6496,-1)</f>
        <v>6490</v>
      </c>
      <c r="E116" s="63">
        <f t="shared" si="3"/>
        <v>21450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TRUNC(123707,-1)</f>
        <v>123700</v>
      </c>
      <c r="E117" s="63">
        <f t="shared" si="3"/>
        <v>408920</v>
      </c>
    </row>
    <row r="118" spans="1:7" ht="17.25" thickBot="1" x14ac:dyDescent="0.35">
      <c r="A118" s="2">
        <v>21</v>
      </c>
      <c r="C118" s="38" t="s">
        <v>47</v>
      </c>
      <c r="D118" s="43">
        <f>TRUNC(7159,-1)</f>
        <v>7150</v>
      </c>
      <c r="E118" s="64">
        <f t="shared" si="3"/>
        <v>23630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226020</v>
      </c>
      <c r="E119" s="39">
        <f>SUM(E98:E118)</f>
        <v>747100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TRUNC(2197,-1)</f>
        <v>2190</v>
      </c>
      <c r="E122" s="62">
        <f t="shared" ref="E122:E132" si="4">TRUNC(+D122*3.3058,-1)</f>
        <v>7230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TRUNC(802,-1)</f>
        <v>800</v>
      </c>
      <c r="E124" s="63">
        <f t="shared" si="4"/>
        <v>2640</v>
      </c>
    </row>
    <row r="125" spans="1:7" x14ac:dyDescent="0.3">
      <c r="A125" s="2">
        <v>4</v>
      </c>
      <c r="C125" s="38" t="s">
        <v>138</v>
      </c>
      <c r="D125" s="42">
        <f>TRUNC(6418,-1)</f>
        <v>6410</v>
      </c>
      <c r="E125" s="63">
        <f t="shared" si="4"/>
        <v>21190</v>
      </c>
    </row>
    <row r="126" spans="1:7" x14ac:dyDescent="0.3">
      <c r="A126" s="2">
        <v>5</v>
      </c>
      <c r="C126" s="38" t="s">
        <v>53</v>
      </c>
      <c r="D126" s="42">
        <f>TRUNC(2243,-1)</f>
        <v>2240</v>
      </c>
      <c r="E126" s="63">
        <f t="shared" si="4"/>
        <v>7400</v>
      </c>
    </row>
    <row r="127" spans="1:7" x14ac:dyDescent="0.3">
      <c r="A127" s="2">
        <v>6</v>
      </c>
      <c r="C127" s="38" t="s">
        <v>56</v>
      </c>
      <c r="D127" s="42">
        <f>TRUNC(220,-1)</f>
        <v>220</v>
      </c>
      <c r="E127" s="63">
        <f t="shared" si="4"/>
        <v>720</v>
      </c>
    </row>
    <row r="128" spans="1:7" x14ac:dyDescent="0.3">
      <c r="A128" s="2">
        <v>7</v>
      </c>
      <c r="C128" s="38" t="s">
        <v>46</v>
      </c>
      <c r="D128" s="42">
        <f>TRUNC(5527,-1)</f>
        <v>5520</v>
      </c>
      <c r="E128" s="63">
        <f t="shared" si="4"/>
        <v>18240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TRUNC(57994,-1)</f>
        <v>57990</v>
      </c>
      <c r="E130" s="63">
        <f t="shared" si="4"/>
        <v>191700</v>
      </c>
    </row>
    <row r="131" spans="1:7" x14ac:dyDescent="0.3">
      <c r="A131" s="2">
        <v>10</v>
      </c>
      <c r="C131" s="38" t="s">
        <v>148</v>
      </c>
      <c r="D131" s="42">
        <f>TRUNC(50420,-1)</f>
        <v>50420</v>
      </c>
      <c r="E131" s="63">
        <f t="shared" si="4"/>
        <v>166670</v>
      </c>
    </row>
    <row r="132" spans="1:7" ht="17.25" thickBot="1" x14ac:dyDescent="0.35">
      <c r="A132" s="2">
        <v>11</v>
      </c>
      <c r="C132" s="38" t="s">
        <v>47</v>
      </c>
      <c r="D132" s="43">
        <f>TRUNC(6040+1916,-1)</f>
        <v>7950</v>
      </c>
      <c r="E132" s="64">
        <f t="shared" si="4"/>
        <v>26280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133740</v>
      </c>
      <c r="E133" s="39">
        <f>SUM(E122:E132)</f>
        <v>442070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TRUNC(459,-1)</f>
        <v>450</v>
      </c>
      <c r="E137" s="63">
        <f t="shared" si="5"/>
        <v>1480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TRUNC(38940,-1)</f>
        <v>38940</v>
      </c>
      <c r="E142" s="63">
        <f t="shared" si="5"/>
        <v>128720</v>
      </c>
    </row>
    <row r="143" spans="1:7" x14ac:dyDescent="0.3">
      <c r="A143" s="2">
        <v>8</v>
      </c>
      <c r="C143" s="38" t="s">
        <v>62</v>
      </c>
      <c r="D143" s="42">
        <f>TRUNC(4797,-1)</f>
        <v>4790</v>
      </c>
      <c r="E143" s="63">
        <f t="shared" si="5"/>
        <v>15830</v>
      </c>
    </row>
    <row r="144" spans="1:7" x14ac:dyDescent="0.3">
      <c r="A144" s="2">
        <v>9</v>
      </c>
      <c r="C144" s="38" t="s">
        <v>63</v>
      </c>
      <c r="D144" s="42">
        <f>TRUNC(17313,-1)</f>
        <v>17310</v>
      </c>
      <c r="E144" s="63">
        <f t="shared" si="5"/>
        <v>57220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61490</v>
      </c>
      <c r="E146" s="39">
        <f>SUM(E136:E145)</f>
        <v>203250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TRUNC(12379+2559,-1)</f>
        <v>14930</v>
      </c>
      <c r="E149" s="62">
        <f>TRUNC(+D149*3.3058,-1)</f>
        <v>49350</v>
      </c>
    </row>
    <row r="150" spans="1:7" x14ac:dyDescent="0.3">
      <c r="A150" s="2">
        <v>2</v>
      </c>
      <c r="C150" s="38" t="s">
        <v>49</v>
      </c>
      <c r="D150" s="42">
        <f>TRUNC(15326,-1)</f>
        <v>15320</v>
      </c>
      <c r="E150" s="63">
        <f>TRUNC(+D150*3.3058,-1)</f>
        <v>50640</v>
      </c>
      <c r="F150" s="2" t="s">
        <v>95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TRUNC(16651+220,-1)</f>
        <v>16870</v>
      </c>
      <c r="E152" s="63">
        <f>TRUNC(+D152*3.3058,-1)</f>
        <v>55760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47120</v>
      </c>
      <c r="E154" s="39">
        <f>SUM(E149:E153)</f>
        <v>155750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TRUNC(35626,-1)</f>
        <v>35620</v>
      </c>
      <c r="E157" s="62">
        <f>TRUNC(+D157*3.3058,-1)</f>
        <v>117750</v>
      </c>
    </row>
    <row r="158" spans="1:7" x14ac:dyDescent="0.3">
      <c r="A158" s="2">
        <v>2</v>
      </c>
      <c r="C158" s="38" t="s">
        <v>52</v>
      </c>
      <c r="D158" s="42">
        <f>TRUNC(19376,-1)</f>
        <v>19370</v>
      </c>
      <c r="E158" s="63">
        <f>TRUNC(+D158*3.3058,-1)</f>
        <v>64030</v>
      </c>
    </row>
    <row r="159" spans="1:7" x14ac:dyDescent="0.3">
      <c r="A159" s="2">
        <v>3</v>
      </c>
      <c r="C159" s="38" t="s">
        <v>47</v>
      </c>
      <c r="D159" s="42">
        <f>TRUNC(13092,-1)</f>
        <v>13090</v>
      </c>
      <c r="E159" s="63">
        <f>TRUNC(+D159*3.3058,-1)</f>
        <v>43270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68080</v>
      </c>
      <c r="E161" s="39">
        <f>SUM(E157:E160)</f>
        <v>225050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2020-12-07T10:17:47Z</dcterms:modified>
</cp:coreProperties>
</file>