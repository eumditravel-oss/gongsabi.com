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37" i="4"/>
  <c r="D144" i="4"/>
  <c r="D143" i="4"/>
  <c r="D139" i="4"/>
  <c r="D141" i="4"/>
  <c r="D142" i="4"/>
  <c r="D140" i="4"/>
  <c r="D132" i="4"/>
  <c r="D128" i="4"/>
  <c r="D124" i="4"/>
  <c r="D125" i="4"/>
  <c r="D122" i="4"/>
  <c r="D130" i="4"/>
  <c r="D126" i="4"/>
  <c r="D118" i="4"/>
  <c r="D105" i="4"/>
  <c r="D102" i="4"/>
  <c r="D101" i="4"/>
  <c r="D100" i="4"/>
  <c r="D99" i="4"/>
  <c r="D114" i="4"/>
  <c r="D98" i="4"/>
  <c r="D116" i="4"/>
  <c r="D94" i="4"/>
  <c r="D76" i="4"/>
  <c r="D92" i="4"/>
  <c r="D91" i="4"/>
  <c r="D89" i="4"/>
  <c r="D73" i="4"/>
  <c r="D72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3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19" i="4"/>
  <c r="E95" i="4"/>
  <c r="E133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<sst xmlns="http://schemas.openxmlformats.org/spreadsheetml/2006/main" count="395" uniqueCount="268">
  <si>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</si>
  <si>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</si>
  <si>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</si>
  <si>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</si>
  <si>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</si>
  <si>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</si>
  <si>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</si>
  <si>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</si>
  <si>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</si>
  <si>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</si>
  <si>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</si>
  <si>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</si>
  <si>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</si>
  <si>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</si>
  <si>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</si>
  <si>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</si>
  <si>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</si>
  <si>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</si>
  <si>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</si>
  <si>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</si>
  <si>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</si>
  <si>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</si>
  <si>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</si>
  <si>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</si>
  <si>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</si>
  <si>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</si>
  <si>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</si>
  <si>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</si>
  <si>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</si>
  <si>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</si>
  <si>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</si>
  <si>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</si>
  <si>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</si>
  <si>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</si>
  <si>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</si>
  <si>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</si>
  <si>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</si>
  <si>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</si>
  <si>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</si>
  <si>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</si>
  <si>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</si>
  <si>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</si>
  <si>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</si>
  <si>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</si>
  <si>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</si>
  <si>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</si>
  <si>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</si>
  <si>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</si>
  <si>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</si>
  <si>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</si>
  <si>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</si>
  <si>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</si>
  <si>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</si>
  <si>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</si>
  <si>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</si>
  <si>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</si>
  <si>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</si>
  <si>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</si>
  <si>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</si>
  <si>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</si>
  <si>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</si>
  <si>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</si>
  <si>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</si>
  <si>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</si>
  <si>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</si>
  <si>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</si>
  <si>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</si>
  <si>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</si>
  <si>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</si>
  <si>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</si>
  <si>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</si>
  <si>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</si>
  <si>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</si>
  <si>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</si>
  <si>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</si>
  <si>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</si>
  <si>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</si>
  <si>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</si>
  <si>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</si>
  <si>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</si>
  <si>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</si>
  <si>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</si>
  <si>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</si>
  <si>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</si>
  <si>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</si>
  <si>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</si>
  <si>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</si>
  <si>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</si>
  <si>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</si>
  <si>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</si>
  <si>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</si>
  <si>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</si>
  <si>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</si>
  <si>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</si>
  <si>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</si>
  <si>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</si>
  <si>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</si>
  <si>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</si>
  <si>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</si>
  <si>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</si>
  <si>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</si>
  <si>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</si>
  <si>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</si>
  <si>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</si>
  <si>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</si>
  <si>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</si>
  <si>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</si>
  <si>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</si>
  <si>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</si>
  <si>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</si>
  <si>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</si>
  <si>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</si>
  <si>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</si>
  <si>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</si>
  <si>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</si>
  <si>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</si>
  <si>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</si>
  <si>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</si>
  <si>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</si>
  <si>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</si>
  <si>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</si>
  <si>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</si>
  <si>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</si>
  <si>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</si>
  <si>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</si>
  <si>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</si>
  <si>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</si>
  <si>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</si>
  <si>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</si>
  <si>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</si>
  <si>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</si>
  <si>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</si>
  <si>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</si>
  <si>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</si>
  <si>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</si>
  <si>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</si>
  <si>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</si>
  <si>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</si>
  <si>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</si>
  <si>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</si>
  <si>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</si>
  <si>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</si>
  <si>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</si>
  <si>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</si>
  <si>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</si>
  <si>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</si>
  <si>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</si>
  <si>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</si>
  <si>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</si>
  <si>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</si>
  <si>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</si>
  <si>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</si>
  <si>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</si>
  <si>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</si>
  <si>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</si>
  <si>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</si>
  <si>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</si>
  <si>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</si>
  <si>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</si>
  <si>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</si>
  <si>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</si>
  <si>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</si>
  <si>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</si>
  <si>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</si>
  <si>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</si>
  <si>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</si>
  <si>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</si>
  <si>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</si>
  <si>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</si>
  <si>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</si>
  <si>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</si>
  <si>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</si>
  <si>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</si>
  <si>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</si>
  <si>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</si>
  <si>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</si>
  <si>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</si>
  <si>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</si>
  <si>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</si>
  <si>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</si>
  <si>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</si>
  <si>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</si>
  <si>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</si>
  <si>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</si>
  <si>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</si>
  <si>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</si>
  <si>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</si>
  <si>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</si>
  <si>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</si>
  <si>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</si>
  <si>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</si>
  <si>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</si>
  <si>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</si>
  <si>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</si>
  <si>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</si>
  <si>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</si>
  <si>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</si>
  <si>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</si>
  <si>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</si>
  <si>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</si>
  <si>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</si>
  <si>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</si>
  <si>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</si>
  <si>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</si>
  <si>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</si>
  <si>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</si>
  <si>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</si>
  <si>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</si>
  <si>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</si>
  <si>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</si>
  <si>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</si>
  <si>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</si>
  <si>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</si>
  <si>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</si>
  <si>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</si>
  <si>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</si>
  <si>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</si>
  <si>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</si>
  <si>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</si>
  <si>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</si>
  <si>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</si>
  <si>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</si>
  <si>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</si>
  <si>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</si>
  <si>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</si>
  <si>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</si>
  <si>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</si>
  <si>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</si>
  <si>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</si>
  <si>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</si>
  <si>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</si>
  <si>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</si>
  <si>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</si>
  <si>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</si>
  <si>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</si>
  <si>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</si>
  <si>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</si>
  <si>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</si>
  <si>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</si>
  <si>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</si>
  <si>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</si>
  <si>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</si>
  <si>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</si>
  <si>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</si>
  <si>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</si>
  <si>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</si>
  <si>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</si>
  <si>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</si>
  <si>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</si>
  <si>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충청남도과학교육원 이전 신축공사</t>
    <phoneticPr fontId="2" type="noConversion"/>
  </si>
  <si>
    <t>교육연구</t>
  </si>
  <si>
    <t>세종시</t>
  </si>
  <si>
    <t>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</si>
  <si>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</si>
  <si>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</si>
  <si>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</si>
  <si>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</si>
  <si>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</si>
  <si>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</si>
  <si>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CCTV설비공사</t>
    <phoneticPr fontId="2" type="noConversion"/>
  </si>
  <si>
    <t>CATV 및 TV 설비공사</t>
    <phoneticPr fontId="2" type="noConversion"/>
  </si>
  <si>
    <t>사급자재비,기타공사</t>
    <phoneticPr fontId="2" type="noConversion"/>
  </si>
  <si>
    <t>우수공사,오수공사</t>
    <phoneticPr fontId="2" type="noConversion"/>
  </si>
  <si>
    <t>포장공사,기타공사</t>
    <phoneticPr fontId="2" type="noConversion"/>
  </si>
  <si>
    <t>조경시설물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</si>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</sst>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14526.28</v>
      </c>
      <c r="D7" s="36">
        <f>+C7/3.3058</f>
        <v>4394.1799261903325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959860</v>
      </c>
      <c r="E25" s="59">
        <f t="shared" si="0"/>
        <v>3173100</v>
      </c>
    </row>
    <row r="26" spans="1:5" x14ac:dyDescent="0.3">
      <c r="B26" s="2">
        <v>3</v>
      </c>
      <c r="C26" s="35" t="s">
        <v>95</v>
      </c>
      <c r="D26" s="45">
        <f>+D66</f>
        <v>67350</v>
      </c>
      <c r="E26" s="59">
        <f t="shared" si="0"/>
        <v>222640</v>
      </c>
    </row>
    <row r="27" spans="1:5" x14ac:dyDescent="0.3">
      <c r="B27" s="2">
        <v>4</v>
      </c>
      <c r="C27" s="35" t="s">
        <v>96</v>
      </c>
      <c r="D27" s="45">
        <f>+D95</f>
        <v>289100</v>
      </c>
      <c r="E27" s="59">
        <f t="shared" si="0"/>
        <v>955700</v>
      </c>
    </row>
    <row r="28" spans="1:5" x14ac:dyDescent="0.3">
      <c r="B28" s="2">
        <v>5</v>
      </c>
      <c r="C28" s="35" t="s">
        <v>97</v>
      </c>
      <c r="D28" s="45">
        <f>+D119</f>
        <v>130210</v>
      </c>
      <c r="E28" s="59">
        <f t="shared" si="0"/>
        <v>430440</v>
      </c>
    </row>
    <row r="29" spans="1:5" x14ac:dyDescent="0.3">
      <c r="B29" s="2">
        <v>6</v>
      </c>
      <c r="C29" s="35" t="s">
        <v>98</v>
      </c>
      <c r="D29" s="45">
        <f>+D133</f>
        <v>68870</v>
      </c>
      <c r="E29" s="59">
        <f t="shared" si="0"/>
        <v>227670</v>
      </c>
    </row>
    <row r="30" spans="1:5" x14ac:dyDescent="0.3">
      <c r="B30" s="2">
        <v>7</v>
      </c>
      <c r="C30" s="35" t="s">
        <v>99</v>
      </c>
      <c r="D30" s="45">
        <f>+D146</f>
        <v>96710</v>
      </c>
      <c r="E30" s="59">
        <f t="shared" si="0"/>
        <v>319700</v>
      </c>
    </row>
    <row r="31" spans="1:5" x14ac:dyDescent="0.3">
      <c r="B31" s="2">
        <v>8</v>
      </c>
      <c r="C31" s="35" t="s">
        <v>100</v>
      </c>
      <c r="D31" s="45">
        <f>+D154</f>
        <v>235140</v>
      </c>
      <c r="E31" s="59">
        <f t="shared" si="0"/>
        <v>777320</v>
      </c>
    </row>
    <row r="32" spans="1:5" x14ac:dyDescent="0.3">
      <c r="B32" s="2">
        <v>9</v>
      </c>
      <c r="C32" s="35" t="s">
        <v>101</v>
      </c>
      <c r="D32" s="45">
        <f>+D161</f>
        <v>74210</v>
      </c>
      <c r="E32" s="59">
        <f t="shared" si="0"/>
        <v>245320</v>
      </c>
    </row>
    <row r="33" spans="1:7" x14ac:dyDescent="0.3">
      <c r="B33" s="2">
        <v>10</v>
      </c>
      <c r="C33" s="35" t="s">
        <v>155</v>
      </c>
      <c r="D33" s="53">
        <f>TRUNC(SUM(D24:D32)*0.275,-1)</f>
        <v>528390</v>
      </c>
      <c r="E33" s="60">
        <f t="shared" si="0"/>
        <v>1746750</v>
      </c>
    </row>
    <row r="34" spans="1:7" x14ac:dyDescent="0.3">
      <c r="C34" s="35" t="s">
        <v>112</v>
      </c>
      <c r="D34" s="44">
        <f>SUM(D24:D33)</f>
        <v>2449840</v>
      </c>
      <c r="E34" s="44">
        <f>SUM(E24:E33)</f>
        <v>8098640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236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TRUNC(101849,-1)</f>
        <v>101840</v>
      </c>
      <c r="E40" s="62">
        <f t="shared" ref="E40:E59" si="1">TRUNC(+D40*3.3058,-1)</f>
        <v>336660</v>
      </c>
    </row>
    <row r="41" spans="1:7" x14ac:dyDescent="0.3">
      <c r="A41" s="2">
        <v>2</v>
      </c>
      <c r="C41" s="38" t="s">
        <v>13</v>
      </c>
      <c r="D41" s="42">
        <f>TRUNC(188642,-1)</f>
        <v>188640</v>
      </c>
      <c r="E41" s="63">
        <f t="shared" si="1"/>
        <v>623600</v>
      </c>
    </row>
    <row r="42" spans="1:7" x14ac:dyDescent="0.3">
      <c r="A42" s="2">
        <v>3</v>
      </c>
      <c r="C42" s="38" t="s">
        <v>14</v>
      </c>
      <c r="D42" s="42">
        <f>TRUNC(6836,-1)</f>
        <v>6830</v>
      </c>
      <c r="E42" s="63">
        <f t="shared" si="1"/>
        <v>22570</v>
      </c>
    </row>
    <row r="43" spans="1:7" x14ac:dyDescent="0.3">
      <c r="A43" s="2">
        <v>4</v>
      </c>
      <c r="C43" s="38" t="s">
        <v>16</v>
      </c>
      <c r="D43" s="42">
        <f>TRUNC(7882,-1)</f>
        <v>7880</v>
      </c>
      <c r="E43" s="63">
        <f t="shared" si="1"/>
        <v>26040</v>
      </c>
    </row>
    <row r="44" spans="1:7" x14ac:dyDescent="0.3">
      <c r="A44" s="2">
        <v>5</v>
      </c>
      <c r="C44" s="38" t="s">
        <v>17</v>
      </c>
      <c r="D44" s="42">
        <f>TRUNC(31110,-1)</f>
        <v>31110</v>
      </c>
      <c r="E44" s="63">
        <f t="shared" si="1"/>
        <v>102840</v>
      </c>
    </row>
    <row r="45" spans="1:7" x14ac:dyDescent="0.3">
      <c r="A45" s="2">
        <v>6</v>
      </c>
      <c r="C45" s="38" t="s">
        <v>18</v>
      </c>
      <c r="D45" s="42">
        <f>TRUNC(4230,-1)</f>
        <v>4230</v>
      </c>
      <c r="E45" s="63">
        <f t="shared" si="1"/>
        <v>13980</v>
      </c>
    </row>
    <row r="46" spans="1:7" x14ac:dyDescent="0.3">
      <c r="A46" s="2">
        <v>7</v>
      </c>
      <c r="C46" s="38" t="s">
        <v>19</v>
      </c>
      <c r="D46" s="42">
        <f>TRUNC(33969,-1)</f>
        <v>33960</v>
      </c>
      <c r="E46" s="63">
        <f t="shared" si="1"/>
        <v>112260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TRUNC(30682,-1)</f>
        <v>30680</v>
      </c>
      <c r="E48" s="63">
        <f t="shared" si="1"/>
        <v>101420</v>
      </c>
      <c r="F48" s="2" t="s">
        <v>253</v>
      </c>
    </row>
    <row r="49" spans="1:7" x14ac:dyDescent="0.3">
      <c r="A49" s="2">
        <v>10</v>
      </c>
      <c r="C49" s="38" t="s">
        <v>22</v>
      </c>
      <c r="D49" s="42">
        <f>TRUNC(14534,-1)</f>
        <v>14530</v>
      </c>
      <c r="E49" s="63">
        <f t="shared" si="1"/>
        <v>48030</v>
      </c>
    </row>
    <row r="50" spans="1:7" x14ac:dyDescent="0.3">
      <c r="A50" s="2">
        <v>11</v>
      </c>
      <c r="C50" s="38" t="s">
        <v>156</v>
      </c>
      <c r="D50" s="42">
        <f>TRUNC(30057,-1)</f>
        <v>30050</v>
      </c>
      <c r="E50" s="63">
        <f t="shared" si="1"/>
        <v>99330</v>
      </c>
      <c r="F50" s="2" t="s">
        <v>254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TRUNC(6823,-1)</f>
        <v>6820</v>
      </c>
      <c r="E52" s="63">
        <f t="shared" si="1"/>
        <v>22540</v>
      </c>
    </row>
    <row r="53" spans="1:7" x14ac:dyDescent="0.3">
      <c r="A53" s="2">
        <v>14</v>
      </c>
      <c r="C53" s="38" t="s">
        <v>25</v>
      </c>
      <c r="D53" s="42">
        <f>TRUNC(122668,-1)</f>
        <v>122660</v>
      </c>
      <c r="E53" s="63">
        <f t="shared" si="1"/>
        <v>405480</v>
      </c>
      <c r="F53" s="2" t="s">
        <v>255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TRUNC(5512-770+84666,-1)</f>
        <v>89400</v>
      </c>
      <c r="E58" s="63">
        <f t="shared" si="1"/>
        <v>295530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TRUNC(291237,-1)</f>
        <v>291230</v>
      </c>
      <c r="E59" s="64">
        <f t="shared" si="1"/>
        <v>962740</v>
      </c>
    </row>
    <row r="60" spans="1:7" x14ac:dyDescent="0.3">
      <c r="A60" s="2">
        <v>21</v>
      </c>
      <c r="C60" s="27" t="s">
        <v>112</v>
      </c>
      <c r="D60" s="39">
        <f>SUM(D40:D59)</f>
        <v>959860</v>
      </c>
      <c r="E60" s="39">
        <f>SUM(E40:E59)</f>
        <v>3173020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TRUNC(67352,-1)</f>
        <v>67350</v>
      </c>
      <c r="E63" s="62">
        <f>TRUNC(+D63*3.3058,-1)</f>
        <v>222640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67350</v>
      </c>
      <c r="E66" s="65">
        <f>SUM(E63:E65)</f>
        <v>222640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TRUNC(19891,-1)</f>
        <v>19890</v>
      </c>
      <c r="E69" s="62">
        <f t="shared" ref="E69:E94" si="2">TRUNC(+D69*3.3058,-1)</f>
        <v>65750</v>
      </c>
    </row>
    <row r="70" spans="1:7" ht="16.5" customHeight="1" x14ac:dyDescent="0.3">
      <c r="A70" s="2">
        <v>2</v>
      </c>
      <c r="C70" s="38" t="s">
        <v>31</v>
      </c>
      <c r="D70" s="42">
        <f>TRUNC(2280,-1)</f>
        <v>2280</v>
      </c>
      <c r="E70" s="63">
        <f t="shared" si="2"/>
        <v>7530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TRUNC(6747,-1)</f>
        <v>6740</v>
      </c>
      <c r="E72" s="63">
        <f t="shared" si="2"/>
        <v>22280</v>
      </c>
    </row>
    <row r="73" spans="1:7" x14ac:dyDescent="0.3">
      <c r="A73" s="2">
        <v>5</v>
      </c>
      <c r="C73" s="38" t="s">
        <v>34</v>
      </c>
      <c r="D73" s="42">
        <f>TRUNC(12314,-1)</f>
        <v>12310</v>
      </c>
      <c r="E73" s="63">
        <f t="shared" si="2"/>
        <v>40690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TRUNC(1059,-1)</f>
        <v>1050</v>
      </c>
      <c r="E76" s="63">
        <f t="shared" si="2"/>
        <v>3470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TRUNC(22445,-1)</f>
        <v>22440</v>
      </c>
      <c r="E89" s="63">
        <f t="shared" si="2"/>
        <v>74180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TRUNC(55354,-1)</f>
        <v>55350</v>
      </c>
      <c r="E91" s="63">
        <f t="shared" si="2"/>
        <v>182970</v>
      </c>
    </row>
    <row r="92" spans="1:7" x14ac:dyDescent="0.3">
      <c r="A92" s="2">
        <v>24</v>
      </c>
      <c r="C92" s="38" t="s">
        <v>38</v>
      </c>
      <c r="D92" s="42">
        <f>TRUNC(4530,-1)</f>
        <v>4530</v>
      </c>
      <c r="E92" s="63">
        <f t="shared" si="2"/>
        <v>14970</v>
      </c>
    </row>
    <row r="93" spans="1:7" x14ac:dyDescent="0.3">
      <c r="A93" s="2">
        <v>25</v>
      </c>
      <c r="C93" s="38" t="s">
        <v>149</v>
      </c>
      <c r="D93" s="42">
        <f>TRUNC(158082,-1)</f>
        <v>158080</v>
      </c>
      <c r="E93" s="63">
        <f t="shared" si="2"/>
        <v>522580</v>
      </c>
    </row>
    <row r="94" spans="1:7" ht="17.25" thickBot="1" x14ac:dyDescent="0.35">
      <c r="A94" s="2">
        <v>26</v>
      </c>
      <c r="C94" s="38" t="s">
        <v>47</v>
      </c>
      <c r="D94" s="43">
        <f>TRUNC(6433,-1)</f>
        <v>6430</v>
      </c>
      <c r="E94" s="64">
        <f t="shared" si="2"/>
        <v>21250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289100</v>
      </c>
      <c r="E95" s="39">
        <f>SUM(E69:E94)</f>
        <v>955670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TRUNC(11348,-1)</f>
        <v>11340</v>
      </c>
      <c r="E98" s="62">
        <f t="shared" ref="E98:E118" si="3">TRUNC(+D98*3.3058,-1)</f>
        <v>37480</v>
      </c>
    </row>
    <row r="99" spans="1:7" x14ac:dyDescent="0.3">
      <c r="A99" s="2">
        <v>2</v>
      </c>
      <c r="C99" s="38" t="s">
        <v>40</v>
      </c>
      <c r="D99" s="42">
        <f>TRUNC(3636,-1)</f>
        <v>3630</v>
      </c>
      <c r="E99" s="63">
        <f t="shared" si="3"/>
        <v>12000</v>
      </c>
    </row>
    <row r="100" spans="1:7" x14ac:dyDescent="0.3">
      <c r="A100" s="2">
        <v>3</v>
      </c>
      <c r="C100" s="38" t="s">
        <v>41</v>
      </c>
      <c r="D100" s="42">
        <f>TRUNC(24481,-1)</f>
        <v>24480</v>
      </c>
      <c r="E100" s="63">
        <f t="shared" si="3"/>
        <v>80920</v>
      </c>
    </row>
    <row r="101" spans="1:7" x14ac:dyDescent="0.3">
      <c r="A101" s="2">
        <v>4</v>
      </c>
      <c r="C101" s="38" t="s">
        <v>42</v>
      </c>
      <c r="D101" s="42">
        <f>TRUNC(1341,-1)</f>
        <v>1340</v>
      </c>
      <c r="E101" s="63">
        <f t="shared" si="3"/>
        <v>4420</v>
      </c>
    </row>
    <row r="102" spans="1:7" x14ac:dyDescent="0.3">
      <c r="A102" s="2">
        <v>5</v>
      </c>
      <c r="C102" s="38" t="s">
        <v>43</v>
      </c>
      <c r="D102" s="42">
        <f>TRUNC(10397,-1)</f>
        <v>10390</v>
      </c>
      <c r="E102" s="63">
        <f t="shared" si="3"/>
        <v>34340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TRUNC(3977,-1)</f>
        <v>3970</v>
      </c>
      <c r="E105" s="63">
        <f t="shared" si="3"/>
        <v>13120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TRUNC(3564,-1)</f>
        <v>3560</v>
      </c>
      <c r="E114" s="63">
        <f t="shared" si="3"/>
        <v>11760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TRUNC(2365,-1)</f>
        <v>2360</v>
      </c>
      <c r="E116" s="63">
        <f t="shared" si="3"/>
        <v>7800</v>
      </c>
      <c r="F116" s="2" t="s">
        <v>257</v>
      </c>
    </row>
    <row r="117" spans="1:7" x14ac:dyDescent="0.3">
      <c r="A117" s="2">
        <v>20</v>
      </c>
      <c r="C117" s="38" t="s">
        <v>149</v>
      </c>
      <c r="D117" s="42">
        <f>TRUNC(59354,-1)</f>
        <v>59350</v>
      </c>
      <c r="E117" s="63">
        <f t="shared" si="3"/>
        <v>196190</v>
      </c>
    </row>
    <row r="118" spans="1:7" ht="17.25" thickBot="1" x14ac:dyDescent="0.35">
      <c r="A118" s="2">
        <v>21</v>
      </c>
      <c r="C118" s="38" t="s">
        <v>47</v>
      </c>
      <c r="D118" s="43">
        <f>TRUNC(9795,-1)</f>
        <v>9790</v>
      </c>
      <c r="E118" s="64">
        <f t="shared" si="3"/>
        <v>32360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130210</v>
      </c>
      <c r="E119" s="39">
        <f>SUM(E98:E118)</f>
        <v>430390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TRUNC(892,-1)</f>
        <v>890</v>
      </c>
      <c r="E122" s="62">
        <f t="shared" ref="E122:E132" si="4">TRUNC(+D122*3.3058,-1)</f>
        <v>2940</v>
      </c>
      <c r="F122" s="2" t="s">
        <v>260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TRUNC(3174,-1)</f>
        <v>3170</v>
      </c>
      <c r="E124" s="63">
        <f t="shared" si="4"/>
        <v>10470</v>
      </c>
    </row>
    <row r="125" spans="1:7" x14ac:dyDescent="0.3">
      <c r="A125" s="2">
        <v>4</v>
      </c>
      <c r="C125" s="38" t="s">
        <v>138</v>
      </c>
      <c r="D125" s="42">
        <f>TRUNC(3594,-1)</f>
        <v>3590</v>
      </c>
      <c r="E125" s="63">
        <f t="shared" si="4"/>
        <v>11860</v>
      </c>
    </row>
    <row r="126" spans="1:7" x14ac:dyDescent="0.3">
      <c r="A126" s="2">
        <v>5</v>
      </c>
      <c r="C126" s="38" t="s">
        <v>53</v>
      </c>
      <c r="D126" s="42">
        <f>TRUNC(2190,-1)</f>
        <v>2190</v>
      </c>
      <c r="E126" s="63">
        <f t="shared" si="4"/>
        <v>7230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TRUNC(2752,-1)</f>
        <v>2750</v>
      </c>
      <c r="E128" s="63">
        <f t="shared" si="4"/>
        <v>9090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TRUNC(14509,-1)</f>
        <v>14500</v>
      </c>
      <c r="E130" s="63">
        <f t="shared" si="4"/>
        <v>47930</v>
      </c>
    </row>
    <row r="131" spans="1:7" x14ac:dyDescent="0.3">
      <c r="A131" s="2">
        <v>10</v>
      </c>
      <c r="C131" s="38" t="s">
        <v>149</v>
      </c>
      <c r="D131" s="42">
        <f>TRUNC(37835,-1)</f>
        <v>37830</v>
      </c>
      <c r="E131" s="63">
        <f t="shared" si="4"/>
        <v>125050</v>
      </c>
    </row>
    <row r="132" spans="1:7" ht="18" thickBot="1" x14ac:dyDescent="0.35">
      <c r="A132" s="2">
        <v>11</v>
      </c>
      <c r="C132" s="38" t="s">
        <v>47</v>
      </c>
      <c r="D132" s="43">
        <f>TRUNC(3955,-1)</f>
        <v>3950</v>
      </c>
      <c r="E132" s="64">
        <f t="shared" si="4"/>
        <v>13050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68870</v>
      </c>
      <c r="E133" s="39">
        <f>SUM(E122:E132)</f>
        <v>227620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TRUNC(5587,-1)</f>
        <v>5580</v>
      </c>
      <c r="E137" s="63">
        <f t="shared" si="5"/>
        <v>18440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TRUNC(7238,-1)</f>
        <v>7230</v>
      </c>
      <c r="E139" s="63">
        <f t="shared" si="5"/>
        <v>23900</v>
      </c>
    </row>
    <row r="140" spans="1:7" x14ac:dyDescent="0.3">
      <c r="A140" s="2">
        <v>5</v>
      </c>
      <c r="C140" s="38" t="s">
        <v>57</v>
      </c>
      <c r="D140" s="42">
        <f>TRUNC(7654,-1)</f>
        <v>7650</v>
      </c>
      <c r="E140" s="63">
        <f t="shared" si="5"/>
        <v>25280</v>
      </c>
    </row>
    <row r="141" spans="1:7" x14ac:dyDescent="0.3">
      <c r="A141" s="2">
        <v>6</v>
      </c>
      <c r="C141" s="38" t="s">
        <v>59</v>
      </c>
      <c r="D141" s="42">
        <f>TRUNC(54005,-1)</f>
        <v>54000</v>
      </c>
      <c r="E141" s="63">
        <f t="shared" si="5"/>
        <v>178510</v>
      </c>
    </row>
    <row r="142" spans="1:7" x14ac:dyDescent="0.3">
      <c r="A142" s="2">
        <v>7</v>
      </c>
      <c r="C142" s="38" t="s">
        <v>58</v>
      </c>
      <c r="D142" s="42">
        <f>TRUNC(7172,-1)</f>
        <v>7170</v>
      </c>
      <c r="E142" s="63">
        <f t="shared" si="5"/>
        <v>23700</v>
      </c>
    </row>
    <row r="143" spans="1:7" x14ac:dyDescent="0.3">
      <c r="A143" s="2">
        <v>8</v>
      </c>
      <c r="C143" s="38" t="s">
        <v>62</v>
      </c>
      <c r="D143" s="42">
        <f>TRUNC(2582,-1)</f>
        <v>2580</v>
      </c>
      <c r="E143" s="63">
        <f t="shared" si="5"/>
        <v>8520</v>
      </c>
    </row>
    <row r="144" spans="1:7" x14ac:dyDescent="0.3">
      <c r="A144" s="2">
        <v>9</v>
      </c>
      <c r="C144" s="38" t="s">
        <v>63</v>
      </c>
      <c r="D144" s="42">
        <f>TRUNC(12508,-1)</f>
        <v>12500</v>
      </c>
      <c r="E144" s="63">
        <f t="shared" si="5"/>
        <v>41320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96710</v>
      </c>
      <c r="E146" s="39">
        <f>SUM(E136:E145)</f>
        <v>319670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TRUNC(17603+2325,-1)</f>
        <v>19920</v>
      </c>
      <c r="E149" s="62">
        <f>TRUNC(+D149*3.3058,-1)</f>
        <v>65850</v>
      </c>
      <c r="F149" s="2" t="s">
        <v>262</v>
      </c>
    </row>
    <row r="150" spans="1:7" x14ac:dyDescent="0.3">
      <c r="A150" s="2">
        <v>2</v>
      </c>
      <c r="C150" s="38" t="s">
        <v>49</v>
      </c>
      <c r="D150" s="42">
        <f>TRUNC(19221,-1)</f>
        <v>19220</v>
      </c>
      <c r="E150" s="63">
        <f>TRUNC(+D150*3.3058,-1)</f>
        <v>63530</v>
      </c>
    </row>
    <row r="151" spans="1:7" x14ac:dyDescent="0.3">
      <c r="A151" s="2">
        <v>3</v>
      </c>
      <c r="C151" s="38" t="s">
        <v>50</v>
      </c>
      <c r="D151" s="42">
        <f>TRUNC(82854,-1)</f>
        <v>82850</v>
      </c>
      <c r="E151" s="63">
        <f>TRUNC(+D151*3.3058,-1)</f>
        <v>273880</v>
      </c>
    </row>
    <row r="152" spans="1:7" x14ac:dyDescent="0.3">
      <c r="A152" s="2">
        <v>4</v>
      </c>
      <c r="C152" s="38" t="s">
        <v>47</v>
      </c>
      <c r="D152" s="42">
        <f>TRUNC(15272+32887,-1)</f>
        <v>48150</v>
      </c>
      <c r="E152" s="63">
        <f>TRUNC(+D152*3.3058,-1)</f>
        <v>159170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TRUNC(65006,-1)</f>
        <v>65000</v>
      </c>
      <c r="E153" s="64">
        <f>TRUNC(+D153*3.3058,-1)</f>
        <v>214870</v>
      </c>
    </row>
    <row r="154" spans="1:7" x14ac:dyDescent="0.3">
      <c r="A154" s="2">
        <v>6</v>
      </c>
      <c r="C154" s="27" t="s">
        <v>112</v>
      </c>
      <c r="D154" s="39">
        <f>SUM(D149:D153)</f>
        <v>235140</v>
      </c>
      <c r="E154" s="39">
        <f>SUM(E149:E153)</f>
        <v>777300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TRUNC(43391,-1)</f>
        <v>43390</v>
      </c>
      <c r="E157" s="62">
        <f>TRUNC(+D157*3.3058,-1)</f>
        <v>143430</v>
      </c>
    </row>
    <row r="158" spans="1:7" x14ac:dyDescent="0.3">
      <c r="A158" s="2">
        <v>2</v>
      </c>
      <c r="C158" s="38" t="s">
        <v>52</v>
      </c>
      <c r="D158" s="42">
        <f>TRUNC(18911,-1)</f>
        <v>18910</v>
      </c>
      <c r="E158" s="63">
        <f>TRUNC(+D158*3.3058,-1)</f>
        <v>62510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TRUNC(11908+10,-1)</f>
        <v>11910</v>
      </c>
      <c r="E159" s="63">
        <f>TRUNC(+D159*3.3058,-1)</f>
        <v>39370</v>
      </c>
      <c r="F159" s="2" t="s">
        <v>263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74210</v>
      </c>
      <c r="E161" s="39">
        <f>SUM(E157:E160)</f>
        <v>245310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2020-12-08T01:46:07Z</dcterms:modified>
</cp:coreProperties>
</file>