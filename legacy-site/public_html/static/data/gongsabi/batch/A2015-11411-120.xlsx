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6" i="4"/>
  <c r="D125" i="4"/>
  <c r="D124" i="4"/>
  <c r="D122" i="4"/>
  <c r="D118" i="4"/>
  <c r="D117" i="4"/>
  <c r="D116" i="4"/>
  <c r="D105" i="4"/>
  <c r="D104" i="4"/>
  <c r="D103" i="4"/>
  <c r="D102" i="4"/>
  <c r="D100" i="4"/>
  <c r="D99" i="4"/>
  <c r="D98" i="4"/>
  <c r="D92" i="4"/>
  <c r="D89" i="4"/>
  <c r="D76" i="4"/>
  <c r="D75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<sst xmlns="http://schemas.openxmlformats.org/spreadsheetml/2006/main" count="393" uniqueCount="269">
  <si>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</si>
  <si>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</si>
  <si>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</si>
  <si>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</si>
  <si>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</si>
  <si>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</si>
  <si>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</si>
  <si>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</si>
  <si>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</si>
  <si>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</si>
  <si>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</si>
  <si>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</si>
  <si>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</si>
  <si>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</si>
  <si>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</si>
  <si>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</si>
  <si>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</si>
  <si>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</si>
  <si>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</si>
  <si>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</si>
  <si>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</si>
  <si>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</si>
  <si>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</si>
  <si>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</si>
  <si>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</si>
  <si>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</si>
  <si>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</si>
  <si>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</si>
  <si>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</si>
  <si>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</si>
  <si>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</si>
  <si>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</si>
  <si>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</si>
  <si>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</si>
  <si>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</si>
  <si>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</si>
  <si>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</si>
  <si>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</si>
  <si>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</si>
  <si>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</si>
  <si>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</si>
  <si>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</si>
  <si>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</si>
  <si>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</si>
  <si>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</si>
  <si>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</si>
  <si>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</si>
  <si>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</si>
  <si>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</si>
  <si>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</si>
  <si>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</si>
  <si>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</si>
  <si>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</si>
  <si>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</si>
  <si>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</si>
  <si>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</si>
  <si>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</si>
  <si>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</si>
  <si>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</si>
  <si>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</si>
  <si>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</si>
  <si>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</si>
  <si>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</si>
  <si>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</si>
  <si>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</si>
  <si>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</si>
  <si>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</si>
  <si>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</si>
  <si>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</si>
  <si>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</si>
  <si>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</si>
  <si>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</si>
  <si>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</si>
  <si>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</si>
  <si>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</si>
  <si>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</si>
  <si>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</si>
  <si>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</si>
  <si>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</si>
  <si>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</si>
  <si>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</si>
  <si>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</si>
  <si>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</si>
  <si>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</si>
  <si>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</si>
  <si>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</si>
  <si>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</si>
  <si>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</si>
  <si>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</si>
  <si>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</si>
  <si>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</si>
  <si>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</si>
  <si>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</si>
  <si>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</si>
  <si>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</si>
  <si>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</si>
  <si>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</si>
  <si>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</si>
  <si>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</si>
  <si>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</si>
  <si>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</si>
  <si>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</si>
  <si>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</si>
  <si>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</si>
  <si>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</si>
  <si>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</si>
  <si>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</si>
  <si>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</si>
  <si>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</si>
  <si>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</si>
  <si>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</si>
  <si>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</si>
  <si>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</si>
  <si>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</si>
  <si>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</si>
  <si>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</si>
  <si>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</si>
  <si>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</si>
  <si>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</si>
  <si>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</si>
  <si>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</si>
  <si>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</si>
  <si>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</si>
  <si>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</si>
  <si>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</si>
  <si>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</si>
  <si>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</si>
  <si>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</si>
  <si>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</si>
  <si>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</si>
  <si>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</si>
  <si>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</si>
  <si>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</si>
  <si>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</si>
  <si>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</si>
  <si>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</si>
  <si>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</si>
  <si>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</si>
  <si>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</si>
  <si>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</si>
  <si>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</si>
  <si>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</si>
  <si>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</si>
  <si>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</si>
  <si>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</si>
  <si>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</si>
  <si>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</si>
  <si>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</si>
  <si>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</si>
  <si>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</si>
  <si>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</si>
  <si>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</si>
  <si>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</si>
  <si>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</si>
  <si>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</si>
  <si>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</si>
  <si>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</si>
  <si>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</si>
  <si>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</si>
  <si>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</si>
  <si>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</si>
  <si>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</si>
  <si>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</si>
  <si>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</si>
  <si>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</si>
  <si>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</si>
  <si>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</si>
  <si>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</si>
  <si>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</si>
  <si>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</si>
  <si>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</si>
  <si>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</si>
  <si>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</si>
  <si>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</si>
  <si>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</si>
  <si>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</si>
  <si>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</si>
  <si>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</si>
  <si>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</si>
  <si>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</si>
  <si>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</si>
  <si>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</si>
  <si>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</si>
  <si>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</si>
  <si>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</si>
  <si>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</si>
  <si>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</si>
  <si>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</si>
  <si>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</si>
  <si>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</si>
  <si>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</si>
  <si>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</si>
  <si>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</si>
  <si>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</si>
  <si>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</si>
  <si>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</si>
  <si>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</si>
  <si>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</si>
  <si>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</si>
  <si>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</si>
  <si>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</si>
  <si>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</si>
  <si>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</si>
  <si>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</si>
  <si>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</si>
  <si>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</si>
  <si>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</si>
  <si>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</si>
  <si>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</si>
  <si>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</si>
  <si>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</si>
  <si>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</si>
  <si>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</si>
  <si>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</si>
  <si>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</si>
  <si>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</si>
  <si>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</si>
  <si>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</si>
  <si>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</si>
  <si>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</si>
  <si>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</si>
  <si>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</si>
  <si>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</si>
  <si>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</si>
  <si>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</si>
  <si>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</si>
  <si>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</si>
  <si>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</si>
  <si>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</si>
  <si>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</si>
  <si>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</si>
  <si>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</si>
  <si>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</si>
  <si>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</si>
  <si>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</si>
  <si>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</si>
  <si>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</si>
  <si>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</si>
  <si>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</si>
  <si>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</si>
  <si>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</si>
  <si>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</si>
  <si>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</si>
  <si>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</si>
  <si>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</si>
  <si>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</si>
  <si>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</si>
  <si>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</si>
  <si>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</si>
  <si>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</si>
  <si>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</si>
  <si>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</si>
  <si>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</si>
  <si>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</si>
  <si>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</si>
  <si>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</si>
  <si>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</si>
  <si>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</si>
  <si>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</si>
  <si>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광천중학교 신축공사</t>
    <phoneticPr fontId="2" type="noConversion"/>
  </si>
  <si>
    <t>충청도</t>
  </si>
  <si>
    <t>기초공사, 해체및철거공사, 골재비및운반비, 작업부산물, 품질시험비, 기타공사</t>
    <phoneticPr fontId="2" type="noConversion"/>
  </si>
  <si>
    <t>난방배관공사,기타공사</t>
    <phoneticPr fontId="2" type="noConversion"/>
  </si>
  <si>
    <t>옥외소화배관공사, 펌프실배관공사, 기타공사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</si>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</sst>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12969.83</v>
      </c>
      <c r="D7" s="36">
        <f>+C7/3.3058</f>
        <v>3923.3559198983603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965340</v>
      </c>
      <c r="E25" s="59">
        <f t="shared" si="0"/>
        <v>3191220</v>
      </c>
    </row>
    <row r="26" spans="1:5" x14ac:dyDescent="0.3">
      <c r="B26" s="2">
        <v>3</v>
      </c>
      <c r="C26" s="35" t="s">
        <v>95</v>
      </c>
      <c r="D26" s="45">
        <f>+D66</f>
        <v>9420</v>
      </c>
      <c r="E26" s="59">
        <f t="shared" si="0"/>
        <v>31140</v>
      </c>
    </row>
    <row r="27" spans="1:5" x14ac:dyDescent="0.3">
      <c r="B27" s="2">
        <v>4</v>
      </c>
      <c r="C27" s="35" t="s">
        <v>96</v>
      </c>
      <c r="D27" s="45">
        <f>+D95</f>
        <v>204800</v>
      </c>
      <c r="E27" s="59">
        <f t="shared" si="0"/>
        <v>677020</v>
      </c>
    </row>
    <row r="28" spans="1:5" x14ac:dyDescent="0.3">
      <c r="B28" s="2">
        <v>5</v>
      </c>
      <c r="C28" s="35" t="s">
        <v>97</v>
      </c>
      <c r="D28" s="45">
        <f>+D119</f>
        <v>109020</v>
      </c>
      <c r="E28" s="59">
        <f t="shared" si="0"/>
        <v>360390</v>
      </c>
    </row>
    <row r="29" spans="1:5" x14ac:dyDescent="0.3">
      <c r="B29" s="2">
        <v>6</v>
      </c>
      <c r="C29" s="35" t="s">
        <v>98</v>
      </c>
      <c r="D29" s="45">
        <f>+D133</f>
        <v>72190</v>
      </c>
      <c r="E29" s="59">
        <f t="shared" si="0"/>
        <v>238640</v>
      </c>
    </row>
    <row r="30" spans="1:5" x14ac:dyDescent="0.3">
      <c r="B30" s="2">
        <v>7</v>
      </c>
      <c r="C30" s="35" t="s">
        <v>99</v>
      </c>
      <c r="D30" s="45">
        <f>+D146</f>
        <v>25730</v>
      </c>
      <c r="E30" s="59">
        <f t="shared" si="0"/>
        <v>85050</v>
      </c>
    </row>
    <row r="31" spans="1:5" x14ac:dyDescent="0.3">
      <c r="B31" s="2">
        <v>8</v>
      </c>
      <c r="C31" s="35" t="s">
        <v>100</v>
      </c>
      <c r="D31" s="45">
        <f>+D154</f>
        <v>45150</v>
      </c>
      <c r="E31" s="59">
        <f t="shared" si="0"/>
        <v>149250</v>
      </c>
    </row>
    <row r="32" spans="1:5" x14ac:dyDescent="0.3">
      <c r="B32" s="2">
        <v>9</v>
      </c>
      <c r="C32" s="35" t="s">
        <v>101</v>
      </c>
      <c r="D32" s="45">
        <f>+D161</f>
        <v>53510</v>
      </c>
      <c r="E32" s="59">
        <f t="shared" si="0"/>
        <v>176890</v>
      </c>
    </row>
    <row r="33" spans="1:7" x14ac:dyDescent="0.3">
      <c r="B33" s="2">
        <v>10</v>
      </c>
      <c r="C33" s="35" t="s">
        <v>154</v>
      </c>
      <c r="D33" s="53">
        <f>TRUNC(SUM(D24:D32)*0.275,-1)</f>
        <v>408410</v>
      </c>
      <c r="E33" s="60">
        <f t="shared" si="0"/>
        <v>1350120</v>
      </c>
    </row>
    <row r="34" spans="1:7" x14ac:dyDescent="0.3">
      <c r="C34" s="35" t="s">
        <v>112</v>
      </c>
      <c r="D34" s="44">
        <f>SUM(D24:D33)</f>
        <v>1893570</v>
      </c>
      <c r="E34" s="44">
        <f>SUM(E24:E33)</f>
        <v>6259720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TRUNC(35082,-1)</f>
        <v>35080</v>
      </c>
      <c r="E40" s="62">
        <f t="shared" ref="E40:E59" si="1">TRUNC(+D40*3.3058,-1)</f>
        <v>115960</v>
      </c>
    </row>
    <row r="41" spans="1:7" x14ac:dyDescent="0.3">
      <c r="A41" s="2">
        <v>2</v>
      </c>
      <c r="C41" s="38" t="s">
        <v>13</v>
      </c>
      <c r="D41" s="42">
        <f>TRUNC(113428,-1)</f>
        <v>113420</v>
      </c>
      <c r="E41" s="63">
        <f t="shared" si="1"/>
        <v>374940</v>
      </c>
    </row>
    <row r="42" spans="1:7" x14ac:dyDescent="0.3">
      <c r="A42" s="2">
        <v>3</v>
      </c>
      <c r="C42" s="38" t="s">
        <v>14</v>
      </c>
      <c r="D42" s="42">
        <f>TRUNC(7719,-1)</f>
        <v>7710</v>
      </c>
      <c r="E42" s="63">
        <f t="shared" si="1"/>
        <v>25480</v>
      </c>
    </row>
    <row r="43" spans="1:7" x14ac:dyDescent="0.3">
      <c r="A43" s="2">
        <v>4</v>
      </c>
      <c r="C43" s="38" t="s">
        <v>16</v>
      </c>
      <c r="D43" s="42">
        <f>TRUNC(33442,-1)</f>
        <v>33440</v>
      </c>
      <c r="E43" s="63">
        <f t="shared" si="1"/>
        <v>110540</v>
      </c>
    </row>
    <row r="44" spans="1:7" x14ac:dyDescent="0.3">
      <c r="A44" s="2">
        <v>5</v>
      </c>
      <c r="C44" s="38" t="s">
        <v>17</v>
      </c>
      <c r="D44" s="42">
        <f>TRUNC(28053,-1)</f>
        <v>28050</v>
      </c>
      <c r="E44" s="63">
        <f t="shared" si="1"/>
        <v>92720</v>
      </c>
    </row>
    <row r="45" spans="1:7" x14ac:dyDescent="0.3">
      <c r="A45" s="2">
        <v>6</v>
      </c>
      <c r="C45" s="38" t="s">
        <v>18</v>
      </c>
      <c r="D45" s="42">
        <f>TRUNC(12924,-1)</f>
        <v>12920</v>
      </c>
      <c r="E45" s="63">
        <f t="shared" si="1"/>
        <v>42710</v>
      </c>
    </row>
    <row r="46" spans="1:7" x14ac:dyDescent="0.3">
      <c r="A46" s="2">
        <v>7</v>
      </c>
      <c r="C46" s="38" t="s">
        <v>19</v>
      </c>
      <c r="D46" s="42">
        <f>TRUNC(52304,-1)</f>
        <v>52300</v>
      </c>
      <c r="E46" s="63">
        <f t="shared" si="1"/>
        <v>172890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TRUNC(54777,-1)</f>
        <v>54770</v>
      </c>
      <c r="E48" s="63">
        <f t="shared" si="1"/>
        <v>181050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TRUNC(19654,-1)</f>
        <v>19650</v>
      </c>
      <c r="E49" s="63">
        <f t="shared" si="1"/>
        <v>64950</v>
      </c>
    </row>
    <row r="50" spans="1:7" x14ac:dyDescent="0.3">
      <c r="A50" s="2">
        <v>11</v>
      </c>
      <c r="C50" s="38" t="s">
        <v>155</v>
      </c>
      <c r="D50" s="42">
        <f>TRUNC(76956,-1)</f>
        <v>76950</v>
      </c>
      <c r="E50" s="63">
        <f t="shared" si="1"/>
        <v>254380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TRUNC(11415,-1)</f>
        <v>11410</v>
      </c>
      <c r="E52" s="63">
        <f t="shared" si="1"/>
        <v>37710</v>
      </c>
    </row>
    <row r="53" spans="1:7" x14ac:dyDescent="0.3">
      <c r="A53" s="2">
        <v>14</v>
      </c>
      <c r="C53" s="38" t="s">
        <v>25</v>
      </c>
      <c r="D53" s="42">
        <f>TRUNC(72762,-1)</f>
        <v>72760</v>
      </c>
      <c r="E53" s="63">
        <f t="shared" si="1"/>
        <v>240530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TRUNC(13259+17872+10979-3313+1606+11189,-1)</f>
        <v>51590</v>
      </c>
      <c r="E58" s="63">
        <f t="shared" si="1"/>
        <v>170540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TRUNC(395298,-1)</f>
        <v>395290</v>
      </c>
      <c r="E59" s="64">
        <f t="shared" si="1"/>
        <v>1306740</v>
      </c>
    </row>
    <row r="60" spans="1:7" x14ac:dyDescent="0.3">
      <c r="A60" s="2">
        <v>21</v>
      </c>
      <c r="C60" s="27" t="s">
        <v>112</v>
      </c>
      <c r="D60" s="39">
        <f>SUM(D40:D59)</f>
        <v>965340</v>
      </c>
      <c r="E60" s="39">
        <f>SUM(E40:E59)</f>
        <v>3191140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TRUNC(9425,-1)</f>
        <v>9420</v>
      </c>
      <c r="E63" s="62">
        <f>TRUNC(+D63*3.3058,-1)</f>
        <v>31140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9420</v>
      </c>
      <c r="E66" s="65">
        <f>SUM(E63:E65)</f>
        <v>31140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TRUNC(7928,-1)</f>
        <v>7920</v>
      </c>
      <c r="E69" s="62">
        <f t="shared" ref="E69:E94" si="2">TRUNC(+D69*3.3058,-1)</f>
        <v>26180</v>
      </c>
    </row>
    <row r="70" spans="1:7" ht="16.5" customHeight="1" x14ac:dyDescent="0.3">
      <c r="A70" s="2">
        <v>2</v>
      </c>
      <c r="C70" s="38" t="s">
        <v>31</v>
      </c>
      <c r="D70" s="42">
        <f>TRUNC(1219,-1)</f>
        <v>1210</v>
      </c>
      <c r="E70" s="63">
        <f t="shared" si="2"/>
        <v>4000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TRUNC(699,-1)</f>
        <v>690</v>
      </c>
      <c r="E72" s="63">
        <f t="shared" si="2"/>
        <v>2280</v>
      </c>
    </row>
    <row r="73" spans="1:7" x14ac:dyDescent="0.3">
      <c r="A73" s="2">
        <v>5</v>
      </c>
      <c r="C73" s="38" t="s">
        <v>34</v>
      </c>
      <c r="D73" s="42">
        <f>TRUNC(21194,-1)</f>
        <v>21190</v>
      </c>
      <c r="E73" s="63">
        <f t="shared" si="2"/>
        <v>70040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TRUNC(82,-1)</f>
        <v>80</v>
      </c>
      <c r="E75" s="63">
        <f t="shared" si="2"/>
        <v>260</v>
      </c>
    </row>
    <row r="76" spans="1:7" x14ac:dyDescent="0.3">
      <c r="A76" s="2">
        <v>8</v>
      </c>
      <c r="C76" s="38" t="s">
        <v>119</v>
      </c>
      <c r="D76" s="42">
        <f>TRUNC(59992,-1)</f>
        <v>59990</v>
      </c>
      <c r="E76" s="63">
        <f t="shared" si="2"/>
        <v>198310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TRUNC(8259,-1)</f>
        <v>8250</v>
      </c>
      <c r="E89" s="63">
        <f t="shared" si="2"/>
        <v>27270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6180</v>
      </c>
      <c r="E91" s="63">
        <f t="shared" si="2"/>
        <v>20420</v>
      </c>
    </row>
    <row r="92" spans="1:7" x14ac:dyDescent="0.3">
      <c r="A92" s="2">
        <v>24</v>
      </c>
      <c r="C92" s="38" t="s">
        <v>38</v>
      </c>
      <c r="D92" s="42">
        <f>TRUNC(10771,-1)</f>
        <v>10770</v>
      </c>
      <c r="E92" s="63">
        <f t="shared" si="2"/>
        <v>35600</v>
      </c>
    </row>
    <row r="93" spans="1:7" x14ac:dyDescent="0.3">
      <c r="A93" s="2">
        <v>25</v>
      </c>
      <c r="C93" s="38" t="s">
        <v>148</v>
      </c>
      <c r="D93" s="42">
        <v>75660</v>
      </c>
      <c r="E93" s="63">
        <f t="shared" si="2"/>
        <v>250110</v>
      </c>
    </row>
    <row r="94" spans="1:7" ht="17.25" thickBot="1" x14ac:dyDescent="0.35">
      <c r="A94" s="2">
        <v>26</v>
      </c>
      <c r="C94" s="38" t="s">
        <v>47</v>
      </c>
      <c r="D94" s="43">
        <f>3185+9675</f>
        <v>12860</v>
      </c>
      <c r="E94" s="64">
        <f t="shared" si="2"/>
        <v>42510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204800</v>
      </c>
      <c r="E95" s="39">
        <f>SUM(E69:E94)</f>
        <v>676980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TRUNC(9618,-1)</f>
        <v>9610</v>
      </c>
      <c r="E98" s="62">
        <f t="shared" ref="E98:E118" si="3">TRUNC(+D98*3.3058,-1)</f>
        <v>31760</v>
      </c>
    </row>
    <row r="99" spans="1:7" x14ac:dyDescent="0.3">
      <c r="A99" s="2">
        <v>2</v>
      </c>
      <c r="C99" s="38" t="s">
        <v>40</v>
      </c>
      <c r="D99" s="42">
        <f>TRUNC(2626,-1)</f>
        <v>2620</v>
      </c>
      <c r="E99" s="63">
        <f t="shared" si="3"/>
        <v>8660</v>
      </c>
    </row>
    <row r="100" spans="1:7" x14ac:dyDescent="0.3">
      <c r="A100" s="2">
        <v>3</v>
      </c>
      <c r="C100" s="38" t="s">
        <v>41</v>
      </c>
      <c r="D100" s="42">
        <f>TRUNC(24058,-1)</f>
        <v>24050</v>
      </c>
      <c r="E100" s="63">
        <f t="shared" si="3"/>
        <v>79500</v>
      </c>
    </row>
    <row r="101" spans="1:7" x14ac:dyDescent="0.3">
      <c r="A101" s="2">
        <v>4</v>
      </c>
      <c r="C101" s="38" t="s">
        <v>42</v>
      </c>
      <c r="D101" s="42">
        <v>2400</v>
      </c>
      <c r="E101" s="63">
        <f t="shared" si="3"/>
        <v>7930</v>
      </c>
    </row>
    <row r="102" spans="1:7" x14ac:dyDescent="0.3">
      <c r="A102" s="2">
        <v>5</v>
      </c>
      <c r="C102" s="38" t="s">
        <v>43</v>
      </c>
      <c r="D102" s="42">
        <f>TRUNC(10741,-1)</f>
        <v>10740</v>
      </c>
      <c r="E102" s="63">
        <f t="shared" si="3"/>
        <v>35500</v>
      </c>
    </row>
    <row r="103" spans="1:7" x14ac:dyDescent="0.3">
      <c r="A103" s="2">
        <v>6</v>
      </c>
      <c r="C103" s="38" t="s">
        <v>44</v>
      </c>
      <c r="D103" s="42">
        <f>TRUNC(4394,-1)</f>
        <v>4390</v>
      </c>
      <c r="E103" s="63">
        <f t="shared" si="3"/>
        <v>14510</v>
      </c>
    </row>
    <row r="104" spans="1:7" x14ac:dyDescent="0.3">
      <c r="A104" s="2">
        <v>7</v>
      </c>
      <c r="C104" s="38" t="s">
        <v>45</v>
      </c>
      <c r="D104" s="42">
        <f>TRUNC(5547,-1)</f>
        <v>5540</v>
      </c>
      <c r="E104" s="63">
        <f t="shared" si="3"/>
        <v>18310</v>
      </c>
    </row>
    <row r="105" spans="1:7" x14ac:dyDescent="0.3">
      <c r="A105" s="2">
        <v>8</v>
      </c>
      <c r="C105" s="38" t="s">
        <v>46</v>
      </c>
      <c r="D105" s="42">
        <f>TRUNC(3414,-1)</f>
        <v>3410</v>
      </c>
      <c r="E105" s="63">
        <f t="shared" si="3"/>
        <v>11270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TRUNC(5086,-1)</f>
        <v>5080</v>
      </c>
      <c r="E116" s="63">
        <f t="shared" si="3"/>
        <v>16790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TRUNC(35885,-1)</f>
        <v>35880</v>
      </c>
      <c r="E117" s="63">
        <f t="shared" si="3"/>
        <v>118610</v>
      </c>
    </row>
    <row r="118" spans="1:7" ht="17.25" thickBot="1" x14ac:dyDescent="0.35">
      <c r="A118" s="2">
        <v>21</v>
      </c>
      <c r="C118" s="38" t="s">
        <v>47</v>
      </c>
      <c r="D118" s="43">
        <f>TRUNC(5303,-1)</f>
        <v>5300</v>
      </c>
      <c r="E118" s="64">
        <f t="shared" si="3"/>
        <v>17520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109020</v>
      </c>
      <c r="E119" s="39">
        <f>SUM(E98:E118)</f>
        <v>360360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TRUNC(2317,-1)</f>
        <v>2310</v>
      </c>
      <c r="E122" s="62">
        <f t="shared" ref="E122:E132" si="4">TRUNC(+D122*3.3058,-1)</f>
        <v>7630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TRUNC(1257,-1)</f>
        <v>1250</v>
      </c>
      <c r="E124" s="63">
        <f t="shared" si="4"/>
        <v>4130</v>
      </c>
    </row>
    <row r="125" spans="1:7" x14ac:dyDescent="0.3">
      <c r="A125" s="2">
        <v>4</v>
      </c>
      <c r="C125" s="38" t="s">
        <v>138</v>
      </c>
      <c r="D125" s="42">
        <f>TRUNC(6929,-1)</f>
        <v>6920</v>
      </c>
      <c r="E125" s="63">
        <f t="shared" si="4"/>
        <v>22870</v>
      </c>
    </row>
    <row r="126" spans="1:7" x14ac:dyDescent="0.3">
      <c r="A126" s="2">
        <v>5</v>
      </c>
      <c r="C126" s="38" t="s">
        <v>53</v>
      </c>
      <c r="D126" s="42">
        <f>TRUNC(2143,-1)</f>
        <v>2140</v>
      </c>
      <c r="E126" s="63">
        <f t="shared" si="4"/>
        <v>7070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6830</v>
      </c>
      <c r="E128" s="63">
        <f t="shared" si="4"/>
        <v>22570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TRUNC(9552,-1)</f>
        <v>9550</v>
      </c>
      <c r="E130" s="63">
        <f t="shared" si="4"/>
        <v>31570</v>
      </c>
    </row>
    <row r="131" spans="1:7" x14ac:dyDescent="0.3">
      <c r="A131" s="2">
        <v>10</v>
      </c>
      <c r="C131" s="38" t="s">
        <v>148</v>
      </c>
      <c r="D131" s="42">
        <f>TRUNC(39664,-1)</f>
        <v>39660</v>
      </c>
      <c r="E131" s="63">
        <f t="shared" si="4"/>
        <v>131100</v>
      </c>
    </row>
    <row r="132" spans="1:7" ht="18" thickBot="1" x14ac:dyDescent="0.35">
      <c r="A132" s="2">
        <v>11</v>
      </c>
      <c r="C132" s="38" t="s">
        <v>47</v>
      </c>
      <c r="D132" s="43">
        <f>TRUNC(3537,-1)</f>
        <v>3530</v>
      </c>
      <c r="E132" s="64">
        <f t="shared" si="4"/>
        <v>11660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72190</v>
      </c>
      <c r="E133" s="39">
        <f>SUM(E122:E132)</f>
        <v>238600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TRUNC(274+1661+3354,-1)</f>
        <v>5280</v>
      </c>
      <c r="E137" s="63">
        <f t="shared" si="5"/>
        <v>17450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TRUNC(1233,-1)</f>
        <v>1230</v>
      </c>
      <c r="E140" s="63">
        <f t="shared" si="5"/>
        <v>4060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TRUNC(2145,-1)</f>
        <v>2140</v>
      </c>
      <c r="E142" s="63">
        <f t="shared" si="5"/>
        <v>7070</v>
      </c>
    </row>
    <row r="143" spans="1:7" x14ac:dyDescent="0.3">
      <c r="A143" s="2">
        <v>8</v>
      </c>
      <c r="C143" s="38" t="s">
        <v>62</v>
      </c>
      <c r="D143" s="42">
        <f>TRUNC(4502,-1)</f>
        <v>4500</v>
      </c>
      <c r="E143" s="63">
        <f t="shared" si="5"/>
        <v>14870</v>
      </c>
    </row>
    <row r="144" spans="1:7" x14ac:dyDescent="0.3">
      <c r="A144" s="2">
        <v>9</v>
      </c>
      <c r="C144" s="38" t="s">
        <v>63</v>
      </c>
      <c r="D144" s="42">
        <f>TRUNC(12585,-1)</f>
        <v>12580</v>
      </c>
      <c r="E144" s="63">
        <f t="shared" si="5"/>
        <v>41580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25730</v>
      </c>
      <c r="E146" s="39">
        <f>SUM(E136:E145)</f>
        <v>85030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TRUNC(9674+3072,-1)</f>
        <v>12740</v>
      </c>
      <c r="E149" s="62">
        <f>TRUNC(+D149*3.3058,-1)</f>
        <v>42110</v>
      </c>
    </row>
    <row r="150" spans="1:7" x14ac:dyDescent="0.3">
      <c r="A150" s="2">
        <v>2</v>
      </c>
      <c r="C150" s="38" t="s">
        <v>49</v>
      </c>
      <c r="D150" s="42">
        <f>TRUNC(3187,-1)</f>
        <v>3180</v>
      </c>
      <c r="E150" s="63">
        <f>TRUNC(+D150*3.3058,-1)</f>
        <v>10510</v>
      </c>
    </row>
    <row r="151" spans="1:7" x14ac:dyDescent="0.3">
      <c r="A151" s="2">
        <v>3</v>
      </c>
      <c r="C151" s="38" t="s">
        <v>50</v>
      </c>
      <c r="D151" s="42">
        <f>TRUNC(15511,-1)</f>
        <v>15510</v>
      </c>
      <c r="E151" s="63">
        <f>TRUNC(+D151*3.3058,-1)</f>
        <v>51270</v>
      </c>
    </row>
    <row r="152" spans="1:7" x14ac:dyDescent="0.3">
      <c r="A152" s="2">
        <v>4</v>
      </c>
      <c r="C152" s="38" t="s">
        <v>47</v>
      </c>
      <c r="D152" s="42">
        <f>TRUNC(2997+4531+6199,-1)</f>
        <v>13720</v>
      </c>
      <c r="E152" s="63">
        <f>TRUNC(+D152*3.3058,-1)</f>
        <v>45350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45150</v>
      </c>
      <c r="E154" s="39">
        <f>SUM(E149:E153)</f>
        <v>149240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TRUNC(29349,-1)</f>
        <v>29340</v>
      </c>
      <c r="E157" s="62">
        <f>TRUNC(+D157*3.3058,-1)</f>
        <v>96990</v>
      </c>
    </row>
    <row r="158" spans="1:7" x14ac:dyDescent="0.3">
      <c r="A158" s="2">
        <v>2</v>
      </c>
      <c r="C158" s="38" t="s">
        <v>52</v>
      </c>
      <c r="D158" s="42">
        <f>TRUNC(7385,-1)</f>
        <v>7380</v>
      </c>
      <c r="E158" s="63">
        <f>TRUNC(+D158*3.3058,-1)</f>
        <v>24390</v>
      </c>
    </row>
    <row r="159" spans="1:7" x14ac:dyDescent="0.3">
      <c r="A159" s="2">
        <v>3</v>
      </c>
      <c r="C159" s="38" t="s">
        <v>47</v>
      </c>
      <c r="D159" s="42">
        <f>TRUNC(14870+1925,-1)</f>
        <v>16790</v>
      </c>
      <c r="E159" s="63">
        <f>TRUNC(+D159*3.3058,-1)</f>
        <v>55500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53510</v>
      </c>
      <c r="E161" s="39">
        <f>SUM(E157:E160)</f>
        <v>176880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2020-12-07T10:13:27Z</dcterms:modified>
</cp:coreProperties>
</file>