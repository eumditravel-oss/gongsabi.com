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7" i="4"/>
  <c r="D153" i="4"/>
  <c r="D152" i="4"/>
  <c r="D150" i="4"/>
  <c r="D149" i="4"/>
  <c r="D145" i="4"/>
  <c r="D144" i="4"/>
  <c r="D142" i="4"/>
  <c r="D141" i="4"/>
  <c r="D140" i="4"/>
  <c r="D139" i="4"/>
  <c r="D137" i="4"/>
  <c r="D131" i="4"/>
  <c r="D130" i="4"/>
  <c r="D128" i="4"/>
  <c r="D126" i="4"/>
  <c r="D125" i="4"/>
  <c r="D124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1" i="4"/>
  <c r="D90" i="4"/>
  <c r="D89" i="4"/>
  <c r="D76" i="4"/>
  <c r="D73" i="4"/>
  <c r="D70" i="4"/>
  <c r="D63" i="4"/>
  <c r="D59" i="4"/>
  <c r="D58" i="4"/>
  <c r="D53" i="4"/>
  <c r="D52" i="4"/>
  <c r="D50" i="4"/>
  <c r="D46" i="4"/>
  <c r="D48" i="4"/>
  <c r="D44" i="4"/>
  <c r="D42" i="4"/>
  <c r="D41" i="4"/>
  <c r="D13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<sst xmlns="http://schemas.openxmlformats.org/spreadsheetml/2006/main" count="393" uniqueCount="267">
  <si>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</si>
  <si>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</si>
  <si>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</si>
  <si>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</si>
  <si>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</si>
  <si>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</si>
  <si>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</si>
  <si>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</si>
  <si>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</si>
  <si>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</si>
  <si>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</si>
  <si>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</si>
  <si>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</si>
  <si>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</si>
  <si>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</si>
  <si>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</si>
  <si>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</si>
  <si>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</si>
  <si>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</si>
  <si>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</si>
  <si>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</si>
  <si>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</si>
  <si>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</si>
  <si>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</si>
  <si>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</si>
  <si>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</si>
  <si>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</si>
  <si>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</si>
  <si>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</si>
  <si>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</si>
  <si>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</si>
  <si>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</si>
  <si>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</si>
  <si>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</si>
  <si>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</si>
  <si>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</si>
  <si>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</si>
  <si>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</si>
  <si>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</si>
  <si>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</si>
  <si>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</si>
  <si>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</si>
  <si>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</si>
  <si>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</si>
  <si>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</si>
  <si>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</si>
  <si>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</si>
  <si>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</si>
  <si>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</si>
  <si>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</si>
  <si>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</si>
  <si>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</si>
  <si>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</si>
  <si>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</si>
  <si>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</si>
  <si>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</si>
  <si>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</si>
  <si>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</si>
  <si>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</si>
  <si>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</si>
  <si>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</si>
  <si>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</si>
  <si>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</si>
  <si>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</si>
  <si>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</si>
  <si>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</si>
  <si>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</si>
  <si>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</si>
  <si>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</si>
  <si>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</si>
  <si>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</si>
  <si>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</si>
  <si>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</si>
  <si>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</si>
  <si>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</si>
  <si>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</si>
  <si>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</si>
  <si>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</si>
  <si>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</si>
  <si>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</si>
  <si>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</si>
  <si>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</si>
  <si>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</si>
  <si>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</si>
  <si>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</si>
  <si>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</si>
  <si>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</si>
  <si>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</si>
  <si>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</si>
  <si>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</si>
  <si>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</si>
  <si>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</si>
  <si>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</si>
  <si>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</si>
  <si>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</si>
  <si>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</si>
  <si>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</si>
  <si>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</si>
  <si>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</si>
  <si>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</si>
  <si>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</si>
  <si>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</si>
  <si>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</si>
  <si>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</si>
  <si>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</si>
  <si>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</si>
  <si>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</si>
  <si>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</si>
  <si>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</si>
  <si>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</si>
  <si>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</si>
  <si>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</si>
  <si>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</si>
  <si>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</si>
  <si>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</si>
  <si>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</si>
  <si>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</si>
  <si>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</si>
  <si>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</si>
  <si>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</si>
  <si>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</si>
  <si>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</si>
  <si>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</si>
  <si>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</si>
  <si>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</si>
  <si>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</si>
  <si>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</si>
  <si>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</si>
  <si>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</si>
  <si>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</si>
  <si>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</si>
  <si>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</si>
  <si>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</si>
  <si>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</si>
  <si>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</si>
  <si>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</si>
  <si>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</si>
  <si>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</si>
  <si>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</si>
  <si>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</si>
  <si>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</si>
  <si>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</si>
  <si>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</si>
  <si>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</si>
  <si>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</si>
  <si>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</si>
  <si>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</si>
  <si>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</si>
  <si>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</si>
  <si>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</si>
  <si>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</si>
  <si>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</si>
  <si>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</si>
  <si>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</si>
  <si>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</si>
  <si>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</si>
  <si>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</si>
  <si>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</si>
  <si>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</si>
  <si>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</si>
  <si>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</si>
  <si>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</si>
  <si>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</si>
  <si>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</si>
  <si>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</si>
  <si>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</si>
  <si>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</si>
  <si>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</si>
  <si>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</si>
  <si>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</si>
  <si>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</si>
  <si>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</si>
  <si>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</si>
  <si>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</si>
  <si>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</si>
  <si>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</si>
  <si>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</si>
  <si>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</si>
  <si>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</si>
  <si>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</si>
  <si>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</si>
  <si>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</si>
  <si>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</si>
  <si>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</si>
  <si>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</si>
  <si>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</si>
  <si>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</si>
  <si>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</si>
  <si>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</si>
  <si>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</si>
  <si>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</si>
  <si>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</si>
  <si>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</si>
  <si>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</si>
  <si>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</si>
  <si>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</si>
  <si>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</si>
  <si>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</si>
  <si>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</si>
  <si>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</si>
  <si>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</si>
  <si>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</si>
  <si>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</si>
  <si>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</si>
  <si>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</si>
  <si>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</si>
  <si>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</si>
  <si>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</si>
  <si>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</si>
  <si>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</si>
  <si>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</si>
  <si>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</si>
  <si>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</si>
  <si>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</si>
  <si>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</si>
  <si>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</si>
  <si>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</si>
  <si>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</si>
  <si>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</si>
  <si>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</si>
  <si>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</si>
  <si>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</si>
  <si>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</si>
  <si>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</si>
  <si>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</si>
  <si>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</si>
  <si>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</si>
  <si>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</si>
  <si>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</si>
  <si>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</si>
  <si>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</si>
  <si>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</si>
  <si>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</si>
  <si>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</si>
  <si>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</si>
  <si>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</si>
  <si>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</si>
  <si>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</si>
  <si>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</si>
  <si>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</si>
  <si>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</si>
  <si>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</si>
  <si>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</si>
  <si>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</si>
  <si>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</si>
  <si>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</si>
  <si>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</si>
  <si>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</si>
  <si>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</si>
  <si>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4-1생활권 복합커뮤니티센터 건립사업</t>
    <phoneticPr fontId="2" type="noConversion"/>
  </si>
  <si>
    <t>문화및집회</t>
  </si>
  <si>
    <t>세종시</t>
  </si>
  <si>
    <t>창호및유리공사</t>
    <phoneticPr fontId="2" type="noConversion"/>
  </si>
  <si>
    <t xml:space="preserve">목공사및수장공사(인테리어공사 포함) </t>
    <phoneticPr fontId="2" type="noConversion"/>
  </si>
  <si>
    <t>기초공사, 골재비및운반비, 작업부산물, 품질시험비, 기타공사</t>
    <phoneticPr fontId="2" type="noConversion"/>
  </si>
  <si>
    <t>공조배관공사, 난방배관공사, 우수처리시설공사,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</si>
  <si>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</si>
  <si>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</si>
  <si>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원격검침 설비공사, 기타공사</t>
    <phoneticPr fontId="2" type="noConversion"/>
  </si>
  <si>
    <t>CCTV설비공사, 주차관제설비공사</t>
    <phoneticPr fontId="2" type="noConversion"/>
  </si>
  <si>
    <t>옥외소화배관공사, 펌프실배관공사, 무선통신보조설비공사, 기타공사</t>
    <phoneticPr fontId="2" type="noConversion"/>
  </si>
  <si>
    <t>오수공사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</si>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</sst>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12638.6</v>
      </c>
      <c r="D7" s="36">
        <f>+C7/3.3058</f>
        <v>3823.159295783169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1117740</v>
      </c>
      <c r="E25" s="59">
        <f t="shared" si="0"/>
        <v>3695020</v>
      </c>
    </row>
    <row r="26" spans="1:5" x14ac:dyDescent="0.3">
      <c r="B26" s="2">
        <v>3</v>
      </c>
      <c r="C26" s="35" t="s">
        <v>95</v>
      </c>
      <c r="D26" s="45">
        <f>+D66</f>
        <v>37730</v>
      </c>
      <c r="E26" s="59">
        <f t="shared" si="0"/>
        <v>124720</v>
      </c>
    </row>
    <row r="27" spans="1:5" x14ac:dyDescent="0.3">
      <c r="B27" s="2">
        <v>4</v>
      </c>
      <c r="C27" s="35" t="s">
        <v>96</v>
      </c>
      <c r="D27" s="45">
        <f>+D95</f>
        <v>299060</v>
      </c>
      <c r="E27" s="59">
        <f t="shared" si="0"/>
        <v>988630</v>
      </c>
    </row>
    <row r="28" spans="1:5" x14ac:dyDescent="0.3">
      <c r="B28" s="2">
        <v>5</v>
      </c>
      <c r="C28" s="35" t="s">
        <v>97</v>
      </c>
      <c r="D28" s="45">
        <f>+D119</f>
        <v>226640</v>
      </c>
      <c r="E28" s="59">
        <f t="shared" si="0"/>
        <v>749220</v>
      </c>
    </row>
    <row r="29" spans="1:5" x14ac:dyDescent="0.3">
      <c r="B29" s="2">
        <v>6</v>
      </c>
      <c r="C29" s="35" t="s">
        <v>98</v>
      </c>
      <c r="D29" s="45">
        <f>+D133</f>
        <v>134790</v>
      </c>
      <c r="E29" s="59">
        <f t="shared" si="0"/>
        <v>445580</v>
      </c>
    </row>
    <row r="30" spans="1:5" x14ac:dyDescent="0.3">
      <c r="B30" s="2">
        <v>7</v>
      </c>
      <c r="C30" s="35" t="s">
        <v>99</v>
      </c>
      <c r="D30" s="45">
        <f>+D146</f>
        <v>71110</v>
      </c>
      <c r="E30" s="59">
        <f t="shared" si="0"/>
        <v>235070</v>
      </c>
    </row>
    <row r="31" spans="1:5" x14ac:dyDescent="0.3">
      <c r="B31" s="2">
        <v>8</v>
      </c>
      <c r="C31" s="35" t="s">
        <v>100</v>
      </c>
      <c r="D31" s="45">
        <f>+D154</f>
        <v>10300</v>
      </c>
      <c r="E31" s="59">
        <f t="shared" si="0"/>
        <v>34040</v>
      </c>
    </row>
    <row r="32" spans="1:5" x14ac:dyDescent="0.3">
      <c r="B32" s="2">
        <v>9</v>
      </c>
      <c r="C32" s="35" t="s">
        <v>101</v>
      </c>
      <c r="D32" s="45">
        <f>+D161</f>
        <v>68730</v>
      </c>
      <c r="E32" s="59">
        <f t="shared" si="0"/>
        <v>227200</v>
      </c>
    </row>
    <row r="33" spans="1:7" x14ac:dyDescent="0.3">
      <c r="B33" s="2">
        <v>10</v>
      </c>
      <c r="C33" s="35" t="s">
        <v>155</v>
      </c>
      <c r="D33" s="53">
        <f>TRUNC(SUM(D24:D32)*0.275,-1)</f>
        <v>540670</v>
      </c>
      <c r="E33" s="60">
        <f t="shared" si="0"/>
        <v>1787340</v>
      </c>
    </row>
    <row r="34" spans="1:7" x14ac:dyDescent="0.3">
      <c r="C34" s="35" t="s">
        <v>112</v>
      </c>
      <c r="D34" s="44">
        <f>SUM(D24:D33)</f>
        <v>2506770</v>
      </c>
      <c r="E34" s="44">
        <f>SUM(E24:E33)</f>
        <v>8286820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53690</v>
      </c>
      <c r="E40" s="62">
        <f t="shared" ref="E40:E59" si="1">TRUNC(+D40*3.3058,-1)</f>
        <v>177480</v>
      </c>
    </row>
    <row r="41" spans="1:7" x14ac:dyDescent="0.3">
      <c r="A41" s="2">
        <v>2</v>
      </c>
      <c r="C41" s="38" t="s">
        <v>13</v>
      </c>
      <c r="D41" s="42">
        <f>TRUNC(78175,-1)</f>
        <v>78170</v>
      </c>
      <c r="E41" s="63">
        <f t="shared" si="1"/>
        <v>258410</v>
      </c>
    </row>
    <row r="42" spans="1:7" x14ac:dyDescent="0.3">
      <c r="A42" s="2">
        <v>3</v>
      </c>
      <c r="C42" s="38" t="s">
        <v>14</v>
      </c>
      <c r="D42" s="42">
        <f>TRUNC(258754,-1)</f>
        <v>258750</v>
      </c>
      <c r="E42" s="63">
        <f t="shared" si="1"/>
        <v>855370</v>
      </c>
    </row>
    <row r="43" spans="1:7" x14ac:dyDescent="0.3">
      <c r="A43" s="2">
        <v>4</v>
      </c>
      <c r="C43" s="38" t="s">
        <v>16</v>
      </c>
      <c r="D43" s="42">
        <v>12730</v>
      </c>
      <c r="E43" s="63">
        <f t="shared" si="1"/>
        <v>42080</v>
      </c>
    </row>
    <row r="44" spans="1:7" x14ac:dyDescent="0.3">
      <c r="A44" s="2">
        <v>5</v>
      </c>
      <c r="C44" s="38" t="s">
        <v>17</v>
      </c>
      <c r="D44" s="42">
        <f>TRUNC(34455,-1)</f>
        <v>34450</v>
      </c>
      <c r="E44" s="63">
        <f t="shared" si="1"/>
        <v>113880</v>
      </c>
    </row>
    <row r="45" spans="1:7" x14ac:dyDescent="0.3">
      <c r="A45" s="2">
        <v>6</v>
      </c>
      <c r="C45" s="38" t="s">
        <v>18</v>
      </c>
      <c r="D45" s="42">
        <v>4990</v>
      </c>
      <c r="E45" s="63">
        <f t="shared" si="1"/>
        <v>16490</v>
      </c>
    </row>
    <row r="46" spans="1:7" x14ac:dyDescent="0.3">
      <c r="A46" s="2">
        <v>7</v>
      </c>
      <c r="C46" s="38" t="s">
        <v>19</v>
      </c>
      <c r="D46" s="42">
        <f>TRUNC(56616,-1)</f>
        <v>56610</v>
      </c>
      <c r="E46" s="63">
        <f t="shared" si="1"/>
        <v>187140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TRUNC(61692,-1)</f>
        <v>61690</v>
      </c>
      <c r="E48" s="63">
        <f t="shared" si="1"/>
        <v>203930</v>
      </c>
    </row>
    <row r="49" spans="1:7" x14ac:dyDescent="0.3">
      <c r="A49" s="2">
        <v>10</v>
      </c>
      <c r="C49" s="38" t="s">
        <v>22</v>
      </c>
      <c r="D49" s="42">
        <v>13290</v>
      </c>
      <c r="E49" s="63">
        <f t="shared" si="1"/>
        <v>43930</v>
      </c>
    </row>
    <row r="50" spans="1:7" x14ac:dyDescent="0.3">
      <c r="A50" s="2">
        <v>11</v>
      </c>
      <c r="C50" s="38" t="s">
        <v>156</v>
      </c>
      <c r="D50" s="42">
        <f>TRUNC(56134,-1)</f>
        <v>56130</v>
      </c>
      <c r="E50" s="63">
        <f t="shared" si="1"/>
        <v>185550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TRUNC(12015,-1)</f>
        <v>12010</v>
      </c>
      <c r="E52" s="63">
        <f t="shared" si="1"/>
        <v>39700</v>
      </c>
    </row>
    <row r="53" spans="1:7" x14ac:dyDescent="0.3">
      <c r="A53" s="2">
        <v>14</v>
      </c>
      <c r="C53" s="38" t="s">
        <v>25</v>
      </c>
      <c r="D53" s="42">
        <f>TRUNC(115132,-1)</f>
        <v>115130</v>
      </c>
      <c r="E53" s="63">
        <f t="shared" si="1"/>
        <v>380590</v>
      </c>
      <c r="F53" s="2" t="s">
        <v>253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TRUNC(30948+6152-2386+1319+34548,-1)</f>
        <v>70580</v>
      </c>
      <c r="E58" s="63">
        <f t="shared" si="1"/>
        <v>233320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43">
        <f>TRUNC(289521,-1)</f>
        <v>289520</v>
      </c>
      <c r="E59" s="64">
        <f t="shared" si="1"/>
        <v>957090</v>
      </c>
    </row>
    <row r="60" spans="1:7" x14ac:dyDescent="0.3">
      <c r="A60" s="2">
        <v>21</v>
      </c>
      <c r="C60" s="27" t="s">
        <v>112</v>
      </c>
      <c r="D60" s="39">
        <f>SUM(D40:D59)</f>
        <v>1117740</v>
      </c>
      <c r="E60" s="39">
        <f>SUM(E40:E59)</f>
        <v>3694960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TRUNC(12812,-1)</f>
        <v>12810</v>
      </c>
      <c r="E63" s="62">
        <f>TRUNC(+D63*3.3058,-1)</f>
        <v>42340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24920</v>
      </c>
      <c r="E65" s="64">
        <f>TRUNC(+D65*3.3058,-1)</f>
        <v>82380</v>
      </c>
    </row>
    <row r="66" spans="1:7" x14ac:dyDescent="0.3">
      <c r="A66" s="2">
        <v>4</v>
      </c>
      <c r="C66" s="27" t="s">
        <v>112</v>
      </c>
      <c r="D66" s="39">
        <f>SUM(D63:D65)</f>
        <v>37730</v>
      </c>
      <c r="E66" s="65">
        <f>SUM(E63:E65)</f>
        <v>124720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16200</v>
      </c>
      <c r="E69" s="62">
        <f t="shared" ref="E69:E94" si="2">TRUNC(+D69*3.3058,-1)</f>
        <v>53550</v>
      </c>
    </row>
    <row r="70" spans="1:7" ht="16.5" customHeight="1" x14ac:dyDescent="0.3">
      <c r="A70" s="2">
        <v>2</v>
      </c>
      <c r="C70" s="38" t="s">
        <v>31</v>
      </c>
      <c r="D70" s="42">
        <f>TRUNC(1199,-1)</f>
        <v>1190</v>
      </c>
      <c r="E70" s="63">
        <f t="shared" si="2"/>
        <v>3930</v>
      </c>
    </row>
    <row r="71" spans="1:7" x14ac:dyDescent="0.3">
      <c r="A71" s="2">
        <v>3</v>
      </c>
      <c r="C71" s="38" t="s">
        <v>32</v>
      </c>
      <c r="D71" s="42">
        <v>21050</v>
      </c>
      <c r="E71" s="63">
        <f t="shared" si="2"/>
        <v>69580</v>
      </c>
    </row>
    <row r="72" spans="1:7" x14ac:dyDescent="0.3">
      <c r="A72" s="2">
        <v>4</v>
      </c>
      <c r="C72" s="38" t="s">
        <v>33</v>
      </c>
      <c r="D72" s="42">
        <v>210</v>
      </c>
      <c r="E72" s="63">
        <f t="shared" si="2"/>
        <v>690</v>
      </c>
    </row>
    <row r="73" spans="1:7" x14ac:dyDescent="0.3">
      <c r="A73" s="2">
        <v>5</v>
      </c>
      <c r="C73" s="38" t="s">
        <v>34</v>
      </c>
      <c r="D73" s="42">
        <f>TRUNC(5819,-1)</f>
        <v>5810</v>
      </c>
      <c r="E73" s="63">
        <f t="shared" si="2"/>
        <v>19200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6580</v>
      </c>
      <c r="E75" s="63">
        <f t="shared" si="2"/>
        <v>21750</v>
      </c>
    </row>
    <row r="76" spans="1:7" x14ac:dyDescent="0.3">
      <c r="A76" s="2">
        <v>8</v>
      </c>
      <c r="C76" s="38" t="s">
        <v>119</v>
      </c>
      <c r="D76" s="42">
        <f>TRUNC(55721,-1)</f>
        <v>55720</v>
      </c>
      <c r="E76" s="63">
        <f t="shared" si="2"/>
        <v>184190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TRUNC(6347,-1)</f>
        <v>6340</v>
      </c>
      <c r="E89" s="63">
        <f t="shared" si="2"/>
        <v>20950</v>
      </c>
    </row>
    <row r="90" spans="1:7" x14ac:dyDescent="0.3">
      <c r="A90" s="2">
        <v>22</v>
      </c>
      <c r="C90" s="38" t="s">
        <v>36</v>
      </c>
      <c r="D90" s="42">
        <f>TRUNC(716,-1)</f>
        <v>710</v>
      </c>
      <c r="E90" s="63">
        <f t="shared" si="2"/>
        <v>2340</v>
      </c>
    </row>
    <row r="91" spans="1:7" x14ac:dyDescent="0.3">
      <c r="A91" s="2">
        <v>23</v>
      </c>
      <c r="C91" s="38" t="s">
        <v>37</v>
      </c>
      <c r="D91" s="42">
        <f>TRUNC(8949,-1)</f>
        <v>8940</v>
      </c>
      <c r="E91" s="63">
        <f t="shared" si="2"/>
        <v>29550</v>
      </c>
    </row>
    <row r="92" spans="1:7" x14ac:dyDescent="0.3">
      <c r="A92" s="2">
        <v>24</v>
      </c>
      <c r="C92" s="38" t="s">
        <v>38</v>
      </c>
      <c r="D92" s="42">
        <v>8330</v>
      </c>
      <c r="E92" s="63">
        <f t="shared" si="2"/>
        <v>27530</v>
      </c>
    </row>
    <row r="93" spans="1:7" x14ac:dyDescent="0.3">
      <c r="A93" s="2">
        <v>25</v>
      </c>
      <c r="C93" s="38" t="s">
        <v>149</v>
      </c>
      <c r="D93" s="42">
        <f>TRUNC(115847,-1)</f>
        <v>115840</v>
      </c>
      <c r="E93" s="63">
        <f t="shared" si="2"/>
        <v>382940</v>
      </c>
    </row>
    <row r="94" spans="1:7" ht="17.25" thickBot="1" x14ac:dyDescent="0.35">
      <c r="A94" s="2">
        <v>26</v>
      </c>
      <c r="C94" s="38" t="s">
        <v>47</v>
      </c>
      <c r="D94" s="43">
        <f>TRUNC(11767+1377+11347+27658,-1)</f>
        <v>52140</v>
      </c>
      <c r="E94" s="64">
        <f t="shared" si="2"/>
        <v>172360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299060</v>
      </c>
      <c r="E95" s="39">
        <f>SUM(E69:E94)</f>
        <v>988560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TRUNC(14089,-1)</f>
        <v>14080</v>
      </c>
      <c r="E98" s="62">
        <f t="shared" ref="E98:E118" si="3">TRUNC(+D98*3.3058,-1)</f>
        <v>46540</v>
      </c>
    </row>
    <row r="99" spans="1:7" x14ac:dyDescent="0.3">
      <c r="A99" s="2">
        <v>2</v>
      </c>
      <c r="C99" s="38" t="s">
        <v>40</v>
      </c>
      <c r="D99" s="42">
        <f>TRUNC(15847,-1)</f>
        <v>15840</v>
      </c>
      <c r="E99" s="63">
        <f t="shared" si="3"/>
        <v>52360</v>
      </c>
    </row>
    <row r="100" spans="1:7" x14ac:dyDescent="0.3">
      <c r="A100" s="2">
        <v>3</v>
      </c>
      <c r="C100" s="38" t="s">
        <v>41</v>
      </c>
      <c r="D100" s="42">
        <f>TRUNC(36314,-1)</f>
        <v>36310</v>
      </c>
      <c r="E100" s="63">
        <f t="shared" si="3"/>
        <v>120030</v>
      </c>
    </row>
    <row r="101" spans="1:7" x14ac:dyDescent="0.3">
      <c r="A101" s="2">
        <v>4</v>
      </c>
      <c r="C101" s="38" t="s">
        <v>42</v>
      </c>
      <c r="D101" s="42">
        <f>TRUNC(1136,-1)</f>
        <v>1130</v>
      </c>
      <c r="E101" s="63">
        <f t="shared" si="3"/>
        <v>3730</v>
      </c>
    </row>
    <row r="102" spans="1:7" x14ac:dyDescent="0.3">
      <c r="A102" s="2">
        <v>5</v>
      </c>
      <c r="C102" s="38" t="s">
        <v>43</v>
      </c>
      <c r="D102" s="42">
        <f>TRUNC(14537,-1)</f>
        <v>14530</v>
      </c>
      <c r="E102" s="63">
        <f t="shared" si="3"/>
        <v>48030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TRUNC(5013,-1)</f>
        <v>5010</v>
      </c>
      <c r="E104" s="63">
        <f t="shared" si="3"/>
        <v>16560</v>
      </c>
    </row>
    <row r="105" spans="1:7" x14ac:dyDescent="0.3">
      <c r="A105" s="2">
        <v>8</v>
      </c>
      <c r="C105" s="38" t="s">
        <v>46</v>
      </c>
      <c r="D105" s="42">
        <f>TRUNC(4514,-1)</f>
        <v>4510</v>
      </c>
      <c r="E105" s="63">
        <f t="shared" si="3"/>
        <v>14900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TRUNC(2772,-1)</f>
        <v>2770</v>
      </c>
      <c r="E114" s="63">
        <f t="shared" si="3"/>
        <v>9150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TRUNC(3072,-1)</f>
        <v>3070</v>
      </c>
      <c r="E116" s="63">
        <f t="shared" si="3"/>
        <v>10140</v>
      </c>
      <c r="F116" s="2" t="s">
        <v>256</v>
      </c>
    </row>
    <row r="117" spans="1:7" x14ac:dyDescent="0.3">
      <c r="A117" s="2">
        <v>20</v>
      </c>
      <c r="C117" s="38" t="s">
        <v>149</v>
      </c>
      <c r="D117" s="42">
        <f>TRUNC(121306,-1)</f>
        <v>121300</v>
      </c>
      <c r="E117" s="63">
        <f t="shared" si="3"/>
        <v>400990</v>
      </c>
    </row>
    <row r="118" spans="1:7" ht="17.25" thickBot="1" x14ac:dyDescent="0.35">
      <c r="A118" s="2">
        <v>21</v>
      </c>
      <c r="C118" s="38" t="s">
        <v>47</v>
      </c>
      <c r="D118" s="43">
        <f>TRUNC(7124+969,-1)</f>
        <v>8090</v>
      </c>
      <c r="E118" s="64">
        <f t="shared" si="3"/>
        <v>26740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226640</v>
      </c>
      <c r="E119" s="39">
        <f>SUM(E98:E118)</f>
        <v>749170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TRUNC(6187,-1)</f>
        <v>6180</v>
      </c>
      <c r="E122" s="62">
        <f t="shared" ref="E122:E132" si="4">TRUNC(+D122*3.3058,-1)</f>
        <v>20420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TRUNC(3794,-1)</f>
        <v>3790</v>
      </c>
      <c r="E124" s="63">
        <f t="shared" si="4"/>
        <v>12520</v>
      </c>
    </row>
    <row r="125" spans="1:7" x14ac:dyDescent="0.3">
      <c r="A125" s="2">
        <v>4</v>
      </c>
      <c r="C125" s="38" t="s">
        <v>138</v>
      </c>
      <c r="D125" s="42">
        <f>TRUNC(6143,-1)</f>
        <v>6140</v>
      </c>
      <c r="E125" s="63">
        <f t="shared" si="4"/>
        <v>20290</v>
      </c>
    </row>
    <row r="126" spans="1:7" x14ac:dyDescent="0.3">
      <c r="A126" s="2">
        <v>5</v>
      </c>
      <c r="C126" s="38" t="s">
        <v>53</v>
      </c>
      <c r="D126" s="42">
        <f>TRUNC(2837,-1)</f>
        <v>2830</v>
      </c>
      <c r="E126" s="63">
        <f t="shared" si="4"/>
        <v>9350</v>
      </c>
    </row>
    <row r="127" spans="1:7" x14ac:dyDescent="0.3">
      <c r="A127" s="2">
        <v>6</v>
      </c>
      <c r="C127" s="38" t="s">
        <v>56</v>
      </c>
      <c r="D127" s="42">
        <v>1140</v>
      </c>
      <c r="E127" s="63">
        <f t="shared" si="4"/>
        <v>3760</v>
      </c>
    </row>
    <row r="128" spans="1:7" x14ac:dyDescent="0.3">
      <c r="A128" s="2">
        <v>7</v>
      </c>
      <c r="C128" s="38" t="s">
        <v>46</v>
      </c>
      <c r="D128" s="42">
        <f>TRUNC(4014,-1)</f>
        <v>4010</v>
      </c>
      <c r="E128" s="63">
        <f t="shared" si="4"/>
        <v>13250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TRUNC(21282,-1)</f>
        <v>21280</v>
      </c>
      <c r="E130" s="63">
        <f t="shared" si="4"/>
        <v>70340</v>
      </c>
    </row>
    <row r="131" spans="1:7" x14ac:dyDescent="0.3">
      <c r="A131" s="2">
        <v>10</v>
      </c>
      <c r="C131" s="38" t="s">
        <v>149</v>
      </c>
      <c r="D131" s="42">
        <f>TRUNC(85019,-1)</f>
        <v>85010</v>
      </c>
      <c r="E131" s="63">
        <f t="shared" si="4"/>
        <v>281020</v>
      </c>
    </row>
    <row r="132" spans="1:7" ht="18" thickBot="1" x14ac:dyDescent="0.35">
      <c r="A132" s="2">
        <v>11</v>
      </c>
      <c r="C132" s="38" t="s">
        <v>47</v>
      </c>
      <c r="D132" s="43">
        <f>3695+715</f>
        <v>4410</v>
      </c>
      <c r="E132" s="64">
        <f t="shared" si="4"/>
        <v>14570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134790</v>
      </c>
      <c r="E133" s="39">
        <f>SUM(E122:E132)</f>
        <v>445520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TRUNC(115+2107+1476+2177,-1)</f>
        <v>5870</v>
      </c>
      <c r="E137" s="63">
        <f t="shared" si="5"/>
        <v>19400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TRUNC(3034,-1)</f>
        <v>3030</v>
      </c>
      <c r="E139" s="63">
        <f t="shared" si="5"/>
        <v>10010</v>
      </c>
    </row>
    <row r="140" spans="1:7" x14ac:dyDescent="0.3">
      <c r="A140" s="2">
        <v>5</v>
      </c>
      <c r="C140" s="38" t="s">
        <v>57</v>
      </c>
      <c r="D140" s="42">
        <f>TRUNC(1895,-1)</f>
        <v>1890</v>
      </c>
      <c r="E140" s="63">
        <f t="shared" si="5"/>
        <v>6240</v>
      </c>
    </row>
    <row r="141" spans="1:7" x14ac:dyDescent="0.3">
      <c r="A141" s="2">
        <v>6</v>
      </c>
      <c r="C141" s="38" t="s">
        <v>59</v>
      </c>
      <c r="D141" s="42">
        <f>TRUNC(26134,-1)</f>
        <v>26130</v>
      </c>
      <c r="E141" s="63">
        <f t="shared" si="5"/>
        <v>86380</v>
      </c>
    </row>
    <row r="142" spans="1:7" x14ac:dyDescent="0.3">
      <c r="A142" s="2">
        <v>7</v>
      </c>
      <c r="C142" s="38" t="s">
        <v>58</v>
      </c>
      <c r="D142" s="42">
        <f>TRUNC(6137,-1)</f>
        <v>6130</v>
      </c>
      <c r="E142" s="63">
        <f t="shared" si="5"/>
        <v>20260</v>
      </c>
    </row>
    <row r="143" spans="1:7" x14ac:dyDescent="0.3">
      <c r="A143" s="2">
        <v>8</v>
      </c>
      <c r="C143" s="38" t="s">
        <v>62</v>
      </c>
      <c r="D143" s="42">
        <v>5690</v>
      </c>
      <c r="E143" s="63">
        <f t="shared" si="5"/>
        <v>18810</v>
      </c>
    </row>
    <row r="144" spans="1:7" x14ac:dyDescent="0.3">
      <c r="A144" s="2">
        <v>9</v>
      </c>
      <c r="C144" s="38" t="s">
        <v>63</v>
      </c>
      <c r="D144" s="42">
        <f>TRUNC(17024,-1)</f>
        <v>17020</v>
      </c>
      <c r="E144" s="63">
        <f t="shared" si="5"/>
        <v>56260</v>
      </c>
    </row>
    <row r="145" spans="1:7" ht="17.25" thickBot="1" x14ac:dyDescent="0.35">
      <c r="A145" s="2">
        <v>10</v>
      </c>
      <c r="C145" s="38" t="s">
        <v>149</v>
      </c>
      <c r="D145" s="43">
        <f>TRUNC(5357,-1)</f>
        <v>5350</v>
      </c>
      <c r="E145" s="64">
        <f t="shared" si="5"/>
        <v>17680</v>
      </c>
    </row>
    <row r="146" spans="1:7" x14ac:dyDescent="0.3">
      <c r="A146" s="2">
        <v>11</v>
      </c>
      <c r="C146" s="27" t="s">
        <v>112</v>
      </c>
      <c r="D146" s="39">
        <f>SUM(D136:D145)</f>
        <v>71110</v>
      </c>
      <c r="E146" s="39">
        <f>SUM(E136:E145)</f>
        <v>235040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TRUNC(6479,-1)</f>
        <v>6470</v>
      </c>
      <c r="E149" s="62">
        <f>TRUNC(+D149*3.3058,-1)</f>
        <v>21380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TRUNC(285,-1)</f>
        <v>280</v>
      </c>
      <c r="E150" s="63">
        <f>TRUNC(+D150*3.3058,-1)</f>
        <v>920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TRUNC(216+657,-1)</f>
        <v>870</v>
      </c>
      <c r="E152" s="63">
        <f>TRUNC(+D152*3.3058,-1)</f>
        <v>2870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TRUNC(2683,-1)</f>
        <v>2680</v>
      </c>
      <c r="E153" s="64">
        <f>TRUNC(+D153*3.3058,-1)</f>
        <v>8850</v>
      </c>
    </row>
    <row r="154" spans="1:7" x14ac:dyDescent="0.3">
      <c r="A154" s="2">
        <v>6</v>
      </c>
      <c r="C154" s="27" t="s">
        <v>112</v>
      </c>
      <c r="D154" s="39">
        <f>SUM(D149:D153)</f>
        <v>10300</v>
      </c>
      <c r="E154" s="39">
        <f>SUM(E149:E153)</f>
        <v>34020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TRUNC(26455,-1)</f>
        <v>26450</v>
      </c>
      <c r="E157" s="62">
        <f>TRUNC(+D157*3.3058,-1)</f>
        <v>87430</v>
      </c>
    </row>
    <row r="158" spans="1:7" x14ac:dyDescent="0.3">
      <c r="A158" s="2">
        <v>2</v>
      </c>
      <c r="C158" s="38" t="s">
        <v>52</v>
      </c>
      <c r="D158" s="42">
        <v>12500</v>
      </c>
      <c r="E158" s="63">
        <f>TRUNC(+D158*3.3058,-1)</f>
        <v>41320</v>
      </c>
    </row>
    <row r="159" spans="1:7" x14ac:dyDescent="0.3">
      <c r="A159" s="2">
        <v>3</v>
      </c>
      <c r="C159" s="38" t="s">
        <v>47</v>
      </c>
      <c r="D159" s="42">
        <f>TRUNC(12613,-1)</f>
        <v>12610</v>
      </c>
      <c r="E159" s="63">
        <f>TRUNC(+D159*3.3058,-1)</f>
        <v>41680</v>
      </c>
      <c r="F159" s="2" t="s">
        <v>263</v>
      </c>
    </row>
    <row r="160" spans="1:7" ht="17.25" thickBot="1" x14ac:dyDescent="0.35">
      <c r="A160" s="2">
        <v>4</v>
      </c>
      <c r="C160" s="38" t="s">
        <v>149</v>
      </c>
      <c r="D160" s="43">
        <f>TRUNC(17177,-1)</f>
        <v>17170</v>
      </c>
      <c r="E160" s="64">
        <f>TRUNC(+D160*3.3058,-1)</f>
        <v>56760</v>
      </c>
    </row>
    <row r="161" spans="1:5" x14ac:dyDescent="0.3">
      <c r="A161" s="2">
        <v>5</v>
      </c>
      <c r="C161" s="27" t="s">
        <v>112</v>
      </c>
      <c r="D161" s="39">
        <f>SUM(D157:D160)</f>
        <v>68730</v>
      </c>
      <c r="E161" s="39">
        <f>SUM(E157:E160)</f>
        <v>227190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2020-12-08T04:23:41Z</dcterms:modified>
</cp:coreProperties>
</file>