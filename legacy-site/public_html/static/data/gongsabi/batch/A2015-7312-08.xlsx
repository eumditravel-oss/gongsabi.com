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7" i="4" l="1"/>
  <c r="D153" i="4"/>
  <c r="D152" i="4"/>
  <c r="D151" i="4"/>
  <c r="D150" i="4"/>
  <c r="D149" i="4"/>
  <c r="D145" i="4"/>
  <c r="D142" i="4"/>
  <c r="D140" i="4"/>
  <c r="D138" i="4"/>
  <c r="D137" i="4"/>
  <c r="D132" i="4"/>
  <c r="D131" i="4"/>
  <c r="D130" i="4"/>
  <c r="D128" i="4"/>
  <c r="D125" i="4"/>
  <c r="D117" i="4"/>
  <c r="D116" i="4"/>
  <c r="D114" i="4"/>
  <c r="D105" i="4"/>
  <c r="D104" i="4"/>
  <c r="D103" i="4"/>
  <c r="D102" i="4"/>
  <c r="D101" i="4"/>
  <c r="D100" i="4"/>
  <c r="D99" i="4"/>
  <c r="D98" i="4"/>
  <c r="D94" i="4"/>
  <c r="D93" i="4"/>
  <c r="D91" i="4"/>
  <c r="D89" i="4"/>
  <c r="D75" i="4"/>
  <c r="D73" i="4"/>
  <c r="D71" i="4"/>
  <c r="D70" i="4"/>
  <c r="D69" i="4"/>
  <c r="D63" i="4"/>
  <c r="D59" i="4"/>
  <c r="D53" i="4"/>
  <c r="D52" i="4"/>
  <c r="D50" i="4"/>
  <c r="D49" i="4"/>
  <c r="D48" i="4"/>
  <c r="D46" i="4"/>
  <c r="D43" i="4"/>
  <c r="D40" i="4"/>
  <c r="D58" i="4" l="1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<sst xmlns="http://schemas.openxmlformats.org/spreadsheetml/2006/main" count="396" uniqueCount="267">
  <si>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</si>
  <si>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</si>
  <si>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</si>
  <si>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</si>
  <si>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</si>
  <si>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</si>
  <si>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</si>
  <si>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</si>
  <si>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</si>
  <si>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</si>
  <si>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</si>
  <si>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</si>
  <si>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</si>
  <si>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</si>
  <si>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</si>
  <si>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</si>
  <si>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</si>
  <si>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</si>
  <si>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</si>
  <si>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</si>
  <si>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</si>
  <si>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</si>
  <si>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</si>
  <si>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</si>
  <si>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</si>
  <si>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</si>
  <si>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</si>
  <si>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</si>
  <si>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</si>
  <si>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</si>
  <si>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</si>
  <si>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</si>
  <si>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</si>
  <si>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</si>
  <si>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</si>
  <si>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</si>
  <si>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</si>
  <si>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</si>
  <si>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</si>
  <si>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</si>
  <si>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</si>
  <si>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</si>
  <si>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</si>
  <si>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</si>
  <si>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</si>
  <si>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</si>
  <si>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</si>
  <si>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</si>
  <si>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</si>
  <si>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</si>
  <si>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</si>
  <si>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</si>
  <si>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</si>
  <si>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</si>
  <si>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</si>
  <si>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</si>
  <si>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</si>
  <si>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</si>
  <si>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</si>
  <si>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</si>
  <si>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</si>
  <si>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</si>
  <si>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</si>
  <si>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</si>
  <si>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</si>
  <si>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</si>
  <si>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</si>
  <si>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</si>
  <si>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</si>
  <si>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</si>
  <si>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</si>
  <si>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</si>
  <si>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</si>
  <si>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</si>
  <si>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</si>
  <si>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</si>
  <si>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</si>
  <si>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</si>
  <si>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</si>
  <si>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</si>
  <si>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</si>
  <si>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</si>
  <si>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</si>
  <si>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</si>
  <si>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</si>
  <si>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</si>
  <si>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</si>
  <si>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</si>
  <si>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</si>
  <si>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</si>
  <si>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</si>
  <si>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</si>
  <si>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</si>
  <si>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</si>
  <si>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</si>
  <si>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</si>
  <si>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</si>
  <si>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</si>
  <si>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</si>
  <si>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</si>
  <si>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</si>
  <si>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</si>
  <si>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</si>
  <si>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</si>
  <si>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</si>
  <si>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</si>
  <si>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</si>
  <si>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</si>
  <si>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</si>
  <si>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</si>
  <si>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</si>
  <si>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</si>
  <si>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</si>
  <si>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</si>
  <si>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</si>
  <si>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</si>
  <si>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</si>
  <si>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</si>
  <si>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</si>
  <si>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</si>
  <si>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</si>
  <si>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</si>
  <si>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</si>
  <si>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</si>
  <si>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</si>
  <si>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</si>
  <si>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</si>
  <si>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</si>
  <si>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</si>
  <si>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</si>
  <si>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</si>
  <si>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</si>
  <si>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</si>
  <si>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</si>
  <si>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</si>
  <si>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</si>
  <si>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</si>
  <si>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</si>
  <si>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</si>
  <si>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</si>
  <si>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</si>
  <si>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</si>
  <si>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</si>
  <si>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</si>
  <si>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</si>
  <si>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</si>
  <si>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</si>
  <si>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</si>
  <si>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</si>
  <si>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</si>
  <si>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</si>
  <si>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</si>
  <si>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</si>
  <si>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</si>
  <si>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</si>
  <si>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</si>
  <si>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</si>
  <si>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</si>
  <si>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</si>
  <si>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</si>
  <si>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</si>
  <si>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</si>
  <si>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</si>
  <si>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</si>
  <si>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</si>
  <si>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</si>
  <si>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</si>
  <si>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</si>
  <si>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</si>
  <si>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</si>
  <si>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</si>
  <si>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</si>
  <si>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</si>
  <si>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</si>
  <si>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</si>
  <si>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</si>
  <si>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</si>
  <si>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</si>
  <si>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</si>
  <si>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</si>
  <si>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</si>
  <si>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</si>
  <si>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</si>
  <si>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</si>
  <si>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</si>
  <si>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</si>
  <si>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</si>
  <si>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</si>
  <si>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</si>
  <si>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</si>
  <si>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</si>
  <si>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</si>
  <si>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</si>
  <si>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</si>
  <si>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</si>
  <si>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</si>
  <si>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</si>
  <si>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</si>
  <si>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</si>
  <si>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</si>
  <si>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</si>
  <si>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</si>
  <si>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</si>
  <si>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</si>
  <si>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</si>
  <si>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</si>
  <si>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</si>
  <si>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</si>
  <si>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</si>
  <si>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</si>
  <si>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</si>
  <si>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</si>
  <si>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</si>
  <si>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</si>
  <si>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</si>
  <si>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</si>
  <si>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</si>
  <si>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</si>
  <si>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</si>
  <si>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</si>
  <si>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</si>
  <si>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</si>
  <si>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</si>
  <si>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</si>
  <si>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</si>
  <si>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</si>
  <si>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</si>
  <si>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</si>
  <si>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</si>
  <si>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</si>
  <si>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</si>
  <si>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</si>
  <si>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</si>
  <si>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</si>
  <si>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</si>
  <si>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원 /평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</si>
  <si>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</si>
  <si>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</si>
  <si>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</si>
  <si>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</si>
  <si>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</si>
  <si>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</si>
  <si>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</si>
  <si>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</si>
  <si>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</si>
  <si>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</si>
  <si>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</si>
  <si>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</si>
  <si>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</si>
  <si>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</si>
  <si>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목공사, 인테리어공사 포함</t>
    <phoneticPr fontId="2" type="noConversion"/>
  </si>
  <si>
    <t>옥외보안등설비공사</t>
    <phoneticPr fontId="2" type="noConversion"/>
  </si>
  <si>
    <t>CATV 및 TV 설비공사</t>
    <phoneticPr fontId="2" type="noConversion"/>
  </si>
  <si>
    <t>CCTV설비공사,기타공사</t>
    <phoneticPr fontId="2" type="noConversion"/>
  </si>
  <si>
    <t>포장공사</t>
    <phoneticPr fontId="2" type="noConversion"/>
  </si>
  <si>
    <t>전기인입 및 수변전 설비공사</t>
    <phoneticPr fontId="2" type="noConversion"/>
  </si>
  <si>
    <t>국립경주박물관 종합수장고 조성사업</t>
    <phoneticPr fontId="2" type="noConversion"/>
  </si>
  <si>
    <t>경상도</t>
  </si>
  <si>
    <t>문화및집회</t>
  </si>
  <si>
    <t>골재비및운반비, 작업부산물, 품질시험비, 기타공사</t>
    <phoneticPr fontId="2" type="noConversion"/>
  </si>
  <si>
    <t>옥외소화배관공사, 펌프실배관공사, 기타공사</t>
    <phoneticPr fontId="2" type="noConversion"/>
  </si>
  <si>
    <t>토목 사급자재비, 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</si>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</sst>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0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1" t="s">
        <v>155</v>
      </c>
      <c r="B2" s="74" t="s">
        <v>0</v>
      </c>
      <c r="C2" s="75"/>
      <c r="D2" s="74" t="s">
        <v>1</v>
      </c>
      <c r="E2" s="75"/>
      <c r="F2" s="74" t="s">
        <v>156</v>
      </c>
      <c r="G2" s="75"/>
      <c r="H2" s="74" t="s">
        <v>2</v>
      </c>
      <c r="I2" s="75"/>
      <c r="J2" s="74" t="s">
        <v>3</v>
      </c>
      <c r="K2" s="75"/>
      <c r="L2" s="74" t="s">
        <v>157</v>
      </c>
      <c r="M2" s="75"/>
      <c r="N2" s="74" t="s">
        <v>158</v>
      </c>
      <c r="O2" s="75"/>
      <c r="P2" s="74" t="s">
        <v>5</v>
      </c>
      <c r="Q2" s="75"/>
      <c r="R2" s="68" t="s">
        <v>94</v>
      </c>
      <c r="S2" s="69"/>
      <c r="T2" s="69"/>
      <c r="U2" s="69"/>
      <c r="V2" s="69"/>
      <c r="W2" s="69"/>
      <c r="X2" s="69"/>
      <c r="Y2" s="69"/>
      <c r="Z2" s="69"/>
      <c r="AA2" s="69"/>
      <c r="AB2" s="69"/>
      <c r="AC2" s="69"/>
      <c r="AD2" s="69"/>
      <c r="AE2" s="69"/>
      <c r="AF2" s="69"/>
      <c r="AG2" s="70"/>
    </row>
    <row r="3" spans="1:33" x14ac:dyDescent="0.3">
      <c r="A3" s="72"/>
      <c r="B3" s="76"/>
      <c r="C3" s="77"/>
      <c r="D3" s="76"/>
      <c r="E3" s="77"/>
      <c r="F3" s="76"/>
      <c r="G3" s="77"/>
      <c r="H3" s="76"/>
      <c r="I3" s="77"/>
      <c r="J3" s="76"/>
      <c r="K3" s="77"/>
      <c r="L3" s="76"/>
      <c r="M3" s="77"/>
      <c r="N3" s="76"/>
      <c r="O3" s="77"/>
      <c r="P3" s="76"/>
      <c r="Q3" s="77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3"/>
      <c r="B4" s="78"/>
      <c r="C4" s="79"/>
      <c r="D4" s="78"/>
      <c r="E4" s="79"/>
      <c r="F4" s="78"/>
      <c r="G4" s="79"/>
      <c r="H4" s="78"/>
      <c r="I4" s="79"/>
      <c r="J4" s="78"/>
      <c r="K4" s="79"/>
      <c r="L4" s="78"/>
      <c r="M4" s="79"/>
      <c r="N4" s="78"/>
      <c r="O4" s="79"/>
      <c r="P4" s="78"/>
      <c r="Q4" s="7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9242.36</v>
      </c>
      <c r="D7" s="36">
        <f>+C7/3.3058</f>
        <v>2795.8013188940649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235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7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967020</v>
      </c>
      <c r="E25" s="58">
        <f t="shared" si="0"/>
        <v>3196770</v>
      </c>
    </row>
    <row r="26" spans="1:5" x14ac:dyDescent="0.3">
      <c r="B26" s="2">
        <v>3</v>
      </c>
      <c r="C26" s="35" t="s">
        <v>95</v>
      </c>
      <c r="D26" s="45">
        <f>+D66</f>
        <v>110150</v>
      </c>
      <c r="E26" s="58">
        <f t="shared" si="0"/>
        <v>364130</v>
      </c>
    </row>
    <row r="27" spans="1:5" x14ac:dyDescent="0.3">
      <c r="B27" s="2">
        <v>4</v>
      </c>
      <c r="C27" s="35" t="s">
        <v>96</v>
      </c>
      <c r="D27" s="45">
        <f>+D95</f>
        <v>267550</v>
      </c>
      <c r="E27" s="58">
        <f t="shared" si="0"/>
        <v>884460</v>
      </c>
    </row>
    <row r="28" spans="1:5" x14ac:dyDescent="0.3">
      <c r="B28" s="2">
        <v>5</v>
      </c>
      <c r="C28" s="35" t="s">
        <v>97</v>
      </c>
      <c r="D28" s="45">
        <f>+D119</f>
        <v>243320</v>
      </c>
      <c r="E28" s="58">
        <f t="shared" si="0"/>
        <v>804360</v>
      </c>
    </row>
    <row r="29" spans="1:5" x14ac:dyDescent="0.3">
      <c r="B29" s="2">
        <v>6</v>
      </c>
      <c r="C29" s="35" t="s">
        <v>98</v>
      </c>
      <c r="D29" s="45">
        <f>+D133</f>
        <v>105170</v>
      </c>
      <c r="E29" s="58">
        <f t="shared" si="0"/>
        <v>347670</v>
      </c>
    </row>
    <row r="30" spans="1:5" x14ac:dyDescent="0.3">
      <c r="B30" s="2">
        <v>7</v>
      </c>
      <c r="C30" s="35" t="s">
        <v>99</v>
      </c>
      <c r="D30" s="45">
        <f>+D146</f>
        <v>133920</v>
      </c>
      <c r="E30" s="58">
        <f t="shared" si="0"/>
        <v>442710</v>
      </c>
    </row>
    <row r="31" spans="1:5" x14ac:dyDescent="0.3">
      <c r="B31" s="2">
        <v>8</v>
      </c>
      <c r="C31" s="35" t="s">
        <v>100</v>
      </c>
      <c r="D31" s="45">
        <f>+D154</f>
        <v>286170</v>
      </c>
      <c r="E31" s="58">
        <f t="shared" si="0"/>
        <v>946020</v>
      </c>
    </row>
    <row r="32" spans="1:5" x14ac:dyDescent="0.3">
      <c r="B32" s="2">
        <v>9</v>
      </c>
      <c r="C32" s="35" t="s">
        <v>101</v>
      </c>
      <c r="D32" s="45">
        <f>+D161</f>
        <v>36360</v>
      </c>
      <c r="E32" s="58">
        <f t="shared" si="0"/>
        <v>120190</v>
      </c>
    </row>
    <row r="33" spans="1:7" x14ac:dyDescent="0.3">
      <c r="B33" s="2">
        <v>10</v>
      </c>
      <c r="C33" s="35" t="s">
        <v>153</v>
      </c>
      <c r="D33" s="53">
        <f>TRUNC(SUM(D24:D32)*0.275,-1)</f>
        <v>591150</v>
      </c>
      <c r="E33" s="59">
        <f t="shared" si="0"/>
        <v>1954220</v>
      </c>
    </row>
    <row r="34" spans="1:7" x14ac:dyDescent="0.3">
      <c r="C34" s="35" t="s">
        <v>112</v>
      </c>
      <c r="D34" s="44">
        <f>SUM(D24:D33)</f>
        <v>2740810</v>
      </c>
      <c r="E34" s="44">
        <f>SUM(E24:E33)</f>
        <v>9060530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238</v>
      </c>
      <c r="D36" s="56" t="s">
        <v>234</v>
      </c>
      <c r="E36" s="56" t="s">
        <v>235</v>
      </c>
      <c r="F36" s="54"/>
      <c r="G36" s="54"/>
    </row>
    <row r="37" spans="1:7" ht="17.25" thickBot="1" x14ac:dyDescent="0.35">
      <c r="C37" s="38" t="s">
        <v>143</v>
      </c>
      <c r="D37" s="52">
        <v>0</v>
      </c>
      <c r="E37" s="60">
        <f>TRUNC(+D37*3.3058,-1)</f>
        <v>0</v>
      </c>
    </row>
    <row r="38" spans="1:7" s="65" customFormat="1" x14ac:dyDescent="0.3">
      <c r="C38" s="66"/>
      <c r="D38" s="66"/>
      <c r="E38" s="66"/>
      <c r="G38" s="67"/>
    </row>
    <row r="39" spans="1:7" s="65" customFormat="1" ht="17.25" thickBot="1" x14ac:dyDescent="0.35">
      <c r="B39" s="65" t="s">
        <v>111</v>
      </c>
      <c r="C39" s="65" t="s">
        <v>242</v>
      </c>
      <c r="D39" s="66" t="s">
        <v>262</v>
      </c>
      <c r="E39" s="66" t="s">
        <v>263</v>
      </c>
      <c r="G39" s="67"/>
    </row>
    <row r="40" spans="1:7" x14ac:dyDescent="0.3">
      <c r="A40" s="2">
        <v>1</v>
      </c>
      <c r="C40" s="38" t="s">
        <v>15</v>
      </c>
      <c r="D40" s="40">
        <f>TRUNC(78518,-1)</f>
        <v>78510</v>
      </c>
      <c r="E40" s="61">
        <f t="shared" ref="E40:E59" si="1">TRUNC(+D40*3.3058,-1)</f>
        <v>259530</v>
      </c>
    </row>
    <row r="41" spans="1:7" x14ac:dyDescent="0.3">
      <c r="A41" s="2">
        <v>2</v>
      </c>
      <c r="C41" s="38" t="s">
        <v>13</v>
      </c>
      <c r="D41" s="42">
        <v>165400</v>
      </c>
      <c r="E41" s="62">
        <f t="shared" si="1"/>
        <v>546770</v>
      </c>
    </row>
    <row r="42" spans="1:7" x14ac:dyDescent="0.3">
      <c r="A42" s="2">
        <v>3</v>
      </c>
      <c r="C42" s="38" t="s">
        <v>14</v>
      </c>
      <c r="D42" s="42">
        <v>0</v>
      </c>
      <c r="E42" s="62">
        <f t="shared" si="1"/>
        <v>0</v>
      </c>
    </row>
    <row r="43" spans="1:7" x14ac:dyDescent="0.3">
      <c r="A43" s="2">
        <v>4</v>
      </c>
      <c r="C43" s="38" t="s">
        <v>16</v>
      </c>
      <c r="D43" s="42">
        <f>TRUNC(15555,-1)</f>
        <v>15550</v>
      </c>
      <c r="E43" s="62">
        <f t="shared" si="1"/>
        <v>51400</v>
      </c>
    </row>
    <row r="44" spans="1:7" x14ac:dyDescent="0.3">
      <c r="A44" s="2">
        <v>5</v>
      </c>
      <c r="C44" s="38" t="s">
        <v>17</v>
      </c>
      <c r="D44" s="42">
        <v>38570</v>
      </c>
      <c r="E44" s="62">
        <f t="shared" si="1"/>
        <v>127500</v>
      </c>
    </row>
    <row r="45" spans="1:7" x14ac:dyDescent="0.3">
      <c r="A45" s="2">
        <v>6</v>
      </c>
      <c r="C45" s="38" t="s">
        <v>18</v>
      </c>
      <c r="D45" s="42">
        <v>3400</v>
      </c>
      <c r="E45" s="62">
        <f t="shared" si="1"/>
        <v>11230</v>
      </c>
    </row>
    <row r="46" spans="1:7" x14ac:dyDescent="0.3">
      <c r="A46" s="2">
        <v>7</v>
      </c>
      <c r="C46" s="38" t="s">
        <v>19</v>
      </c>
      <c r="D46" s="42">
        <f>TRUNC(5116,-1)</f>
        <v>5110</v>
      </c>
      <c r="E46" s="62">
        <f t="shared" si="1"/>
        <v>16890</v>
      </c>
    </row>
    <row r="47" spans="1:7" x14ac:dyDescent="0.3">
      <c r="A47" s="2">
        <v>8</v>
      </c>
      <c r="C47" s="38" t="s">
        <v>20</v>
      </c>
      <c r="D47" s="42">
        <v>0</v>
      </c>
      <c r="E47" s="62">
        <f t="shared" si="1"/>
        <v>0</v>
      </c>
    </row>
    <row r="48" spans="1:7" x14ac:dyDescent="0.3">
      <c r="A48" s="2">
        <v>9</v>
      </c>
      <c r="C48" s="38" t="s">
        <v>21</v>
      </c>
      <c r="D48" s="42">
        <f>TRUNC(153412,-1)</f>
        <v>153410</v>
      </c>
      <c r="E48" s="62">
        <f t="shared" si="1"/>
        <v>507140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TRUNC(19916,-1)</f>
        <v>19910</v>
      </c>
      <c r="E49" s="62">
        <f t="shared" si="1"/>
        <v>65810</v>
      </c>
    </row>
    <row r="50" spans="1:7" x14ac:dyDescent="0.3">
      <c r="A50" s="2">
        <v>11</v>
      </c>
      <c r="C50" s="38" t="s">
        <v>154</v>
      </c>
      <c r="D50" s="42">
        <f>TRUNC(53864,-1)</f>
        <v>53860</v>
      </c>
      <c r="E50" s="62">
        <f t="shared" si="1"/>
        <v>178050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2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TRUNC(29778,-1)</f>
        <v>29770</v>
      </c>
      <c r="E52" s="62">
        <f t="shared" si="1"/>
        <v>98410</v>
      </c>
    </row>
    <row r="53" spans="1:7" x14ac:dyDescent="0.3">
      <c r="A53" s="2">
        <v>14</v>
      </c>
      <c r="C53" s="38" t="s">
        <v>25</v>
      </c>
      <c r="D53" s="42">
        <f>TRUNC(53119,-1)</f>
        <v>53110</v>
      </c>
      <c r="E53" s="62">
        <f t="shared" si="1"/>
        <v>175570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2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2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2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2">
        <f t="shared" si="1"/>
        <v>0</v>
      </c>
    </row>
    <row r="58" spans="1:7" x14ac:dyDescent="0.3">
      <c r="A58" s="2">
        <v>19</v>
      </c>
      <c r="C58" s="38" t="s">
        <v>26</v>
      </c>
      <c r="D58" s="42">
        <f>6651-556+631+186554</f>
        <v>193280</v>
      </c>
      <c r="E58" s="62">
        <f t="shared" si="1"/>
        <v>638940</v>
      </c>
      <c r="F58" s="2" t="s">
        <v>259</v>
      </c>
    </row>
    <row r="59" spans="1:7" ht="17.25" thickBot="1" x14ac:dyDescent="0.35">
      <c r="A59" s="2">
        <v>20</v>
      </c>
      <c r="C59" s="38" t="s">
        <v>148</v>
      </c>
      <c r="D59" s="43">
        <f>TRUNC(157147,-1)</f>
        <v>157140</v>
      </c>
      <c r="E59" s="63">
        <f t="shared" si="1"/>
        <v>519470</v>
      </c>
    </row>
    <row r="60" spans="1:7" x14ac:dyDescent="0.3">
      <c r="A60" s="2">
        <v>21</v>
      </c>
      <c r="C60" s="27" t="s">
        <v>112</v>
      </c>
      <c r="D60" s="39">
        <f>SUM(D40:D59)</f>
        <v>967020</v>
      </c>
      <c r="E60" s="39">
        <f>SUM(E40:E59)</f>
        <v>3196710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239</v>
      </c>
      <c r="C62" s="55" t="s">
        <v>240</v>
      </c>
      <c r="D62" s="56" t="s">
        <v>237</v>
      </c>
      <c r="E62" s="56" t="s">
        <v>235</v>
      </c>
      <c r="F62" s="54"/>
      <c r="G62" s="54"/>
    </row>
    <row r="63" spans="1:7" x14ac:dyDescent="0.3">
      <c r="A63" s="2">
        <v>1</v>
      </c>
      <c r="C63" s="38" t="s">
        <v>27</v>
      </c>
      <c r="D63" s="40">
        <f>TRUNC(110156,-1)</f>
        <v>110150</v>
      </c>
      <c r="E63" s="61">
        <f>TRUNC(+D63*3.3058,-1)</f>
        <v>364130</v>
      </c>
    </row>
    <row r="64" spans="1:7" x14ac:dyDescent="0.3">
      <c r="A64" s="2">
        <v>2</v>
      </c>
      <c r="C64" s="38" t="s">
        <v>29</v>
      </c>
      <c r="D64" s="42">
        <v>0</v>
      </c>
      <c r="E64" s="62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3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110150</v>
      </c>
      <c r="E66" s="64">
        <f>SUM(E63:E65)</f>
        <v>364130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241</v>
      </c>
      <c r="C68" s="55" t="s">
        <v>242</v>
      </c>
      <c r="D68" s="56" t="s">
        <v>234</v>
      </c>
      <c r="E68" s="56" t="s">
        <v>235</v>
      </c>
      <c r="F68" s="54"/>
      <c r="G68" s="54"/>
    </row>
    <row r="69" spans="1:7" x14ac:dyDescent="0.3">
      <c r="A69" s="2">
        <v>1</v>
      </c>
      <c r="C69" s="38" t="s">
        <v>30</v>
      </c>
      <c r="D69" s="40">
        <f>TRUNC(2386,-1)</f>
        <v>2380</v>
      </c>
      <c r="E69" s="61">
        <f t="shared" ref="E69:E94" si="2">TRUNC(+D69*3.3058,-1)</f>
        <v>7860</v>
      </c>
    </row>
    <row r="70" spans="1:7" ht="16.5" customHeight="1" x14ac:dyDescent="0.3">
      <c r="A70" s="2">
        <v>2</v>
      </c>
      <c r="C70" s="38" t="s">
        <v>31</v>
      </c>
      <c r="D70" s="42">
        <f>TRUNC(1866,-1)</f>
        <v>1860</v>
      </c>
      <c r="E70" s="62">
        <f t="shared" si="2"/>
        <v>6140</v>
      </c>
    </row>
    <row r="71" spans="1:7" x14ac:dyDescent="0.3">
      <c r="A71" s="2">
        <v>3</v>
      </c>
      <c r="C71" s="38" t="s">
        <v>32</v>
      </c>
      <c r="D71" s="42">
        <f>TRUNC(1877,-1)</f>
        <v>1870</v>
      </c>
      <c r="E71" s="62">
        <f t="shared" si="2"/>
        <v>6180</v>
      </c>
    </row>
    <row r="72" spans="1:7" x14ac:dyDescent="0.3">
      <c r="A72" s="2">
        <v>4</v>
      </c>
      <c r="C72" s="38" t="s">
        <v>33</v>
      </c>
      <c r="D72" s="42">
        <v>0</v>
      </c>
      <c r="E72" s="62">
        <f t="shared" si="2"/>
        <v>0</v>
      </c>
    </row>
    <row r="73" spans="1:7" x14ac:dyDescent="0.3">
      <c r="A73" s="2">
        <v>5</v>
      </c>
      <c r="C73" s="38" t="s">
        <v>34</v>
      </c>
      <c r="D73" s="42">
        <f>TRUNC(2096,-1)</f>
        <v>2090</v>
      </c>
      <c r="E73" s="62">
        <f t="shared" si="2"/>
        <v>6900</v>
      </c>
    </row>
    <row r="74" spans="1:7" x14ac:dyDescent="0.3">
      <c r="A74" s="2">
        <v>6</v>
      </c>
      <c r="C74" s="38" t="s">
        <v>175</v>
      </c>
      <c r="D74" s="42">
        <v>0</v>
      </c>
      <c r="E74" s="62">
        <f t="shared" si="2"/>
        <v>0</v>
      </c>
    </row>
    <row r="75" spans="1:7" x14ac:dyDescent="0.3">
      <c r="A75" s="2">
        <v>7</v>
      </c>
      <c r="C75" s="38" t="s">
        <v>140</v>
      </c>
      <c r="D75" s="42">
        <f>TRUNC(7842,-1)</f>
        <v>7840</v>
      </c>
      <c r="E75" s="62">
        <f t="shared" si="2"/>
        <v>25910</v>
      </c>
    </row>
    <row r="76" spans="1:7" x14ac:dyDescent="0.3">
      <c r="A76" s="2">
        <v>8</v>
      </c>
      <c r="C76" s="38" t="s">
        <v>119</v>
      </c>
      <c r="D76" s="42">
        <v>0</v>
      </c>
      <c r="E76" s="62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2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2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2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2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2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2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2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2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2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2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2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2">
        <f t="shared" si="2"/>
        <v>0</v>
      </c>
    </row>
    <row r="89" spans="1:7" x14ac:dyDescent="0.3">
      <c r="A89" s="2">
        <v>21</v>
      </c>
      <c r="C89" s="38" t="s">
        <v>35</v>
      </c>
      <c r="D89" s="42">
        <f>TRUNC(3573,-1)</f>
        <v>3570</v>
      </c>
      <c r="E89" s="62">
        <f t="shared" si="2"/>
        <v>11800</v>
      </c>
    </row>
    <row r="90" spans="1:7" x14ac:dyDescent="0.3">
      <c r="A90" s="2">
        <v>22</v>
      </c>
      <c r="C90" s="38" t="s">
        <v>36</v>
      </c>
      <c r="D90" s="42">
        <v>0</v>
      </c>
      <c r="E90" s="62">
        <f t="shared" si="2"/>
        <v>0</v>
      </c>
    </row>
    <row r="91" spans="1:7" x14ac:dyDescent="0.3">
      <c r="A91" s="2">
        <v>23</v>
      </c>
      <c r="C91" s="38" t="s">
        <v>37</v>
      </c>
      <c r="D91" s="42">
        <f>TRUNC(27432,-1)</f>
        <v>27430</v>
      </c>
      <c r="E91" s="62">
        <f t="shared" si="2"/>
        <v>90670</v>
      </c>
    </row>
    <row r="92" spans="1:7" x14ac:dyDescent="0.3">
      <c r="A92" s="2">
        <v>24</v>
      </c>
      <c r="C92" s="38" t="s">
        <v>38</v>
      </c>
      <c r="D92" s="42">
        <v>1190</v>
      </c>
      <c r="E92" s="62">
        <f t="shared" si="2"/>
        <v>3930</v>
      </c>
    </row>
    <row r="93" spans="1:7" x14ac:dyDescent="0.3">
      <c r="A93" s="2">
        <v>25</v>
      </c>
      <c r="C93" s="38" t="s">
        <v>148</v>
      </c>
      <c r="D93" s="42">
        <f>TRUNC(216043,-1)</f>
        <v>216040</v>
      </c>
      <c r="E93" s="62">
        <f t="shared" si="2"/>
        <v>714180</v>
      </c>
    </row>
    <row r="94" spans="1:7" ht="17.25" thickBot="1" x14ac:dyDescent="0.35">
      <c r="A94" s="2">
        <v>26</v>
      </c>
      <c r="C94" s="38" t="s">
        <v>47</v>
      </c>
      <c r="D94" s="43">
        <f>TRUNC(3286,-1)</f>
        <v>3280</v>
      </c>
      <c r="E94" s="63">
        <f t="shared" si="2"/>
        <v>10840</v>
      </c>
    </row>
    <row r="95" spans="1:7" x14ac:dyDescent="0.3">
      <c r="A95" s="2">
        <v>27</v>
      </c>
      <c r="C95" s="27" t="s">
        <v>112</v>
      </c>
      <c r="D95" s="39">
        <f>SUM(D69:D94)</f>
        <v>267550</v>
      </c>
      <c r="E95" s="39">
        <f>SUM(E69:E94)</f>
        <v>884410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243</v>
      </c>
      <c r="C97" s="55" t="s">
        <v>242</v>
      </c>
      <c r="D97" s="56" t="s">
        <v>234</v>
      </c>
      <c r="E97" s="56" t="s">
        <v>235</v>
      </c>
      <c r="F97" s="54"/>
      <c r="G97" s="54"/>
    </row>
    <row r="98" spans="1:7" x14ac:dyDescent="0.3">
      <c r="A98" s="2">
        <v>1</v>
      </c>
      <c r="C98" s="38" t="s">
        <v>39</v>
      </c>
      <c r="D98" s="40">
        <f>TRUNC(10852,-1)</f>
        <v>10850</v>
      </c>
      <c r="E98" s="61">
        <f t="shared" ref="E98:E118" si="3">TRUNC(+D98*3.3058,-1)</f>
        <v>35860</v>
      </c>
    </row>
    <row r="99" spans="1:7" x14ac:dyDescent="0.3">
      <c r="A99" s="2">
        <v>2</v>
      </c>
      <c r="C99" s="38" t="s">
        <v>40</v>
      </c>
      <c r="D99" s="42">
        <f>TRUNC(5121,-1)</f>
        <v>5120</v>
      </c>
      <c r="E99" s="62">
        <f t="shared" si="3"/>
        <v>16920</v>
      </c>
    </row>
    <row r="100" spans="1:7" x14ac:dyDescent="0.3">
      <c r="A100" s="2">
        <v>3</v>
      </c>
      <c r="C100" s="38" t="s">
        <v>41</v>
      </c>
      <c r="D100" s="42">
        <f>TRUNC(40166,-1)</f>
        <v>40160</v>
      </c>
      <c r="E100" s="62">
        <f t="shared" si="3"/>
        <v>132760</v>
      </c>
    </row>
    <row r="101" spans="1:7" x14ac:dyDescent="0.3">
      <c r="A101" s="2">
        <v>4</v>
      </c>
      <c r="C101" s="38" t="s">
        <v>42</v>
      </c>
      <c r="D101" s="42">
        <f>TRUNC(1294,-1)</f>
        <v>1290</v>
      </c>
      <c r="E101" s="62">
        <f t="shared" si="3"/>
        <v>4260</v>
      </c>
    </row>
    <row r="102" spans="1:7" x14ac:dyDescent="0.3">
      <c r="A102" s="2">
        <v>5</v>
      </c>
      <c r="C102" s="38" t="s">
        <v>43</v>
      </c>
      <c r="D102" s="42">
        <f>TRUNC(8239,-1)</f>
        <v>8230</v>
      </c>
      <c r="E102" s="62">
        <f t="shared" si="3"/>
        <v>27200</v>
      </c>
    </row>
    <row r="103" spans="1:7" x14ac:dyDescent="0.3">
      <c r="A103" s="2">
        <v>6</v>
      </c>
      <c r="C103" s="38" t="s">
        <v>44</v>
      </c>
      <c r="D103" s="42">
        <f>TRUNC(1691,-1)</f>
        <v>1690</v>
      </c>
      <c r="E103" s="62">
        <f t="shared" si="3"/>
        <v>5580</v>
      </c>
    </row>
    <row r="104" spans="1:7" x14ac:dyDescent="0.3">
      <c r="A104" s="2">
        <v>7</v>
      </c>
      <c r="C104" s="38" t="s">
        <v>45</v>
      </c>
      <c r="D104" s="42">
        <f>TRUNC(4313,-1)</f>
        <v>4310</v>
      </c>
      <c r="E104" s="62">
        <f t="shared" si="3"/>
        <v>14240</v>
      </c>
    </row>
    <row r="105" spans="1:7" x14ac:dyDescent="0.3">
      <c r="A105" s="2">
        <v>8</v>
      </c>
      <c r="C105" s="38" t="s">
        <v>46</v>
      </c>
      <c r="D105" s="42">
        <f>TRUNC(4128,-1)</f>
        <v>4120</v>
      </c>
      <c r="E105" s="62">
        <f t="shared" si="3"/>
        <v>13610</v>
      </c>
    </row>
    <row r="106" spans="1:7" x14ac:dyDescent="0.3">
      <c r="A106" s="2">
        <v>9</v>
      </c>
      <c r="C106" s="38" t="s">
        <v>135</v>
      </c>
      <c r="D106" s="42">
        <v>0</v>
      </c>
      <c r="E106" s="62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2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2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2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2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2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2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2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TRUNC(5059,-1)</f>
        <v>5050</v>
      </c>
      <c r="E114" s="62">
        <f t="shared" si="3"/>
        <v>16690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2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TRUNC(13176,-1)</f>
        <v>13170</v>
      </c>
      <c r="E116" s="62">
        <f t="shared" si="3"/>
        <v>43530</v>
      </c>
      <c r="F116" s="2" t="s">
        <v>255</v>
      </c>
    </row>
    <row r="117" spans="1:7" x14ac:dyDescent="0.3">
      <c r="A117" s="2">
        <v>20</v>
      </c>
      <c r="C117" s="38" t="s">
        <v>148</v>
      </c>
      <c r="D117" s="42">
        <f>TRUNC(146299,-1)</f>
        <v>146290</v>
      </c>
      <c r="E117" s="62">
        <f t="shared" si="3"/>
        <v>483600</v>
      </c>
    </row>
    <row r="118" spans="1:7" ht="17.25" thickBot="1" x14ac:dyDescent="0.35">
      <c r="A118" s="2">
        <v>21</v>
      </c>
      <c r="C118" s="38" t="s">
        <v>47</v>
      </c>
      <c r="D118" s="43">
        <v>3040</v>
      </c>
      <c r="E118" s="63">
        <f t="shared" si="3"/>
        <v>10040</v>
      </c>
    </row>
    <row r="119" spans="1:7" x14ac:dyDescent="0.3">
      <c r="A119" s="2">
        <v>22</v>
      </c>
      <c r="C119" s="27" t="s">
        <v>112</v>
      </c>
      <c r="D119" s="39">
        <f>SUM(D98:D118)</f>
        <v>243320</v>
      </c>
      <c r="E119" s="39">
        <f>SUM(E98:E118)</f>
        <v>804290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244</v>
      </c>
      <c r="C121" s="55" t="s">
        <v>242</v>
      </c>
      <c r="D121" s="56" t="s">
        <v>234</v>
      </c>
      <c r="E121" s="56" t="s">
        <v>235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940</v>
      </c>
      <c r="E122" s="61">
        <f t="shared" ref="E122:E132" si="4">TRUNC(+D122*3.3058,-1)</f>
        <v>3100</v>
      </c>
      <c r="F122" s="2" t="s">
        <v>252</v>
      </c>
    </row>
    <row r="123" spans="1:7" x14ac:dyDescent="0.3">
      <c r="A123" s="2">
        <v>2</v>
      </c>
      <c r="C123" s="38" t="s">
        <v>124</v>
      </c>
      <c r="D123" s="42">
        <v>0</v>
      </c>
      <c r="E123" s="62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2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TRUNC(5515,-1)</f>
        <v>5510</v>
      </c>
      <c r="E125" s="62">
        <f t="shared" si="4"/>
        <v>18210</v>
      </c>
    </row>
    <row r="126" spans="1:7" x14ac:dyDescent="0.3">
      <c r="A126" s="2">
        <v>5</v>
      </c>
      <c r="C126" s="38" t="s">
        <v>53</v>
      </c>
      <c r="D126" s="42">
        <v>0</v>
      </c>
      <c r="E126" s="62">
        <f t="shared" si="4"/>
        <v>0</v>
      </c>
    </row>
    <row r="127" spans="1:7" x14ac:dyDescent="0.3">
      <c r="A127" s="2">
        <v>6</v>
      </c>
      <c r="C127" s="38" t="s">
        <v>56</v>
      </c>
      <c r="D127" s="42">
        <v>3180</v>
      </c>
      <c r="E127" s="62">
        <f t="shared" si="4"/>
        <v>10510</v>
      </c>
    </row>
    <row r="128" spans="1:7" x14ac:dyDescent="0.3">
      <c r="A128" s="2">
        <v>7</v>
      </c>
      <c r="C128" s="38" t="s">
        <v>46</v>
      </c>
      <c r="D128" s="42">
        <f>TRUNC(3638,-1)</f>
        <v>3630</v>
      </c>
      <c r="E128" s="62">
        <f t="shared" si="4"/>
        <v>12000</v>
      </c>
    </row>
    <row r="129" spans="1:7" x14ac:dyDescent="0.3">
      <c r="A129" s="2">
        <v>8</v>
      </c>
      <c r="C129" s="38" t="s">
        <v>126</v>
      </c>
      <c r="D129" s="42">
        <v>0</v>
      </c>
      <c r="E129" s="62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TRUNC(24151,-1)</f>
        <v>24150</v>
      </c>
      <c r="E130" s="62">
        <f t="shared" si="4"/>
        <v>79830</v>
      </c>
    </row>
    <row r="131" spans="1:7" x14ac:dyDescent="0.3">
      <c r="A131" s="2">
        <v>10</v>
      </c>
      <c r="C131" s="38" t="s">
        <v>148</v>
      </c>
      <c r="D131" s="42">
        <f>TRUNC(60173,-1)</f>
        <v>60170</v>
      </c>
      <c r="E131" s="62">
        <f t="shared" si="4"/>
        <v>198900</v>
      </c>
    </row>
    <row r="132" spans="1:7" ht="17.25" thickBot="1" x14ac:dyDescent="0.35">
      <c r="A132" s="2">
        <v>11</v>
      </c>
      <c r="C132" s="38" t="s">
        <v>47</v>
      </c>
      <c r="D132" s="43">
        <f>TRUNC(7240+352,-1)</f>
        <v>7590</v>
      </c>
      <c r="E132" s="63">
        <f t="shared" si="4"/>
        <v>25090</v>
      </c>
      <c r="F132" s="2" t="s">
        <v>253</v>
      </c>
    </row>
    <row r="133" spans="1:7" x14ac:dyDescent="0.3">
      <c r="A133" s="2">
        <v>12</v>
      </c>
      <c r="C133" s="27" t="s">
        <v>112</v>
      </c>
      <c r="D133" s="39">
        <f>SUM(D122:D132)</f>
        <v>105170</v>
      </c>
      <c r="E133" s="39">
        <f>SUM(E122:E132)</f>
        <v>347640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245</v>
      </c>
      <c r="C135" s="55" t="s">
        <v>242</v>
      </c>
      <c r="D135" s="56" t="s">
        <v>234</v>
      </c>
      <c r="E135" s="56" t="s">
        <v>235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0</v>
      </c>
      <c r="E136" s="61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TRUNC(132+1946+26148,-1)</f>
        <v>28220</v>
      </c>
      <c r="E137" s="62">
        <f t="shared" si="5"/>
        <v>93280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f>TRUNC(90269,-1)</f>
        <v>90260</v>
      </c>
      <c r="E138" s="62">
        <f t="shared" si="5"/>
        <v>298380</v>
      </c>
    </row>
    <row r="139" spans="1:7" x14ac:dyDescent="0.3">
      <c r="A139" s="2">
        <v>4</v>
      </c>
      <c r="C139" s="38" t="s">
        <v>61</v>
      </c>
      <c r="D139" s="42">
        <v>0</v>
      </c>
      <c r="E139" s="62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TRUNC(1231,-1)</f>
        <v>1230</v>
      </c>
      <c r="E140" s="62">
        <f t="shared" si="5"/>
        <v>4060</v>
      </c>
    </row>
    <row r="141" spans="1:7" x14ac:dyDescent="0.3">
      <c r="A141" s="2">
        <v>6</v>
      </c>
      <c r="C141" s="38" t="s">
        <v>59</v>
      </c>
      <c r="D141" s="42">
        <v>8960</v>
      </c>
      <c r="E141" s="62">
        <f t="shared" si="5"/>
        <v>29610</v>
      </c>
    </row>
    <row r="142" spans="1:7" x14ac:dyDescent="0.3">
      <c r="A142" s="2">
        <v>7</v>
      </c>
      <c r="C142" s="38" t="s">
        <v>58</v>
      </c>
      <c r="D142" s="42">
        <f>TRUNC(2105,-1)</f>
        <v>2100</v>
      </c>
      <c r="E142" s="62">
        <f t="shared" si="5"/>
        <v>6940</v>
      </c>
    </row>
    <row r="143" spans="1:7" x14ac:dyDescent="0.3">
      <c r="A143" s="2">
        <v>8</v>
      </c>
      <c r="C143" s="38" t="s">
        <v>62</v>
      </c>
      <c r="D143" s="42">
        <v>0</v>
      </c>
      <c r="E143" s="62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2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f>TRUNC(3158,-1)</f>
        <v>3150</v>
      </c>
      <c r="E145" s="63">
        <f t="shared" si="5"/>
        <v>10410</v>
      </c>
    </row>
    <row r="146" spans="1:7" x14ac:dyDescent="0.3">
      <c r="A146" s="2">
        <v>11</v>
      </c>
      <c r="C146" s="27" t="s">
        <v>112</v>
      </c>
      <c r="D146" s="39">
        <f>SUM(D136:D145)</f>
        <v>133920</v>
      </c>
      <c r="E146" s="39">
        <f>SUM(E136:E145)</f>
        <v>442680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246</v>
      </c>
      <c r="C148" s="55" t="s">
        <v>242</v>
      </c>
      <c r="D148" s="56" t="s">
        <v>234</v>
      </c>
      <c r="E148" s="56" t="s">
        <v>235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f>TRUNC(22040+1115,-1)</f>
        <v>23150</v>
      </c>
      <c r="E149" s="61">
        <f>TRUNC(+D149*3.3058,-1)</f>
        <v>76520</v>
      </c>
      <c r="F149" s="2" t="s">
        <v>231</v>
      </c>
    </row>
    <row r="150" spans="1:7" x14ac:dyDescent="0.3">
      <c r="A150" s="2">
        <v>2</v>
      </c>
      <c r="C150" s="38" t="s">
        <v>49</v>
      </c>
      <c r="D150" s="42">
        <f>TRUNC(5692,-1)</f>
        <v>5690</v>
      </c>
      <c r="E150" s="62">
        <f>TRUNC(+D150*3.3058,-1)</f>
        <v>18810</v>
      </c>
      <c r="F150" s="2" t="s">
        <v>231</v>
      </c>
    </row>
    <row r="151" spans="1:7" x14ac:dyDescent="0.3">
      <c r="A151" s="2">
        <v>3</v>
      </c>
      <c r="C151" s="38" t="s">
        <v>50</v>
      </c>
      <c r="D151" s="42">
        <f>TRUNC(194714,-1)</f>
        <v>194710</v>
      </c>
      <c r="E151" s="62">
        <f>TRUNC(+D151*3.3058,-1)</f>
        <v>643670</v>
      </c>
      <c r="F151" s="2" t="s">
        <v>231</v>
      </c>
    </row>
    <row r="152" spans="1:7" x14ac:dyDescent="0.3">
      <c r="A152" s="2">
        <v>4</v>
      </c>
      <c r="C152" s="38" t="s">
        <v>47</v>
      </c>
      <c r="D152" s="42">
        <f>TRUNC(24873+660,-1)</f>
        <v>25530</v>
      </c>
      <c r="E152" s="62">
        <f>TRUNC(+D152*3.3058,-1)</f>
        <v>84390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f>TRUNC(37092,-1)</f>
        <v>37090</v>
      </c>
      <c r="E153" s="63">
        <f>TRUNC(+D153*3.3058,-1)</f>
        <v>122610</v>
      </c>
      <c r="F153" s="2" t="s">
        <v>231</v>
      </c>
    </row>
    <row r="154" spans="1:7" x14ac:dyDescent="0.3">
      <c r="A154" s="2">
        <v>6</v>
      </c>
      <c r="C154" s="27" t="s">
        <v>112</v>
      </c>
      <c r="D154" s="39">
        <f>SUM(D149:D153)</f>
        <v>286170</v>
      </c>
      <c r="E154" s="39">
        <f>SUM(E149:E153)</f>
        <v>946000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247</v>
      </c>
      <c r="C156" s="55" t="s">
        <v>242</v>
      </c>
      <c r="D156" s="56" t="s">
        <v>234</v>
      </c>
      <c r="E156" s="56" t="s">
        <v>235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f>TRUNC(36363,-1)</f>
        <v>36360</v>
      </c>
      <c r="E157" s="61">
        <f>TRUNC(+D157*3.3058,-1)</f>
        <v>120190</v>
      </c>
    </row>
    <row r="158" spans="1:7" x14ac:dyDescent="0.3">
      <c r="A158" s="2">
        <v>2</v>
      </c>
      <c r="C158" s="38" t="s">
        <v>52</v>
      </c>
      <c r="D158" s="42">
        <v>0</v>
      </c>
      <c r="E158" s="62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2">
        <f>TRUNC(+D159*3.3058,-1)</f>
        <v>0</v>
      </c>
      <c r="F159" s="2" t="s">
        <v>254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3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36360</v>
      </c>
      <c r="E161" s="39">
        <f>SUM(E157:E160)</f>
        <v>120190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2020-12-07T10:11:00Z</dcterms:modified>
</cp:coreProperties>
</file>