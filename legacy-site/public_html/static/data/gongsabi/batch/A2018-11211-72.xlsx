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31" i="4"/>
  <c r="D153" i="4"/>
  <c r="D160" i="4"/>
  <c r="D152" i="4"/>
  <c r="D150" i="4"/>
  <c r="D149" i="4"/>
  <c r="D144" i="4"/>
  <c r="D143" i="4"/>
  <c r="D137" i="4"/>
  <c r="D142" i="4"/>
  <c r="D140" i="4"/>
  <c r="D132" i="4"/>
  <c r="D128" i="4"/>
  <c r="D124" i="4"/>
  <c r="D125" i="4"/>
  <c r="D122" i="4"/>
  <c r="D130" i="4"/>
  <c r="D118" i="4"/>
  <c r="D105" i="4"/>
  <c r="D104" i="4"/>
  <c r="D103" i="4"/>
  <c r="D102" i="4"/>
  <c r="D100" i="4"/>
  <c r="D99" i="4"/>
  <c r="D114" i="4"/>
  <c r="D98" i="4"/>
  <c r="D116" i="4"/>
  <c r="D94" i="4"/>
  <c r="D92" i="4"/>
  <c r="D91" i="4"/>
  <c r="D89" i="4"/>
  <c r="D73" i="4"/>
  <c r="D70" i="4"/>
  <c r="D69" i="4"/>
  <c r="D63" i="4"/>
  <c r="D46" i="4"/>
  <c r="D58" i="4"/>
  <c r="D53" i="4"/>
  <c r="D52" i="4"/>
  <c r="D50" i="4"/>
  <c r="D49" i="4"/>
  <c r="D48" i="4"/>
  <c r="D45" i="4"/>
  <c r="D44" i="4"/>
  <c r="D43" i="4"/>
  <c r="D42" i="4"/>
  <c r="D41" i="4"/>
  <c r="D40" i="4"/>
  <c r="D159" i="4"/>
  <c r="D158" i="4"/>
  <c r="D157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46" i="4" l="1"/>
  <c r="E154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119" i="4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28" i="4"/>
  <c r="E28" i="4" s="1"/>
  <c r="D29" i="4"/>
  <c r="E29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<sst xmlns="http://schemas.openxmlformats.org/spreadsheetml/2006/main" count="395" uniqueCount="270">
  <si>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</si>
  <si>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</si>
  <si>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</si>
  <si>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</si>
  <si>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</si>
  <si>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</si>
  <si>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</si>
  <si>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</si>
  <si>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</si>
  <si>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</si>
  <si>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</si>
  <si>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</si>
  <si>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</si>
  <si>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</si>
  <si>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</si>
  <si>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</si>
  <si>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</si>
  <si>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</si>
  <si>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</si>
  <si>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</si>
  <si>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</si>
  <si>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</si>
  <si>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</si>
  <si>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</si>
  <si>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</si>
  <si>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</si>
  <si>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</si>
  <si>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</si>
  <si>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</si>
  <si>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</si>
  <si>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</si>
  <si>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</si>
  <si>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</si>
  <si>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</si>
  <si>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</si>
  <si>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</si>
  <si>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</si>
  <si>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</si>
  <si>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</si>
  <si>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</si>
  <si>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</si>
  <si>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</si>
  <si>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</si>
  <si>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</si>
  <si>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</si>
  <si>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</si>
  <si>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</si>
  <si>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</si>
  <si>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</si>
  <si>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</si>
  <si>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</si>
  <si>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</si>
  <si>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</si>
  <si>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</si>
  <si>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</si>
  <si>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</si>
  <si>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</si>
  <si>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</si>
  <si>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</si>
  <si>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</si>
  <si>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</si>
  <si>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</si>
  <si>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</si>
  <si>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</si>
  <si>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</si>
  <si>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</si>
  <si>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</si>
  <si>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</si>
  <si>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</si>
  <si>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</si>
  <si>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</si>
  <si>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</si>
  <si>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</si>
  <si>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</si>
  <si>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</si>
  <si>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</si>
  <si>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</si>
  <si>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</si>
  <si>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</si>
  <si>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</si>
  <si>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</si>
  <si>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</si>
  <si>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</si>
  <si>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</si>
  <si>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</si>
  <si>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</si>
  <si>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</si>
  <si>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</si>
  <si>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</si>
  <si>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</si>
  <si>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</si>
  <si>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</si>
  <si>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</si>
  <si>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</si>
  <si>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</si>
  <si>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</si>
  <si>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</si>
  <si>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</si>
  <si>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</si>
  <si>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</si>
  <si>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</si>
  <si>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</si>
  <si>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</si>
  <si>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</si>
  <si>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</si>
  <si>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</si>
  <si>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</si>
  <si>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</si>
  <si>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</si>
  <si>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</si>
  <si>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</si>
  <si>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</si>
  <si>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</si>
  <si>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</si>
  <si>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</si>
  <si>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</si>
  <si>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</si>
  <si>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</si>
  <si>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</si>
  <si>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</si>
  <si>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</si>
  <si>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</si>
  <si>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</si>
  <si>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</si>
  <si>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</si>
  <si>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</si>
  <si>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</si>
  <si>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</si>
  <si>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</si>
  <si>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</si>
  <si>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</si>
  <si>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</si>
  <si>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</si>
  <si>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</si>
  <si>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</si>
  <si>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</si>
  <si>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</si>
  <si>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</si>
  <si>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</si>
  <si>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</si>
  <si>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</si>
  <si>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</si>
  <si>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</si>
  <si>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</si>
  <si>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</si>
  <si>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</si>
  <si>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</si>
  <si>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</si>
  <si>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</si>
  <si>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</si>
  <si>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</si>
  <si>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</si>
  <si>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</si>
  <si>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</si>
  <si>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</si>
  <si>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</si>
  <si>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</si>
  <si>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</si>
  <si>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</si>
  <si>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</si>
  <si>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</si>
  <si>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</si>
  <si>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</si>
  <si>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</si>
  <si>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</si>
  <si>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</si>
  <si>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</si>
  <si>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</si>
  <si>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</si>
  <si>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</si>
  <si>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</si>
  <si>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</si>
  <si>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</si>
  <si>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</si>
  <si>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</si>
  <si>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</si>
  <si>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</si>
  <si>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</si>
  <si>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</si>
  <si>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</si>
  <si>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</si>
  <si>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</si>
  <si>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</si>
  <si>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</si>
  <si>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</si>
  <si>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</si>
  <si>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</si>
  <si>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</si>
  <si>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</si>
  <si>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</si>
  <si>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</si>
  <si>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</si>
  <si>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</si>
  <si>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</si>
  <si>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</si>
  <si>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</si>
  <si>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</si>
  <si>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</si>
  <si>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</si>
  <si>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</si>
  <si>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</si>
  <si>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</si>
  <si>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</si>
  <si>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</si>
  <si>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</si>
  <si>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</si>
  <si>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</si>
  <si>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</si>
  <si>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</si>
  <si>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</si>
  <si>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</si>
  <si>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</si>
  <si>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</si>
  <si>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</si>
  <si>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</si>
  <si>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</si>
  <si>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</si>
  <si>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</si>
  <si>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</si>
  <si>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</si>
  <si>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</si>
  <si>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</si>
  <si>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</si>
  <si>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</si>
  <si>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</si>
  <si>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</si>
  <si>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</si>
  <si>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</si>
  <si>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</si>
  <si>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</si>
  <si>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</si>
  <si>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</si>
  <si>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</si>
  <si>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</si>
  <si>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</si>
  <si>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</si>
  <si>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</si>
  <si>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</si>
  <si>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</si>
  <si>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</si>
  <si>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</si>
  <si>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</si>
  <si>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</si>
  <si>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</si>
  <si>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</si>
  <si>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</si>
  <si>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</si>
  <si>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</si>
  <si>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FECV부품시험평가센터 신축</t>
    <phoneticPr fontId="2" type="noConversion"/>
  </si>
  <si>
    <t>교육연구</t>
  </si>
  <si>
    <t>충청도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</si>
  <si>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</si>
  <si>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</si>
  <si>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</si>
  <si>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기초공사,골재비및운반비,기타공사</t>
    <phoneticPr fontId="2" type="noConversion"/>
  </si>
  <si>
    <t>공조배관공사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</si>
  <si>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</si>
  <si>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</si>
  <si>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</si>
  <si>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</t>
    <phoneticPr fontId="2" type="noConversion"/>
  </si>
  <si>
    <t>펌프실배관공사</t>
    <phoneticPr fontId="2" type="noConversion"/>
  </si>
  <si>
    <t>오수공사</t>
    <phoneticPr fontId="2" type="noConversion"/>
  </si>
  <si>
    <t>상수도공사,사급자재비,</t>
    <phoneticPr fontId="2" type="noConversion"/>
  </si>
  <si>
    <t>포장공사,기타공사</t>
    <phoneticPr fontId="2" type="noConversion"/>
  </si>
  <si>
    <t>조경시설물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</si>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</sst>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2968.68</v>
      </c>
      <c r="D7" s="36">
        <f>+C7/3.3058</f>
        <v>898.02165890253491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1224640</v>
      </c>
      <c r="E25" s="59">
        <f t="shared" si="0"/>
        <v>4048410</v>
      </c>
    </row>
    <row r="26" spans="1:5" x14ac:dyDescent="0.3">
      <c r="B26" s="2">
        <v>3</v>
      </c>
      <c r="C26" s="35" t="s">
        <v>95</v>
      </c>
      <c r="D26" s="45">
        <f>+D66</f>
        <v>49710</v>
      </c>
      <c r="E26" s="59">
        <f t="shared" si="0"/>
        <v>164330</v>
      </c>
    </row>
    <row r="27" spans="1:5" x14ac:dyDescent="0.3">
      <c r="B27" s="2">
        <v>4</v>
      </c>
      <c r="C27" s="35" t="s">
        <v>96</v>
      </c>
      <c r="D27" s="45">
        <f>+D95</f>
        <v>215910</v>
      </c>
      <c r="E27" s="59">
        <f t="shared" si="0"/>
        <v>713750</v>
      </c>
    </row>
    <row r="28" spans="1:5" x14ac:dyDescent="0.3">
      <c r="B28" s="2">
        <v>5</v>
      </c>
      <c r="C28" s="35" t="s">
        <v>97</v>
      </c>
      <c r="D28" s="45">
        <f>+D119</f>
        <v>500800</v>
      </c>
      <c r="E28" s="59">
        <f t="shared" si="0"/>
        <v>1655540</v>
      </c>
    </row>
    <row r="29" spans="1:5" x14ac:dyDescent="0.3">
      <c r="B29" s="2">
        <v>6</v>
      </c>
      <c r="C29" s="35" t="s">
        <v>98</v>
      </c>
      <c r="D29" s="45">
        <f>+D133</f>
        <v>40970</v>
      </c>
      <c r="E29" s="59">
        <f t="shared" si="0"/>
        <v>135430</v>
      </c>
    </row>
    <row r="30" spans="1:5" x14ac:dyDescent="0.3">
      <c r="B30" s="2">
        <v>7</v>
      </c>
      <c r="C30" s="35" t="s">
        <v>99</v>
      </c>
      <c r="D30" s="45">
        <f>+D146</f>
        <v>36560</v>
      </c>
      <c r="E30" s="59">
        <f t="shared" si="0"/>
        <v>120860</v>
      </c>
    </row>
    <row r="31" spans="1:5" x14ac:dyDescent="0.3">
      <c r="B31" s="2">
        <v>8</v>
      </c>
      <c r="C31" s="35" t="s">
        <v>100</v>
      </c>
      <c r="D31" s="45">
        <f>+D154</f>
        <v>183900</v>
      </c>
      <c r="E31" s="59">
        <f t="shared" si="0"/>
        <v>607930</v>
      </c>
    </row>
    <row r="32" spans="1:5" x14ac:dyDescent="0.3">
      <c r="B32" s="2">
        <v>9</v>
      </c>
      <c r="C32" s="35" t="s">
        <v>101</v>
      </c>
      <c r="D32" s="45">
        <f>+D161</f>
        <v>241560</v>
      </c>
      <c r="E32" s="59">
        <f t="shared" si="0"/>
        <v>798540</v>
      </c>
    </row>
    <row r="33" spans="1:7" x14ac:dyDescent="0.3">
      <c r="B33" s="2">
        <v>10</v>
      </c>
      <c r="C33" s="35" t="s">
        <v>154</v>
      </c>
      <c r="D33" s="53">
        <f>TRUNC(SUM(D24:D32)*0.275,-1)</f>
        <v>685860</v>
      </c>
      <c r="E33" s="60">
        <f t="shared" si="0"/>
        <v>2267310</v>
      </c>
    </row>
    <row r="34" spans="1:7" x14ac:dyDescent="0.3">
      <c r="C34" s="35" t="s">
        <v>112</v>
      </c>
      <c r="D34" s="44">
        <f>SUM(D24:D33)</f>
        <v>3179910</v>
      </c>
      <c r="E34" s="44">
        <f>SUM(E24:E33)</f>
        <v>10512100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TRUNC(108056,-1)</f>
        <v>108050</v>
      </c>
      <c r="E40" s="62">
        <f t="shared" ref="E40:E59" si="1">TRUNC(+D40*3.3058,-1)</f>
        <v>357190</v>
      </c>
    </row>
    <row r="41" spans="1:7" x14ac:dyDescent="0.3">
      <c r="A41" s="2">
        <v>2</v>
      </c>
      <c r="C41" s="38" t="s">
        <v>13</v>
      </c>
      <c r="D41" s="42">
        <f>TRUNC(258638,-1)</f>
        <v>258630</v>
      </c>
      <c r="E41" s="63">
        <f t="shared" si="1"/>
        <v>854970</v>
      </c>
    </row>
    <row r="42" spans="1:7" x14ac:dyDescent="0.3">
      <c r="A42" s="2">
        <v>3</v>
      </c>
      <c r="C42" s="38" t="s">
        <v>14</v>
      </c>
      <c r="D42" s="42">
        <f>TRUNC(12182,-1)</f>
        <v>12180</v>
      </c>
      <c r="E42" s="63">
        <f t="shared" si="1"/>
        <v>40260</v>
      </c>
    </row>
    <row r="43" spans="1:7" x14ac:dyDescent="0.3">
      <c r="A43" s="2">
        <v>4</v>
      </c>
      <c r="C43" s="38" t="s">
        <v>16</v>
      </c>
      <c r="D43" s="42">
        <f>TRUNC(3287,-1)</f>
        <v>3280</v>
      </c>
      <c r="E43" s="63">
        <f t="shared" si="1"/>
        <v>10840</v>
      </c>
    </row>
    <row r="44" spans="1:7" x14ac:dyDescent="0.3">
      <c r="A44" s="2">
        <v>5</v>
      </c>
      <c r="C44" s="38" t="s">
        <v>17</v>
      </c>
      <c r="D44" s="42">
        <f>TRUNC(55334,-1)</f>
        <v>55330</v>
      </c>
      <c r="E44" s="63">
        <f t="shared" si="1"/>
        <v>182900</v>
      </c>
    </row>
    <row r="45" spans="1:7" x14ac:dyDescent="0.3">
      <c r="A45" s="2">
        <v>6</v>
      </c>
      <c r="C45" s="38" t="s">
        <v>18</v>
      </c>
      <c r="D45" s="42">
        <f>TRUNC(4073,-1)</f>
        <v>4070</v>
      </c>
      <c r="E45" s="63">
        <f t="shared" si="1"/>
        <v>13450</v>
      </c>
    </row>
    <row r="46" spans="1:7" x14ac:dyDescent="0.3">
      <c r="A46" s="2">
        <v>7</v>
      </c>
      <c r="C46" s="38" t="s">
        <v>19</v>
      </c>
      <c r="D46" s="42">
        <f>TRUNC(14513,-1)</f>
        <v>14510</v>
      </c>
      <c r="E46" s="63">
        <f t="shared" si="1"/>
        <v>47960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TRUNC(176022,-1)</f>
        <v>176020</v>
      </c>
      <c r="E48" s="63">
        <f t="shared" si="1"/>
        <v>581880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TRUNC(12870,-1)</f>
        <v>12870</v>
      </c>
      <c r="E49" s="63">
        <f t="shared" si="1"/>
        <v>42540</v>
      </c>
    </row>
    <row r="50" spans="1:7" x14ac:dyDescent="0.3">
      <c r="A50" s="2">
        <v>11</v>
      </c>
      <c r="C50" s="38" t="s">
        <v>155</v>
      </c>
      <c r="D50" s="42">
        <f>TRUNC(28662,-1)</f>
        <v>28660</v>
      </c>
      <c r="E50" s="63">
        <f t="shared" si="1"/>
        <v>94740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TRUNC(18604,-1)</f>
        <v>18600</v>
      </c>
      <c r="E52" s="63">
        <f t="shared" si="1"/>
        <v>61480</v>
      </c>
    </row>
    <row r="53" spans="1:7" x14ac:dyDescent="0.3">
      <c r="A53" s="2">
        <v>14</v>
      </c>
      <c r="C53" s="38" t="s">
        <v>25</v>
      </c>
      <c r="D53" s="42">
        <f>TRUNC(109374,-1)</f>
        <v>109370</v>
      </c>
      <c r="E53" s="63">
        <f t="shared" si="1"/>
        <v>361550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TRUNC(15141+8362+6439,-1)</f>
        <v>29940</v>
      </c>
      <c r="E58" s="63">
        <f t="shared" si="1"/>
        <v>98970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TRUNC(393138,-1)</f>
        <v>393130</v>
      </c>
      <c r="E59" s="64">
        <f t="shared" si="1"/>
        <v>1299600</v>
      </c>
    </row>
    <row r="60" spans="1:7" x14ac:dyDescent="0.3">
      <c r="A60" s="2">
        <v>21</v>
      </c>
      <c r="C60" s="27" t="s">
        <v>112</v>
      </c>
      <c r="D60" s="39">
        <f>SUM(D40:D59)</f>
        <v>1224640</v>
      </c>
      <c r="E60" s="39">
        <f>SUM(E40:E59)</f>
        <v>4048330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TRUNC(49711,-1)</f>
        <v>49710</v>
      </c>
      <c r="E63" s="62">
        <f>TRUNC(+D63*3.3058,-1)</f>
        <v>164330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49710</v>
      </c>
      <c r="E66" s="65">
        <f>SUM(E63:E65)</f>
        <v>164330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TRUNC(4713,-1)</f>
        <v>4710</v>
      </c>
      <c r="E69" s="62">
        <f t="shared" ref="E69:E94" si="2">TRUNC(+D69*3.3058,-1)</f>
        <v>15570</v>
      </c>
    </row>
    <row r="70" spans="1:7" ht="16.5" customHeight="1" x14ac:dyDescent="0.3">
      <c r="A70" s="2">
        <v>2</v>
      </c>
      <c r="C70" s="38" t="s">
        <v>31</v>
      </c>
      <c r="D70" s="42">
        <f>TRUNC(42776,-1)</f>
        <v>42770</v>
      </c>
      <c r="E70" s="63">
        <f t="shared" si="2"/>
        <v>141380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TRUNC(6353,-1)</f>
        <v>6350</v>
      </c>
      <c r="E73" s="63">
        <f t="shared" si="2"/>
        <v>20990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TRUNC(2706,-1)</f>
        <v>2700</v>
      </c>
      <c r="E89" s="63">
        <f t="shared" si="2"/>
        <v>8920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TRUNC(47999,-1)</f>
        <v>47990</v>
      </c>
      <c r="E91" s="63">
        <f t="shared" si="2"/>
        <v>158640</v>
      </c>
    </row>
    <row r="92" spans="1:7" x14ac:dyDescent="0.3">
      <c r="A92" s="2">
        <v>24</v>
      </c>
      <c r="C92" s="38" t="s">
        <v>38</v>
      </c>
      <c r="D92" s="42">
        <f>TRUNC(2369,-1)</f>
        <v>2360</v>
      </c>
      <c r="E92" s="63">
        <f t="shared" si="2"/>
        <v>7800</v>
      </c>
    </row>
    <row r="93" spans="1:7" x14ac:dyDescent="0.3">
      <c r="A93" s="2">
        <v>25</v>
      </c>
      <c r="C93" s="38" t="s">
        <v>148</v>
      </c>
      <c r="D93" s="42">
        <f>TRUNC(89115,-1)</f>
        <v>89110</v>
      </c>
      <c r="E93" s="63">
        <f t="shared" si="2"/>
        <v>294570</v>
      </c>
    </row>
    <row r="94" spans="1:7" ht="17.25" thickBot="1" x14ac:dyDescent="0.35">
      <c r="A94" s="2">
        <v>26</v>
      </c>
      <c r="C94" s="38" t="s">
        <v>47</v>
      </c>
      <c r="D94" s="43">
        <f>TRUNC(19920,-1)</f>
        <v>19920</v>
      </c>
      <c r="E94" s="64">
        <f t="shared" si="2"/>
        <v>65850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215910</v>
      </c>
      <c r="E95" s="39">
        <f>SUM(E69:E94)</f>
        <v>713720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TRUNC(46165,-1)</f>
        <v>46160</v>
      </c>
      <c r="E98" s="62">
        <f t="shared" ref="E98:E118" si="3">TRUNC(+D98*3.3058,-1)</f>
        <v>152590</v>
      </c>
    </row>
    <row r="99" spans="1:7" x14ac:dyDescent="0.3">
      <c r="A99" s="2">
        <v>2</v>
      </c>
      <c r="C99" s="38" t="s">
        <v>40</v>
      </c>
      <c r="D99" s="42">
        <f>TRUNC(4974,-1)</f>
        <v>4970</v>
      </c>
      <c r="E99" s="63">
        <f t="shared" si="3"/>
        <v>16420</v>
      </c>
    </row>
    <row r="100" spans="1:7" x14ac:dyDescent="0.3">
      <c r="A100" s="2">
        <v>3</v>
      </c>
      <c r="C100" s="38" t="s">
        <v>41</v>
      </c>
      <c r="D100" s="42">
        <f>TRUNC(31474,-1)</f>
        <v>31470</v>
      </c>
      <c r="E100" s="63">
        <f t="shared" si="3"/>
        <v>104030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TRUNC(10117,-1)</f>
        <v>10110</v>
      </c>
      <c r="E102" s="63">
        <f t="shared" si="3"/>
        <v>33420</v>
      </c>
    </row>
    <row r="103" spans="1:7" x14ac:dyDescent="0.3">
      <c r="A103" s="2">
        <v>6</v>
      </c>
      <c r="C103" s="38" t="s">
        <v>44</v>
      </c>
      <c r="D103" s="42">
        <f>TRUNC(7135,-1)</f>
        <v>7130</v>
      </c>
      <c r="E103" s="63">
        <f t="shared" si="3"/>
        <v>23570</v>
      </c>
    </row>
    <row r="104" spans="1:7" x14ac:dyDescent="0.3">
      <c r="A104" s="2">
        <v>7</v>
      </c>
      <c r="C104" s="38" t="s">
        <v>45</v>
      </c>
      <c r="D104" s="42">
        <f>TRUNC(24155,-1)</f>
        <v>24150</v>
      </c>
      <c r="E104" s="63">
        <f t="shared" si="3"/>
        <v>79830</v>
      </c>
    </row>
    <row r="105" spans="1:7" x14ac:dyDescent="0.3">
      <c r="A105" s="2">
        <v>8</v>
      </c>
      <c r="C105" s="38" t="s">
        <v>46</v>
      </c>
      <c r="D105" s="42">
        <f>TRUNC(13364,-1)</f>
        <v>13360</v>
      </c>
      <c r="E105" s="63">
        <f t="shared" si="3"/>
        <v>44160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TRUNC(4667,-1)</f>
        <v>4660</v>
      </c>
      <c r="E114" s="63">
        <f t="shared" si="3"/>
        <v>15400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TRUNC(12642,-1)</f>
        <v>12640</v>
      </c>
      <c r="E116" s="63">
        <f t="shared" si="3"/>
        <v>41780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TRUNC(339067,-1)</f>
        <v>339060</v>
      </c>
      <c r="E117" s="63">
        <f t="shared" si="3"/>
        <v>1120860</v>
      </c>
    </row>
    <row r="118" spans="1:7" ht="17.25" thickBot="1" x14ac:dyDescent="0.35">
      <c r="A118" s="2">
        <v>21</v>
      </c>
      <c r="C118" s="38" t="s">
        <v>47</v>
      </c>
      <c r="D118" s="43">
        <f>TRUNC(7096,-1)</f>
        <v>7090</v>
      </c>
      <c r="E118" s="64">
        <f t="shared" si="3"/>
        <v>23430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500800</v>
      </c>
      <c r="E119" s="39">
        <f>SUM(E98:E118)</f>
        <v>1655490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TRUNC(1149,-1)</f>
        <v>1140</v>
      </c>
      <c r="E122" s="62">
        <f t="shared" ref="E122:E132" si="4">TRUNC(+D122*3.3058,-1)</f>
        <v>3760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TRUNC(3042,-1)</f>
        <v>3040</v>
      </c>
      <c r="E124" s="63">
        <f t="shared" si="4"/>
        <v>10040</v>
      </c>
    </row>
    <row r="125" spans="1:7" x14ac:dyDescent="0.3">
      <c r="A125" s="2">
        <v>4</v>
      </c>
      <c r="C125" s="38" t="s">
        <v>138</v>
      </c>
      <c r="D125" s="42">
        <f>TRUNC(7790,-1)</f>
        <v>7790</v>
      </c>
      <c r="E125" s="63">
        <f t="shared" si="4"/>
        <v>25750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TRUNC(4000,-1)</f>
        <v>4000</v>
      </c>
      <c r="E128" s="63">
        <f t="shared" si="4"/>
        <v>13220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TRUNC(6813,-1)</f>
        <v>6810</v>
      </c>
      <c r="E130" s="63">
        <f t="shared" si="4"/>
        <v>22510</v>
      </c>
    </row>
    <row r="131" spans="1:7" x14ac:dyDescent="0.3">
      <c r="A131" s="2">
        <v>10</v>
      </c>
      <c r="C131" s="38" t="s">
        <v>148</v>
      </c>
      <c r="D131" s="42">
        <f>TRUNC(11143,-1)</f>
        <v>11140</v>
      </c>
      <c r="E131" s="63">
        <f t="shared" si="4"/>
        <v>36820</v>
      </c>
    </row>
    <row r="132" spans="1:7" ht="18" thickBot="1" x14ac:dyDescent="0.35">
      <c r="A132" s="2">
        <v>11</v>
      </c>
      <c r="C132" s="38" t="s">
        <v>47</v>
      </c>
      <c r="D132" s="43">
        <f>TRUNC(7057,-1)</f>
        <v>7050</v>
      </c>
      <c r="E132" s="64">
        <f t="shared" si="4"/>
        <v>23300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40970</v>
      </c>
      <c r="E133" s="39">
        <f>SUM(E122:E132)</f>
        <v>135400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TRUNC(3309,-1)</f>
        <v>3300</v>
      </c>
      <c r="E137" s="63">
        <f t="shared" si="5"/>
        <v>10900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TRUNC(2368,-1)</f>
        <v>2360</v>
      </c>
      <c r="E140" s="63">
        <f t="shared" si="5"/>
        <v>7800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TRUNC(7999,-1)</f>
        <v>7990</v>
      </c>
      <c r="E142" s="63">
        <f t="shared" si="5"/>
        <v>26410</v>
      </c>
    </row>
    <row r="143" spans="1:7" x14ac:dyDescent="0.3">
      <c r="A143" s="2">
        <v>8</v>
      </c>
      <c r="C143" s="38" t="s">
        <v>62</v>
      </c>
      <c r="D143" s="42">
        <f>TRUNC(3458,-1)</f>
        <v>3450</v>
      </c>
      <c r="E143" s="63">
        <f t="shared" si="5"/>
        <v>11400</v>
      </c>
    </row>
    <row r="144" spans="1:7" x14ac:dyDescent="0.3">
      <c r="A144" s="2">
        <v>9</v>
      </c>
      <c r="C144" s="38" t="s">
        <v>63</v>
      </c>
      <c r="D144" s="42">
        <f>TRUNC(19460,-1)</f>
        <v>19460</v>
      </c>
      <c r="E144" s="63">
        <f t="shared" si="5"/>
        <v>64330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36560</v>
      </c>
      <c r="E146" s="39">
        <f>SUM(E136:E145)</f>
        <v>120840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TRUNC(27965,-1)</f>
        <v>27960</v>
      </c>
      <c r="E149" s="62">
        <f>TRUNC(+D149*3.3058,-1)</f>
        <v>92430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TRUNC(38870,-1)</f>
        <v>38870</v>
      </c>
      <c r="E150" s="63">
        <f>TRUNC(+D150*3.3058,-1)</f>
        <v>128490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TRUNC(1855+103330+2069,-1)</f>
        <v>107250</v>
      </c>
      <c r="E152" s="63">
        <f>TRUNC(+D152*3.3058,-1)</f>
        <v>354540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TRUNC(9828,-1)</f>
        <v>9820</v>
      </c>
      <c r="E153" s="64">
        <f>TRUNC(+D153*3.3058,-1)</f>
        <v>32460</v>
      </c>
    </row>
    <row r="154" spans="1:7" x14ac:dyDescent="0.3">
      <c r="A154" s="2">
        <v>6</v>
      </c>
      <c r="C154" s="27" t="s">
        <v>112</v>
      </c>
      <c r="D154" s="39">
        <f>SUM(D149:D153)</f>
        <v>183900</v>
      </c>
      <c r="E154" s="39">
        <f>SUM(E149:E153)</f>
        <v>607920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TRUNC(87492,-1)</f>
        <v>87490</v>
      </c>
      <c r="E157" s="62">
        <f>TRUNC(+D157*3.3058,-1)</f>
        <v>289220</v>
      </c>
    </row>
    <row r="158" spans="1:7" x14ac:dyDescent="0.3">
      <c r="A158" s="2">
        <v>2</v>
      </c>
      <c r="C158" s="38" t="s">
        <v>52</v>
      </c>
      <c r="D158" s="42">
        <f>TRUNC(140222,-1)</f>
        <v>140220</v>
      </c>
      <c r="E158" s="63">
        <f>TRUNC(+D158*3.3058,-1)</f>
        <v>463530</v>
      </c>
      <c r="F158" s="2" t="s">
        <v>264</v>
      </c>
    </row>
    <row r="159" spans="1:7" x14ac:dyDescent="0.3">
      <c r="A159" s="2">
        <v>3</v>
      </c>
      <c r="C159" s="38" t="s">
        <v>47</v>
      </c>
      <c r="D159" s="42">
        <f>TRUNC(12747+173,-1)</f>
        <v>12920</v>
      </c>
      <c r="E159" s="63">
        <f>TRUNC(+D159*3.3058,-1)</f>
        <v>42710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f>TRUNC(931,-1)</f>
        <v>930</v>
      </c>
      <c r="E160" s="64">
        <f>TRUNC(+D160*3.3058,-1)</f>
        <v>3070</v>
      </c>
    </row>
    <row r="161" spans="1:5" x14ac:dyDescent="0.3">
      <c r="A161" s="2">
        <v>5</v>
      </c>
      <c r="C161" s="27" t="s">
        <v>112</v>
      </c>
      <c r="D161" s="39">
        <f>SUM(D157:D160)</f>
        <v>241560</v>
      </c>
      <c r="E161" s="39">
        <f>SUM(E157:E160)</f>
        <v>798530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2020-12-08T02:33:43Z</dcterms:modified>
</cp:coreProperties>
</file>