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99" i="4"/>
  <c r="E98" i="4"/>
  <c r="E89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3" i="4"/>
  <c r="E72" i="4"/>
  <c r="E71" i="4"/>
  <c r="E70" i="4"/>
  <c r="E69" i="4"/>
  <c r="E65" i="4"/>
  <c r="E64" i="4"/>
  <c r="E59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37" i="4"/>
  <c r="E33" i="4"/>
  <c r="E161" i="4" l="1"/>
  <c r="E154" i="4"/>
  <c r="D58" i="4"/>
  <c r="E58" i="4" s="1"/>
  <c r="D161" i="4" l="1"/>
  <c r="D32" i="4" s="1"/>
  <c r="E32" i="4" s="1"/>
  <c r="D154" i="4"/>
  <c r="D31" i="4" s="1"/>
  <c r="E31" i="4" s="1"/>
  <c r="D146" i="4"/>
  <c r="D30" i="4" s="1"/>
  <c r="E30" i="4" s="1"/>
  <c r="D133" i="4"/>
  <c r="D100" i="4"/>
  <c r="D94" i="4"/>
  <c r="E94" i="4" s="1"/>
  <c r="D93" i="4"/>
  <c r="E93" i="4" s="1"/>
  <c r="D92" i="4"/>
  <c r="E92" i="4" s="1"/>
  <c r="D91" i="4"/>
  <c r="E91" i="4" s="1"/>
  <c r="D90" i="4"/>
  <c r="E90" i="4" s="1"/>
  <c r="D84" i="4"/>
  <c r="E84" i="4" s="1"/>
  <c r="D74" i="4"/>
  <c r="D63" i="4"/>
  <c r="D41" i="4"/>
  <c r="E41" i="4" s="1"/>
  <c r="D40" i="4"/>
  <c r="D29" i="4"/>
  <c r="E29" i="4" s="1"/>
  <c r="D24" i="4"/>
  <c r="E24" i="4" s="1"/>
  <c r="D7" i="4"/>
  <c r="D95" i="4" l="1"/>
  <c r="D27" i="4" s="1"/>
  <c r="E27" i="4" s="1"/>
  <c r="E74" i="4"/>
  <c r="E95" i="4" s="1"/>
  <c r="D60" i="4"/>
  <c r="D25" i="4" s="1"/>
  <c r="E25" i="4" s="1"/>
  <c r="E40" i="4"/>
  <c r="E60" i="4" s="1"/>
  <c r="D66" i="4"/>
  <c r="D26" i="4" s="1"/>
  <c r="E26" i="4" s="1"/>
  <c r="E63" i="4"/>
  <c r="E66" i="4" s="1"/>
  <c r="D119" i="4"/>
  <c r="D28" i="4" s="1"/>
  <c r="E28" i="4" s="1"/>
  <c r="E100" i="4"/>
  <c r="E119" i="4" s="1"/>
  <c r="D34" i="4" l="1"/>
  <c r="E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<sst xmlns="http://schemas.openxmlformats.org/spreadsheetml/2006/main" count="385" uniqueCount="262">
  <si>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</si>
  <si>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</si>
  <si>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</si>
  <si>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</si>
  <si>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</si>
  <si>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</si>
  <si>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</si>
  <si>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</si>
  <si>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</si>
  <si>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</si>
  <si>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</si>
  <si>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</si>
  <si>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</si>
  <si>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</si>
  <si>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</si>
  <si>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</si>
  <si>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</si>
  <si>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</si>
  <si>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</si>
  <si>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</si>
  <si>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</si>
  <si>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</si>
  <si>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</si>
  <si>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</si>
  <si>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</si>
  <si>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</si>
  <si>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</si>
  <si>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</si>
  <si>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</si>
  <si>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</si>
  <si>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</si>
  <si>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</si>
  <si>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</si>
  <si>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</si>
  <si>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</si>
  <si>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</si>
  <si>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</si>
  <si>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</si>
  <si>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</si>
  <si>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</si>
  <si>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</si>
  <si>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</si>
  <si>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</si>
  <si>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</si>
  <si>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</si>
  <si>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</si>
  <si>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</si>
  <si>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</si>
  <si>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</si>
  <si>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</si>
  <si>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</si>
  <si>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</si>
  <si>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</si>
  <si>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</si>
  <si>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</si>
  <si>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</si>
  <si>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</si>
  <si>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</si>
  <si>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</si>
  <si>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</si>
  <si>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</si>
  <si>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</si>
  <si>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</si>
  <si>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</si>
  <si>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</si>
  <si>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</si>
  <si>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</si>
  <si>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</si>
  <si>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</si>
  <si>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</si>
  <si>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</si>
  <si>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</si>
  <si>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</si>
  <si>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</si>
  <si>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</si>
  <si>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</si>
  <si>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</si>
  <si>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</si>
  <si>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</si>
  <si>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</si>
  <si>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</si>
  <si>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</si>
  <si>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</si>
  <si>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</si>
  <si>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</si>
  <si>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</si>
  <si>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</si>
  <si>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</si>
  <si>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</si>
  <si>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</si>
  <si>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</si>
  <si>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</si>
  <si>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</si>
  <si>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</si>
  <si>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</si>
  <si>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</si>
  <si>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</si>
  <si>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</si>
  <si>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</si>
  <si>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</si>
  <si>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</si>
  <si>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</si>
  <si>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</si>
  <si>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</si>
  <si>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</si>
  <si>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</si>
  <si>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</si>
  <si>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</si>
  <si>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</si>
  <si>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</si>
  <si>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</si>
  <si>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</si>
  <si>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</si>
  <si>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</si>
  <si>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</si>
  <si>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</si>
  <si>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</si>
  <si>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</si>
  <si>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</si>
  <si>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</si>
  <si>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</si>
  <si>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</si>
  <si>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</si>
  <si>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</si>
  <si>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</si>
  <si>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</si>
  <si>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</si>
  <si>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</si>
  <si>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</si>
  <si>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</si>
  <si>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</si>
  <si>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</si>
  <si>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</si>
  <si>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</si>
  <si>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</si>
  <si>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</si>
  <si>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</si>
  <si>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</si>
  <si>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</si>
  <si>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</si>
  <si>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</si>
  <si>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</si>
  <si>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</si>
  <si>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</si>
  <si>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</si>
  <si>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</si>
  <si>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</si>
  <si>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</si>
  <si>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</si>
  <si>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</si>
  <si>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</si>
  <si>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</si>
  <si>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</si>
  <si>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</si>
  <si>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</si>
  <si>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</si>
  <si>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</si>
  <si>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</si>
  <si>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</si>
  <si>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</si>
  <si>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</si>
  <si>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</si>
  <si>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</si>
  <si>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</si>
  <si>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</si>
  <si>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</si>
  <si>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</si>
  <si>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</si>
  <si>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</si>
  <si>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</si>
  <si>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</si>
  <si>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</si>
  <si>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</si>
  <si>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</si>
  <si>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</si>
  <si>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</si>
  <si>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</si>
  <si>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</si>
  <si>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</si>
  <si>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</si>
  <si>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</si>
  <si>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</si>
  <si>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</si>
  <si>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</si>
  <si>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</si>
  <si>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</si>
  <si>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</si>
  <si>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</si>
  <si>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</si>
  <si>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</si>
  <si>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</si>
  <si>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</si>
  <si>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</si>
  <si>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</si>
  <si>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</si>
  <si>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</si>
  <si>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</si>
  <si>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</si>
  <si>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</si>
  <si>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</si>
  <si>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</si>
  <si>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</si>
  <si>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</si>
  <si>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</si>
  <si>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</si>
  <si>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</si>
  <si>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</si>
  <si>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</si>
  <si>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</si>
  <si>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</si>
  <si>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</si>
  <si>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</si>
  <si>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</si>
  <si>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</si>
  <si>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</si>
  <si>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</si>
  <si>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</si>
  <si>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</si>
  <si>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</si>
  <si>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</si>
  <si>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</si>
  <si>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</si>
  <si>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</si>
  <si>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</si>
  <si>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</si>
  <si>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</si>
  <si>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</si>
  <si>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</si>
  <si>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</si>
  <si>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</si>
  <si>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</si>
  <si>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</si>
  <si>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</si>
  <si>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</si>
  <si>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</si>
  <si>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</si>
  <si>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</si>
  <si>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</si>
  <si>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</si>
  <si>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</si>
  <si>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</si>
  <si>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</si>
  <si>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</si>
  <si>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</si>
  <si>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</si>
  <si>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</si>
  <si>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</si>
  <si>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</si>
  <si>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</si>
  <si>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평</t>
    <phoneticPr fontId="2" type="noConversion"/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</si>
  <si>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</si>
  <si>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</si>
  <si>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</si>
  <si>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옥외인입공사</t>
    <phoneticPr fontId="2" type="noConversion"/>
  </si>
  <si>
    <t>경기도 양주시 00 중고등학교</t>
    <phoneticPr fontId="2" type="noConversion"/>
  </si>
  <si>
    <t>원/ m2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</si>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</sst>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C18" sqref="C18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7642</v>
      </c>
      <c r="D7" s="36">
        <f>+C7/3.3058</f>
        <v>2311.6945973743118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388970</v>
      </c>
      <c r="E25" s="59">
        <f t="shared" si="0"/>
        <v>1285850</v>
      </c>
    </row>
    <row r="26" spans="1:5" x14ac:dyDescent="0.3">
      <c r="B26" s="2">
        <v>3</v>
      </c>
      <c r="C26" s="35" t="s">
        <v>95</v>
      </c>
      <c r="D26" s="45">
        <f>+D66</f>
        <v>21400</v>
      </c>
      <c r="E26" s="59">
        <f t="shared" si="0"/>
        <v>70740</v>
      </c>
    </row>
    <row r="27" spans="1:5" x14ac:dyDescent="0.3">
      <c r="B27" s="2">
        <v>4</v>
      </c>
      <c r="C27" s="35" t="s">
        <v>96</v>
      </c>
      <c r="D27" s="45">
        <f>+D95</f>
        <v>71950</v>
      </c>
      <c r="E27" s="59">
        <f t="shared" si="0"/>
        <v>237850</v>
      </c>
    </row>
    <row r="28" spans="1:5" x14ac:dyDescent="0.3">
      <c r="B28" s="2">
        <v>5</v>
      </c>
      <c r="C28" s="35" t="s">
        <v>97</v>
      </c>
      <c r="D28" s="45">
        <f>+D119</f>
        <v>43640</v>
      </c>
      <c r="E28" s="59">
        <f t="shared" si="0"/>
        <v>144260</v>
      </c>
    </row>
    <row r="29" spans="1:5" x14ac:dyDescent="0.3">
      <c r="B29" s="2">
        <v>6</v>
      </c>
      <c r="C29" s="35" t="s">
        <v>98</v>
      </c>
      <c r="D29" s="45">
        <f>+D133</f>
        <v>14450</v>
      </c>
      <c r="E29" s="59">
        <f t="shared" si="0"/>
        <v>47760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v>227680</v>
      </c>
      <c r="E33" s="60">
        <f t="shared" si="0"/>
        <v>752660</v>
      </c>
    </row>
    <row r="34" spans="1:7" x14ac:dyDescent="0.3">
      <c r="C34" s="35" t="s">
        <v>112</v>
      </c>
      <c r="D34" s="44">
        <f>SUM(D24:D33)</f>
        <v>768090</v>
      </c>
      <c r="E34" s="44">
        <f>SUM(E24:E33)</f>
        <v>2539120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255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f>TRUNC(30216.9946349123,-1)</f>
        <v>30210</v>
      </c>
      <c r="E40" s="62">
        <f t="shared" ref="E40:E59" si="1">TRUNC(+D40*3.3058,-1)</f>
        <v>99860</v>
      </c>
    </row>
    <row r="41" spans="1:7" x14ac:dyDescent="0.3">
      <c r="A41" s="2">
        <v>2</v>
      </c>
      <c r="C41" s="38" t="s">
        <v>13</v>
      </c>
      <c r="D41" s="42">
        <f>TRUNC(150865.539125883,-1)</f>
        <v>150860</v>
      </c>
      <c r="E41" s="63">
        <f t="shared" si="1"/>
        <v>498710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TRUNC(207904.972520283,-1)</f>
        <v>207900</v>
      </c>
      <c r="E58" s="63">
        <f t="shared" si="1"/>
        <v>687270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388970</v>
      </c>
      <c r="E60" s="39">
        <f>SUM(E40:E59)</f>
        <v>1285840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256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TRUNC(21404.8374771002,-1)</f>
        <v>21400</v>
      </c>
      <c r="E63" s="62">
        <f>TRUNC(+D63*3.3058,-1)</f>
        <v>70740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21400</v>
      </c>
      <c r="E66" s="57">
        <f>SUM(E63:E65)</f>
        <v>70740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256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TRUNC(2323.90133472913,-1)</f>
        <v>2320</v>
      </c>
      <c r="E74" s="63">
        <f>TRUNC(+D74*3.3058,-1)</f>
        <v>7660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TRUNC(251.34702957341,-1)</f>
        <v>250</v>
      </c>
      <c r="E84" s="63">
        <f>TRUNC(+D84*3.3058,-1)</f>
        <v>820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TRUNC(559.244176917037,-1)</f>
        <v>550</v>
      </c>
      <c r="E90" s="63">
        <f>TRUNC(+D90*3.3058,-1)</f>
        <v>1810</v>
      </c>
    </row>
    <row r="91" spans="1:7" x14ac:dyDescent="0.3">
      <c r="A91" s="2">
        <v>23</v>
      </c>
      <c r="C91" s="38" t="s">
        <v>37</v>
      </c>
      <c r="D91" s="42">
        <f>TRUNC(42.8873331588589,-1)</f>
        <v>40</v>
      </c>
      <c r="E91" s="63">
        <f>TRUNC(+D91*3.3058,-1)</f>
        <v>130</v>
      </c>
    </row>
    <row r="92" spans="1:7" x14ac:dyDescent="0.3">
      <c r="A92" s="2">
        <v>24</v>
      </c>
      <c r="C92" s="38" t="s">
        <v>38</v>
      </c>
      <c r="D92" s="42">
        <f>TRUNC(23671.795734101,-1)</f>
        <v>23670</v>
      </c>
      <c r="E92" s="63">
        <f>TRUNC(+D92*3.3058,-1)</f>
        <v>78240</v>
      </c>
    </row>
    <row r="93" spans="1:7" x14ac:dyDescent="0.3">
      <c r="A93" s="2">
        <v>25</v>
      </c>
      <c r="C93" s="38" t="s">
        <v>148</v>
      </c>
      <c r="D93" s="42">
        <f>TRUNC(38486.1292855273,-1)</f>
        <v>38480</v>
      </c>
      <c r="E93" s="63">
        <f>TRUNC(+D93*3.3058,-1)</f>
        <v>127200</v>
      </c>
    </row>
    <row r="94" spans="1:7" ht="17.25" thickBot="1" x14ac:dyDescent="0.35">
      <c r="A94" s="2">
        <v>26</v>
      </c>
      <c r="C94" s="38" t="s">
        <v>47</v>
      </c>
      <c r="D94" s="43">
        <f>TRUNC(6644.28618162785,-1)</f>
        <v>6640</v>
      </c>
      <c r="E94" s="64">
        <f>TRUNC(+D94*3.3058,-1)</f>
        <v>21950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71950</v>
      </c>
      <c r="E95" s="39">
        <f>SUM(E69:E94)</f>
        <v>237810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256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f>TRUNC(13815.8474221408,-1)</f>
        <v>13810</v>
      </c>
      <c r="E100" s="63">
        <f t="shared" si="4"/>
        <v>45650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12770</v>
      </c>
      <c r="E116" s="63">
        <f t="shared" si="4"/>
        <v>42210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13600</v>
      </c>
      <c r="E117" s="63">
        <f t="shared" si="4"/>
        <v>44950</v>
      </c>
    </row>
    <row r="118" spans="1:7" ht="17.25" thickBot="1" x14ac:dyDescent="0.35">
      <c r="A118" s="2">
        <v>21</v>
      </c>
      <c r="C118" s="38" t="s">
        <v>47</v>
      </c>
      <c r="D118" s="43">
        <v>3460</v>
      </c>
      <c r="E118" s="64">
        <f t="shared" si="4"/>
        <v>11430</v>
      </c>
    </row>
    <row r="119" spans="1:7" x14ac:dyDescent="0.3">
      <c r="A119" s="2">
        <v>22</v>
      </c>
      <c r="C119" s="27" t="s">
        <v>112</v>
      </c>
      <c r="D119" s="39">
        <f>SUM(D98:D118)</f>
        <v>43640</v>
      </c>
      <c r="E119" s="39">
        <f>SUM(E98:E118)</f>
        <v>144240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256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3180</v>
      </c>
      <c r="E125" s="63">
        <f t="shared" si="5"/>
        <v>10510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4880</v>
      </c>
      <c r="E130" s="63">
        <f t="shared" si="5"/>
        <v>16130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v>6390</v>
      </c>
      <c r="E132" s="64">
        <f t="shared" si="5"/>
        <v>21120</v>
      </c>
    </row>
    <row r="133" spans="1:7" x14ac:dyDescent="0.3">
      <c r="A133" s="2">
        <v>12</v>
      </c>
      <c r="C133" s="27" t="s">
        <v>112</v>
      </c>
      <c r="D133" s="39">
        <f>SUM(D122:D132)</f>
        <v>14450</v>
      </c>
      <c r="E133" s="39">
        <f>SUM(E122:E132)</f>
        <v>47760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256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256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256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2020-12-07T08:44:08Z</dcterms:modified>
</cp:coreProperties>
</file>