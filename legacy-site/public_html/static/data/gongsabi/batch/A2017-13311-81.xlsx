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4" i="4" l="1"/>
  <c r="D159" i="4"/>
  <c r="D158" i="4"/>
  <c r="D157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99" i="4"/>
  <c r="D98" i="4"/>
  <c r="D94" i="4"/>
  <c r="D92" i="4"/>
  <c r="D91" i="4"/>
  <c r="D90" i="4"/>
  <c r="D89" i="4"/>
  <c r="D73" i="4"/>
  <c r="D72" i="4"/>
  <c r="D71" i="4"/>
  <c r="D69" i="4"/>
  <c r="D63" i="4"/>
  <c r="D59" i="4"/>
  <c r="D58" i="4"/>
  <c r="D52" i="4"/>
  <c r="D50" i="4"/>
  <c r="D49" i="4"/>
  <c r="D48" i="4"/>
  <c r="D45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<sst xmlns="http://schemas.openxmlformats.org/spreadsheetml/2006/main" count="393" uniqueCount="270">
  <si>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</si>
  <si>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</si>
  <si>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</si>
  <si>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</si>
  <si>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</si>
  <si>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</si>
  <si>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</si>
  <si>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</si>
  <si>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</si>
  <si>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</si>
  <si>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</si>
  <si>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</si>
  <si>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</si>
  <si>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</si>
  <si>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</si>
  <si>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</si>
  <si>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</si>
  <si>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</si>
  <si>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</si>
  <si>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</si>
  <si>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</si>
  <si>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</si>
  <si>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</si>
  <si>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</si>
  <si>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</si>
  <si>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</si>
  <si>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</si>
  <si>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</si>
  <si>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</si>
  <si>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</si>
  <si>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</si>
  <si>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</si>
  <si>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</si>
  <si>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</si>
  <si>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</si>
  <si>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</si>
  <si>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</si>
  <si>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</si>
  <si>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</si>
  <si>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</si>
  <si>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</si>
  <si>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</si>
  <si>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</si>
  <si>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</si>
  <si>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</si>
  <si>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</si>
  <si>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</si>
  <si>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</si>
  <si>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</si>
  <si>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</si>
  <si>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</si>
  <si>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</si>
  <si>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</si>
  <si>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</si>
  <si>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</si>
  <si>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</si>
  <si>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</si>
  <si>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</si>
  <si>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</si>
  <si>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</si>
  <si>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</si>
  <si>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</si>
  <si>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</si>
  <si>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</si>
  <si>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</si>
  <si>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</si>
  <si>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</si>
  <si>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</si>
  <si>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</si>
  <si>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</si>
  <si>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</si>
  <si>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</si>
  <si>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</si>
  <si>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</si>
  <si>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</si>
  <si>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</si>
  <si>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</si>
  <si>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</si>
  <si>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</si>
  <si>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</si>
  <si>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</si>
  <si>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</si>
  <si>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</si>
  <si>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</si>
  <si>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</si>
  <si>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</si>
  <si>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</si>
  <si>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</si>
  <si>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</si>
  <si>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</si>
  <si>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</si>
  <si>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</si>
  <si>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</si>
  <si>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</si>
  <si>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</si>
  <si>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</si>
  <si>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</si>
  <si>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</si>
  <si>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</si>
  <si>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</si>
  <si>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</si>
  <si>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</si>
  <si>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</si>
  <si>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</si>
  <si>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</si>
  <si>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</si>
  <si>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</si>
  <si>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</si>
  <si>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</si>
  <si>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</si>
  <si>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</si>
  <si>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</si>
  <si>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</si>
  <si>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</si>
  <si>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</si>
  <si>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</si>
  <si>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</si>
  <si>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</si>
  <si>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</si>
  <si>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</si>
  <si>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</si>
  <si>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</si>
  <si>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</si>
  <si>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</si>
  <si>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</si>
  <si>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</si>
  <si>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</si>
  <si>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</si>
  <si>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</si>
  <si>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</si>
  <si>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</si>
  <si>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</si>
  <si>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</si>
  <si>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</si>
  <si>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</si>
  <si>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</si>
  <si>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</si>
  <si>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</si>
  <si>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</si>
  <si>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</si>
  <si>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</si>
  <si>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</si>
  <si>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</si>
  <si>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</si>
  <si>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</si>
  <si>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</si>
  <si>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</si>
  <si>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</si>
  <si>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</si>
  <si>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</si>
  <si>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</si>
  <si>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</si>
  <si>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</si>
  <si>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</si>
  <si>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</si>
  <si>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</si>
  <si>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</si>
  <si>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</si>
  <si>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</si>
  <si>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</si>
  <si>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</si>
  <si>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</si>
  <si>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</si>
  <si>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</si>
  <si>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</si>
  <si>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</si>
  <si>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</si>
  <si>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</si>
  <si>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</si>
  <si>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</si>
  <si>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</si>
  <si>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</si>
  <si>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</si>
  <si>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</si>
  <si>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</si>
  <si>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</si>
  <si>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</si>
  <si>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</si>
  <si>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</si>
  <si>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</si>
  <si>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</si>
  <si>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</si>
  <si>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</si>
  <si>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</si>
  <si>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</si>
  <si>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</si>
  <si>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</si>
  <si>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</si>
  <si>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</si>
  <si>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</si>
  <si>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</si>
  <si>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</si>
  <si>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</si>
  <si>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</si>
  <si>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</si>
  <si>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</si>
  <si>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</si>
  <si>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</si>
  <si>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</si>
  <si>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</si>
  <si>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</si>
  <si>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</si>
  <si>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</si>
  <si>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</si>
  <si>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</si>
  <si>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</si>
  <si>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</si>
  <si>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</si>
  <si>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</si>
  <si>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</si>
  <si>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</si>
  <si>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</si>
  <si>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</si>
  <si>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</si>
  <si>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</si>
  <si>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</si>
  <si>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</si>
  <si>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</si>
  <si>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</si>
  <si>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</si>
  <si>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</si>
  <si>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</si>
  <si>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</si>
  <si>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</si>
  <si>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</si>
  <si>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</si>
  <si>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</si>
  <si>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</si>
  <si>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</si>
  <si>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</si>
  <si>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</si>
  <si>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</si>
  <si>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</si>
  <si>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</si>
  <si>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</si>
  <si>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</si>
  <si>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</si>
  <si>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</si>
  <si>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</si>
  <si>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</si>
  <si>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</si>
  <si>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</si>
  <si>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</si>
  <si>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</si>
  <si>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</si>
  <si>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</si>
  <si>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</si>
  <si>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</si>
  <si>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</si>
  <si>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</si>
  <si>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</si>
  <si>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</si>
  <si>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</si>
  <si>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</si>
  <si>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</si>
  <si>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보령해양경찰서 청사신축공사</t>
    <phoneticPr fontId="2" type="noConversion"/>
  </si>
  <si>
    <t>충청도</t>
  </si>
  <si>
    <t>기초공사, 골재비및운반비, 품질시험비, 기타공사</t>
    <phoneticPr fontId="2" type="noConversion"/>
  </si>
  <si>
    <t>우수처리시설공사, 바닥난방공사, 기타공사</t>
    <phoneticPr fontId="2" type="noConversion"/>
  </si>
  <si>
    <t>CCTV설비공사, 주차관제설비공사, 기타공사</t>
    <phoneticPr fontId="2" type="noConversion"/>
  </si>
  <si>
    <t>옥외소화배관공사, 기타공사</t>
    <phoneticPr fontId="2" type="noConversion"/>
  </si>
  <si>
    <t>운반비</t>
    <phoneticPr fontId="2" type="noConversion"/>
  </si>
  <si>
    <t>포장공사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</si>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</sst>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6413.23</v>
      </c>
      <c r="D7" s="36">
        <f>+C7/3.3058</f>
        <v>1939.9933450299472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941500</v>
      </c>
      <c r="E25" s="59">
        <f t="shared" si="0"/>
        <v>3112410</v>
      </c>
    </row>
    <row r="26" spans="1:5" x14ac:dyDescent="0.3">
      <c r="B26" s="2">
        <v>3</v>
      </c>
      <c r="C26" s="35" t="s">
        <v>95</v>
      </c>
      <c r="D26" s="45">
        <f>+D66</f>
        <v>36670</v>
      </c>
      <c r="E26" s="59">
        <f t="shared" si="0"/>
        <v>121220</v>
      </c>
    </row>
    <row r="27" spans="1:5" x14ac:dyDescent="0.3">
      <c r="B27" s="2">
        <v>4</v>
      </c>
      <c r="C27" s="35" t="s">
        <v>96</v>
      </c>
      <c r="D27" s="45">
        <f>+D95</f>
        <v>63980</v>
      </c>
      <c r="E27" s="59">
        <f t="shared" si="0"/>
        <v>211500</v>
      </c>
    </row>
    <row r="28" spans="1:5" x14ac:dyDescent="0.3">
      <c r="B28" s="2">
        <v>5</v>
      </c>
      <c r="C28" s="35" t="s">
        <v>97</v>
      </c>
      <c r="D28" s="45">
        <f>+D119</f>
        <v>230660</v>
      </c>
      <c r="E28" s="59">
        <f t="shared" si="0"/>
        <v>762510</v>
      </c>
    </row>
    <row r="29" spans="1:5" x14ac:dyDescent="0.3">
      <c r="B29" s="2">
        <v>6</v>
      </c>
      <c r="C29" s="35" t="s">
        <v>98</v>
      </c>
      <c r="D29" s="45">
        <f>+D133</f>
        <v>130700</v>
      </c>
      <c r="E29" s="59">
        <f t="shared" si="0"/>
        <v>432060</v>
      </c>
    </row>
    <row r="30" spans="1:5" x14ac:dyDescent="0.3">
      <c r="B30" s="2">
        <v>7</v>
      </c>
      <c r="C30" s="35" t="s">
        <v>99</v>
      </c>
      <c r="D30" s="45">
        <f>+D146</f>
        <v>40110</v>
      </c>
      <c r="E30" s="59">
        <f t="shared" si="0"/>
        <v>132590</v>
      </c>
    </row>
    <row r="31" spans="1:5" x14ac:dyDescent="0.3">
      <c r="B31" s="2">
        <v>8</v>
      </c>
      <c r="C31" s="35" t="s">
        <v>100</v>
      </c>
      <c r="D31" s="45">
        <f>+D154</f>
        <v>57120</v>
      </c>
      <c r="E31" s="59">
        <f t="shared" si="0"/>
        <v>188820</v>
      </c>
    </row>
    <row r="32" spans="1:5" x14ac:dyDescent="0.3">
      <c r="B32" s="2">
        <v>9</v>
      </c>
      <c r="C32" s="35" t="s">
        <v>101</v>
      </c>
      <c r="D32" s="45">
        <f>+D161</f>
        <v>44470</v>
      </c>
      <c r="E32" s="59">
        <f t="shared" si="0"/>
        <v>147000</v>
      </c>
    </row>
    <row r="33" spans="1:7" x14ac:dyDescent="0.3">
      <c r="B33" s="2">
        <v>10</v>
      </c>
      <c r="C33" s="35" t="s">
        <v>154</v>
      </c>
      <c r="D33" s="53">
        <f>TRUNC(SUM(D24:D32)*0.275,-1)</f>
        <v>424930</v>
      </c>
      <c r="E33" s="60">
        <f t="shared" si="0"/>
        <v>1404730</v>
      </c>
    </row>
    <row r="34" spans="1:7" x14ac:dyDescent="0.3">
      <c r="C34" s="35" t="s">
        <v>112</v>
      </c>
      <c r="D34" s="44">
        <f>SUM(D24:D33)</f>
        <v>1970140</v>
      </c>
      <c r="E34" s="44">
        <f>SUM(E24:E33)</f>
        <v>6512840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TRUNC(55982,-1)</f>
        <v>55980</v>
      </c>
      <c r="E40" s="62">
        <f t="shared" ref="E40:E59" si="1">TRUNC(+D40*3.3058,-1)</f>
        <v>185050</v>
      </c>
    </row>
    <row r="41" spans="1:7" x14ac:dyDescent="0.3">
      <c r="A41" s="2">
        <v>2</v>
      </c>
      <c r="C41" s="38" t="s">
        <v>13</v>
      </c>
      <c r="D41" s="42">
        <f>TRUNC(166808,-1)</f>
        <v>166800</v>
      </c>
      <c r="E41" s="63">
        <f t="shared" si="1"/>
        <v>551400</v>
      </c>
    </row>
    <row r="42" spans="1:7" x14ac:dyDescent="0.3">
      <c r="A42" s="2">
        <v>3</v>
      </c>
      <c r="C42" s="38" t="s">
        <v>14</v>
      </c>
      <c r="D42" s="42">
        <v>2880</v>
      </c>
      <c r="E42" s="63">
        <f t="shared" si="1"/>
        <v>9520</v>
      </c>
    </row>
    <row r="43" spans="1:7" x14ac:dyDescent="0.3">
      <c r="A43" s="2">
        <v>4</v>
      </c>
      <c r="C43" s="38" t="s">
        <v>16</v>
      </c>
      <c r="D43" s="42">
        <f>TRUNC(28182,-1)</f>
        <v>28180</v>
      </c>
      <c r="E43" s="63">
        <f t="shared" si="1"/>
        <v>93150</v>
      </c>
    </row>
    <row r="44" spans="1:7" x14ac:dyDescent="0.3">
      <c r="A44" s="2">
        <v>5</v>
      </c>
      <c r="C44" s="38" t="s">
        <v>17</v>
      </c>
      <c r="D44" s="42">
        <f>TRUNC(30565,-1)</f>
        <v>30560</v>
      </c>
      <c r="E44" s="63">
        <f t="shared" si="1"/>
        <v>101020</v>
      </c>
    </row>
    <row r="45" spans="1:7" x14ac:dyDescent="0.3">
      <c r="A45" s="2">
        <v>6</v>
      </c>
      <c r="C45" s="38" t="s">
        <v>18</v>
      </c>
      <c r="D45" s="42">
        <f>TRUNC(15219,-1)</f>
        <v>15210</v>
      </c>
      <c r="E45" s="63">
        <f t="shared" si="1"/>
        <v>50280</v>
      </c>
    </row>
    <row r="46" spans="1:7" x14ac:dyDescent="0.3">
      <c r="A46" s="2">
        <v>7</v>
      </c>
      <c r="C46" s="38" t="s">
        <v>19</v>
      </c>
      <c r="D46" s="42">
        <v>34230</v>
      </c>
      <c r="E46" s="63">
        <f t="shared" si="1"/>
        <v>113150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TRUNC(27797,-1)</f>
        <v>27790</v>
      </c>
      <c r="E48" s="63">
        <f t="shared" si="1"/>
        <v>91860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TRUNC(21364,-1)</f>
        <v>21360</v>
      </c>
      <c r="E49" s="63">
        <f t="shared" si="1"/>
        <v>70610</v>
      </c>
    </row>
    <row r="50" spans="1:7" x14ac:dyDescent="0.3">
      <c r="A50" s="2">
        <v>11</v>
      </c>
      <c r="C50" s="38" t="s">
        <v>155</v>
      </c>
      <c r="D50" s="42">
        <f>TRUNC(38509,-1)</f>
        <v>38500</v>
      </c>
      <c r="E50" s="63">
        <f t="shared" si="1"/>
        <v>127270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TRUNC(12283,-1)</f>
        <v>12280</v>
      </c>
      <c r="E52" s="63">
        <f t="shared" si="1"/>
        <v>40590</v>
      </c>
    </row>
    <row r="53" spans="1:7" x14ac:dyDescent="0.3">
      <c r="A53" s="2">
        <v>14</v>
      </c>
      <c r="C53" s="38" t="s">
        <v>25</v>
      </c>
      <c r="D53" s="42">
        <v>57210</v>
      </c>
      <c r="E53" s="63">
        <f t="shared" si="1"/>
        <v>189120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TRUNC(15750+7722+909+19491,-1)</f>
        <v>43870</v>
      </c>
      <c r="E58" s="63">
        <f t="shared" si="1"/>
        <v>145020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TRUNC(406656,-1)</f>
        <v>406650</v>
      </c>
      <c r="E59" s="64">
        <f t="shared" si="1"/>
        <v>1344300</v>
      </c>
    </row>
    <row r="60" spans="1:7" x14ac:dyDescent="0.3">
      <c r="A60" s="2">
        <v>21</v>
      </c>
      <c r="C60" s="27" t="s">
        <v>112</v>
      </c>
      <c r="D60" s="39">
        <f>SUM(D40:D59)</f>
        <v>941500</v>
      </c>
      <c r="E60" s="39">
        <f>SUM(E40:E59)</f>
        <v>3112340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TRUNC(36674,-1)</f>
        <v>36670</v>
      </c>
      <c r="E63" s="62">
        <f>TRUNC(+D63*3.3058,-1)</f>
        <v>121220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36670</v>
      </c>
      <c r="E66" s="65">
        <f>SUM(E63:E65)</f>
        <v>121220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TRUNC(6803,-1)</f>
        <v>6800</v>
      </c>
      <c r="E69" s="62">
        <f t="shared" ref="E69:E94" si="2">TRUNC(+D69*3.3058,-1)</f>
        <v>22470</v>
      </c>
    </row>
    <row r="70" spans="1:7" ht="16.5" customHeight="1" x14ac:dyDescent="0.3">
      <c r="A70" s="2">
        <v>2</v>
      </c>
      <c r="C70" s="38" t="s">
        <v>31</v>
      </c>
      <c r="D70" s="42">
        <v>2090</v>
      </c>
      <c r="E70" s="63">
        <f t="shared" si="2"/>
        <v>6900</v>
      </c>
    </row>
    <row r="71" spans="1:7" x14ac:dyDescent="0.3">
      <c r="A71" s="2">
        <v>3</v>
      </c>
      <c r="C71" s="38" t="s">
        <v>32</v>
      </c>
      <c r="D71" s="42">
        <f>TRUNC(14978,-1)</f>
        <v>14970</v>
      </c>
      <c r="E71" s="63">
        <f t="shared" si="2"/>
        <v>49480</v>
      </c>
    </row>
    <row r="72" spans="1:7" x14ac:dyDescent="0.3">
      <c r="A72" s="2">
        <v>4</v>
      </c>
      <c r="C72" s="38" t="s">
        <v>33</v>
      </c>
      <c r="D72" s="42">
        <f>TRUNC(4695,-1)</f>
        <v>4690</v>
      </c>
      <c r="E72" s="63">
        <f t="shared" si="2"/>
        <v>15500</v>
      </c>
    </row>
    <row r="73" spans="1:7" x14ac:dyDescent="0.3">
      <c r="A73" s="2">
        <v>5</v>
      </c>
      <c r="C73" s="38" t="s">
        <v>34</v>
      </c>
      <c r="D73" s="42">
        <f>TRUNC(8667,-1)</f>
        <v>8660</v>
      </c>
      <c r="E73" s="63">
        <f t="shared" si="2"/>
        <v>28620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TRUNC(6868,-1)</f>
        <v>6860</v>
      </c>
      <c r="E89" s="63">
        <f t="shared" si="2"/>
        <v>22670</v>
      </c>
    </row>
    <row r="90" spans="1:7" x14ac:dyDescent="0.3">
      <c r="A90" s="2">
        <v>22</v>
      </c>
      <c r="C90" s="38" t="s">
        <v>36</v>
      </c>
      <c r="D90" s="42">
        <f>TRUNC(2689,-1)</f>
        <v>2680</v>
      </c>
      <c r="E90" s="63">
        <f t="shared" si="2"/>
        <v>8850</v>
      </c>
    </row>
    <row r="91" spans="1:7" x14ac:dyDescent="0.3">
      <c r="A91" s="2">
        <v>23</v>
      </c>
      <c r="C91" s="38" t="s">
        <v>37</v>
      </c>
      <c r="D91" s="42">
        <f>TRUNC(6015,-1)</f>
        <v>6010</v>
      </c>
      <c r="E91" s="63">
        <f t="shared" si="2"/>
        <v>19860</v>
      </c>
    </row>
    <row r="92" spans="1:7" x14ac:dyDescent="0.3">
      <c r="A92" s="2">
        <v>24</v>
      </c>
      <c r="C92" s="38" t="s">
        <v>38</v>
      </c>
      <c r="D92" s="42">
        <f>TRUNC(6954,-1)</f>
        <v>6950</v>
      </c>
      <c r="E92" s="63">
        <f t="shared" si="2"/>
        <v>22970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TRUNC(3378+372+529,-1)</f>
        <v>4270</v>
      </c>
      <c r="E94" s="64">
        <f t="shared" si="2"/>
        <v>14110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63980</v>
      </c>
      <c r="E95" s="39">
        <f>SUM(E69:E94)</f>
        <v>211430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TRUNC(9366,-1)</f>
        <v>9360</v>
      </c>
      <c r="E98" s="62">
        <f t="shared" ref="E98:E118" si="3">TRUNC(+D98*3.3058,-1)</f>
        <v>30940</v>
      </c>
    </row>
    <row r="99" spans="1:7" x14ac:dyDescent="0.3">
      <c r="A99" s="2">
        <v>2</v>
      </c>
      <c r="C99" s="38" t="s">
        <v>40</v>
      </c>
      <c r="D99" s="42">
        <f>TRUNC(9722,-1)</f>
        <v>9720</v>
      </c>
      <c r="E99" s="63">
        <f t="shared" si="3"/>
        <v>32130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TRUNC(16285,-1)</f>
        <v>16280</v>
      </c>
      <c r="E102" s="63">
        <f t="shared" si="3"/>
        <v>53810</v>
      </c>
    </row>
    <row r="103" spans="1:7" x14ac:dyDescent="0.3">
      <c r="A103" s="2">
        <v>6</v>
      </c>
      <c r="C103" s="38" t="s">
        <v>44</v>
      </c>
      <c r="D103" s="42">
        <f>TRUNC(4959,-1)</f>
        <v>4950</v>
      </c>
      <c r="E103" s="63">
        <f t="shared" si="3"/>
        <v>16360</v>
      </c>
    </row>
    <row r="104" spans="1:7" x14ac:dyDescent="0.3">
      <c r="A104" s="2">
        <v>7</v>
      </c>
      <c r="C104" s="38" t="s">
        <v>45</v>
      </c>
      <c r="D104" s="42">
        <f>TRUNC(2586,-1)</f>
        <v>2580</v>
      </c>
      <c r="E104" s="63">
        <f t="shared" si="3"/>
        <v>8520</v>
      </c>
    </row>
    <row r="105" spans="1:7" x14ac:dyDescent="0.3">
      <c r="A105" s="2">
        <v>8</v>
      </c>
      <c r="C105" s="38" t="s">
        <v>46</v>
      </c>
      <c r="D105" s="42">
        <f>TRUNC(5775,-1)</f>
        <v>5770</v>
      </c>
      <c r="E105" s="63">
        <f t="shared" si="3"/>
        <v>19070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TRUNC(33765,-1)</f>
        <v>33760</v>
      </c>
      <c r="E114" s="63">
        <f t="shared" si="3"/>
        <v>111600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TRUNC(5209,-1)</f>
        <v>5200</v>
      </c>
      <c r="E116" s="63">
        <f t="shared" si="3"/>
        <v>17190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TRUNC(138808,-1)</f>
        <v>138800</v>
      </c>
      <c r="E117" s="63">
        <f t="shared" si="3"/>
        <v>458840</v>
      </c>
    </row>
    <row r="118" spans="1:7" ht="17.25" thickBot="1" x14ac:dyDescent="0.35">
      <c r="A118" s="2">
        <v>21</v>
      </c>
      <c r="C118" s="38" t="s">
        <v>47</v>
      </c>
      <c r="D118" s="43">
        <f>TRUNC(4249,-1)</f>
        <v>4240</v>
      </c>
      <c r="E118" s="64">
        <f t="shared" si="3"/>
        <v>14010</v>
      </c>
    </row>
    <row r="119" spans="1:7" x14ac:dyDescent="0.3">
      <c r="A119" s="2">
        <v>22</v>
      </c>
      <c r="C119" s="27" t="s">
        <v>112</v>
      </c>
      <c r="D119" s="39">
        <f>SUM(D98:D118)</f>
        <v>230660</v>
      </c>
      <c r="E119" s="39">
        <f>SUM(E98:E118)</f>
        <v>762470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TRUNC(4546,-1)</f>
        <v>4540</v>
      </c>
      <c r="E122" s="62">
        <f t="shared" ref="E122:E132" si="4">TRUNC(+D122*3.3058,-1)</f>
        <v>15000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TRUNC(2248,-1)</f>
        <v>2240</v>
      </c>
      <c r="E124" s="63">
        <f t="shared" si="4"/>
        <v>7400</v>
      </c>
    </row>
    <row r="125" spans="1:7" x14ac:dyDescent="0.3">
      <c r="A125" s="2">
        <v>4</v>
      </c>
      <c r="C125" s="38" t="s">
        <v>138</v>
      </c>
      <c r="D125" s="42">
        <f>TRUNC(9148,-1)</f>
        <v>9140</v>
      </c>
      <c r="E125" s="63">
        <f t="shared" si="4"/>
        <v>30210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TRUNC(3973,-1)</f>
        <v>3970</v>
      </c>
      <c r="E128" s="63">
        <f t="shared" si="4"/>
        <v>13120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TRUNC(44119,-1)</f>
        <v>44110</v>
      </c>
      <c r="E130" s="63">
        <f t="shared" si="4"/>
        <v>145810</v>
      </c>
    </row>
    <row r="131" spans="1:7" x14ac:dyDescent="0.3">
      <c r="A131" s="2">
        <v>10</v>
      </c>
      <c r="C131" s="38" t="s">
        <v>148</v>
      </c>
      <c r="D131" s="42">
        <f>TRUNC(61282,-1)</f>
        <v>61280</v>
      </c>
      <c r="E131" s="63">
        <f t="shared" si="4"/>
        <v>202570</v>
      </c>
    </row>
    <row r="132" spans="1:7" ht="18" thickBot="1" x14ac:dyDescent="0.35">
      <c r="A132" s="2">
        <v>11</v>
      </c>
      <c r="C132" s="38" t="s">
        <v>47</v>
      </c>
      <c r="D132" s="43">
        <f>TRUNC(4379+411+636,-1)</f>
        <v>5420</v>
      </c>
      <c r="E132" s="64">
        <f t="shared" si="4"/>
        <v>17910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130700</v>
      </c>
      <c r="E133" s="39">
        <f>SUM(E122:E132)</f>
        <v>432020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TRUNC(2725+633,-1)</f>
        <v>3350</v>
      </c>
      <c r="E137" s="63">
        <f t="shared" si="5"/>
        <v>11070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TRUNC(1065,-1)</f>
        <v>1060</v>
      </c>
      <c r="E139" s="63">
        <f t="shared" si="5"/>
        <v>3500</v>
      </c>
    </row>
    <row r="140" spans="1:7" x14ac:dyDescent="0.3">
      <c r="A140" s="2">
        <v>5</v>
      </c>
      <c r="C140" s="38" t="s">
        <v>57</v>
      </c>
      <c r="D140" s="42">
        <f>TRUNC(51,-1)</f>
        <v>50</v>
      </c>
      <c r="E140" s="63">
        <f t="shared" si="5"/>
        <v>160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TRUNC(12532,-1)</f>
        <v>12530</v>
      </c>
      <c r="E142" s="63">
        <f t="shared" si="5"/>
        <v>41420</v>
      </c>
    </row>
    <row r="143" spans="1:7" x14ac:dyDescent="0.3">
      <c r="A143" s="2">
        <v>8</v>
      </c>
      <c r="C143" s="38" t="s">
        <v>62</v>
      </c>
      <c r="D143" s="42">
        <f>TRUNC(5878,-1)</f>
        <v>5870</v>
      </c>
      <c r="E143" s="63">
        <f t="shared" si="5"/>
        <v>19400</v>
      </c>
    </row>
    <row r="144" spans="1:7" x14ac:dyDescent="0.3">
      <c r="A144" s="2">
        <v>9</v>
      </c>
      <c r="C144" s="38" t="s">
        <v>63</v>
      </c>
      <c r="D144" s="42">
        <f>TRUNC(17257,-1)</f>
        <v>17250</v>
      </c>
      <c r="E144" s="63">
        <f t="shared" si="5"/>
        <v>57020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40110</v>
      </c>
      <c r="E146" s="39">
        <f>SUM(E136:E145)</f>
        <v>132570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TRUNC(24561+2748,-1)</f>
        <v>27300</v>
      </c>
      <c r="E149" s="62">
        <f>TRUNC(+D149*3.3058,-1)</f>
        <v>90240</v>
      </c>
    </row>
    <row r="150" spans="1:7" x14ac:dyDescent="0.3">
      <c r="A150" s="2">
        <v>2</v>
      </c>
      <c r="C150" s="38" t="s">
        <v>49</v>
      </c>
      <c r="D150" s="42">
        <f>TRUNC(13613,-1)</f>
        <v>13610</v>
      </c>
      <c r="E150" s="63">
        <f>TRUNC(+D150*3.3058,-1)</f>
        <v>44990</v>
      </c>
    </row>
    <row r="151" spans="1:7" x14ac:dyDescent="0.3">
      <c r="A151" s="2">
        <v>3</v>
      </c>
      <c r="C151" s="38" t="s">
        <v>50</v>
      </c>
      <c r="D151" s="42">
        <f>TRUNC(16195,-1)</f>
        <v>16190</v>
      </c>
      <c r="E151" s="63">
        <f>TRUNC(+D151*3.3058,-1)</f>
        <v>53520</v>
      </c>
    </row>
    <row r="152" spans="1:7" x14ac:dyDescent="0.3">
      <c r="A152" s="2">
        <v>4</v>
      </c>
      <c r="C152" s="38" t="s">
        <v>47</v>
      </c>
      <c r="D152" s="42">
        <v>20</v>
      </c>
      <c r="E152" s="63">
        <f>TRUNC(+D152*3.3058,-1)</f>
        <v>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57120</v>
      </c>
      <c r="E154" s="39">
        <f>SUM(E149:E153)</f>
        <v>188810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TRUNC(33268,-1)</f>
        <v>33260</v>
      </c>
      <c r="E157" s="62">
        <f>TRUNC(+D157*3.3058,-1)</f>
        <v>109950</v>
      </c>
    </row>
    <row r="158" spans="1:7" x14ac:dyDescent="0.3">
      <c r="A158" s="2">
        <v>2</v>
      </c>
      <c r="C158" s="38" t="s">
        <v>52</v>
      </c>
      <c r="D158" s="42">
        <f>TRUNC(1565,-1)</f>
        <v>1560</v>
      </c>
      <c r="E158" s="63">
        <f>TRUNC(+D158*3.3058,-1)</f>
        <v>5150</v>
      </c>
    </row>
    <row r="159" spans="1:7" x14ac:dyDescent="0.3">
      <c r="A159" s="2">
        <v>3</v>
      </c>
      <c r="C159" s="38" t="s">
        <v>47</v>
      </c>
      <c r="D159" s="42">
        <f>TRUNC(9652,-1)</f>
        <v>9650</v>
      </c>
      <c r="E159" s="63">
        <f>TRUNC(+D159*3.3058,-1)</f>
        <v>31900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44470</v>
      </c>
      <c r="E161" s="39">
        <f>SUM(E157:E160)</f>
        <v>147000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2020-12-08T02:08:15Z</dcterms:modified>
</cp:coreProperties>
</file>