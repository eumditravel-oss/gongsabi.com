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7" i="4"/>
  <c r="E56" i="4"/>
  <c r="E54" i="4"/>
  <c r="E40" i="4"/>
  <c r="E37" i="4"/>
  <c r="E66" i="4" l="1"/>
  <c r="E146" i="4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161" i="4" l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<sst xmlns="http://schemas.openxmlformats.org/spreadsheetml/2006/main" count="383" uniqueCount="257">
  <si>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</si>
  <si>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</si>
  <si>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</si>
  <si>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</si>
  <si>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</si>
  <si>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</si>
  <si>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</si>
  <si>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</si>
  <si>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</si>
  <si>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</si>
  <si>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</si>
  <si>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</si>
  <si>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</si>
  <si>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</si>
  <si>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</si>
  <si>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</si>
  <si>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</si>
  <si>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</si>
  <si>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</si>
  <si>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</si>
  <si>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</si>
  <si>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</si>
  <si>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</si>
  <si>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</si>
  <si>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</si>
  <si>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</si>
  <si>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</si>
  <si>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</si>
  <si>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</si>
  <si>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</si>
  <si>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</si>
  <si>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</si>
  <si>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</si>
  <si>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</si>
  <si>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</si>
  <si>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</si>
  <si>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</si>
  <si>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</si>
  <si>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</si>
  <si>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</si>
  <si>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</si>
  <si>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</si>
  <si>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</si>
  <si>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</si>
  <si>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</si>
  <si>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</si>
  <si>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</si>
  <si>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</si>
  <si>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</si>
  <si>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</si>
  <si>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</si>
  <si>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</si>
  <si>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</si>
  <si>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</si>
  <si>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</si>
  <si>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</si>
  <si>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</si>
  <si>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</si>
  <si>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</si>
  <si>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</si>
  <si>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</si>
  <si>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</si>
  <si>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</si>
  <si>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</si>
  <si>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</si>
  <si>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</si>
  <si>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</si>
  <si>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</si>
  <si>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</si>
  <si>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</si>
  <si>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</si>
  <si>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</si>
  <si>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</si>
  <si>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</si>
  <si>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</si>
  <si>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</si>
  <si>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</si>
  <si>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</si>
  <si>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</si>
  <si>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</si>
  <si>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</si>
  <si>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</si>
  <si>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</si>
  <si>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</si>
  <si>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</si>
  <si>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</si>
  <si>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</si>
  <si>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</si>
  <si>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</si>
  <si>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</si>
  <si>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</si>
  <si>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</si>
  <si>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</si>
  <si>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</si>
  <si>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</si>
  <si>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</si>
  <si>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</si>
  <si>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</si>
  <si>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</si>
  <si>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</si>
  <si>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</si>
  <si>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</si>
  <si>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</si>
  <si>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</si>
  <si>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</si>
  <si>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</si>
  <si>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</si>
  <si>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</si>
  <si>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</si>
  <si>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</si>
  <si>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</si>
  <si>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</si>
  <si>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</si>
  <si>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</si>
  <si>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</si>
  <si>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</si>
  <si>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</si>
  <si>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</si>
  <si>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</si>
  <si>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</si>
  <si>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</si>
  <si>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</si>
  <si>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</si>
  <si>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</si>
  <si>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</si>
  <si>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</si>
  <si>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</si>
  <si>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</si>
  <si>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</si>
  <si>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</si>
  <si>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</si>
  <si>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</si>
  <si>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</si>
  <si>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</si>
  <si>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</si>
  <si>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</si>
  <si>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</si>
  <si>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</si>
  <si>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</si>
  <si>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</si>
  <si>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</si>
  <si>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</si>
  <si>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</si>
  <si>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</si>
  <si>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</si>
  <si>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</si>
  <si>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</si>
  <si>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</si>
  <si>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</si>
  <si>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</si>
  <si>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</si>
  <si>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</si>
  <si>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</si>
  <si>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</si>
  <si>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</si>
  <si>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</si>
  <si>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</si>
  <si>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</si>
  <si>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</si>
  <si>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</si>
  <si>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</si>
  <si>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</si>
  <si>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</si>
  <si>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</si>
  <si>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</si>
  <si>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</si>
  <si>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</si>
  <si>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</si>
  <si>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</si>
  <si>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</si>
  <si>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</si>
  <si>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</si>
  <si>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</si>
  <si>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</si>
  <si>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</si>
  <si>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</si>
  <si>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</si>
  <si>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</si>
  <si>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</si>
  <si>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</si>
  <si>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</si>
  <si>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</si>
  <si>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</si>
  <si>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</si>
  <si>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</si>
  <si>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</si>
  <si>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</si>
  <si>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</si>
  <si>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</si>
  <si>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</si>
  <si>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</si>
  <si>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</si>
  <si>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</si>
  <si>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</si>
  <si>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</si>
  <si>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</si>
  <si>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</si>
  <si>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</si>
  <si>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</si>
  <si>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</si>
  <si>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</si>
  <si>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</si>
  <si>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</si>
  <si>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</si>
  <si>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</si>
  <si>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</si>
  <si>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</si>
  <si>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</si>
  <si>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</si>
  <si>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</si>
  <si>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</si>
  <si>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</si>
  <si>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</si>
  <si>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</si>
  <si>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</si>
  <si>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</si>
  <si>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</si>
  <si>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</si>
  <si>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</si>
  <si>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</si>
  <si>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</si>
  <si>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</si>
  <si>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</si>
  <si>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</si>
  <si>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</si>
  <si>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</si>
  <si>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</si>
  <si>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</si>
  <si>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</si>
  <si>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</si>
  <si>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</si>
  <si>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</si>
  <si>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</si>
  <si>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</si>
  <si>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</si>
  <si>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</si>
  <si>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</si>
  <si>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</si>
  <si>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</si>
  <si>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</si>
  <si>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</si>
  <si>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</si>
  <si>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</si>
  <si>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</si>
  <si>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</si>
  <si>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</si>
  <si>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</si>
  <si>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종로세무서 청사 신축공사</t>
  </si>
  <si>
    <t>업무</t>
  </si>
  <si>
    <t>서울</t>
  </si>
  <si>
    <t>기타공사,골재대 및 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</si>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</sst>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7583</v>
      </c>
      <c r="D7" s="36">
        <f>+C7/3.3058</f>
        <v>2293.8471776877004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193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255</v>
      </c>
    </row>
    <row r="19" spans="1:5" x14ac:dyDescent="0.3">
      <c r="A19" s="2">
        <v>9</v>
      </c>
      <c r="B19" s="2" t="s">
        <v>256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239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767530</v>
      </c>
      <c r="E25" s="60">
        <f t="shared" si="0"/>
        <v>2537300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200540</v>
      </c>
      <c r="E27" s="60">
        <f t="shared" si="0"/>
        <v>662940</v>
      </c>
    </row>
    <row r="28" spans="1:5" x14ac:dyDescent="0.3">
      <c r="B28" s="2">
        <v>5</v>
      </c>
      <c r="C28" s="35" t="s">
        <v>97</v>
      </c>
      <c r="D28" s="45">
        <f>+D119</f>
        <v>201120</v>
      </c>
      <c r="E28" s="60">
        <f t="shared" si="0"/>
        <v>664860</v>
      </c>
    </row>
    <row r="29" spans="1:5" x14ac:dyDescent="0.3">
      <c r="B29" s="2">
        <v>6</v>
      </c>
      <c r="C29" s="35" t="s">
        <v>98</v>
      </c>
      <c r="D29" s="45">
        <f>+D133</f>
        <v>124400</v>
      </c>
      <c r="E29" s="60">
        <f t="shared" si="0"/>
        <v>411240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116190</v>
      </c>
      <c r="E31" s="60">
        <f t="shared" si="0"/>
        <v>384100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387680</v>
      </c>
      <c r="E33" s="61">
        <f t="shared" si="0"/>
        <v>1281590</v>
      </c>
    </row>
    <row r="34" spans="1:7" x14ac:dyDescent="0.3">
      <c r="C34" s="35" t="s">
        <v>112</v>
      </c>
      <c r="D34" s="44">
        <f>SUM(D24:D33)</f>
        <v>1797460</v>
      </c>
      <c r="E34" s="44">
        <f>SUM(E24:E33)</f>
        <v>5942030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236</v>
      </c>
      <c r="D36" s="57" t="s">
        <v>234</v>
      </c>
      <c r="E36" s="57" t="s">
        <v>239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252</v>
      </c>
      <c r="E39" s="67" t="s">
        <v>253</v>
      </c>
      <c r="G39" s="68"/>
    </row>
    <row r="40" spans="1:7" x14ac:dyDescent="0.3">
      <c r="A40" s="2">
        <v>1</v>
      </c>
      <c r="C40" s="38" t="s">
        <v>15</v>
      </c>
      <c r="D40" s="40">
        <v>41880</v>
      </c>
      <c r="E40" s="63">
        <f t="shared" ref="E40:E59" si="1">TRUNC(+D40*3.3058,-1)</f>
        <v>138440</v>
      </c>
    </row>
    <row r="41" spans="1:7" x14ac:dyDescent="0.3">
      <c r="A41" s="2">
        <v>2</v>
      </c>
      <c r="C41" s="38" t="s">
        <v>13</v>
      </c>
      <c r="D41" s="42">
        <f>TRUNC(172163,-1)</f>
        <v>172160</v>
      </c>
      <c r="E41" s="64">
        <f t="shared" si="1"/>
        <v>569120</v>
      </c>
    </row>
    <row r="42" spans="1:7" x14ac:dyDescent="0.3">
      <c r="A42" s="2">
        <v>3</v>
      </c>
      <c r="C42" s="38" t="s">
        <v>14</v>
      </c>
      <c r="D42" s="42">
        <f>TRUNC(2232,-1)</f>
        <v>2230</v>
      </c>
      <c r="E42" s="64">
        <f t="shared" si="1"/>
        <v>7370</v>
      </c>
    </row>
    <row r="43" spans="1:7" x14ac:dyDescent="0.3">
      <c r="A43" s="2">
        <v>4</v>
      </c>
      <c r="C43" s="38" t="s">
        <v>16</v>
      </c>
      <c r="D43" s="42">
        <f>TRUNC(15492,-1)</f>
        <v>15490</v>
      </c>
      <c r="E43" s="64">
        <f t="shared" si="1"/>
        <v>51200</v>
      </c>
    </row>
    <row r="44" spans="1:7" x14ac:dyDescent="0.3">
      <c r="A44" s="2">
        <v>5</v>
      </c>
      <c r="C44" s="38" t="s">
        <v>17</v>
      </c>
      <c r="D44" s="42">
        <f>TRUNC(17216,-1)</f>
        <v>17210</v>
      </c>
      <c r="E44" s="64">
        <f t="shared" si="1"/>
        <v>56890</v>
      </c>
    </row>
    <row r="45" spans="1:7" x14ac:dyDescent="0.3">
      <c r="A45" s="2">
        <v>6</v>
      </c>
      <c r="C45" s="38" t="s">
        <v>18</v>
      </c>
      <c r="D45" s="42">
        <f>TRUNC(6141,-1)</f>
        <v>6140</v>
      </c>
      <c r="E45" s="64">
        <f t="shared" si="1"/>
        <v>20290</v>
      </c>
    </row>
    <row r="46" spans="1:7" x14ac:dyDescent="0.3">
      <c r="A46" s="2">
        <v>7</v>
      </c>
      <c r="C46" s="38" t="s">
        <v>19</v>
      </c>
      <c r="D46" s="42">
        <f>TRUNC(52097,-1)</f>
        <v>52090</v>
      </c>
      <c r="E46" s="64">
        <f t="shared" si="1"/>
        <v>172190</v>
      </c>
    </row>
    <row r="47" spans="1:7" x14ac:dyDescent="0.3">
      <c r="A47" s="2">
        <v>8</v>
      </c>
      <c r="C47" s="38" t="s">
        <v>20</v>
      </c>
      <c r="D47" s="42">
        <f>TRUNC(4442,-1)</f>
        <v>4440</v>
      </c>
      <c r="E47" s="64">
        <f t="shared" si="1"/>
        <v>14670</v>
      </c>
    </row>
    <row r="48" spans="1:7" x14ac:dyDescent="0.3">
      <c r="A48" s="2">
        <v>9</v>
      </c>
      <c r="C48" s="38" t="s">
        <v>21</v>
      </c>
      <c r="D48" s="42">
        <f>TRUNC(53395,-1)</f>
        <v>53390</v>
      </c>
      <c r="E48" s="64">
        <f t="shared" si="1"/>
        <v>176490</v>
      </c>
    </row>
    <row r="49" spans="1:7" x14ac:dyDescent="0.3">
      <c r="A49" s="2">
        <v>10</v>
      </c>
      <c r="C49" s="38" t="s">
        <v>22</v>
      </c>
      <c r="D49" s="42">
        <f>TRUNC(25259,-1)</f>
        <v>25250</v>
      </c>
      <c r="E49" s="64">
        <f t="shared" si="1"/>
        <v>83470</v>
      </c>
    </row>
    <row r="50" spans="1:7" x14ac:dyDescent="0.3">
      <c r="A50" s="2">
        <v>11</v>
      </c>
      <c r="C50" s="38" t="s">
        <v>154</v>
      </c>
      <c r="D50" s="42">
        <f>TRUNC(83287,-1)</f>
        <v>83280</v>
      </c>
      <c r="E50" s="64">
        <f t="shared" si="1"/>
        <v>275300</v>
      </c>
    </row>
    <row r="51" spans="1:7" x14ac:dyDescent="0.3">
      <c r="A51" s="2">
        <v>12</v>
      </c>
      <c r="C51" s="38" t="s">
        <v>23</v>
      </c>
      <c r="D51" s="42">
        <f>TRUNC(35970,-1)</f>
        <v>35970</v>
      </c>
      <c r="E51" s="64">
        <f t="shared" si="1"/>
        <v>118900</v>
      </c>
    </row>
    <row r="52" spans="1:7" x14ac:dyDescent="0.3">
      <c r="A52" s="2">
        <v>13</v>
      </c>
      <c r="C52" s="38" t="s">
        <v>24</v>
      </c>
      <c r="D52" s="42">
        <f>TRUNC(9100,-1)</f>
        <v>9100</v>
      </c>
      <c r="E52" s="64">
        <f t="shared" si="1"/>
        <v>30080</v>
      </c>
    </row>
    <row r="53" spans="1:7" x14ac:dyDescent="0.3">
      <c r="A53" s="2">
        <v>14</v>
      </c>
      <c r="C53" s="38" t="s">
        <v>25</v>
      </c>
      <c r="D53" s="42">
        <f>TRUNC(73163,-1)</f>
        <v>73160</v>
      </c>
      <c r="E53" s="64">
        <f t="shared" si="1"/>
        <v>241850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TRUNC(6475,-1)</f>
        <v>6470</v>
      </c>
      <c r="E55" s="64">
        <f t="shared" si="1"/>
        <v>21380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TRUNC(58832+1870,-1)</f>
        <v>60700</v>
      </c>
      <c r="E58" s="64">
        <f t="shared" si="1"/>
        <v>200660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TRUNC(108578.530924436,-1)</f>
        <v>108570</v>
      </c>
      <c r="E59" s="65">
        <f t="shared" si="1"/>
        <v>358910</v>
      </c>
    </row>
    <row r="60" spans="1:7" x14ac:dyDescent="0.3">
      <c r="A60" s="2">
        <v>21</v>
      </c>
      <c r="C60" s="27" t="s">
        <v>112</v>
      </c>
      <c r="D60" s="39">
        <f>SUM(D40:D59)</f>
        <v>767530</v>
      </c>
      <c r="E60" s="39">
        <f>SUM(E40:E59)</f>
        <v>2537210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237</v>
      </c>
      <c r="C62" s="56" t="s">
        <v>238</v>
      </c>
      <c r="D62" s="57" t="s">
        <v>234</v>
      </c>
      <c r="E62" s="57" t="s">
        <v>239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0</v>
      </c>
      <c r="E66" s="58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239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TRUNC(63604.7738362126,-1)</f>
        <v>63600</v>
      </c>
      <c r="E93" s="64">
        <f t="shared" si="2"/>
        <v>210240</v>
      </c>
    </row>
    <row r="94" spans="1:7" ht="17.25" thickBot="1" x14ac:dyDescent="0.35">
      <c r="A94" s="2">
        <v>26</v>
      </c>
      <c r="C94" s="38" t="s">
        <v>47</v>
      </c>
      <c r="D94" s="43">
        <f>TRUNC(136949,-1)</f>
        <v>136940</v>
      </c>
      <c r="E94" s="65">
        <f t="shared" si="2"/>
        <v>452690</v>
      </c>
    </row>
    <row r="95" spans="1:7" x14ac:dyDescent="0.3">
      <c r="A95" s="2">
        <v>27</v>
      </c>
      <c r="C95" s="27" t="s">
        <v>112</v>
      </c>
      <c r="D95" s="39">
        <f>SUM(D69:D94)</f>
        <v>200540</v>
      </c>
      <c r="E95" s="39">
        <f>SUM(E69:E94)</f>
        <v>662930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239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TRUNC(67927.073717526,-1)</f>
        <v>67920</v>
      </c>
      <c r="E117" s="64">
        <f t="shared" si="3"/>
        <v>224520</v>
      </c>
    </row>
    <row r="118" spans="1:7" ht="17.25" thickBot="1" x14ac:dyDescent="0.35">
      <c r="A118" s="2">
        <v>21</v>
      </c>
      <c r="C118" s="38" t="s">
        <v>47</v>
      </c>
      <c r="D118" s="43">
        <f>TRUNC(133206,-1)</f>
        <v>133200</v>
      </c>
      <c r="E118" s="65">
        <f t="shared" si="3"/>
        <v>440330</v>
      </c>
    </row>
    <row r="119" spans="1:7" x14ac:dyDescent="0.3">
      <c r="A119" s="2">
        <v>22</v>
      </c>
      <c r="C119" s="27" t="s">
        <v>112</v>
      </c>
      <c r="D119" s="39">
        <f>SUM(D98:D118)</f>
        <v>201120</v>
      </c>
      <c r="E119" s="39">
        <f>SUM(E98:E118)</f>
        <v>664850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239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TRUNC(16726.361598312,-1)</f>
        <v>16720</v>
      </c>
      <c r="E131" s="64">
        <f t="shared" si="4"/>
        <v>55270</v>
      </c>
    </row>
    <row r="132" spans="1:7" ht="18" thickBot="1" x14ac:dyDescent="0.35">
      <c r="A132" s="2">
        <v>11</v>
      </c>
      <c r="C132" s="38" t="s">
        <v>47</v>
      </c>
      <c r="D132" s="43">
        <f>TRUNC(107685,-1)</f>
        <v>107680</v>
      </c>
      <c r="E132" s="65">
        <f t="shared" si="4"/>
        <v>355960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124400</v>
      </c>
      <c r="E133" s="39">
        <f>SUM(E122:E132)</f>
        <v>411230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239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239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TRUNC(-4566+110560,-1)</f>
        <v>105990</v>
      </c>
      <c r="E152" s="64">
        <f>TRUNC(+D152*3.3058,-1)</f>
        <v>350380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TRUNC(10209.2839245681,-1)</f>
        <v>10200</v>
      </c>
      <c r="E153" s="65">
        <f>TRUNC(+D153*3.3058,-1)</f>
        <v>33710</v>
      </c>
    </row>
    <row r="154" spans="1:7" x14ac:dyDescent="0.3">
      <c r="A154" s="2">
        <v>6</v>
      </c>
      <c r="C154" s="27" t="s">
        <v>112</v>
      </c>
      <c r="D154" s="39">
        <f>SUM(D149:D153)</f>
        <v>116190</v>
      </c>
      <c r="E154" s="39">
        <f>SUM(E149:E153)</f>
        <v>384090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239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2020-12-07T09:27:44Z</dcterms:modified>
</cp:coreProperties>
</file>