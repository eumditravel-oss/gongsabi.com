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0" i="4"/>
  <c r="D149" i="4"/>
  <c r="D144" i="4"/>
  <c r="D143" i="4"/>
  <c r="D142" i="4"/>
  <c r="D141" i="4"/>
  <c r="D140" i="4"/>
  <c r="D139" i="4"/>
  <c r="D138" i="4"/>
  <c r="D137" i="4"/>
  <c r="D132" i="4"/>
  <c r="D131" i="4"/>
  <c r="D130" i="4"/>
  <c r="D128" i="4"/>
  <c r="D127" i="4"/>
  <c r="D125" i="4"/>
  <c r="D124" i="4"/>
  <c r="D122" i="4"/>
  <c r="D118" i="4"/>
  <c r="D105" i="4"/>
  <c r="D103" i="4"/>
  <c r="D102" i="4"/>
  <c r="D101" i="4"/>
  <c r="D100" i="4"/>
  <c r="D99" i="4"/>
  <c r="D98" i="4"/>
  <c r="D94" i="4"/>
  <c r="D93" i="4"/>
  <c r="D92" i="4"/>
  <c r="D91" i="4"/>
  <c r="D89" i="4"/>
  <c r="D73" i="4"/>
  <c r="D72" i="4"/>
  <c r="D71" i="4"/>
  <c r="D70" i="4"/>
  <c r="D65" i="4"/>
  <c r="D63" i="4"/>
  <c r="D53" i="4"/>
  <c r="D52" i="4"/>
  <c r="D50" i="4"/>
  <c r="D49" i="4"/>
  <c r="D48" i="4"/>
  <c r="D44" i="4"/>
  <c r="D43" i="4"/>
  <c r="D40" i="4"/>
  <c r="D160" i="4"/>
  <c r="D152" i="4" l="1"/>
  <c r="D58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6" i="4"/>
  <c r="E60" i="4"/>
  <c r="D161" i="4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<sst xmlns="http://schemas.openxmlformats.org/spreadsheetml/2006/main" count="395" uniqueCount="268">
  <si>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</si>
  <si>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</si>
  <si>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</si>
  <si>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</si>
  <si>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</si>
  <si>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</si>
  <si>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</si>
  <si>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</si>
  <si>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</si>
  <si>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</si>
  <si>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</si>
  <si>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</si>
  <si>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</si>
  <si>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</si>
  <si>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</si>
  <si>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</si>
  <si>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</si>
  <si>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</si>
  <si>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</si>
  <si>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</si>
  <si>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</si>
  <si>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</si>
  <si>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</si>
  <si>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</si>
  <si>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</si>
  <si>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</si>
  <si>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</si>
  <si>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</si>
  <si>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</si>
  <si>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</si>
  <si>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</si>
  <si>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</si>
  <si>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</si>
  <si>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</si>
  <si>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</si>
  <si>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</si>
  <si>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</si>
  <si>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</si>
  <si>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</si>
  <si>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</si>
  <si>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</si>
  <si>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</si>
  <si>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</si>
  <si>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</si>
  <si>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</si>
  <si>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</si>
  <si>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</si>
  <si>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</si>
  <si>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</si>
  <si>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</si>
  <si>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</si>
  <si>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</si>
  <si>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</si>
  <si>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</si>
  <si>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</si>
  <si>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</si>
  <si>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</si>
  <si>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</si>
  <si>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</si>
  <si>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</si>
  <si>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</si>
  <si>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</si>
  <si>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</si>
  <si>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</si>
  <si>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</si>
  <si>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</si>
  <si>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</si>
  <si>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</si>
  <si>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</si>
  <si>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</si>
  <si>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</si>
  <si>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</si>
  <si>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</si>
  <si>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</si>
  <si>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</si>
  <si>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</si>
  <si>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</si>
  <si>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</si>
  <si>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</si>
  <si>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</si>
  <si>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</si>
  <si>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</si>
  <si>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</si>
  <si>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</si>
  <si>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</si>
  <si>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</si>
  <si>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</si>
  <si>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</si>
  <si>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</si>
  <si>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</si>
  <si>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</si>
  <si>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</si>
  <si>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</si>
  <si>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</si>
  <si>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</si>
  <si>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</si>
  <si>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</si>
  <si>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</si>
  <si>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</si>
  <si>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</si>
  <si>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</si>
  <si>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</si>
  <si>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</si>
  <si>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</si>
  <si>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</si>
  <si>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</si>
  <si>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</si>
  <si>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</si>
  <si>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</si>
  <si>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</si>
  <si>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</si>
  <si>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</si>
  <si>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</si>
  <si>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</si>
  <si>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</si>
  <si>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</si>
  <si>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</si>
  <si>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</si>
  <si>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</si>
  <si>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</si>
  <si>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</si>
  <si>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</si>
  <si>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</si>
  <si>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</si>
  <si>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</si>
  <si>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</si>
  <si>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</si>
  <si>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</si>
  <si>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</si>
  <si>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</si>
  <si>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</si>
  <si>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</si>
  <si>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</si>
  <si>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</si>
  <si>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</si>
  <si>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</si>
  <si>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</si>
  <si>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</si>
  <si>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</si>
  <si>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</si>
  <si>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</si>
  <si>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</si>
  <si>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</si>
  <si>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</si>
  <si>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</si>
  <si>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</si>
  <si>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</si>
  <si>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</si>
  <si>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</si>
  <si>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</si>
  <si>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</si>
  <si>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</si>
  <si>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</si>
  <si>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</si>
  <si>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</si>
  <si>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</si>
  <si>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</si>
  <si>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</si>
  <si>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</si>
  <si>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</si>
  <si>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</si>
  <si>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</si>
  <si>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</si>
  <si>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</si>
  <si>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</si>
  <si>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</si>
  <si>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</si>
  <si>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</si>
  <si>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</si>
  <si>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</si>
  <si>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</si>
  <si>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</si>
  <si>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</si>
  <si>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</si>
  <si>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</si>
  <si>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</si>
  <si>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</si>
  <si>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</si>
  <si>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</si>
  <si>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</si>
  <si>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</si>
  <si>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</si>
  <si>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</si>
  <si>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</si>
  <si>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</si>
  <si>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</si>
  <si>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</si>
  <si>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</si>
  <si>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</si>
  <si>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</si>
  <si>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</si>
  <si>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</si>
  <si>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</si>
  <si>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</si>
  <si>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</si>
  <si>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</si>
  <si>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</si>
  <si>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</si>
  <si>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</si>
  <si>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</si>
  <si>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</si>
  <si>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</si>
  <si>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</si>
  <si>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</si>
  <si>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</si>
  <si>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</si>
  <si>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</si>
  <si>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</si>
  <si>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</si>
  <si>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</si>
  <si>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</si>
  <si>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</si>
  <si>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</si>
  <si>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</si>
  <si>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</si>
  <si>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</si>
  <si>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</si>
  <si>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</si>
  <si>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</si>
  <si>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</si>
  <si>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</si>
  <si>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</si>
  <si>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</si>
  <si>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</si>
  <si>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</si>
  <si>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</si>
  <si>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</si>
  <si>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</si>
  <si>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</si>
  <si>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</si>
  <si>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</si>
  <si>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</si>
  <si>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</si>
  <si>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</si>
  <si>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</si>
  <si>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</si>
  <si>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</si>
  <si>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</si>
  <si>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</si>
  <si>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</si>
  <si>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</si>
  <si>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</si>
  <si>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</si>
  <si>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</si>
  <si>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</si>
  <si>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</si>
  <si>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</si>
  <si>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</si>
  <si>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한국국토정보공사 공간정보연구원 신축공사(건축 기계 토목 조경)</t>
    <phoneticPr fontId="2" type="noConversion"/>
  </si>
  <si>
    <t>교육연구</t>
  </si>
  <si>
    <t>전라도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</si>
  <si>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</si>
  <si>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</si>
  <si>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</si>
  <si>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기초공사,골재비및운반비,작업부산물,품질시험비,기타공사</t>
    <phoneticPr fontId="2" type="noConversion"/>
  </si>
  <si>
    <t>난방배관공사,기타공사</t>
    <phoneticPr fontId="2" type="noConversion"/>
  </si>
  <si>
    <t xml:space="preserve">전기인입 및 수변전 설비공사  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</si>
  <si>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</si>
  <si>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</si>
  <si>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</si>
  <si>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옥외소화배관공사,펌프실배관공사,기타공사</t>
    <phoneticPr fontId="2" type="noConversion"/>
  </si>
  <si>
    <t>우수공사,오수공사</t>
    <phoneticPr fontId="2" type="noConversion"/>
  </si>
  <si>
    <t>상수도공사,사급자재비,운반비,기타공사</t>
    <phoneticPr fontId="2" type="noConversion"/>
  </si>
  <si>
    <t>포장공사</t>
    <phoneticPr fontId="2" type="noConversion"/>
  </si>
  <si>
    <t>조경시설물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</si>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</sst>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9234.39</v>
      </c>
      <c r="D7" s="36">
        <f>+C7/3.3058</f>
        <v>2793.3904047431784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984430</v>
      </c>
      <c r="E25" s="59">
        <f t="shared" si="0"/>
        <v>3254320</v>
      </c>
    </row>
    <row r="26" spans="1:5" x14ac:dyDescent="0.3">
      <c r="B26" s="2">
        <v>3</v>
      </c>
      <c r="C26" s="35" t="s">
        <v>95</v>
      </c>
      <c r="D26" s="45">
        <f>+D66</f>
        <v>152290</v>
      </c>
      <c r="E26" s="59">
        <f t="shared" si="0"/>
        <v>503440</v>
      </c>
    </row>
    <row r="27" spans="1:5" x14ac:dyDescent="0.3">
      <c r="B27" s="2">
        <v>4</v>
      </c>
      <c r="C27" s="35" t="s">
        <v>96</v>
      </c>
      <c r="D27" s="45">
        <f>+D95</f>
        <v>265810</v>
      </c>
      <c r="E27" s="59">
        <f t="shared" si="0"/>
        <v>878710</v>
      </c>
    </row>
    <row r="28" spans="1:5" x14ac:dyDescent="0.3">
      <c r="B28" s="2">
        <v>5</v>
      </c>
      <c r="C28" s="35" t="s">
        <v>97</v>
      </c>
      <c r="D28" s="45">
        <f>+D119</f>
        <v>608270</v>
      </c>
      <c r="E28" s="59">
        <f t="shared" si="0"/>
        <v>2010810</v>
      </c>
    </row>
    <row r="29" spans="1:5" x14ac:dyDescent="0.3">
      <c r="B29" s="2">
        <v>6</v>
      </c>
      <c r="C29" s="35" t="s">
        <v>98</v>
      </c>
      <c r="D29" s="45">
        <f>+D133</f>
        <v>169000</v>
      </c>
      <c r="E29" s="59">
        <f t="shared" si="0"/>
        <v>558680</v>
      </c>
    </row>
    <row r="30" spans="1:5" x14ac:dyDescent="0.3">
      <c r="B30" s="2">
        <v>7</v>
      </c>
      <c r="C30" s="35" t="s">
        <v>99</v>
      </c>
      <c r="D30" s="45">
        <f>+D146</f>
        <v>88570</v>
      </c>
      <c r="E30" s="59">
        <f t="shared" si="0"/>
        <v>292790</v>
      </c>
    </row>
    <row r="31" spans="1:5" x14ac:dyDescent="0.3">
      <c r="B31" s="2">
        <v>8</v>
      </c>
      <c r="C31" s="35" t="s">
        <v>100</v>
      </c>
      <c r="D31" s="45">
        <f>+D154</f>
        <v>65260</v>
      </c>
      <c r="E31" s="59">
        <f t="shared" si="0"/>
        <v>215730</v>
      </c>
    </row>
    <row r="32" spans="1:5" x14ac:dyDescent="0.3">
      <c r="B32" s="2">
        <v>9</v>
      </c>
      <c r="C32" s="35" t="s">
        <v>101</v>
      </c>
      <c r="D32" s="45">
        <f>+D161</f>
        <v>100340</v>
      </c>
      <c r="E32" s="59">
        <f t="shared" si="0"/>
        <v>331700</v>
      </c>
    </row>
    <row r="33" spans="1:7" x14ac:dyDescent="0.3">
      <c r="B33" s="2">
        <v>10</v>
      </c>
      <c r="C33" s="35" t="s">
        <v>154</v>
      </c>
      <c r="D33" s="53">
        <f>TRUNC(SUM(D24:D32)*0.275,-1)</f>
        <v>669340</v>
      </c>
      <c r="E33" s="60">
        <f t="shared" si="0"/>
        <v>2212700</v>
      </c>
    </row>
    <row r="34" spans="1:7" x14ac:dyDescent="0.3">
      <c r="C34" s="35" t="s">
        <v>112</v>
      </c>
      <c r="D34" s="44">
        <f>SUM(D24:D33)</f>
        <v>3103310</v>
      </c>
      <c r="E34" s="44">
        <f>SUM(E24:E33)</f>
        <v>10258880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240</v>
      </c>
      <c r="D39" s="57" t="s">
        <v>235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TRUNC(103159,-1)</f>
        <v>103150</v>
      </c>
      <c r="E40" s="62">
        <f t="shared" ref="E40:E59" si="1">TRUNC(+D40*3.3058,-1)</f>
        <v>340990</v>
      </c>
    </row>
    <row r="41" spans="1:7" x14ac:dyDescent="0.3">
      <c r="A41" s="2">
        <v>2</v>
      </c>
      <c r="C41" s="38" t="s">
        <v>13</v>
      </c>
      <c r="D41" s="42">
        <v>303280</v>
      </c>
      <c r="E41" s="63">
        <f t="shared" si="1"/>
        <v>1002580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TRUNC(5279,-1)</f>
        <v>5270</v>
      </c>
      <c r="E43" s="63">
        <f t="shared" si="1"/>
        <v>17420</v>
      </c>
    </row>
    <row r="44" spans="1:7" x14ac:dyDescent="0.3">
      <c r="A44" s="2">
        <v>5</v>
      </c>
      <c r="C44" s="38" t="s">
        <v>17</v>
      </c>
      <c r="D44" s="42">
        <f>TRUNC(63042,-1)</f>
        <v>63040</v>
      </c>
      <c r="E44" s="63">
        <f t="shared" si="1"/>
        <v>208390</v>
      </c>
    </row>
    <row r="45" spans="1:7" x14ac:dyDescent="0.3">
      <c r="A45" s="2">
        <v>6</v>
      </c>
      <c r="C45" s="38" t="s">
        <v>18</v>
      </c>
      <c r="D45" s="42">
        <v>4370</v>
      </c>
      <c r="E45" s="63">
        <f t="shared" si="1"/>
        <v>14440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TRUNC(50864,-1)</f>
        <v>50860</v>
      </c>
      <c r="E48" s="63">
        <f t="shared" si="1"/>
        <v>168130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TRUNC(47645,-1)</f>
        <v>47640</v>
      </c>
      <c r="E49" s="63">
        <f t="shared" si="1"/>
        <v>157480</v>
      </c>
    </row>
    <row r="50" spans="1:7" x14ac:dyDescent="0.3">
      <c r="A50" s="2">
        <v>11</v>
      </c>
      <c r="C50" s="38" t="s">
        <v>155</v>
      </c>
      <c r="D50" s="42">
        <f>TRUNC(44403,-1)</f>
        <v>44400</v>
      </c>
      <c r="E50" s="63">
        <f t="shared" si="1"/>
        <v>146770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TRUNC(10573,-1)</f>
        <v>10570</v>
      </c>
      <c r="E52" s="63">
        <f t="shared" si="1"/>
        <v>34940</v>
      </c>
    </row>
    <row r="53" spans="1:7" x14ac:dyDescent="0.3">
      <c r="A53" s="2">
        <v>14</v>
      </c>
      <c r="C53" s="38" t="s">
        <v>25</v>
      </c>
      <c r="D53" s="42">
        <f>TRUNC(43252,-1)</f>
        <v>43250</v>
      </c>
      <c r="E53" s="63">
        <f t="shared" si="1"/>
        <v>142970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1621+4549-988+3380+89828</f>
        <v>98390</v>
      </c>
      <c r="E58" s="63">
        <f t="shared" si="1"/>
        <v>325250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v>210210</v>
      </c>
      <c r="E59" s="64">
        <f t="shared" si="1"/>
        <v>694910</v>
      </c>
    </row>
    <row r="60" spans="1:7" x14ac:dyDescent="0.3">
      <c r="A60" s="2">
        <v>21</v>
      </c>
      <c r="C60" s="27" t="s">
        <v>112</v>
      </c>
      <c r="D60" s="39">
        <f>SUM(D40:D59)</f>
        <v>984430</v>
      </c>
      <c r="E60" s="39">
        <f>SUM(E40:E59)</f>
        <v>3254270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TRUNC(6362,-1)</f>
        <v>6360</v>
      </c>
      <c r="E63" s="62">
        <f>TRUNC(+D63*3.3058,-1)</f>
        <v>21020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TRUNC(145936,-1)</f>
        <v>145930</v>
      </c>
      <c r="E65" s="64">
        <f>TRUNC(+D65*3.3058,-1)</f>
        <v>482410</v>
      </c>
    </row>
    <row r="66" spans="1:7" x14ac:dyDescent="0.3">
      <c r="A66" s="2">
        <v>4</v>
      </c>
      <c r="C66" s="27" t="s">
        <v>112</v>
      </c>
      <c r="D66" s="39">
        <f>SUM(D63:D65)</f>
        <v>152290</v>
      </c>
      <c r="E66" s="65">
        <f>SUM(E63:E65)</f>
        <v>503430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6760</v>
      </c>
      <c r="E69" s="62">
        <f t="shared" ref="E69:E94" si="2">TRUNC(+D69*3.3058,-1)</f>
        <v>22340</v>
      </c>
    </row>
    <row r="70" spans="1:7" ht="16.5" customHeight="1" x14ac:dyDescent="0.3">
      <c r="A70" s="2">
        <v>2</v>
      </c>
      <c r="C70" s="38" t="s">
        <v>31</v>
      </c>
      <c r="D70" s="42">
        <f>TRUNC(199,-1)</f>
        <v>190</v>
      </c>
      <c r="E70" s="63">
        <f t="shared" si="2"/>
        <v>620</v>
      </c>
    </row>
    <row r="71" spans="1:7" x14ac:dyDescent="0.3">
      <c r="A71" s="2">
        <v>3</v>
      </c>
      <c r="C71" s="38" t="s">
        <v>32</v>
      </c>
      <c r="D71" s="42">
        <f>TRUNC(7062,-1)</f>
        <v>7060</v>
      </c>
      <c r="E71" s="63">
        <f t="shared" si="2"/>
        <v>23330</v>
      </c>
    </row>
    <row r="72" spans="1:7" x14ac:dyDescent="0.3">
      <c r="A72" s="2">
        <v>4</v>
      </c>
      <c r="C72" s="38" t="s">
        <v>33</v>
      </c>
      <c r="D72" s="42">
        <f>TRUNC(2091,-1)</f>
        <v>2090</v>
      </c>
      <c r="E72" s="63">
        <f t="shared" si="2"/>
        <v>6900</v>
      </c>
    </row>
    <row r="73" spans="1:7" x14ac:dyDescent="0.3">
      <c r="A73" s="2">
        <v>5</v>
      </c>
      <c r="C73" s="38" t="s">
        <v>34</v>
      </c>
      <c r="D73" s="42">
        <f>TRUNC(4478,-1)</f>
        <v>4470</v>
      </c>
      <c r="E73" s="63">
        <f t="shared" si="2"/>
        <v>14770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820</v>
      </c>
      <c r="E75" s="63">
        <f t="shared" si="2"/>
        <v>2710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TRUNC(8627,-1)</f>
        <v>8620</v>
      </c>
      <c r="E89" s="63">
        <f t="shared" si="2"/>
        <v>28490</v>
      </c>
    </row>
    <row r="90" spans="1:7" x14ac:dyDescent="0.3">
      <c r="A90" s="2">
        <v>22</v>
      </c>
      <c r="C90" s="38" t="s">
        <v>36</v>
      </c>
      <c r="D90" s="42">
        <v>2170</v>
      </c>
      <c r="E90" s="63">
        <f t="shared" si="2"/>
        <v>7170</v>
      </c>
    </row>
    <row r="91" spans="1:7" x14ac:dyDescent="0.3">
      <c r="A91" s="2">
        <v>23</v>
      </c>
      <c r="C91" s="38" t="s">
        <v>37</v>
      </c>
      <c r="D91" s="42">
        <f>TRUNC(35878,-1)</f>
        <v>35870</v>
      </c>
      <c r="E91" s="63">
        <f t="shared" si="2"/>
        <v>118570</v>
      </c>
    </row>
    <row r="92" spans="1:7" x14ac:dyDescent="0.3">
      <c r="A92" s="2">
        <v>24</v>
      </c>
      <c r="C92" s="38" t="s">
        <v>38</v>
      </c>
      <c r="D92" s="42">
        <f>TRUNC(3803,-1)</f>
        <v>3800</v>
      </c>
      <c r="E92" s="63">
        <f t="shared" si="2"/>
        <v>12560</v>
      </c>
    </row>
    <row r="93" spans="1:7" x14ac:dyDescent="0.3">
      <c r="A93" s="2">
        <v>25</v>
      </c>
      <c r="C93" s="38" t="s">
        <v>148</v>
      </c>
      <c r="D93" s="42">
        <f>TRUNC(184757,-1)</f>
        <v>184750</v>
      </c>
      <c r="E93" s="63">
        <f t="shared" si="2"/>
        <v>610740</v>
      </c>
    </row>
    <row r="94" spans="1:7" ht="17.25" thickBot="1" x14ac:dyDescent="0.35">
      <c r="A94" s="2">
        <v>26</v>
      </c>
      <c r="C94" s="38" t="s">
        <v>47</v>
      </c>
      <c r="D94" s="43">
        <f>TRUNC(9191+21,-1)</f>
        <v>9210</v>
      </c>
      <c r="E94" s="64">
        <f t="shared" si="2"/>
        <v>30440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265810</v>
      </c>
      <c r="E95" s="39">
        <f>SUM(E69:E94)</f>
        <v>878640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TRUNC(42276,-1)</f>
        <v>42270</v>
      </c>
      <c r="E98" s="62">
        <f t="shared" ref="E98:E118" si="3">TRUNC(+D98*3.3058,-1)</f>
        <v>139730</v>
      </c>
    </row>
    <row r="99" spans="1:7" x14ac:dyDescent="0.3">
      <c r="A99" s="2">
        <v>2</v>
      </c>
      <c r="C99" s="38" t="s">
        <v>40</v>
      </c>
      <c r="D99" s="42">
        <f>TRUNC(14548,-1)</f>
        <v>14540</v>
      </c>
      <c r="E99" s="63">
        <f t="shared" si="3"/>
        <v>48060</v>
      </c>
    </row>
    <row r="100" spans="1:7" x14ac:dyDescent="0.3">
      <c r="A100" s="2">
        <v>3</v>
      </c>
      <c r="C100" s="38" t="s">
        <v>41</v>
      </c>
      <c r="D100" s="42">
        <f>TRUNC(36185,-1)</f>
        <v>36180</v>
      </c>
      <c r="E100" s="63">
        <f t="shared" si="3"/>
        <v>119600</v>
      </c>
    </row>
    <row r="101" spans="1:7" x14ac:dyDescent="0.3">
      <c r="A101" s="2">
        <v>4</v>
      </c>
      <c r="C101" s="38" t="s">
        <v>42</v>
      </c>
      <c r="D101" s="42">
        <f>TRUNC(2673,-1)</f>
        <v>2670</v>
      </c>
      <c r="E101" s="63">
        <f t="shared" si="3"/>
        <v>8820</v>
      </c>
    </row>
    <row r="102" spans="1:7" x14ac:dyDescent="0.3">
      <c r="A102" s="2">
        <v>5</v>
      </c>
      <c r="C102" s="38" t="s">
        <v>43</v>
      </c>
      <c r="D102" s="42">
        <f>TRUNC(11493,-1)</f>
        <v>11490</v>
      </c>
      <c r="E102" s="63">
        <f t="shared" si="3"/>
        <v>37980</v>
      </c>
    </row>
    <row r="103" spans="1:7" x14ac:dyDescent="0.3">
      <c r="A103" s="2">
        <v>6</v>
      </c>
      <c r="C103" s="38" t="s">
        <v>44</v>
      </c>
      <c r="D103" s="42">
        <f>TRUNC(6186,-1)</f>
        <v>6180</v>
      </c>
      <c r="E103" s="63">
        <f t="shared" si="3"/>
        <v>20420</v>
      </c>
    </row>
    <row r="104" spans="1:7" x14ac:dyDescent="0.3">
      <c r="A104" s="2">
        <v>7</v>
      </c>
      <c r="C104" s="38" t="s">
        <v>45</v>
      </c>
      <c r="D104" s="42">
        <v>14280</v>
      </c>
      <c r="E104" s="63">
        <f t="shared" si="3"/>
        <v>47200</v>
      </c>
    </row>
    <row r="105" spans="1:7" x14ac:dyDescent="0.3">
      <c r="A105" s="2">
        <v>8</v>
      </c>
      <c r="C105" s="38" t="s">
        <v>46</v>
      </c>
      <c r="D105" s="42">
        <f>TRUNC(15741,-1)</f>
        <v>15740</v>
      </c>
      <c r="E105" s="63">
        <f t="shared" si="3"/>
        <v>52030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3860</v>
      </c>
      <c r="E114" s="63">
        <f t="shared" si="3"/>
        <v>12760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2740</v>
      </c>
      <c r="E116" s="63">
        <f t="shared" si="3"/>
        <v>9050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v>455190</v>
      </c>
      <c r="E117" s="63">
        <f t="shared" si="3"/>
        <v>1504760</v>
      </c>
    </row>
    <row r="118" spans="1:7" ht="17.25" thickBot="1" x14ac:dyDescent="0.35">
      <c r="A118" s="2">
        <v>21</v>
      </c>
      <c r="C118" s="38" t="s">
        <v>47</v>
      </c>
      <c r="D118" s="43">
        <f>TRUNC(3135,-1)</f>
        <v>3130</v>
      </c>
      <c r="E118" s="64">
        <f t="shared" si="3"/>
        <v>10340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608270</v>
      </c>
      <c r="E119" s="39">
        <f>SUM(E98:E118)</f>
        <v>2010750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TRUNC(4039,-1)</f>
        <v>4030</v>
      </c>
      <c r="E122" s="62">
        <f t="shared" ref="E122:E132" si="4">TRUNC(+D122*3.3058,-1)</f>
        <v>13320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TRUNC(762,-1)</f>
        <v>760</v>
      </c>
      <c r="E124" s="63">
        <f t="shared" si="4"/>
        <v>2510</v>
      </c>
    </row>
    <row r="125" spans="1:7" x14ac:dyDescent="0.3">
      <c r="A125" s="2">
        <v>4</v>
      </c>
      <c r="C125" s="38" t="s">
        <v>138</v>
      </c>
      <c r="D125" s="42">
        <f>TRUNC(6915,-1)</f>
        <v>6910</v>
      </c>
      <c r="E125" s="63">
        <f t="shared" si="4"/>
        <v>22840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TRUNC(1597,-1)</f>
        <v>1590</v>
      </c>
      <c r="E127" s="63">
        <f t="shared" si="4"/>
        <v>5250</v>
      </c>
    </row>
    <row r="128" spans="1:7" x14ac:dyDescent="0.3">
      <c r="A128" s="2">
        <v>7</v>
      </c>
      <c r="C128" s="38" t="s">
        <v>46</v>
      </c>
      <c r="D128" s="42">
        <f>TRUNC(12857,-1)</f>
        <v>12850</v>
      </c>
      <c r="E128" s="63">
        <f t="shared" si="4"/>
        <v>42470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TRUNC(33255,-1)</f>
        <v>33250</v>
      </c>
      <c r="E130" s="63">
        <f t="shared" si="4"/>
        <v>109910</v>
      </c>
    </row>
    <row r="131" spans="1:7" x14ac:dyDescent="0.3">
      <c r="A131" s="2">
        <v>10</v>
      </c>
      <c r="C131" s="38" t="s">
        <v>148</v>
      </c>
      <c r="D131" s="42">
        <f>TRUNC(100222,-1)</f>
        <v>100220</v>
      </c>
      <c r="E131" s="63">
        <f t="shared" si="4"/>
        <v>331300</v>
      </c>
    </row>
    <row r="132" spans="1:7" ht="18" thickBot="1" x14ac:dyDescent="0.35">
      <c r="A132" s="2">
        <v>11</v>
      </c>
      <c r="C132" s="38" t="s">
        <v>47</v>
      </c>
      <c r="D132" s="43">
        <f>TRUNC(5561+3837,-1)</f>
        <v>9390</v>
      </c>
      <c r="E132" s="64">
        <f t="shared" si="4"/>
        <v>31040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169000</v>
      </c>
      <c r="E133" s="39">
        <f>SUM(E122:E132)</f>
        <v>558640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TRUNC(122+2413+1179,-1)</f>
        <v>3710</v>
      </c>
      <c r="E137" s="63">
        <f t="shared" si="5"/>
        <v>12260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f>TRUNC(29748,-1)</f>
        <v>29740</v>
      </c>
      <c r="E138" s="63">
        <f t="shared" si="5"/>
        <v>98310</v>
      </c>
    </row>
    <row r="139" spans="1:7" x14ac:dyDescent="0.3">
      <c r="A139" s="2">
        <v>4</v>
      </c>
      <c r="C139" s="38" t="s">
        <v>61</v>
      </c>
      <c r="D139" s="42">
        <f>TRUNC(2137,-1)</f>
        <v>2130</v>
      </c>
      <c r="E139" s="63">
        <f t="shared" si="5"/>
        <v>7040</v>
      </c>
    </row>
    <row r="140" spans="1:7" x14ac:dyDescent="0.3">
      <c r="A140" s="2">
        <v>5</v>
      </c>
      <c r="C140" s="38" t="s">
        <v>57</v>
      </c>
      <c r="D140" s="42">
        <f>TRUNC(1223,-1)</f>
        <v>1220</v>
      </c>
      <c r="E140" s="63">
        <f t="shared" si="5"/>
        <v>4030</v>
      </c>
    </row>
    <row r="141" spans="1:7" x14ac:dyDescent="0.3">
      <c r="A141" s="2">
        <v>6</v>
      </c>
      <c r="C141" s="38" t="s">
        <v>59</v>
      </c>
      <c r="D141" s="42">
        <f>TRUNC(6076,-1)</f>
        <v>6070</v>
      </c>
      <c r="E141" s="63">
        <f t="shared" si="5"/>
        <v>20060</v>
      </c>
    </row>
    <row r="142" spans="1:7" x14ac:dyDescent="0.3">
      <c r="A142" s="2">
        <v>7</v>
      </c>
      <c r="C142" s="38" t="s">
        <v>58</v>
      </c>
      <c r="D142" s="42">
        <f>TRUNC(7401,-1)</f>
        <v>7400</v>
      </c>
      <c r="E142" s="63">
        <f t="shared" si="5"/>
        <v>24460</v>
      </c>
    </row>
    <row r="143" spans="1:7" x14ac:dyDescent="0.3">
      <c r="A143" s="2">
        <v>8</v>
      </c>
      <c r="C143" s="38" t="s">
        <v>62</v>
      </c>
      <c r="D143" s="42">
        <f>TRUNC(6001,-1)</f>
        <v>6000</v>
      </c>
      <c r="E143" s="63">
        <f t="shared" si="5"/>
        <v>19830</v>
      </c>
    </row>
    <row r="144" spans="1:7" x14ac:dyDescent="0.3">
      <c r="A144" s="2">
        <v>9</v>
      </c>
      <c r="C144" s="38" t="s">
        <v>63</v>
      </c>
      <c r="D144" s="42">
        <f>TRUNC(32303,-1)</f>
        <v>32300</v>
      </c>
      <c r="E144" s="63">
        <f t="shared" si="5"/>
        <v>106770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88570</v>
      </c>
      <c r="E146" s="39">
        <f>SUM(E136:E145)</f>
        <v>292760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TRUNC(6592+612,-1)</f>
        <v>7200</v>
      </c>
      <c r="E149" s="62">
        <f>TRUNC(+D149*3.3058,-1)</f>
        <v>23800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TRUNC(10496,-1)</f>
        <v>10490</v>
      </c>
      <c r="E150" s="63">
        <f>TRUNC(+D150*3.3058,-1)</f>
        <v>34670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56+981+6690+1043</f>
        <v>8770</v>
      </c>
      <c r="E152" s="63">
        <f>TRUNC(+D152*3.3058,-1)</f>
        <v>28990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TRUNC(38806,-1)</f>
        <v>38800</v>
      </c>
      <c r="E153" s="64">
        <f>TRUNC(+D153*3.3058,-1)</f>
        <v>128260</v>
      </c>
    </row>
    <row r="154" spans="1:7" x14ac:dyDescent="0.3">
      <c r="A154" s="2">
        <v>6</v>
      </c>
      <c r="C154" s="27" t="s">
        <v>112</v>
      </c>
      <c r="D154" s="39">
        <f>SUM(D149:D153)</f>
        <v>65260</v>
      </c>
      <c r="E154" s="39">
        <f>SUM(E149:E153)</f>
        <v>215720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TRUNC(55465,-1)</f>
        <v>55460</v>
      </c>
      <c r="E157" s="62">
        <f>TRUNC(+D157*3.3058,-1)</f>
        <v>183330</v>
      </c>
    </row>
    <row r="158" spans="1:7" x14ac:dyDescent="0.3">
      <c r="A158" s="2">
        <v>2</v>
      </c>
      <c r="C158" s="38" t="s">
        <v>52</v>
      </c>
      <c r="D158" s="42">
        <f>TRUNC(32925,-1)</f>
        <v>32920</v>
      </c>
      <c r="E158" s="63">
        <f>TRUNC(+D158*3.3058,-1)</f>
        <v>108820</v>
      </c>
      <c r="F158" s="2" t="s">
        <v>264</v>
      </c>
    </row>
    <row r="159" spans="1:7" x14ac:dyDescent="0.3">
      <c r="A159" s="2">
        <v>3</v>
      </c>
      <c r="C159" s="38" t="s">
        <v>47</v>
      </c>
      <c r="D159" s="42">
        <f>TRUNC(10724,-1)</f>
        <v>10720</v>
      </c>
      <c r="E159" s="63">
        <f>TRUNC(+D159*3.3058,-1)</f>
        <v>35430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f>TRUNC(1249,-1)</f>
        <v>1240</v>
      </c>
      <c r="E160" s="64">
        <f>TRUNC(+D160*3.3058,-1)</f>
        <v>4090</v>
      </c>
    </row>
    <row r="161" spans="1:5" x14ac:dyDescent="0.3">
      <c r="A161" s="2">
        <v>5</v>
      </c>
      <c r="C161" s="27" t="s">
        <v>112</v>
      </c>
      <c r="D161" s="39">
        <f>SUM(D157:D160)</f>
        <v>100340</v>
      </c>
      <c r="E161" s="39">
        <f>SUM(E157:E160)</f>
        <v>331670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2020-12-08T04:40:02Z</dcterms:modified>
</cp:coreProperties>
</file>