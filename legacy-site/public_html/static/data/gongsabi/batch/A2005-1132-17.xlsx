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2" i="4" l="1"/>
  <c r="D94" i="4"/>
  <c r="E160" i="4" l="1"/>
  <c r="E159" i="4"/>
  <c r="E158" i="4"/>
  <c r="E157" i="4"/>
  <c r="E153" i="4"/>
  <c r="E151" i="4"/>
  <c r="E150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95" i="4"/>
  <c r="D117" i="4"/>
  <c r="E117" i="4" s="1"/>
  <c r="D145" i="4"/>
  <c r="E145" i="4" s="1"/>
  <c r="E146" i="4" s="1"/>
  <c r="D161" i="4" l="1"/>
  <c r="D152" i="4"/>
  <c r="E152" i="4" s="1"/>
  <c r="D149" i="4"/>
  <c r="E149" i="4" s="1"/>
  <c r="D146" i="4"/>
  <c r="D133" i="4"/>
  <c r="D29" i="4" s="1"/>
  <c r="E29" i="4" s="1"/>
  <c r="D104" i="4"/>
  <c r="D95" i="4"/>
  <c r="D27" i="4" s="1"/>
  <c r="E27" i="4" s="1"/>
  <c r="D66" i="4"/>
  <c r="D59" i="4"/>
  <c r="E59" i="4" s="1"/>
  <c r="D58" i="4"/>
  <c r="D32" i="4"/>
  <c r="E32" i="4" s="1"/>
  <c r="D30" i="4"/>
  <c r="E30" i="4" s="1"/>
  <c r="D26" i="4"/>
  <c r="E26" i="4" s="1"/>
  <c r="D24" i="4"/>
  <c r="E24" i="4" s="1"/>
  <c r="D7" i="4"/>
  <c r="E154" i="4" l="1"/>
  <c r="D154" i="4"/>
  <c r="D31" i="4" s="1"/>
  <c r="E31" i="4" s="1"/>
  <c r="D60" i="4"/>
  <c r="D25" i="4" s="1"/>
  <c r="E25" i="4" s="1"/>
  <c r="E58" i="4"/>
  <c r="E60" i="4" s="1"/>
  <c r="D119" i="4"/>
  <c r="D28" i="4" s="1"/>
  <c r="E28" i="4" s="1"/>
  <c r="E104" i="4"/>
  <c r="E119" i="4" s="1"/>
  <c r="D33" i="4" l="1"/>
  <c r="D34" i="4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<sst xmlns="http://schemas.openxmlformats.org/spreadsheetml/2006/main" count="395" uniqueCount="268">
  <si>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</si>
  <si>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</si>
  <si>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</si>
  <si>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</si>
  <si>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</si>
  <si>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</si>
  <si>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</si>
  <si>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</si>
  <si>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</si>
  <si>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</si>
  <si>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</si>
  <si>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</si>
  <si>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</si>
  <si>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</si>
  <si>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</si>
  <si>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</si>
  <si>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</si>
  <si>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</si>
  <si>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</si>
  <si>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</si>
  <si>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</si>
  <si>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</si>
  <si>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</si>
  <si>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</si>
  <si>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</si>
  <si>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</si>
  <si>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</si>
  <si>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</si>
  <si>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</si>
  <si>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</si>
  <si>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</si>
  <si>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</si>
  <si>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</si>
  <si>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</si>
  <si>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</si>
  <si>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</si>
  <si>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</si>
  <si>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</si>
  <si>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</si>
  <si>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</si>
  <si>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</si>
  <si>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</si>
  <si>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</si>
  <si>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</si>
  <si>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</si>
  <si>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</si>
  <si>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</si>
  <si>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</si>
  <si>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</si>
  <si>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</si>
  <si>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</si>
  <si>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</si>
  <si>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</si>
  <si>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</si>
  <si>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</si>
  <si>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</si>
  <si>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</si>
  <si>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</si>
  <si>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</si>
  <si>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</si>
  <si>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</si>
  <si>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</si>
  <si>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</si>
  <si>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</si>
  <si>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</si>
  <si>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</si>
  <si>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</si>
  <si>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</si>
  <si>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</si>
  <si>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</si>
  <si>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</si>
  <si>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</si>
  <si>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</si>
  <si>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</si>
  <si>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</si>
  <si>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</si>
  <si>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</si>
  <si>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</si>
  <si>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</si>
  <si>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</si>
  <si>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</si>
  <si>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</si>
  <si>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</si>
  <si>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</si>
  <si>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</si>
  <si>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</si>
  <si>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</si>
  <si>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</si>
  <si>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</si>
  <si>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</si>
  <si>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</si>
  <si>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</si>
  <si>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</si>
  <si>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</si>
  <si>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</si>
  <si>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</si>
  <si>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</si>
  <si>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</si>
  <si>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</si>
  <si>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</si>
  <si>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</si>
  <si>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</si>
  <si>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</si>
  <si>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</si>
  <si>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</si>
  <si>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</si>
  <si>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</si>
  <si>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</si>
  <si>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</si>
  <si>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</si>
  <si>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</si>
  <si>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</si>
  <si>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</si>
  <si>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</si>
  <si>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</si>
  <si>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</si>
  <si>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</si>
  <si>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</si>
  <si>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</si>
  <si>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</si>
  <si>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</si>
  <si>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</si>
  <si>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</si>
  <si>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</si>
  <si>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</si>
  <si>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</si>
  <si>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</si>
  <si>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</si>
  <si>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</si>
  <si>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</si>
  <si>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</si>
  <si>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</si>
  <si>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</si>
  <si>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</si>
  <si>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</si>
  <si>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</si>
  <si>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</si>
  <si>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</si>
  <si>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</si>
  <si>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</si>
  <si>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</si>
  <si>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</si>
  <si>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</si>
  <si>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</si>
  <si>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</si>
  <si>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</si>
  <si>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</si>
  <si>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</si>
  <si>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</si>
  <si>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</si>
  <si>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</si>
  <si>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</si>
  <si>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</si>
  <si>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</si>
  <si>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</si>
  <si>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</si>
  <si>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</si>
  <si>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</si>
  <si>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</si>
  <si>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</si>
  <si>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</si>
  <si>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</si>
  <si>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</si>
  <si>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</si>
  <si>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</si>
  <si>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</si>
  <si>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</si>
  <si>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</si>
  <si>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</si>
  <si>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</si>
  <si>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</si>
  <si>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</si>
  <si>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</si>
  <si>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</si>
  <si>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</si>
  <si>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</si>
  <si>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</si>
  <si>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</si>
  <si>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</si>
  <si>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</si>
  <si>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</si>
  <si>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</si>
  <si>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</si>
  <si>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</si>
  <si>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</si>
  <si>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</si>
  <si>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</si>
  <si>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</si>
  <si>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</si>
  <si>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</si>
  <si>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</si>
  <si>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</si>
  <si>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</si>
  <si>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</si>
  <si>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</si>
  <si>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</si>
  <si>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</si>
  <si>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</si>
  <si>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</si>
  <si>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</si>
  <si>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</si>
  <si>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</si>
  <si>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</si>
  <si>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</si>
  <si>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</si>
  <si>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</si>
  <si>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</si>
  <si>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</si>
  <si>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</si>
  <si>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</si>
  <si>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</si>
  <si>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</si>
  <si>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</si>
  <si>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</si>
  <si>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</si>
  <si>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</si>
  <si>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</si>
  <si>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</si>
  <si>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</si>
  <si>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</si>
  <si>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</si>
  <si>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</si>
  <si>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</si>
  <si>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</si>
  <si>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</si>
  <si>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</si>
  <si>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</si>
  <si>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</si>
  <si>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</si>
  <si>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</si>
  <si>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</si>
  <si>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</si>
  <si>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</si>
  <si>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</si>
  <si>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</si>
  <si>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</si>
  <si>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</si>
  <si>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</si>
  <si>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</si>
  <si>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</si>
  <si>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</si>
  <si>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</si>
  <si>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</si>
  <si>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</si>
  <si>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</si>
  <si>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</si>
  <si>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</si>
  <si>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00시립중앙도서관 건립공사</t>
  </si>
  <si>
    <t>평</t>
    <phoneticPr fontId="2" type="noConversion"/>
  </si>
  <si>
    <t>원/ m2</t>
    <phoneticPr fontId="2" type="noConversion"/>
  </si>
  <si>
    <t>지정공사,잡공사,골재비,운반비,폐기물처리비,정화조공사</t>
    <phoneticPr fontId="2" type="noConversion"/>
  </si>
  <si>
    <t>접지설비공사,피뢰침 설비공사</t>
    <phoneticPr fontId="2" type="noConversion"/>
  </si>
  <si>
    <t>변전실설비공사</t>
  </si>
  <si>
    <t xml:space="preserve">CCTV 설비공사 </t>
  </si>
  <si>
    <t>기계 전기소방</t>
    <phoneticPr fontId="2" type="noConversion"/>
  </si>
  <si>
    <t>우수공사,오수공사</t>
    <phoneticPr fontId="2" type="noConversion"/>
  </si>
  <si>
    <t>상수공사,자재대,운반비</t>
    <phoneticPr fontId="2" type="noConversion"/>
  </si>
  <si>
    <t>포장공사</t>
    <phoneticPr fontId="2" type="noConversion"/>
  </si>
  <si>
    <t>도급자설치</t>
    <phoneticPr fontId="2" type="noConversion"/>
  </si>
  <si>
    <t>관급자설치</t>
    <phoneticPr fontId="2" type="noConversion"/>
  </si>
  <si>
    <t>원 /평</t>
    <phoneticPr fontId="2" type="noConversion"/>
  </si>
  <si>
    <t>공조배관공사,전열교환설비공사,우수처리공사</t>
    <phoneticPr fontId="2" type="noConversion"/>
  </si>
  <si>
    <t>위생설비공사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</si>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</sst>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5051</v>
      </c>
      <c r="D7" s="36">
        <f>+C7/3.3058</f>
        <v>1527.9206243571903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260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821890</v>
      </c>
      <c r="E25" s="60">
        <f t="shared" si="0"/>
        <v>2717000</v>
      </c>
    </row>
    <row r="26" spans="1:5" x14ac:dyDescent="0.3">
      <c r="B26" s="2">
        <v>3</v>
      </c>
      <c r="C26" s="35" t="s">
        <v>95</v>
      </c>
      <c r="D26" s="45">
        <f>+D66</f>
        <v>34850</v>
      </c>
      <c r="E26" s="60">
        <f t="shared" si="0"/>
        <v>115200</v>
      </c>
    </row>
    <row r="27" spans="1:5" x14ac:dyDescent="0.3">
      <c r="B27" s="2">
        <v>4</v>
      </c>
      <c r="C27" s="35" t="s">
        <v>96</v>
      </c>
      <c r="D27" s="45">
        <f>+D95</f>
        <v>168240</v>
      </c>
      <c r="E27" s="60">
        <f t="shared" si="0"/>
        <v>556160</v>
      </c>
    </row>
    <row r="28" spans="1:5" x14ac:dyDescent="0.3">
      <c r="B28" s="2">
        <v>5</v>
      </c>
      <c r="C28" s="35" t="s">
        <v>97</v>
      </c>
      <c r="D28" s="45">
        <f>+D119</f>
        <v>146460</v>
      </c>
      <c r="E28" s="60">
        <f t="shared" si="0"/>
        <v>484160</v>
      </c>
    </row>
    <row r="29" spans="1:5" x14ac:dyDescent="0.3">
      <c r="B29" s="2">
        <v>6</v>
      </c>
      <c r="C29" s="35" t="s">
        <v>98</v>
      </c>
      <c r="D29" s="45">
        <f>+D133</f>
        <v>55100</v>
      </c>
      <c r="E29" s="60">
        <f t="shared" si="0"/>
        <v>182140</v>
      </c>
    </row>
    <row r="30" spans="1:5" x14ac:dyDescent="0.3">
      <c r="B30" s="2">
        <v>7</v>
      </c>
      <c r="C30" s="35" t="s">
        <v>99</v>
      </c>
      <c r="D30" s="45">
        <f>+D146</f>
        <v>111170</v>
      </c>
      <c r="E30" s="60">
        <f t="shared" si="0"/>
        <v>367500</v>
      </c>
    </row>
    <row r="31" spans="1:5" x14ac:dyDescent="0.3">
      <c r="B31" s="2">
        <v>8</v>
      </c>
      <c r="C31" s="35" t="s">
        <v>100</v>
      </c>
      <c r="D31" s="45">
        <f>+D154</f>
        <v>14570</v>
      </c>
      <c r="E31" s="60">
        <f t="shared" si="0"/>
        <v>48160</v>
      </c>
    </row>
    <row r="32" spans="1:5" x14ac:dyDescent="0.3">
      <c r="B32" s="2">
        <v>9</v>
      </c>
      <c r="C32" s="35" t="s">
        <v>101</v>
      </c>
      <c r="D32" s="45">
        <f>+D161</f>
        <v>40400</v>
      </c>
      <c r="E32" s="60">
        <f t="shared" si="0"/>
        <v>133550</v>
      </c>
    </row>
    <row r="33" spans="1:7" x14ac:dyDescent="0.3">
      <c r="B33" s="2">
        <v>10</v>
      </c>
      <c r="C33" s="35" t="s">
        <v>153</v>
      </c>
      <c r="D33" s="53">
        <f>TRUNC(SUM(D24:D32)*0.275,-1)</f>
        <v>382980</v>
      </c>
      <c r="E33" s="61">
        <f t="shared" si="0"/>
        <v>1266050</v>
      </c>
    </row>
    <row r="34" spans="1:7" x14ac:dyDescent="0.3">
      <c r="C34" s="35" t="s">
        <v>112</v>
      </c>
      <c r="D34" s="44">
        <f>SUM(D24:D33)</f>
        <v>1775660</v>
      </c>
      <c r="E34" s="44">
        <f>SUM(E24:E33)</f>
        <v>5869920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249</v>
      </c>
      <c r="E36" s="56" t="s">
        <v>260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v>36490</v>
      </c>
      <c r="E40" s="63">
        <f t="shared" ref="E40:E59" si="1">TRUNC(+D40*3.3058,-1)</f>
        <v>120620</v>
      </c>
    </row>
    <row r="41" spans="1:7" x14ac:dyDescent="0.3">
      <c r="A41" s="2">
        <v>2</v>
      </c>
      <c r="C41" s="38" t="s">
        <v>13</v>
      </c>
      <c r="D41" s="42">
        <v>134620</v>
      </c>
      <c r="E41" s="64">
        <f t="shared" si="1"/>
        <v>445020</v>
      </c>
    </row>
    <row r="42" spans="1:7" x14ac:dyDescent="0.3">
      <c r="A42" s="2">
        <v>3</v>
      </c>
      <c r="C42" s="38" t="s">
        <v>14</v>
      </c>
      <c r="D42" s="42"/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50640</v>
      </c>
      <c r="E43" s="64">
        <f t="shared" si="1"/>
        <v>167400</v>
      </c>
    </row>
    <row r="44" spans="1:7" x14ac:dyDescent="0.3">
      <c r="A44" s="2">
        <v>5</v>
      </c>
      <c r="C44" s="38" t="s">
        <v>17</v>
      </c>
      <c r="D44" s="42">
        <v>34180</v>
      </c>
      <c r="E44" s="64">
        <f t="shared" si="1"/>
        <v>112990</v>
      </c>
    </row>
    <row r="45" spans="1:7" x14ac:dyDescent="0.3">
      <c r="A45" s="2">
        <v>6</v>
      </c>
      <c r="C45" s="38" t="s">
        <v>18</v>
      </c>
      <c r="D45" s="42">
        <v>4420</v>
      </c>
      <c r="E45" s="64">
        <f t="shared" si="1"/>
        <v>14610</v>
      </c>
    </row>
    <row r="46" spans="1:7" x14ac:dyDescent="0.3">
      <c r="A46" s="2">
        <v>7</v>
      </c>
      <c r="C46" s="38" t="s">
        <v>19</v>
      </c>
      <c r="D46" s="42">
        <v>12000</v>
      </c>
      <c r="E46" s="64">
        <f t="shared" si="1"/>
        <v>39660</v>
      </c>
    </row>
    <row r="47" spans="1:7" x14ac:dyDescent="0.3">
      <c r="A47" s="2">
        <v>8</v>
      </c>
      <c r="C47" s="38" t="s">
        <v>20</v>
      </c>
      <c r="D47" s="42">
        <v>16220</v>
      </c>
      <c r="E47" s="64">
        <f t="shared" si="1"/>
        <v>53620</v>
      </c>
    </row>
    <row r="48" spans="1:7" x14ac:dyDescent="0.3">
      <c r="A48" s="2">
        <v>9</v>
      </c>
      <c r="C48" s="38" t="s">
        <v>21</v>
      </c>
      <c r="D48" s="42">
        <v>110000</v>
      </c>
      <c r="E48" s="64">
        <f t="shared" si="1"/>
        <v>363630</v>
      </c>
    </row>
    <row r="49" spans="1:7" x14ac:dyDescent="0.3">
      <c r="A49" s="2">
        <v>10</v>
      </c>
      <c r="C49" s="38" t="s">
        <v>22</v>
      </c>
      <c r="D49" s="42">
        <v>26800</v>
      </c>
      <c r="E49" s="64">
        <f t="shared" si="1"/>
        <v>88590</v>
      </c>
    </row>
    <row r="50" spans="1:7" x14ac:dyDescent="0.3">
      <c r="A50" s="2">
        <v>11</v>
      </c>
      <c r="C50" s="38" t="s">
        <v>154</v>
      </c>
      <c r="D50" s="42">
        <v>88290</v>
      </c>
      <c r="E50" s="64">
        <f t="shared" si="1"/>
        <v>291860</v>
      </c>
    </row>
    <row r="51" spans="1:7" x14ac:dyDescent="0.3">
      <c r="A51" s="2">
        <v>12</v>
      </c>
      <c r="C51" s="38" t="s">
        <v>23</v>
      </c>
      <c r="D51" s="42">
        <v>19250</v>
      </c>
      <c r="E51" s="64">
        <f t="shared" si="1"/>
        <v>63630</v>
      </c>
    </row>
    <row r="52" spans="1:7" x14ac:dyDescent="0.3">
      <c r="A52" s="2">
        <v>13</v>
      </c>
      <c r="C52" s="38" t="s">
        <v>24</v>
      </c>
      <c r="D52" s="42">
        <v>12730</v>
      </c>
      <c r="E52" s="64">
        <f t="shared" si="1"/>
        <v>42080</v>
      </c>
    </row>
    <row r="53" spans="1:7" x14ac:dyDescent="0.3">
      <c r="A53" s="2">
        <v>14</v>
      </c>
      <c r="C53" s="38" t="s">
        <v>25</v>
      </c>
      <c r="D53" s="42">
        <v>50800</v>
      </c>
      <c r="E53" s="64">
        <f t="shared" si="1"/>
        <v>167930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2910</v>
      </c>
      <c r="E55" s="64">
        <f t="shared" si="1"/>
        <v>9610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1910+2180+1890+2040+4630</f>
        <v>12650</v>
      </c>
      <c r="E58" s="64">
        <f t="shared" si="1"/>
        <v>41810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TRUNC(209890.516729361,-1)</f>
        <v>209890</v>
      </c>
      <c r="E59" s="65">
        <f t="shared" si="1"/>
        <v>693850</v>
      </c>
      <c r="F59" s="2" t="s">
        <v>258</v>
      </c>
    </row>
    <row r="60" spans="1:7" x14ac:dyDescent="0.3">
      <c r="A60" s="2">
        <v>21</v>
      </c>
      <c r="C60" s="27" t="s">
        <v>112</v>
      </c>
      <c r="D60" s="39">
        <f>SUM(D40:D59)</f>
        <v>821890</v>
      </c>
      <c r="E60" s="39">
        <f>SUM(E40:E59)</f>
        <v>2716910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260</v>
      </c>
      <c r="F62" s="54"/>
      <c r="G62" s="54"/>
    </row>
    <row r="63" spans="1:7" x14ac:dyDescent="0.3">
      <c r="A63" s="2">
        <v>1</v>
      </c>
      <c r="C63" s="38" t="s">
        <v>27</v>
      </c>
      <c r="D63" s="40">
        <v>34850</v>
      </c>
      <c r="E63" s="63">
        <f>TRUNC(+D63*3.3058,-1)</f>
        <v>115200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34850</v>
      </c>
      <c r="E66" s="57">
        <f>SUM(E63:E65)</f>
        <v>115200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260</v>
      </c>
      <c r="F68" s="54"/>
      <c r="G68" s="54"/>
    </row>
    <row r="69" spans="1:7" x14ac:dyDescent="0.3">
      <c r="A69" s="2">
        <v>1</v>
      </c>
      <c r="C69" s="38" t="s">
        <v>30</v>
      </c>
      <c r="D69" s="40">
        <v>15930</v>
      </c>
      <c r="E69" s="63">
        <f>TRUNC(+D69*3.3058,-1)</f>
        <v>52660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v>19840</v>
      </c>
      <c r="E71" s="64">
        <f t="shared" ref="E71:E73" si="2">TRUNC(+D71*3.3058,-1)</f>
        <v>65580</v>
      </c>
    </row>
    <row r="72" spans="1:7" x14ac:dyDescent="0.3">
      <c r="A72" s="2">
        <v>4</v>
      </c>
      <c r="C72" s="38" t="s">
        <v>33</v>
      </c>
      <c r="D72" s="42">
        <v>1730</v>
      </c>
      <c r="E72" s="64">
        <f t="shared" si="2"/>
        <v>5710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1870</v>
      </c>
      <c r="E75" s="64">
        <f>TRUNC(+D75*3.3058,-1)</f>
        <v>6180</v>
      </c>
    </row>
    <row r="76" spans="1:7" x14ac:dyDescent="0.3">
      <c r="A76" s="2">
        <v>8</v>
      </c>
      <c r="C76" s="38" t="s">
        <v>119</v>
      </c>
      <c r="D76" s="42">
        <v>35130</v>
      </c>
      <c r="E76" s="64">
        <f t="shared" ref="E76:E89" si="3">TRUNC(+D76*3.3058,-1)</f>
        <v>116130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4330</v>
      </c>
      <c r="E85" s="64">
        <f t="shared" si="3"/>
        <v>14310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1580</v>
      </c>
      <c r="E90" s="64">
        <f>TRUNC(+D90*3.3058,-1)</f>
        <v>5220</v>
      </c>
    </row>
    <row r="91" spans="1:7" x14ac:dyDescent="0.3">
      <c r="A91" s="2">
        <v>23</v>
      </c>
      <c r="C91" s="38" t="s">
        <v>37</v>
      </c>
      <c r="D91" s="42">
        <v>39930</v>
      </c>
      <c r="E91" s="64">
        <f>TRUNC(+D91*3.3058,-1)</f>
        <v>132000</v>
      </c>
    </row>
    <row r="92" spans="1:7" x14ac:dyDescent="0.3">
      <c r="A92" s="2">
        <v>24</v>
      </c>
      <c r="C92" s="38" t="s">
        <v>38</v>
      </c>
      <c r="D92" s="42">
        <f>TRUNC(16900,-1)</f>
        <v>16900</v>
      </c>
      <c r="E92" s="64">
        <f>TRUNC(+D92*3.3058,-1)</f>
        <v>55860</v>
      </c>
      <c r="F92" s="2" t="s">
        <v>262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17690+8490+4820</f>
        <v>31000</v>
      </c>
      <c r="E94" s="65">
        <f>TRUNC(+D94*3.3058,-1)</f>
        <v>102470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168240</v>
      </c>
      <c r="E95" s="39">
        <f>SUM(E69:E94)</f>
        <v>556120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260</v>
      </c>
      <c r="F97" s="54"/>
      <c r="G97" s="54"/>
    </row>
    <row r="98" spans="1:7" x14ac:dyDescent="0.3">
      <c r="A98" s="2">
        <v>1</v>
      </c>
      <c r="C98" s="38" t="s">
        <v>39</v>
      </c>
      <c r="D98" s="40">
        <v>9840</v>
      </c>
      <c r="E98" s="63">
        <f t="shared" ref="E98:E118" si="4">TRUNC(+D98*3.3058,-1)</f>
        <v>32520</v>
      </c>
    </row>
    <row r="99" spans="1:7" x14ac:dyDescent="0.3">
      <c r="A99" s="2">
        <v>2</v>
      </c>
      <c r="C99" s="38" t="s">
        <v>40</v>
      </c>
      <c r="D99" s="42">
        <v>6050</v>
      </c>
      <c r="E99" s="64">
        <f t="shared" si="4"/>
        <v>20000</v>
      </c>
    </row>
    <row r="100" spans="1:7" x14ac:dyDescent="0.3">
      <c r="A100" s="2">
        <v>3</v>
      </c>
      <c r="C100" s="38" t="s">
        <v>41</v>
      </c>
      <c r="D100" s="42">
        <v>24260</v>
      </c>
      <c r="E100" s="64">
        <f t="shared" si="4"/>
        <v>80190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6080</v>
      </c>
      <c r="E102" s="64">
        <f t="shared" si="4"/>
        <v>20090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1740+650</f>
        <v>2390</v>
      </c>
      <c r="E104" s="64">
        <f t="shared" si="4"/>
        <v>7900</v>
      </c>
      <c r="F104" s="2" t="s">
        <v>251</v>
      </c>
    </row>
    <row r="105" spans="1:7" x14ac:dyDescent="0.3">
      <c r="A105" s="2">
        <v>8</v>
      </c>
      <c r="C105" s="38" t="s">
        <v>46</v>
      </c>
      <c r="D105" s="42">
        <v>1470</v>
      </c>
      <c r="E105" s="64">
        <f t="shared" si="4"/>
        <v>4850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7940</v>
      </c>
      <c r="E114" s="64">
        <f t="shared" si="4"/>
        <v>26240</v>
      </c>
    </row>
    <row r="115" spans="1:7" x14ac:dyDescent="0.3">
      <c r="A115" s="2">
        <v>18</v>
      </c>
      <c r="C115" s="38" t="s">
        <v>116</v>
      </c>
      <c r="D115" s="42">
        <v>1310</v>
      </c>
      <c r="E115" s="64">
        <f t="shared" si="4"/>
        <v>4330</v>
      </c>
      <c r="F115" s="2" t="s">
        <v>252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TRUNC(87129.6772916254,-1)</f>
        <v>87120</v>
      </c>
      <c r="E117" s="64">
        <f t="shared" si="4"/>
        <v>288000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146460</v>
      </c>
      <c r="E119" s="39">
        <f>SUM(E98:E118)</f>
        <v>484120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260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2320</v>
      </c>
      <c r="E122" s="63">
        <f t="shared" ref="E122:E132" si="5">TRUNC(+D122*3.3058,-1)</f>
        <v>7660</v>
      </c>
    </row>
    <row r="123" spans="1:7" x14ac:dyDescent="0.3">
      <c r="A123" s="2">
        <v>2</v>
      </c>
      <c r="C123" s="38" t="s">
        <v>124</v>
      </c>
      <c r="D123" s="42">
        <v>13250</v>
      </c>
      <c r="E123" s="64">
        <f t="shared" si="5"/>
        <v>43800</v>
      </c>
    </row>
    <row r="124" spans="1:7" x14ac:dyDescent="0.3">
      <c r="A124" s="2">
        <v>3</v>
      </c>
      <c r="C124" s="38" t="s">
        <v>151</v>
      </c>
      <c r="D124" s="42">
        <v>2420</v>
      </c>
      <c r="E124" s="64">
        <f t="shared" si="5"/>
        <v>8000</v>
      </c>
    </row>
    <row r="125" spans="1:7" x14ac:dyDescent="0.3">
      <c r="A125" s="2">
        <v>4</v>
      </c>
      <c r="C125" s="38" t="s">
        <v>138</v>
      </c>
      <c r="D125" s="42">
        <v>3770</v>
      </c>
      <c r="E125" s="64">
        <f t="shared" si="5"/>
        <v>12460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2140</v>
      </c>
      <c r="E128" s="64">
        <f t="shared" si="5"/>
        <v>7070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10000</v>
      </c>
      <c r="E131" s="64">
        <f t="shared" si="5"/>
        <v>33050</v>
      </c>
      <c r="F131" s="2" t="s">
        <v>258</v>
      </c>
    </row>
    <row r="132" spans="1:7" ht="17.25" thickBot="1" x14ac:dyDescent="0.35">
      <c r="A132" s="2">
        <v>11</v>
      </c>
      <c r="C132" s="38" t="s">
        <v>47</v>
      </c>
      <c r="D132" s="43">
        <v>21200</v>
      </c>
      <c r="E132" s="65">
        <f t="shared" si="5"/>
        <v>70080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55100</v>
      </c>
      <c r="E133" s="39">
        <f>SUM(E122:E132)</f>
        <v>182120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260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20250</v>
      </c>
      <c r="E136" s="63">
        <f t="shared" ref="E136:E145" si="6">TRUNC(+D136*3.3058,-1)</f>
        <v>66940</v>
      </c>
    </row>
    <row r="137" spans="1:7" x14ac:dyDescent="0.3">
      <c r="A137" s="2">
        <v>2</v>
      </c>
      <c r="C137" s="38" t="s">
        <v>47</v>
      </c>
      <c r="D137" s="42">
        <v>7420</v>
      </c>
      <c r="E137" s="64">
        <f t="shared" si="6"/>
        <v>24520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TRUNC(83506.2363888339,-1)</f>
        <v>83500</v>
      </c>
      <c r="E145" s="65">
        <f t="shared" si="6"/>
        <v>276030</v>
      </c>
      <c r="F145" s="2" t="s">
        <v>259</v>
      </c>
    </row>
    <row r="146" spans="1:7" x14ac:dyDescent="0.3">
      <c r="A146" s="2">
        <v>11</v>
      </c>
      <c r="C146" s="27" t="s">
        <v>112</v>
      </c>
      <c r="D146" s="39">
        <f>SUM(D136:D145)</f>
        <v>111170</v>
      </c>
      <c r="E146" s="39">
        <f>SUM(E136:E145)</f>
        <v>367490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260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5650+1100</f>
        <v>6750</v>
      </c>
      <c r="E149" s="63">
        <f>TRUNC(+D149*3.3058,-1)</f>
        <v>22310</v>
      </c>
      <c r="F149" s="2" t="s">
        <v>255</v>
      </c>
    </row>
    <row r="150" spans="1:7" x14ac:dyDescent="0.3">
      <c r="A150" s="2">
        <v>2</v>
      </c>
      <c r="C150" s="38" t="s">
        <v>49</v>
      </c>
      <c r="D150" s="42">
        <v>5400</v>
      </c>
      <c r="E150" s="64">
        <f>TRUNC(+D150*3.3058,-1)</f>
        <v>17850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490+1760+170</f>
        <v>2420</v>
      </c>
      <c r="E152" s="64">
        <f>TRUNC(+D152*3.3058,-1)</f>
        <v>8000</v>
      </c>
      <c r="F152" s="58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14570</v>
      </c>
      <c r="E154" s="39">
        <f>SUM(E149:E153)</f>
        <v>48160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260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22320</v>
      </c>
      <c r="E157" s="63">
        <f>TRUNC(+D157*3.3058,-1)</f>
        <v>73780</v>
      </c>
    </row>
    <row r="158" spans="1:7" x14ac:dyDescent="0.3">
      <c r="A158" s="2">
        <v>2</v>
      </c>
      <c r="C158" s="38" t="s">
        <v>52</v>
      </c>
      <c r="D158" s="42">
        <v>8330</v>
      </c>
      <c r="E158" s="64">
        <f>TRUNC(+D158*3.3058,-1)</f>
        <v>27530</v>
      </c>
    </row>
    <row r="159" spans="1:7" x14ac:dyDescent="0.3">
      <c r="A159" s="2">
        <v>3</v>
      </c>
      <c r="C159" s="38" t="s">
        <v>47</v>
      </c>
      <c r="D159" s="42">
        <v>9750</v>
      </c>
      <c r="E159" s="64">
        <f>TRUNC(+D159*3.3058,-1)</f>
        <v>32230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40400</v>
      </c>
      <c r="E161" s="39">
        <f>SUM(E157:E160)</f>
        <v>133540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2020-12-07T09:00:20Z</dcterms:modified>
</cp:coreProperties>
</file>