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2" i="4"/>
  <c r="D151" i="4"/>
  <c r="D150" i="4"/>
  <c r="D144" i="4"/>
  <c r="D143" i="4"/>
  <c r="D142" i="4"/>
  <c r="D141" i="4"/>
  <c r="D140" i="4"/>
  <c r="D139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3" i="4"/>
  <c r="D102" i="4"/>
  <c r="D101" i="4"/>
  <c r="D100" i="4"/>
  <c r="D99" i="4"/>
  <c r="D98" i="4"/>
  <c r="D94" i="4"/>
  <c r="D93" i="4"/>
  <c r="D92" i="4"/>
  <c r="D91" i="4"/>
  <c r="D89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<sst xmlns="http://schemas.openxmlformats.org/spreadsheetml/2006/main" count="393" uniqueCount="267">
  <si>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</si>
  <si>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</si>
  <si>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</si>
  <si>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</si>
  <si>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</si>
  <si>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</si>
  <si>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</si>
  <si>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</si>
  <si>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</si>
  <si>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</si>
  <si>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</si>
  <si>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</si>
  <si>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</si>
  <si>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</si>
  <si>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</si>
  <si>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</si>
  <si>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</si>
  <si>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</si>
  <si>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</si>
  <si>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</si>
  <si>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</si>
  <si>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</si>
  <si>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</si>
  <si>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</si>
  <si>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</si>
  <si>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</si>
  <si>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</si>
  <si>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</si>
  <si>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</si>
  <si>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</si>
  <si>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</si>
  <si>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</si>
  <si>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</si>
  <si>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</si>
  <si>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</si>
  <si>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</si>
  <si>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</si>
  <si>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</si>
  <si>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</si>
  <si>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</si>
  <si>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</si>
  <si>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</si>
  <si>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</si>
  <si>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</si>
  <si>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</si>
  <si>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</si>
  <si>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</si>
  <si>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</si>
  <si>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</si>
  <si>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</si>
  <si>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</si>
  <si>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</si>
  <si>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</si>
  <si>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</si>
  <si>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</si>
  <si>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</si>
  <si>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</si>
  <si>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</si>
  <si>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</si>
  <si>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</si>
  <si>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</si>
  <si>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</si>
  <si>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</si>
  <si>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</si>
  <si>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</si>
  <si>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</si>
  <si>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</si>
  <si>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</si>
  <si>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</si>
  <si>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</si>
  <si>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</si>
  <si>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</si>
  <si>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</si>
  <si>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</si>
  <si>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</si>
  <si>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</si>
  <si>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</si>
  <si>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</si>
  <si>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</si>
  <si>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</si>
  <si>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</si>
  <si>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</si>
  <si>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</si>
  <si>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</si>
  <si>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</si>
  <si>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</si>
  <si>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</si>
  <si>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</si>
  <si>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</si>
  <si>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</si>
  <si>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</si>
  <si>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</si>
  <si>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</si>
  <si>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</si>
  <si>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</si>
  <si>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</si>
  <si>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</si>
  <si>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</si>
  <si>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</si>
  <si>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</si>
  <si>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</si>
  <si>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</si>
  <si>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</si>
  <si>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</si>
  <si>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</si>
  <si>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</si>
  <si>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</si>
  <si>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</si>
  <si>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</si>
  <si>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</si>
  <si>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</si>
  <si>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</si>
  <si>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</si>
  <si>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</si>
  <si>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</si>
  <si>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</si>
  <si>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</si>
  <si>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</si>
  <si>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</si>
  <si>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</si>
  <si>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</si>
  <si>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</si>
  <si>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</si>
  <si>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</si>
  <si>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</si>
  <si>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</si>
  <si>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</si>
  <si>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</si>
  <si>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</si>
  <si>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</si>
  <si>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</si>
  <si>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</si>
  <si>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</si>
  <si>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</si>
  <si>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</si>
  <si>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</si>
  <si>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</si>
  <si>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</si>
  <si>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</si>
  <si>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</si>
  <si>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</si>
  <si>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</si>
  <si>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</si>
  <si>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</si>
  <si>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</si>
  <si>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</si>
  <si>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</si>
  <si>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</si>
  <si>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</si>
  <si>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</si>
  <si>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</si>
  <si>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</si>
  <si>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</si>
  <si>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</si>
  <si>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</si>
  <si>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</si>
  <si>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</si>
  <si>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</si>
  <si>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</si>
  <si>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</si>
  <si>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</si>
  <si>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</si>
  <si>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</si>
  <si>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</si>
  <si>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</si>
  <si>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</si>
  <si>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</si>
  <si>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</si>
  <si>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</si>
  <si>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</si>
  <si>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</si>
  <si>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</si>
  <si>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</si>
  <si>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</si>
  <si>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</si>
  <si>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</si>
  <si>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</si>
  <si>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</si>
  <si>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</si>
  <si>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</si>
  <si>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</si>
  <si>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</si>
  <si>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</si>
  <si>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</si>
  <si>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</si>
  <si>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</si>
  <si>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</si>
  <si>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</si>
  <si>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</si>
  <si>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</si>
  <si>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</si>
  <si>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</si>
  <si>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</si>
  <si>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</si>
  <si>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</si>
  <si>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</si>
  <si>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</si>
  <si>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</si>
  <si>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</si>
  <si>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</si>
  <si>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</si>
  <si>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</si>
  <si>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</si>
  <si>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</si>
  <si>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</si>
  <si>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</si>
  <si>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</si>
  <si>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</si>
  <si>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</si>
  <si>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</si>
  <si>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</si>
  <si>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</si>
  <si>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</si>
  <si>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</si>
  <si>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</si>
  <si>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</si>
  <si>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</si>
  <si>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</si>
  <si>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</si>
  <si>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</si>
  <si>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</si>
  <si>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</si>
  <si>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</si>
  <si>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</si>
  <si>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</si>
  <si>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</si>
  <si>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</si>
  <si>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</si>
  <si>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</si>
  <si>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</si>
  <si>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</si>
  <si>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</si>
  <si>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</si>
  <si>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</si>
  <si>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</si>
  <si>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</si>
  <si>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</si>
  <si>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</si>
  <si>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</si>
  <si>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</si>
  <si>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</si>
  <si>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</si>
  <si>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</si>
  <si>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</si>
  <si>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</si>
  <si>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</si>
  <si>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</si>
  <si>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</si>
  <si>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</si>
  <si>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</si>
  <si>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</si>
  <si>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</si>
  <si>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</si>
  <si>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</si>
  <si>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</si>
  <si>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</t>
    <phoneticPr fontId="2" type="noConversion"/>
  </si>
  <si>
    <t>창호및유리공사</t>
    <phoneticPr fontId="2" type="noConversion"/>
  </si>
  <si>
    <t>가칭 동해특수학교 신축공사</t>
    <phoneticPr fontId="2" type="noConversion"/>
  </si>
  <si>
    <t>강원도</t>
  </si>
  <si>
    <t>난방배관공사,바닥난방공사,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</si>
  <si>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</si>
  <si>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</si>
  <si>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옥외소화배관공사, 펌프실배관공사, 기타공사</t>
    <phoneticPr fontId="2" type="noConversion"/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</si>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</sst>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9970.2999999999993</v>
      </c>
      <c r="D7" s="36">
        <f>+C7/3.3058</f>
        <v>3016.0021779901986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1055150</v>
      </c>
      <c r="E25" s="59">
        <f t="shared" si="0"/>
        <v>3488110</v>
      </c>
    </row>
    <row r="26" spans="1:5" x14ac:dyDescent="0.3">
      <c r="B26" s="2">
        <v>3</v>
      </c>
      <c r="C26" s="35" t="s">
        <v>95</v>
      </c>
      <c r="D26" s="45">
        <f>+D66</f>
        <v>3530</v>
      </c>
      <c r="E26" s="59">
        <f t="shared" si="0"/>
        <v>11660</v>
      </c>
    </row>
    <row r="27" spans="1:5" x14ac:dyDescent="0.3">
      <c r="B27" s="2">
        <v>4</v>
      </c>
      <c r="C27" s="35" t="s">
        <v>96</v>
      </c>
      <c r="D27" s="45">
        <f>+D95</f>
        <v>197620</v>
      </c>
      <c r="E27" s="59">
        <f t="shared" si="0"/>
        <v>653290</v>
      </c>
    </row>
    <row r="28" spans="1:5" x14ac:dyDescent="0.3">
      <c r="B28" s="2">
        <v>5</v>
      </c>
      <c r="C28" s="35" t="s">
        <v>97</v>
      </c>
      <c r="D28" s="45">
        <f>+D119</f>
        <v>203270</v>
      </c>
      <c r="E28" s="59">
        <f t="shared" si="0"/>
        <v>671960</v>
      </c>
    </row>
    <row r="29" spans="1:5" x14ac:dyDescent="0.3">
      <c r="B29" s="2">
        <v>6</v>
      </c>
      <c r="C29" s="35" t="s">
        <v>98</v>
      </c>
      <c r="D29" s="45">
        <f>+D133</f>
        <v>125030</v>
      </c>
      <c r="E29" s="59">
        <f t="shared" si="0"/>
        <v>413320</v>
      </c>
    </row>
    <row r="30" spans="1:5" x14ac:dyDescent="0.3">
      <c r="B30" s="2">
        <v>7</v>
      </c>
      <c r="C30" s="35" t="s">
        <v>99</v>
      </c>
      <c r="D30" s="45">
        <f>+D146</f>
        <v>52350</v>
      </c>
      <c r="E30" s="59">
        <f t="shared" si="0"/>
        <v>173050</v>
      </c>
    </row>
    <row r="31" spans="1:5" x14ac:dyDescent="0.3">
      <c r="B31" s="2">
        <v>8</v>
      </c>
      <c r="C31" s="35" t="s">
        <v>100</v>
      </c>
      <c r="D31" s="45">
        <f>+D154</f>
        <v>31510</v>
      </c>
      <c r="E31" s="59">
        <f t="shared" si="0"/>
        <v>104160</v>
      </c>
    </row>
    <row r="32" spans="1:5" x14ac:dyDescent="0.3">
      <c r="B32" s="2">
        <v>9</v>
      </c>
      <c r="C32" s="35" t="s">
        <v>101</v>
      </c>
      <c r="D32" s="45">
        <f>+D161</f>
        <v>24800</v>
      </c>
      <c r="E32" s="59">
        <f t="shared" si="0"/>
        <v>81980</v>
      </c>
    </row>
    <row r="33" spans="1:7" x14ac:dyDescent="0.3">
      <c r="B33" s="2">
        <v>10</v>
      </c>
      <c r="C33" s="35" t="s">
        <v>155</v>
      </c>
      <c r="D33" s="53">
        <f>TRUNC(SUM(D24:D32)*0.275,-1)</f>
        <v>465640</v>
      </c>
      <c r="E33" s="60">
        <f t="shared" si="0"/>
        <v>1539310</v>
      </c>
    </row>
    <row r="34" spans="1:7" x14ac:dyDescent="0.3">
      <c r="C34" s="35" t="s">
        <v>112</v>
      </c>
      <c r="D34" s="44">
        <f>SUM(D24:D33)</f>
        <v>2158900</v>
      </c>
      <c r="E34" s="44">
        <f>SUM(E24:E33)</f>
        <v>7136840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TRUNC(48222,-1)</f>
        <v>48220</v>
      </c>
      <c r="E40" s="62">
        <f t="shared" ref="E40:E59" si="1">TRUNC(+D40*3.3058,-1)</f>
        <v>159400</v>
      </c>
    </row>
    <row r="41" spans="1:7" x14ac:dyDescent="0.3">
      <c r="A41" s="2">
        <v>2</v>
      </c>
      <c r="C41" s="38" t="s">
        <v>13</v>
      </c>
      <c r="D41" s="42">
        <f>TRUNC(153121,-1)</f>
        <v>153120</v>
      </c>
      <c r="E41" s="63">
        <f t="shared" si="1"/>
        <v>506180</v>
      </c>
    </row>
    <row r="42" spans="1:7" x14ac:dyDescent="0.3">
      <c r="A42" s="2">
        <v>3</v>
      </c>
      <c r="C42" s="38" t="s">
        <v>14</v>
      </c>
      <c r="D42" s="42">
        <f>TRUNC(13991,-1)</f>
        <v>13990</v>
      </c>
      <c r="E42" s="63">
        <f t="shared" si="1"/>
        <v>46240</v>
      </c>
    </row>
    <row r="43" spans="1:7" x14ac:dyDescent="0.3">
      <c r="A43" s="2">
        <v>4</v>
      </c>
      <c r="C43" s="38" t="s">
        <v>16</v>
      </c>
      <c r="D43" s="42">
        <f>TRUNC(38878,-1)</f>
        <v>38870</v>
      </c>
      <c r="E43" s="63">
        <f t="shared" si="1"/>
        <v>128490</v>
      </c>
    </row>
    <row r="44" spans="1:7" x14ac:dyDescent="0.3">
      <c r="A44" s="2">
        <v>5</v>
      </c>
      <c r="C44" s="38" t="s">
        <v>17</v>
      </c>
      <c r="D44" s="42">
        <f>TRUNC(26687,-1)</f>
        <v>26680</v>
      </c>
      <c r="E44" s="63">
        <f t="shared" si="1"/>
        <v>88190</v>
      </c>
    </row>
    <row r="45" spans="1:7" x14ac:dyDescent="0.3">
      <c r="A45" s="2">
        <v>6</v>
      </c>
      <c r="C45" s="38" t="s">
        <v>18</v>
      </c>
      <c r="D45" s="42">
        <f>TRUNC(10044,-1)</f>
        <v>10040</v>
      </c>
      <c r="E45" s="63">
        <f t="shared" si="1"/>
        <v>33190</v>
      </c>
    </row>
    <row r="46" spans="1:7" x14ac:dyDescent="0.3">
      <c r="A46" s="2">
        <v>7</v>
      </c>
      <c r="C46" s="38" t="s">
        <v>19</v>
      </c>
      <c r="D46" s="42">
        <f>TRUNC(13908,-1)</f>
        <v>13900</v>
      </c>
      <c r="E46" s="63">
        <f t="shared" si="1"/>
        <v>45950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TRUNC(52706,-1)</f>
        <v>52700</v>
      </c>
      <c r="E48" s="63">
        <f t="shared" si="1"/>
        <v>174210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TRUNC(32749,-1)</f>
        <v>32740</v>
      </c>
      <c r="E49" s="63">
        <f t="shared" si="1"/>
        <v>108230</v>
      </c>
    </row>
    <row r="50" spans="1:7" x14ac:dyDescent="0.3">
      <c r="A50" s="2">
        <v>11</v>
      </c>
      <c r="C50" s="38" t="s">
        <v>156</v>
      </c>
      <c r="D50" s="42">
        <f>TRUNC(90851,-1)</f>
        <v>90850</v>
      </c>
      <c r="E50" s="63">
        <f t="shared" si="1"/>
        <v>300330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TRUNC(14289,-1)</f>
        <v>14280</v>
      </c>
      <c r="E52" s="63">
        <f t="shared" si="1"/>
        <v>47200</v>
      </c>
    </row>
    <row r="53" spans="1:7" x14ac:dyDescent="0.3">
      <c r="A53" s="2">
        <v>14</v>
      </c>
      <c r="C53" s="38" t="s">
        <v>25</v>
      </c>
      <c r="D53" s="42">
        <f>TRUNC(59742,-1)</f>
        <v>59740</v>
      </c>
      <c r="E53" s="63">
        <f t="shared" si="1"/>
        <v>197480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TRUNC(23162+19660+2434+10199,-1)</f>
        <v>55450</v>
      </c>
      <c r="E58" s="63">
        <f t="shared" si="1"/>
        <v>183300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TRUNC(444579,-1)</f>
        <v>444570</v>
      </c>
      <c r="E59" s="64">
        <f t="shared" si="1"/>
        <v>1469650</v>
      </c>
    </row>
    <row r="60" spans="1:7" x14ac:dyDescent="0.3">
      <c r="A60" s="2">
        <v>21</v>
      </c>
      <c r="C60" s="27" t="s">
        <v>112</v>
      </c>
      <c r="D60" s="39">
        <f>SUM(D40:D59)</f>
        <v>1055150</v>
      </c>
      <c r="E60" s="39">
        <f>SUM(E40:E59)</f>
        <v>3488040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TRUNC(3531,-1)</f>
        <v>3530</v>
      </c>
      <c r="E63" s="62">
        <f>TRUNC(+D63*3.3058,-1)</f>
        <v>11660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3530</v>
      </c>
      <c r="E66" s="65">
        <f>SUM(E63:E65)</f>
        <v>11660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TRUNC(11111,-1)</f>
        <v>11110</v>
      </c>
      <c r="E69" s="62">
        <f t="shared" ref="E69:E94" si="2">TRUNC(+D69*3.3058,-1)</f>
        <v>36720</v>
      </c>
    </row>
    <row r="70" spans="1:7" ht="16.5" customHeight="1" x14ac:dyDescent="0.3">
      <c r="A70" s="2">
        <v>2</v>
      </c>
      <c r="C70" s="38" t="s">
        <v>31</v>
      </c>
      <c r="D70" s="42">
        <f>TRUNC(421,-1)</f>
        <v>420</v>
      </c>
      <c r="E70" s="63">
        <f t="shared" si="2"/>
        <v>1380</v>
      </c>
    </row>
    <row r="71" spans="1:7" x14ac:dyDescent="0.3">
      <c r="A71" s="2">
        <v>3</v>
      </c>
      <c r="C71" s="38" t="s">
        <v>32</v>
      </c>
      <c r="D71" s="42">
        <f>TRUNC(9025,-1)</f>
        <v>9020</v>
      </c>
      <c r="E71" s="63">
        <f t="shared" si="2"/>
        <v>29810</v>
      </c>
    </row>
    <row r="72" spans="1:7" x14ac:dyDescent="0.3">
      <c r="A72" s="2">
        <v>4</v>
      </c>
      <c r="C72" s="38" t="s">
        <v>33</v>
      </c>
      <c r="D72" s="42">
        <f>TRUNC(5194,-1)</f>
        <v>5190</v>
      </c>
      <c r="E72" s="63">
        <f t="shared" si="2"/>
        <v>17150</v>
      </c>
    </row>
    <row r="73" spans="1:7" x14ac:dyDescent="0.3">
      <c r="A73" s="2">
        <v>5</v>
      </c>
      <c r="C73" s="38" t="s">
        <v>34</v>
      </c>
      <c r="D73" s="42">
        <f>TRUNC(20837,-1)</f>
        <v>20830</v>
      </c>
      <c r="E73" s="63">
        <f t="shared" si="2"/>
        <v>68850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TRUNC(117,-1)</f>
        <v>110</v>
      </c>
      <c r="E75" s="63">
        <f t="shared" si="2"/>
        <v>360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TRUNC(9704,-1)</f>
        <v>9700</v>
      </c>
      <c r="E89" s="63">
        <f t="shared" si="2"/>
        <v>32060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TRUNC(6281,-1)</f>
        <v>6280</v>
      </c>
      <c r="E91" s="63">
        <f t="shared" si="2"/>
        <v>20760</v>
      </c>
    </row>
    <row r="92" spans="1:7" x14ac:dyDescent="0.3">
      <c r="A92" s="2">
        <v>24</v>
      </c>
      <c r="C92" s="38" t="s">
        <v>38</v>
      </c>
      <c r="D92" s="42">
        <f>TRUNC(12143,-1)</f>
        <v>12140</v>
      </c>
      <c r="E92" s="63">
        <f t="shared" si="2"/>
        <v>40130</v>
      </c>
    </row>
    <row r="93" spans="1:7" x14ac:dyDescent="0.3">
      <c r="A93" s="2">
        <v>25</v>
      </c>
      <c r="C93" s="38" t="s">
        <v>149</v>
      </c>
      <c r="D93" s="42">
        <f>TRUNC(122684,-1)</f>
        <v>122680</v>
      </c>
      <c r="E93" s="63">
        <f t="shared" si="2"/>
        <v>405550</v>
      </c>
    </row>
    <row r="94" spans="1:7" ht="17.25" thickBot="1" x14ac:dyDescent="0.35">
      <c r="A94" s="2">
        <v>26</v>
      </c>
      <c r="C94" s="38" t="s">
        <v>47</v>
      </c>
      <c r="D94" s="43">
        <f>TRUNC(147,-1)</f>
        <v>140</v>
      </c>
      <c r="E94" s="64">
        <f t="shared" si="2"/>
        <v>460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197620</v>
      </c>
      <c r="E95" s="39">
        <f>SUM(E69:E94)</f>
        <v>653230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TRUNC(17222,-1)</f>
        <v>17220</v>
      </c>
      <c r="E98" s="62">
        <f t="shared" ref="E98:E118" si="3">TRUNC(+D98*3.3058,-1)</f>
        <v>56920</v>
      </c>
    </row>
    <row r="99" spans="1:7" x14ac:dyDescent="0.3">
      <c r="A99" s="2">
        <v>2</v>
      </c>
      <c r="C99" s="38" t="s">
        <v>40</v>
      </c>
      <c r="D99" s="42">
        <f>TRUNC(6852,-1)</f>
        <v>6850</v>
      </c>
      <c r="E99" s="63">
        <f t="shared" si="3"/>
        <v>22640</v>
      </c>
    </row>
    <row r="100" spans="1:7" x14ac:dyDescent="0.3">
      <c r="A100" s="2">
        <v>3</v>
      </c>
      <c r="C100" s="38" t="s">
        <v>41</v>
      </c>
      <c r="D100" s="42">
        <f>TRUNC(33911,-1)</f>
        <v>33910</v>
      </c>
      <c r="E100" s="63">
        <f t="shared" si="3"/>
        <v>112090</v>
      </c>
    </row>
    <row r="101" spans="1:7" x14ac:dyDescent="0.3">
      <c r="A101" s="2">
        <v>4</v>
      </c>
      <c r="C101" s="38" t="s">
        <v>42</v>
      </c>
      <c r="D101" s="42">
        <f>TRUNC(4043,-1)</f>
        <v>4040</v>
      </c>
      <c r="E101" s="63">
        <f t="shared" si="3"/>
        <v>13350</v>
      </c>
    </row>
    <row r="102" spans="1:7" x14ac:dyDescent="0.3">
      <c r="A102" s="2">
        <v>5</v>
      </c>
      <c r="C102" s="38" t="s">
        <v>43</v>
      </c>
      <c r="D102" s="42">
        <f>TRUNC(18056,-1)</f>
        <v>18050</v>
      </c>
      <c r="E102" s="63">
        <f t="shared" si="3"/>
        <v>59660</v>
      </c>
    </row>
    <row r="103" spans="1:7" x14ac:dyDescent="0.3">
      <c r="A103" s="2">
        <v>6</v>
      </c>
      <c r="C103" s="38" t="s">
        <v>44</v>
      </c>
      <c r="D103" s="42">
        <f>TRUNC(11248,-1)</f>
        <v>11240</v>
      </c>
      <c r="E103" s="63">
        <f t="shared" si="3"/>
        <v>37150</v>
      </c>
    </row>
    <row r="104" spans="1:7" x14ac:dyDescent="0.3">
      <c r="A104" s="2">
        <v>7</v>
      </c>
      <c r="C104" s="38" t="s">
        <v>45</v>
      </c>
      <c r="D104" s="42">
        <v>3510</v>
      </c>
      <c r="E104" s="63">
        <f t="shared" si="3"/>
        <v>11600</v>
      </c>
    </row>
    <row r="105" spans="1:7" x14ac:dyDescent="0.3">
      <c r="A105" s="2">
        <v>8</v>
      </c>
      <c r="C105" s="38" t="s">
        <v>46</v>
      </c>
      <c r="D105" s="42">
        <f>TRUNC(9403,-1)</f>
        <v>9400</v>
      </c>
      <c r="E105" s="63">
        <f t="shared" si="3"/>
        <v>31070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TRUNC(3312,-1)</f>
        <v>3310</v>
      </c>
      <c r="E114" s="63">
        <f t="shared" si="3"/>
        <v>10940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TRUNC(3938,-1)</f>
        <v>3930</v>
      </c>
      <c r="E116" s="63">
        <f t="shared" si="3"/>
        <v>12990</v>
      </c>
      <c r="F116" s="2" t="s">
        <v>260</v>
      </c>
    </row>
    <row r="117" spans="1:7" x14ac:dyDescent="0.3">
      <c r="A117" s="2">
        <v>20</v>
      </c>
      <c r="C117" s="38" t="s">
        <v>149</v>
      </c>
      <c r="D117" s="42">
        <f>TRUNC(89558,-1)</f>
        <v>89550</v>
      </c>
      <c r="E117" s="63">
        <f t="shared" si="3"/>
        <v>296030</v>
      </c>
    </row>
    <row r="118" spans="1:7" ht="17.25" thickBot="1" x14ac:dyDescent="0.35">
      <c r="A118" s="2">
        <v>21</v>
      </c>
      <c r="C118" s="38" t="s">
        <v>47</v>
      </c>
      <c r="D118" s="43">
        <f>TRUNC(2266,-1)</f>
        <v>2260</v>
      </c>
      <c r="E118" s="64">
        <f t="shared" si="3"/>
        <v>7470</v>
      </c>
    </row>
    <row r="119" spans="1:7" x14ac:dyDescent="0.3">
      <c r="A119" s="2">
        <v>22</v>
      </c>
      <c r="C119" s="27" t="s">
        <v>112</v>
      </c>
      <c r="D119" s="39">
        <f>SUM(D98:D118)</f>
        <v>203270</v>
      </c>
      <c r="E119" s="39">
        <f>SUM(E98:E118)</f>
        <v>671910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TRUNC(5346,-1)</f>
        <v>5340</v>
      </c>
      <c r="E122" s="62">
        <f t="shared" ref="E122:E132" si="4">TRUNC(+D122*3.3058,-1)</f>
        <v>17650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TRUNC(6793,-1)</f>
        <v>6790</v>
      </c>
      <c r="E124" s="63">
        <f t="shared" si="4"/>
        <v>22440</v>
      </c>
    </row>
    <row r="125" spans="1:7" x14ac:dyDescent="0.3">
      <c r="A125" s="2">
        <v>4</v>
      </c>
      <c r="C125" s="38" t="s">
        <v>138</v>
      </c>
      <c r="D125" s="42">
        <f>TRUNC(13061,-1)</f>
        <v>13060</v>
      </c>
      <c r="E125" s="63">
        <f t="shared" si="4"/>
        <v>43170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TRUNC(9053,-1)</f>
        <v>9050</v>
      </c>
      <c r="E127" s="63">
        <f t="shared" si="4"/>
        <v>29910</v>
      </c>
    </row>
    <row r="128" spans="1:7" x14ac:dyDescent="0.3">
      <c r="A128" s="2">
        <v>7</v>
      </c>
      <c r="C128" s="38" t="s">
        <v>46</v>
      </c>
      <c r="D128" s="42">
        <f>TRUNC(10363,-1)</f>
        <v>10360</v>
      </c>
      <c r="E128" s="63">
        <f t="shared" si="4"/>
        <v>34240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TRUNC(13877,-1)</f>
        <v>13870</v>
      </c>
      <c r="E130" s="63">
        <f t="shared" si="4"/>
        <v>45850</v>
      </c>
    </row>
    <row r="131" spans="1:7" x14ac:dyDescent="0.3">
      <c r="A131" s="2">
        <v>10</v>
      </c>
      <c r="C131" s="38" t="s">
        <v>149</v>
      </c>
      <c r="D131" s="42">
        <f>TRUNC(62382,-1)</f>
        <v>62380</v>
      </c>
      <c r="E131" s="63">
        <f t="shared" si="4"/>
        <v>206210</v>
      </c>
    </row>
    <row r="132" spans="1:7" ht="18" thickBot="1" x14ac:dyDescent="0.35">
      <c r="A132" s="2">
        <v>11</v>
      </c>
      <c r="C132" s="38" t="s">
        <v>47</v>
      </c>
      <c r="D132" s="43">
        <f>TRUNC(3883+301,-1)</f>
        <v>4180</v>
      </c>
      <c r="E132" s="64">
        <f t="shared" si="4"/>
        <v>13810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125030</v>
      </c>
      <c r="E133" s="39">
        <f>SUM(E122:E132)</f>
        <v>413280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168+2209+3043</f>
        <v>5420</v>
      </c>
      <c r="E137" s="63">
        <f t="shared" si="5"/>
        <v>17910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TRUNC(2508,-1)</f>
        <v>2500</v>
      </c>
      <c r="E139" s="63">
        <f t="shared" si="5"/>
        <v>8260</v>
      </c>
    </row>
    <row r="140" spans="1:7" x14ac:dyDescent="0.3">
      <c r="A140" s="2">
        <v>5</v>
      </c>
      <c r="C140" s="38" t="s">
        <v>57</v>
      </c>
      <c r="D140" s="42">
        <f>TRUNC(1343,-1)</f>
        <v>1340</v>
      </c>
      <c r="E140" s="63">
        <f t="shared" si="5"/>
        <v>4420</v>
      </c>
    </row>
    <row r="141" spans="1:7" x14ac:dyDescent="0.3">
      <c r="A141" s="2">
        <v>6</v>
      </c>
      <c r="C141" s="38" t="s">
        <v>59</v>
      </c>
      <c r="D141" s="42">
        <f>TRUNC(4072,-1)</f>
        <v>4070</v>
      </c>
      <c r="E141" s="63">
        <f t="shared" si="5"/>
        <v>13450</v>
      </c>
    </row>
    <row r="142" spans="1:7" x14ac:dyDescent="0.3">
      <c r="A142" s="2">
        <v>7</v>
      </c>
      <c r="C142" s="38" t="s">
        <v>58</v>
      </c>
      <c r="D142" s="42">
        <f>TRUNC(6131,-1)</f>
        <v>6130</v>
      </c>
      <c r="E142" s="63">
        <f t="shared" si="5"/>
        <v>20260</v>
      </c>
    </row>
    <row r="143" spans="1:7" x14ac:dyDescent="0.3">
      <c r="A143" s="2">
        <v>8</v>
      </c>
      <c r="C143" s="38" t="s">
        <v>62</v>
      </c>
      <c r="D143" s="42">
        <f>TRUNC(3812,-1)</f>
        <v>3810</v>
      </c>
      <c r="E143" s="63">
        <f t="shared" si="5"/>
        <v>12590</v>
      </c>
    </row>
    <row r="144" spans="1:7" x14ac:dyDescent="0.3">
      <c r="A144" s="2">
        <v>9</v>
      </c>
      <c r="C144" s="38" t="s">
        <v>63</v>
      </c>
      <c r="D144" s="42">
        <f>TRUNC(29086,-1)</f>
        <v>29080</v>
      </c>
      <c r="E144" s="63">
        <f t="shared" si="5"/>
        <v>96130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52350</v>
      </c>
      <c r="E146" s="39">
        <f>SUM(E136:E145)</f>
        <v>173020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3330</v>
      </c>
      <c r="E149" s="62">
        <f>TRUNC(+D149*3.3058,-1)</f>
        <v>11000</v>
      </c>
    </row>
    <row r="150" spans="1:7" x14ac:dyDescent="0.3">
      <c r="A150" s="2">
        <v>2</v>
      </c>
      <c r="C150" s="38" t="s">
        <v>49</v>
      </c>
      <c r="D150" s="42">
        <f>TRUNC(5246,-1)</f>
        <v>5240</v>
      </c>
      <c r="E150" s="63">
        <f>TRUNC(+D150*3.3058,-1)</f>
        <v>17320</v>
      </c>
    </row>
    <row r="151" spans="1:7" x14ac:dyDescent="0.3">
      <c r="A151" s="2">
        <v>3</v>
      </c>
      <c r="C151" s="38" t="s">
        <v>50</v>
      </c>
      <c r="D151" s="42">
        <f>TRUNC(744,-1)</f>
        <v>740</v>
      </c>
      <c r="E151" s="63">
        <f>TRUNC(+D151*3.3058,-1)</f>
        <v>2440</v>
      </c>
    </row>
    <row r="152" spans="1:7" x14ac:dyDescent="0.3">
      <c r="A152" s="2">
        <v>4</v>
      </c>
      <c r="C152" s="38" t="s">
        <v>47</v>
      </c>
      <c r="D152" s="42">
        <f>TRUNC(61+1420+1028,-1)</f>
        <v>2500</v>
      </c>
      <c r="E152" s="63">
        <f>TRUNC(+D152*3.3058,-1)</f>
        <v>8260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TRUNC(19701,-1)</f>
        <v>19700</v>
      </c>
      <c r="E153" s="64">
        <f>TRUNC(+D153*3.3058,-1)</f>
        <v>65120</v>
      </c>
    </row>
    <row r="154" spans="1:7" x14ac:dyDescent="0.3">
      <c r="A154" s="2">
        <v>6</v>
      </c>
      <c r="C154" s="27" t="s">
        <v>112</v>
      </c>
      <c r="D154" s="39">
        <f>SUM(D149:D153)</f>
        <v>31510</v>
      </c>
      <c r="E154" s="39">
        <f>SUM(E149:E153)</f>
        <v>104140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TRUNC(14382,-1)</f>
        <v>14380</v>
      </c>
      <c r="E157" s="62">
        <f>TRUNC(+D157*3.3058,-1)</f>
        <v>47530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TRUNC(4099,-1)</f>
        <v>4090</v>
      </c>
      <c r="E159" s="63">
        <f>TRUNC(+D159*3.3058,-1)</f>
        <v>13520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f>TRUNC(6333,-1)</f>
        <v>6330</v>
      </c>
      <c r="E160" s="64">
        <f>TRUNC(+D160*3.3058,-1)</f>
        <v>20920</v>
      </c>
    </row>
    <row r="161" spans="1:5" x14ac:dyDescent="0.3">
      <c r="A161" s="2">
        <v>5</v>
      </c>
      <c r="C161" s="27" t="s">
        <v>112</v>
      </c>
      <c r="D161" s="39">
        <f>SUM(D157:D160)</f>
        <v>24800</v>
      </c>
      <c r="E161" s="39">
        <f>SUM(E157:E160)</f>
        <v>81970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2020-12-08T04:40:54Z</dcterms:modified>
</cp:coreProperties>
</file>