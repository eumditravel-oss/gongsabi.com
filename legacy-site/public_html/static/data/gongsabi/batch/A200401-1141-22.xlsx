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33" i="4"/>
  <c r="E60" i="4" l="1"/>
  <c r="E66" i="4"/>
  <c r="E161" i="4"/>
  <c r="E119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74" i="4"/>
  <c r="E74" i="4" s="1"/>
  <c r="E95" i="4" s="1"/>
  <c r="D66" i="4"/>
  <c r="D60" i="4"/>
  <c r="D25" i="4" s="1"/>
  <c r="E25" i="4" s="1"/>
  <c r="D26" i="4"/>
  <c r="E26" i="4" s="1"/>
  <c r="D24" i="4"/>
  <c r="E24" i="4" s="1"/>
  <c r="D7" i="4"/>
  <c r="D95" i="4" l="1"/>
  <c r="D27" i="4" s="1"/>
  <c r="E27" i="4" s="1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</calcChain>
</file>

<file path=xl/sharedStrings.xml><?xml version="1.0" encoding="utf-8"?>
<sst xmlns="http://schemas.openxmlformats.org/spreadsheetml/2006/main" count="384" uniqueCount="260">
  <si>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</si>
  <si>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</si>
  <si>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</si>
  <si>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</si>
  <si>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</si>
  <si>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</si>
  <si>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</si>
  <si>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</si>
  <si>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</si>
  <si>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</si>
  <si>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</si>
  <si>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</si>
  <si>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</si>
  <si>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</si>
  <si>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</si>
  <si>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</si>
  <si>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</si>
  <si>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</si>
  <si>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</si>
  <si>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</si>
  <si>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</si>
  <si>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</si>
  <si>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</si>
  <si>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</si>
  <si>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</si>
  <si>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</si>
  <si>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</si>
  <si>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</si>
  <si>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</si>
  <si>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</si>
  <si>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</si>
  <si>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</si>
  <si>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</si>
  <si>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</si>
  <si>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</si>
  <si>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</si>
  <si>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</si>
  <si>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</si>
  <si>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</si>
  <si>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</si>
  <si>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</si>
  <si>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</si>
  <si>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</si>
  <si>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</si>
  <si>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</si>
  <si>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</si>
  <si>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</si>
  <si>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</si>
  <si>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</si>
  <si>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</si>
  <si>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</si>
  <si>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</si>
  <si>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</si>
  <si>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</si>
  <si>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</si>
  <si>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</si>
  <si>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</si>
  <si>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</si>
  <si>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</si>
  <si>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</si>
  <si>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</si>
  <si>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</si>
  <si>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</si>
  <si>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</si>
  <si>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</si>
  <si>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</si>
  <si>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</si>
  <si>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</si>
  <si>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</si>
  <si>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</si>
  <si>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</si>
  <si>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</si>
  <si>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</si>
  <si>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</si>
  <si>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</si>
  <si>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</si>
  <si>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</si>
  <si>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</si>
  <si>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</si>
  <si>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</si>
  <si>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</si>
  <si>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</si>
  <si>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</si>
  <si>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</si>
  <si>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</si>
  <si>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</si>
  <si>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</si>
  <si>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</si>
  <si>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</si>
  <si>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</si>
  <si>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</si>
  <si>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</si>
  <si>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</si>
  <si>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</si>
  <si>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</si>
  <si>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</si>
  <si>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</si>
  <si>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</si>
  <si>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</si>
  <si>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</si>
  <si>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</si>
  <si>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</si>
  <si>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</si>
  <si>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</si>
  <si>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</si>
  <si>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</si>
  <si>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</si>
  <si>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</si>
  <si>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</si>
  <si>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</si>
  <si>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</si>
  <si>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</si>
  <si>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</si>
  <si>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</si>
  <si>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</si>
  <si>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</si>
  <si>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</si>
  <si>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</si>
  <si>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</si>
  <si>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</si>
  <si>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</si>
  <si>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</si>
  <si>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</si>
  <si>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</si>
  <si>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</si>
  <si>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</si>
  <si>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</si>
  <si>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</si>
  <si>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</si>
  <si>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</si>
  <si>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</si>
  <si>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</si>
  <si>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</si>
  <si>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</si>
  <si>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</si>
  <si>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</si>
  <si>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</si>
  <si>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</si>
  <si>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</si>
  <si>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</si>
  <si>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</si>
  <si>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</si>
  <si>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</si>
  <si>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</si>
  <si>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</si>
  <si>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</si>
  <si>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</si>
  <si>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</si>
  <si>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</si>
  <si>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</si>
  <si>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</si>
  <si>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</si>
  <si>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</si>
  <si>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</si>
  <si>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</si>
  <si>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</si>
  <si>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</si>
  <si>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</si>
  <si>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</si>
  <si>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</si>
  <si>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</si>
  <si>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</si>
  <si>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</si>
  <si>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</si>
  <si>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</si>
  <si>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</si>
  <si>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</si>
  <si>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</si>
  <si>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</si>
  <si>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</si>
  <si>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</si>
  <si>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</si>
  <si>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</si>
  <si>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</si>
  <si>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</si>
  <si>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</si>
  <si>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</si>
  <si>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</si>
  <si>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</si>
  <si>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</si>
  <si>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</si>
  <si>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</si>
  <si>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</si>
  <si>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</si>
  <si>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</si>
  <si>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</si>
  <si>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</si>
  <si>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</si>
  <si>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</si>
  <si>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</si>
  <si>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</si>
  <si>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</si>
  <si>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</si>
  <si>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</si>
  <si>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</si>
  <si>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</si>
  <si>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</si>
  <si>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</si>
  <si>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</si>
  <si>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</si>
  <si>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</si>
  <si>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</si>
  <si>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</si>
  <si>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</si>
  <si>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</si>
  <si>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</si>
  <si>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</si>
  <si>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</si>
  <si>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</si>
  <si>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</si>
  <si>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</si>
  <si>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</si>
  <si>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</si>
  <si>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</si>
  <si>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</si>
  <si>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</si>
  <si>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</si>
  <si>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</si>
  <si>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</si>
  <si>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</si>
  <si>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</si>
  <si>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</si>
  <si>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</si>
  <si>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</si>
  <si>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</si>
  <si>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</si>
  <si>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</si>
  <si>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</si>
  <si>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</si>
  <si>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</si>
  <si>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</si>
  <si>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</si>
  <si>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</si>
  <si>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</si>
  <si>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</si>
  <si>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</si>
  <si>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</si>
  <si>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</si>
  <si>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</si>
  <si>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</si>
  <si>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</si>
  <si>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</si>
  <si>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</si>
  <si>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</si>
  <si>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</si>
  <si>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</si>
  <si>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</si>
  <si>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</si>
  <si>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</si>
  <si>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서울</t>
  </si>
  <si>
    <t>마감공사</t>
    <phoneticPr fontId="2" type="noConversion"/>
  </si>
  <si>
    <t>기타설비</t>
    <phoneticPr fontId="2" type="noConversion"/>
  </si>
  <si>
    <t>전등전열설비</t>
    <phoneticPr fontId="2" type="noConversion"/>
  </si>
  <si>
    <t>원/ m2</t>
    <phoneticPr fontId="2" type="noConversion"/>
  </si>
  <si>
    <t>서울 소재 00초등학교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</si>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</sst>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12329</v>
      </c>
      <c r="D7" s="36">
        <f>+C7/3.3058</f>
        <v>3729.5057172242723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258</v>
      </c>
    </row>
    <row r="19" spans="1:5" x14ac:dyDescent="0.3">
      <c r="A19" s="2">
        <v>9</v>
      </c>
      <c r="B19" s="2" t="s">
        <v>259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434780</v>
      </c>
      <c r="E25" s="59">
        <f t="shared" si="0"/>
        <v>1437290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126010</v>
      </c>
      <c r="E27" s="59">
        <f t="shared" si="0"/>
        <v>416560</v>
      </c>
    </row>
    <row r="28" spans="1:5" x14ac:dyDescent="0.3">
      <c r="B28" s="2">
        <v>5</v>
      </c>
      <c r="C28" s="35" t="s">
        <v>97</v>
      </c>
      <c r="D28" s="45">
        <f>+D119</f>
        <v>55670</v>
      </c>
      <c r="E28" s="59">
        <f t="shared" si="0"/>
        <v>184030</v>
      </c>
    </row>
    <row r="29" spans="1:5" x14ac:dyDescent="0.3">
      <c r="B29" s="2">
        <v>6</v>
      </c>
      <c r="C29" s="35" t="s">
        <v>98</v>
      </c>
      <c r="D29" s="45">
        <f>+D133</f>
        <v>26040</v>
      </c>
      <c r="E29" s="59">
        <f t="shared" si="0"/>
        <v>86080</v>
      </c>
    </row>
    <row r="30" spans="1:5" x14ac:dyDescent="0.3">
      <c r="B30" s="2">
        <v>7</v>
      </c>
      <c r="C30" s="35" t="s">
        <v>99</v>
      </c>
      <c r="D30" s="45">
        <f>+D146</f>
        <v>8980</v>
      </c>
      <c r="E30" s="59">
        <f t="shared" si="0"/>
        <v>29680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v>200300</v>
      </c>
      <c r="E33" s="60">
        <f t="shared" si="0"/>
        <v>662150</v>
      </c>
    </row>
    <row r="34" spans="1:7" x14ac:dyDescent="0.3">
      <c r="C34" s="35" t="s">
        <v>112</v>
      </c>
      <c r="D34" s="44">
        <f>SUM(D24:D33)</f>
        <v>851780</v>
      </c>
      <c r="E34" s="44">
        <f>SUM(E24:E33)</f>
        <v>2815790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253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255</v>
      </c>
      <c r="E39" s="66" t="s">
        <v>256</v>
      </c>
      <c r="G39" s="67"/>
    </row>
    <row r="40" spans="1:7" x14ac:dyDescent="0.3">
      <c r="A40" s="2">
        <v>1</v>
      </c>
      <c r="C40" s="38" t="s">
        <v>15</v>
      </c>
      <c r="D40" s="40">
        <v>31860</v>
      </c>
      <c r="E40" s="62">
        <f t="shared" ref="E40:E59" si="1">TRUNC(+D40*3.3058,-1)</f>
        <v>105320</v>
      </c>
    </row>
    <row r="41" spans="1:7" x14ac:dyDescent="0.3">
      <c r="A41" s="2">
        <v>2</v>
      </c>
      <c r="C41" s="38" t="s">
        <v>13</v>
      </c>
      <c r="D41" s="42">
        <v>167680</v>
      </c>
      <c r="E41" s="63">
        <f t="shared" si="1"/>
        <v>554310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235240</v>
      </c>
      <c r="E58" s="63">
        <f t="shared" si="1"/>
        <v>777650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434780</v>
      </c>
      <c r="E60" s="39">
        <f>SUM(E40:E59)</f>
        <v>1437280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253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0</v>
      </c>
      <c r="E66" s="57">
        <f>SUM(E63:E65)</f>
        <v>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253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f>5310</f>
        <v>5310</v>
      </c>
      <c r="E74" s="63">
        <f>TRUNC(+D74*3.3058,-1)</f>
        <v>17550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15060</v>
      </c>
      <c r="E84" s="63">
        <f>TRUNC(+D84*3.3058,-1)</f>
        <v>49780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890</v>
      </c>
      <c r="E90" s="63">
        <f>TRUNC(+D90*3.3058,-1)</f>
        <v>2940</v>
      </c>
    </row>
    <row r="91" spans="1:7" x14ac:dyDescent="0.3">
      <c r="A91" s="2">
        <v>23</v>
      </c>
      <c r="C91" s="38" t="s">
        <v>37</v>
      </c>
      <c r="D91" s="42">
        <v>5790</v>
      </c>
      <c r="E91" s="63">
        <f>TRUNC(+D91*3.3058,-1)</f>
        <v>19140</v>
      </c>
    </row>
    <row r="92" spans="1:7" x14ac:dyDescent="0.3">
      <c r="A92" s="2">
        <v>24</v>
      </c>
      <c r="C92" s="38" t="s">
        <v>38</v>
      </c>
      <c r="D92" s="42">
        <v>21510</v>
      </c>
      <c r="E92" s="63">
        <f>TRUNC(+D92*3.3058,-1)</f>
        <v>71100</v>
      </c>
    </row>
    <row r="93" spans="1:7" x14ac:dyDescent="0.3">
      <c r="A93" s="2">
        <v>25</v>
      </c>
      <c r="C93" s="38" t="s">
        <v>148</v>
      </c>
      <c r="D93" s="42">
        <v>72230</v>
      </c>
      <c r="E93" s="63">
        <f>TRUNC(+D93*3.3058,-1)</f>
        <v>238770</v>
      </c>
    </row>
    <row r="94" spans="1:7" ht="17.25" thickBot="1" x14ac:dyDescent="0.35">
      <c r="A94" s="2">
        <v>26</v>
      </c>
      <c r="C94" s="38" t="s">
        <v>47</v>
      </c>
      <c r="D94" s="43">
        <v>5220</v>
      </c>
      <c r="E94" s="64">
        <f>TRUNC(+D94*3.3058,-1)</f>
        <v>17250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126010</v>
      </c>
      <c r="E95" s="39">
        <f>SUM(E69:E94)</f>
        <v>416530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253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22580</v>
      </c>
      <c r="E100" s="63">
        <f t="shared" si="4"/>
        <v>74640</v>
      </c>
      <c r="F100" s="2" t="s">
        <v>252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15200</v>
      </c>
      <c r="E116" s="63">
        <f t="shared" si="4"/>
        <v>50240</v>
      </c>
    </row>
    <row r="117" spans="1:7" x14ac:dyDescent="0.3">
      <c r="A117" s="2">
        <v>20</v>
      </c>
      <c r="C117" s="38" t="s">
        <v>148</v>
      </c>
      <c r="D117" s="42">
        <v>16930</v>
      </c>
      <c r="E117" s="63">
        <f t="shared" si="4"/>
        <v>55960</v>
      </c>
    </row>
    <row r="118" spans="1:7" ht="17.25" thickBot="1" x14ac:dyDescent="0.35">
      <c r="A118" s="2">
        <v>21</v>
      </c>
      <c r="C118" s="38" t="s">
        <v>47</v>
      </c>
      <c r="D118" s="43">
        <v>960</v>
      </c>
      <c r="E118" s="64">
        <f t="shared" si="4"/>
        <v>3170</v>
      </c>
    </row>
    <row r="119" spans="1:7" x14ac:dyDescent="0.3">
      <c r="A119" s="2">
        <v>22</v>
      </c>
      <c r="C119" s="27" t="s">
        <v>112</v>
      </c>
      <c r="D119" s="39">
        <f>SUM(D98:D118)</f>
        <v>55670</v>
      </c>
      <c r="E119" s="39">
        <f>SUM(E98:E118)</f>
        <v>184010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236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3510</v>
      </c>
      <c r="E125" s="63">
        <f t="shared" si="5"/>
        <v>11600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1330</v>
      </c>
      <c r="E128" s="63">
        <f t="shared" si="5"/>
        <v>4390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9620</v>
      </c>
      <c r="E130" s="63">
        <f t="shared" si="5"/>
        <v>31800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5"/>
        <v>0</v>
      </c>
    </row>
    <row r="132" spans="1:7" ht="17.25" thickBot="1" x14ac:dyDescent="0.35">
      <c r="A132" s="2">
        <v>11</v>
      </c>
      <c r="C132" s="38" t="s">
        <v>47</v>
      </c>
      <c r="D132" s="43">
        <v>11580</v>
      </c>
      <c r="E132" s="64">
        <f t="shared" si="5"/>
        <v>38280</v>
      </c>
    </row>
    <row r="133" spans="1:7" x14ac:dyDescent="0.3">
      <c r="A133" s="2">
        <v>12</v>
      </c>
      <c r="C133" s="27" t="s">
        <v>112</v>
      </c>
      <c r="D133" s="39">
        <f>SUM(D122:D132)</f>
        <v>26040</v>
      </c>
      <c r="E133" s="39">
        <f>SUM(E122:E132)</f>
        <v>86070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236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8980</v>
      </c>
      <c r="E136" s="62">
        <f t="shared" ref="E136:E145" si="6">TRUNC(+D136*3.3058,-1)</f>
        <v>29680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8980</v>
      </c>
      <c r="E146" s="39">
        <f>SUM(E136:E145)</f>
        <v>29680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236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236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2020-12-07T08:48:05Z</dcterms:modified>
</cp:coreProperties>
</file>