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0" i="4"/>
  <c r="D149" i="4"/>
  <c r="D144" i="4"/>
  <c r="D142" i="4"/>
  <c r="D140" i="4"/>
  <c r="D132" i="4"/>
  <c r="D131" i="4"/>
  <c r="D128" i="4"/>
  <c r="D126" i="4"/>
  <c r="D125" i="4"/>
  <c r="D118" i="4"/>
  <c r="D117" i="4"/>
  <c r="D116" i="4"/>
  <c r="D105" i="4"/>
  <c r="D104" i="4"/>
  <c r="D102" i="4"/>
  <c r="D101" i="4"/>
  <c r="D100" i="4"/>
  <c r="D99" i="4"/>
  <c r="D98" i="4"/>
  <c r="D94" i="4"/>
  <c r="D91" i="4"/>
  <c r="D89" i="4"/>
  <c r="D73" i="4"/>
  <c r="D72" i="4"/>
  <c r="D69" i="4"/>
  <c r="D65" i="4"/>
  <c r="D63" i="4"/>
  <c r="D59" i="4"/>
  <c r="D58" i="4"/>
  <c r="D53" i="4"/>
  <c r="D52" i="4"/>
  <c r="D50" i="4"/>
  <c r="D49" i="4"/>
  <c r="D48" i="4"/>
  <c r="D46" i="4"/>
  <c r="D45" i="4"/>
  <c r="D44" i="4"/>
  <c r="D43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66" i="4"/>
  <c r="E146" i="4"/>
  <c r="E133" i="4"/>
  <c r="E119" i="4"/>
  <c r="E95" i="4"/>
  <c r="E60" i="4"/>
  <c r="D161" i="4"/>
  <c r="D32" i="4" s="1"/>
  <c r="E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<sst xmlns="http://schemas.openxmlformats.org/spreadsheetml/2006/main" count="392" uniqueCount="268">
  <si>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</si>
  <si>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</si>
  <si>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</si>
  <si>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</si>
  <si>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</si>
  <si>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</si>
  <si>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</si>
  <si>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</si>
  <si>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</si>
  <si>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</si>
  <si>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</si>
  <si>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</si>
  <si>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</si>
  <si>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</si>
  <si>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</si>
  <si>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</si>
  <si>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</si>
  <si>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</si>
  <si>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</si>
  <si>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</si>
  <si>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</si>
  <si>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</si>
  <si>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</si>
  <si>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</si>
  <si>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</si>
  <si>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</si>
  <si>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</si>
  <si>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</si>
  <si>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</si>
  <si>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</si>
  <si>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</si>
  <si>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</si>
  <si>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</si>
  <si>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</si>
  <si>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</si>
  <si>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</si>
  <si>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</si>
  <si>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</si>
  <si>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</si>
  <si>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</si>
  <si>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</si>
  <si>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</si>
  <si>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</si>
  <si>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</si>
  <si>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</si>
  <si>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</si>
  <si>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</si>
  <si>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</si>
  <si>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</si>
  <si>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</si>
  <si>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</si>
  <si>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</si>
  <si>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</si>
  <si>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</si>
  <si>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</si>
  <si>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</si>
  <si>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</si>
  <si>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</si>
  <si>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</si>
  <si>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</si>
  <si>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</si>
  <si>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</si>
  <si>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</si>
  <si>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</si>
  <si>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</si>
  <si>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</si>
  <si>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</si>
  <si>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</si>
  <si>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</si>
  <si>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</si>
  <si>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</si>
  <si>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</si>
  <si>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</si>
  <si>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</si>
  <si>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</si>
  <si>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</si>
  <si>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</si>
  <si>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</si>
  <si>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</si>
  <si>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</si>
  <si>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</si>
  <si>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</si>
  <si>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</si>
  <si>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</si>
  <si>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</si>
  <si>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</si>
  <si>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</si>
  <si>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</si>
  <si>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</si>
  <si>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</si>
  <si>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</si>
  <si>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</si>
  <si>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</si>
  <si>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</si>
  <si>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</si>
  <si>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</si>
  <si>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</si>
  <si>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</si>
  <si>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</si>
  <si>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</si>
  <si>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</si>
  <si>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</si>
  <si>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</si>
  <si>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</si>
  <si>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</si>
  <si>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</si>
  <si>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</si>
  <si>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</si>
  <si>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</si>
  <si>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</si>
  <si>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</si>
  <si>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</si>
  <si>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</si>
  <si>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</si>
  <si>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</si>
  <si>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</si>
  <si>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</si>
  <si>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</si>
  <si>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</si>
  <si>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</si>
  <si>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</si>
  <si>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</si>
  <si>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</si>
  <si>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</si>
  <si>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</si>
  <si>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</si>
  <si>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</si>
  <si>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</si>
  <si>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</si>
  <si>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</si>
  <si>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</si>
  <si>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</si>
  <si>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</si>
  <si>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</si>
  <si>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</si>
  <si>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</si>
  <si>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</si>
  <si>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</si>
  <si>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</si>
  <si>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</si>
  <si>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</si>
  <si>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</si>
  <si>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</si>
  <si>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</si>
  <si>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</si>
  <si>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</si>
  <si>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</si>
  <si>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</si>
  <si>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</si>
  <si>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</si>
  <si>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</si>
  <si>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</si>
  <si>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</si>
  <si>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</si>
  <si>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</si>
  <si>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</si>
  <si>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</si>
  <si>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</si>
  <si>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</si>
  <si>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</si>
  <si>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</si>
  <si>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</si>
  <si>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</si>
  <si>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</si>
  <si>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</si>
  <si>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</si>
  <si>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</si>
  <si>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</si>
  <si>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</si>
  <si>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</si>
  <si>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</si>
  <si>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</si>
  <si>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</si>
  <si>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</si>
  <si>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</si>
  <si>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</si>
  <si>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</si>
  <si>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</si>
  <si>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</si>
  <si>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</si>
  <si>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</si>
  <si>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</si>
  <si>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</si>
  <si>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</si>
  <si>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</si>
  <si>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</si>
  <si>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</si>
  <si>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</si>
  <si>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</si>
  <si>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</si>
  <si>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</si>
  <si>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</si>
  <si>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</si>
  <si>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</si>
  <si>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</si>
  <si>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</si>
  <si>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</si>
  <si>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</si>
  <si>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</si>
  <si>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</si>
  <si>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</si>
  <si>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</si>
  <si>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</si>
  <si>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</si>
  <si>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</si>
  <si>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</si>
  <si>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</si>
  <si>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</si>
  <si>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</si>
  <si>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</si>
  <si>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</si>
  <si>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</si>
  <si>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</si>
  <si>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</si>
  <si>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</si>
  <si>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</si>
  <si>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</si>
  <si>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</si>
  <si>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</si>
  <si>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</si>
  <si>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</si>
  <si>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</si>
  <si>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</si>
  <si>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</si>
  <si>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</si>
  <si>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</si>
  <si>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</si>
  <si>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</si>
  <si>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</si>
  <si>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</si>
  <si>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</si>
  <si>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</si>
  <si>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</si>
  <si>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</si>
  <si>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</si>
  <si>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</si>
  <si>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</si>
  <si>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</si>
  <si>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</si>
  <si>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</si>
  <si>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</si>
  <si>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</si>
  <si>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</si>
  <si>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</si>
  <si>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</si>
  <si>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</si>
  <si>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</si>
  <si>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</si>
  <si>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</si>
  <si>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</si>
  <si>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</si>
  <si>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</si>
  <si>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</si>
  <si>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</si>
  <si>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옥외소화배관공사, 펌프실배관공사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</si>
  <si>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</si>
  <si>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</si>
  <si>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SW융합기술지원센터 신축공사</t>
    <phoneticPr fontId="2" type="noConversion"/>
  </si>
  <si>
    <t>기타</t>
  </si>
  <si>
    <t>대구시</t>
  </si>
  <si>
    <t>골재비및운반비, 기타공사</t>
    <phoneticPr fontId="2" type="noConversion"/>
  </si>
  <si>
    <t>공조배관공사,기타공사</t>
    <phoneticPr fontId="2" type="noConversion"/>
  </si>
  <si>
    <t>CCTV설비공사, 주차관제설비공사, 기타공사</t>
    <phoneticPr fontId="2" type="noConversion"/>
  </si>
  <si>
    <t>상수도공사, 사급자재비, 운반비, 기타공사</t>
    <phoneticPr fontId="2" type="noConversion"/>
  </si>
  <si>
    <t>포장공사,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</si>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</sst>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9305.3700000000008</v>
      </c>
      <c r="D7" s="36">
        <f>+C7/3.3058</f>
        <v>2814.8617581220888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851310</v>
      </c>
      <c r="E25" s="59">
        <f t="shared" si="0"/>
        <v>2814260</v>
      </c>
    </row>
    <row r="26" spans="1:5" x14ac:dyDescent="0.3">
      <c r="B26" s="2">
        <v>3</v>
      </c>
      <c r="C26" s="35" t="s">
        <v>95</v>
      </c>
      <c r="D26" s="45">
        <f>+D66</f>
        <v>37710</v>
      </c>
      <c r="E26" s="59">
        <f t="shared" si="0"/>
        <v>124660</v>
      </c>
    </row>
    <row r="27" spans="1:5" x14ac:dyDescent="0.3">
      <c r="B27" s="2">
        <v>4</v>
      </c>
      <c r="C27" s="35" t="s">
        <v>96</v>
      </c>
      <c r="D27" s="45">
        <f>+D95</f>
        <v>30560</v>
      </c>
      <c r="E27" s="59">
        <f t="shared" si="0"/>
        <v>101020</v>
      </c>
    </row>
    <row r="28" spans="1:5" x14ac:dyDescent="0.3">
      <c r="B28" s="2">
        <v>5</v>
      </c>
      <c r="C28" s="35" t="s">
        <v>97</v>
      </c>
      <c r="D28" s="45">
        <f>+D119</f>
        <v>177980</v>
      </c>
      <c r="E28" s="59">
        <f t="shared" si="0"/>
        <v>588360</v>
      </c>
    </row>
    <row r="29" spans="1:5" x14ac:dyDescent="0.3">
      <c r="B29" s="2">
        <v>6</v>
      </c>
      <c r="C29" s="35" t="s">
        <v>98</v>
      </c>
      <c r="D29" s="45">
        <f>+D133</f>
        <v>116040</v>
      </c>
      <c r="E29" s="59">
        <f t="shared" si="0"/>
        <v>383600</v>
      </c>
    </row>
    <row r="30" spans="1:5" x14ac:dyDescent="0.3">
      <c r="B30" s="2">
        <v>7</v>
      </c>
      <c r="C30" s="35" t="s">
        <v>99</v>
      </c>
      <c r="D30" s="45">
        <f>+D146</f>
        <v>45630</v>
      </c>
      <c r="E30" s="59">
        <f t="shared" si="0"/>
        <v>150840</v>
      </c>
    </row>
    <row r="31" spans="1:5" x14ac:dyDescent="0.3">
      <c r="B31" s="2">
        <v>8</v>
      </c>
      <c r="C31" s="35" t="s">
        <v>100</v>
      </c>
      <c r="D31" s="45">
        <f>+D154</f>
        <v>7000</v>
      </c>
      <c r="E31" s="59">
        <f t="shared" si="0"/>
        <v>23140</v>
      </c>
    </row>
    <row r="32" spans="1:5" x14ac:dyDescent="0.3">
      <c r="B32" s="2">
        <v>9</v>
      </c>
      <c r="C32" s="35" t="s">
        <v>101</v>
      </c>
      <c r="D32" s="45">
        <f>+D161</f>
        <v>16480</v>
      </c>
      <c r="E32" s="59">
        <f t="shared" si="0"/>
        <v>54470</v>
      </c>
    </row>
    <row r="33" spans="1:7" x14ac:dyDescent="0.3">
      <c r="B33" s="2">
        <v>10</v>
      </c>
      <c r="C33" s="35" t="s">
        <v>154</v>
      </c>
      <c r="D33" s="53">
        <f>TRUNC(SUM(D24:D32)*0.275,-1)</f>
        <v>352740</v>
      </c>
      <c r="E33" s="60">
        <f t="shared" si="0"/>
        <v>1166080</v>
      </c>
    </row>
    <row r="34" spans="1:7" x14ac:dyDescent="0.3">
      <c r="C34" s="35" t="s">
        <v>112</v>
      </c>
      <c r="D34" s="44">
        <f>SUM(D24:D33)</f>
        <v>1635450</v>
      </c>
      <c r="E34" s="44">
        <f>SUM(E24:E33)</f>
        <v>5406430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248</v>
      </c>
      <c r="D39" s="57" t="s">
        <v>249</v>
      </c>
      <c r="E39" s="57" t="s">
        <v>250</v>
      </c>
      <c r="G39" s="55"/>
    </row>
    <row r="40" spans="1:7" x14ac:dyDescent="0.3">
      <c r="A40" s="2">
        <v>1</v>
      </c>
      <c r="C40" s="38" t="s">
        <v>15</v>
      </c>
      <c r="D40" s="40">
        <f>TRUNC(66295,-1)</f>
        <v>66290</v>
      </c>
      <c r="E40" s="62">
        <f t="shared" ref="E40:E59" si="1">TRUNC(+D40*3.3058,-1)</f>
        <v>219140</v>
      </c>
    </row>
    <row r="41" spans="1:7" x14ac:dyDescent="0.3">
      <c r="A41" s="2">
        <v>2</v>
      </c>
      <c r="C41" s="38" t="s">
        <v>13</v>
      </c>
      <c r="D41" s="42">
        <f>TRUNC(96747,-1)</f>
        <v>96740</v>
      </c>
      <c r="E41" s="63">
        <f t="shared" si="1"/>
        <v>319800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TRUNC(12316,-1)</f>
        <v>12310</v>
      </c>
      <c r="E43" s="63">
        <f t="shared" si="1"/>
        <v>40690</v>
      </c>
    </row>
    <row r="44" spans="1:7" x14ac:dyDescent="0.3">
      <c r="A44" s="2">
        <v>5</v>
      </c>
      <c r="C44" s="38" t="s">
        <v>17</v>
      </c>
      <c r="D44" s="42">
        <f>TRUNC(21679,-1)</f>
        <v>21670</v>
      </c>
      <c r="E44" s="63">
        <f t="shared" si="1"/>
        <v>71630</v>
      </c>
    </row>
    <row r="45" spans="1:7" x14ac:dyDescent="0.3">
      <c r="A45" s="2">
        <v>6</v>
      </c>
      <c r="C45" s="38" t="s">
        <v>18</v>
      </c>
      <c r="D45" s="42">
        <f>TRUNC(4903,-1)</f>
        <v>4900</v>
      </c>
      <c r="E45" s="63">
        <f t="shared" si="1"/>
        <v>16190</v>
      </c>
    </row>
    <row r="46" spans="1:7" x14ac:dyDescent="0.3">
      <c r="A46" s="2">
        <v>7</v>
      </c>
      <c r="C46" s="38" t="s">
        <v>19</v>
      </c>
      <c r="D46" s="42">
        <f>TRUNC(7126,-1)</f>
        <v>7120</v>
      </c>
      <c r="E46" s="63">
        <f t="shared" si="1"/>
        <v>23530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TRUNC(105979,-1)</f>
        <v>105970</v>
      </c>
      <c r="E48" s="63">
        <f t="shared" si="1"/>
        <v>350310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TRUNC(23277,-1)</f>
        <v>23270</v>
      </c>
      <c r="E49" s="63">
        <f t="shared" si="1"/>
        <v>76920</v>
      </c>
    </row>
    <row r="50" spans="1:7" x14ac:dyDescent="0.3">
      <c r="A50" s="2">
        <v>11</v>
      </c>
      <c r="C50" s="38" t="s">
        <v>155</v>
      </c>
      <c r="D50" s="42">
        <f>TRUNC(54091,-1)</f>
        <v>54090</v>
      </c>
      <c r="E50" s="63">
        <f t="shared" si="1"/>
        <v>178810</v>
      </c>
      <c r="F50" s="2" t="s">
        <v>255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TRUNC(9334,-1)</f>
        <v>9330</v>
      </c>
      <c r="E52" s="63">
        <f t="shared" si="1"/>
        <v>30840</v>
      </c>
    </row>
    <row r="53" spans="1:7" x14ac:dyDescent="0.3">
      <c r="A53" s="2">
        <v>14</v>
      </c>
      <c r="C53" s="38" t="s">
        <v>25</v>
      </c>
      <c r="D53" s="42">
        <f>TRUNC(102193,-1)</f>
        <v>102190</v>
      </c>
      <c r="E53" s="63">
        <f t="shared" si="1"/>
        <v>337810</v>
      </c>
      <c r="F53" s="2" t="s">
        <v>256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TRUNC(5141+13457,-1)</f>
        <v>18590</v>
      </c>
      <c r="E58" s="63">
        <f t="shared" si="1"/>
        <v>61450</v>
      </c>
      <c r="F58" s="2" t="s">
        <v>260</v>
      </c>
    </row>
    <row r="59" spans="1:7" ht="17.25" thickBot="1" x14ac:dyDescent="0.35">
      <c r="A59" s="2">
        <v>20</v>
      </c>
      <c r="C59" s="38" t="s">
        <v>148</v>
      </c>
      <c r="D59" s="43">
        <f>TRUNC(328845,-1)</f>
        <v>328840</v>
      </c>
      <c r="E59" s="64">
        <f t="shared" si="1"/>
        <v>1087070</v>
      </c>
    </row>
    <row r="60" spans="1:7" x14ac:dyDescent="0.3">
      <c r="A60" s="2">
        <v>21</v>
      </c>
      <c r="C60" s="27" t="s">
        <v>112</v>
      </c>
      <c r="D60" s="39">
        <f>SUM(D40:D59)</f>
        <v>851310</v>
      </c>
      <c r="E60" s="39">
        <f>SUM(E40:E59)</f>
        <v>2814190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TRUNC(9231,-1)</f>
        <v>9230</v>
      </c>
      <c r="E63" s="62">
        <f>TRUNC(+D63*3.3058,-1)</f>
        <v>30510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TRUNC(28486,-1)</f>
        <v>28480</v>
      </c>
      <c r="E65" s="64">
        <f>TRUNC(+D65*3.3058,-1)</f>
        <v>94140</v>
      </c>
    </row>
    <row r="66" spans="1:7" x14ac:dyDescent="0.3">
      <c r="A66" s="2">
        <v>4</v>
      </c>
      <c r="C66" s="27" t="s">
        <v>112</v>
      </c>
      <c r="D66" s="39">
        <f>SUM(D63:D65)</f>
        <v>37710</v>
      </c>
      <c r="E66" s="65">
        <f>SUM(E63:E65)</f>
        <v>124650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TRUNC(6257,-1)</f>
        <v>6250</v>
      </c>
      <c r="E69" s="62">
        <f t="shared" ref="E69:E94" si="2">TRUNC(+D69*3.3058,-1)</f>
        <v>20660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TRUNC(1586,-1)</f>
        <v>1580</v>
      </c>
      <c r="E72" s="63">
        <f t="shared" si="2"/>
        <v>5220</v>
      </c>
    </row>
    <row r="73" spans="1:7" x14ac:dyDescent="0.3">
      <c r="A73" s="2">
        <v>5</v>
      </c>
      <c r="C73" s="38" t="s">
        <v>34</v>
      </c>
      <c r="D73" s="42">
        <f>TRUNC(4324,-1)</f>
        <v>4320</v>
      </c>
      <c r="E73" s="63">
        <f t="shared" si="2"/>
        <v>14280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TRUNC(6387,-1)</f>
        <v>6380</v>
      </c>
      <c r="E89" s="63">
        <f t="shared" si="2"/>
        <v>21090</v>
      </c>
    </row>
    <row r="90" spans="1:7" x14ac:dyDescent="0.3">
      <c r="A90" s="2">
        <v>22</v>
      </c>
      <c r="C90" s="38" t="s">
        <v>36</v>
      </c>
      <c r="D90" s="42">
        <v>2800</v>
      </c>
      <c r="E90" s="63">
        <f t="shared" si="2"/>
        <v>9250</v>
      </c>
    </row>
    <row r="91" spans="1:7" x14ac:dyDescent="0.3">
      <c r="A91" s="2">
        <v>23</v>
      </c>
      <c r="C91" s="38" t="s">
        <v>37</v>
      </c>
      <c r="D91" s="42">
        <f>TRUNC(5047,-1)</f>
        <v>5040</v>
      </c>
      <c r="E91" s="63">
        <f t="shared" si="2"/>
        <v>16660</v>
      </c>
    </row>
    <row r="92" spans="1:7" x14ac:dyDescent="0.3">
      <c r="A92" s="2">
        <v>24</v>
      </c>
      <c r="C92" s="38" t="s">
        <v>38</v>
      </c>
      <c r="D92" s="42">
        <v>3360</v>
      </c>
      <c r="E92" s="63">
        <f t="shared" si="2"/>
        <v>11100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TRUNC(541+290,-1)</f>
        <v>830</v>
      </c>
      <c r="E94" s="64">
        <f t="shared" si="2"/>
        <v>2740</v>
      </c>
      <c r="F94" s="2" t="s">
        <v>261</v>
      </c>
    </row>
    <row r="95" spans="1:7" x14ac:dyDescent="0.3">
      <c r="A95" s="2">
        <v>27</v>
      </c>
      <c r="C95" s="27" t="s">
        <v>112</v>
      </c>
      <c r="D95" s="39">
        <f>SUM(D69:D94)</f>
        <v>30560</v>
      </c>
      <c r="E95" s="39">
        <f>SUM(E69:E94)</f>
        <v>101000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TRUNC(10933,-1)</f>
        <v>10930</v>
      </c>
      <c r="E98" s="62">
        <f t="shared" ref="E98:E118" si="3">TRUNC(+D98*3.3058,-1)</f>
        <v>36130</v>
      </c>
    </row>
    <row r="99" spans="1:7" x14ac:dyDescent="0.3">
      <c r="A99" s="2">
        <v>2</v>
      </c>
      <c r="C99" s="38" t="s">
        <v>40</v>
      </c>
      <c r="D99" s="42">
        <f>TRUNC(5088,-1)</f>
        <v>5080</v>
      </c>
      <c r="E99" s="63">
        <f t="shared" si="3"/>
        <v>16790</v>
      </c>
    </row>
    <row r="100" spans="1:7" x14ac:dyDescent="0.3">
      <c r="A100" s="2">
        <v>3</v>
      </c>
      <c r="C100" s="38" t="s">
        <v>41</v>
      </c>
      <c r="D100" s="42">
        <f>TRUNC(22689,-1)</f>
        <v>22680</v>
      </c>
      <c r="E100" s="63">
        <f t="shared" si="3"/>
        <v>74970</v>
      </c>
    </row>
    <row r="101" spans="1:7" x14ac:dyDescent="0.3">
      <c r="A101" s="2">
        <v>4</v>
      </c>
      <c r="C101" s="38" t="s">
        <v>42</v>
      </c>
      <c r="D101" s="42">
        <f>TRUNC(1298,-1)</f>
        <v>1290</v>
      </c>
      <c r="E101" s="63">
        <f t="shared" si="3"/>
        <v>4260</v>
      </c>
    </row>
    <row r="102" spans="1:7" x14ac:dyDescent="0.3">
      <c r="A102" s="2">
        <v>5</v>
      </c>
      <c r="C102" s="38" t="s">
        <v>43</v>
      </c>
      <c r="D102" s="42">
        <f>TRUNC(12677,-1)</f>
        <v>12670</v>
      </c>
      <c r="E102" s="63">
        <f t="shared" si="3"/>
        <v>41880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TRUNC(3754,-1)</f>
        <v>3750</v>
      </c>
      <c r="E104" s="63">
        <f t="shared" si="3"/>
        <v>12390</v>
      </c>
    </row>
    <row r="105" spans="1:7" x14ac:dyDescent="0.3">
      <c r="A105" s="2">
        <v>8</v>
      </c>
      <c r="C105" s="38" t="s">
        <v>46</v>
      </c>
      <c r="D105" s="42">
        <f>TRUNC(2913,-1)</f>
        <v>2910</v>
      </c>
      <c r="E105" s="63">
        <f t="shared" si="3"/>
        <v>9610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TRUNC(3471,-1)</f>
        <v>3470</v>
      </c>
      <c r="E116" s="63">
        <f t="shared" si="3"/>
        <v>11470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f>TRUNC(114927,-1)</f>
        <v>114920</v>
      </c>
      <c r="E117" s="63">
        <f t="shared" si="3"/>
        <v>379900</v>
      </c>
    </row>
    <row r="118" spans="1:7" ht="17.25" thickBot="1" x14ac:dyDescent="0.35">
      <c r="A118" s="2">
        <v>21</v>
      </c>
      <c r="C118" s="38" t="s">
        <v>47</v>
      </c>
      <c r="D118" s="43">
        <f>TRUNC(286,-1)</f>
        <v>280</v>
      </c>
      <c r="E118" s="64">
        <f t="shared" si="3"/>
        <v>920</v>
      </c>
    </row>
    <row r="119" spans="1:7" x14ac:dyDescent="0.3">
      <c r="A119" s="2">
        <v>22</v>
      </c>
      <c r="C119" s="27" t="s">
        <v>112</v>
      </c>
      <c r="D119" s="39">
        <f>SUM(D98:D118)</f>
        <v>177980</v>
      </c>
      <c r="E119" s="39">
        <f>SUM(E98:E118)</f>
        <v>588320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TRUNC(4388,-1)</f>
        <v>4380</v>
      </c>
      <c r="E125" s="63">
        <f t="shared" si="4"/>
        <v>14470</v>
      </c>
    </row>
    <row r="126" spans="1:7" x14ac:dyDescent="0.3">
      <c r="A126" s="2">
        <v>5</v>
      </c>
      <c r="C126" s="38" t="s">
        <v>53</v>
      </c>
      <c r="D126" s="42">
        <f>TRUNC(35774,-1)</f>
        <v>35770</v>
      </c>
      <c r="E126" s="63">
        <f t="shared" si="4"/>
        <v>118240</v>
      </c>
    </row>
    <row r="127" spans="1:7" x14ac:dyDescent="0.3">
      <c r="A127" s="2">
        <v>6</v>
      </c>
      <c r="C127" s="38" t="s">
        <v>56</v>
      </c>
      <c r="D127" s="42">
        <v>4930</v>
      </c>
      <c r="E127" s="63">
        <f t="shared" si="4"/>
        <v>16290</v>
      </c>
    </row>
    <row r="128" spans="1:7" x14ac:dyDescent="0.3">
      <c r="A128" s="2">
        <v>7</v>
      </c>
      <c r="C128" s="38" t="s">
        <v>46</v>
      </c>
      <c r="D128" s="42">
        <f>TRUNC(3803,-1)</f>
        <v>3800</v>
      </c>
      <c r="E128" s="63">
        <f t="shared" si="4"/>
        <v>12560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TRUNC(64216,-1)</f>
        <v>64210</v>
      </c>
      <c r="E131" s="63">
        <f t="shared" si="4"/>
        <v>212260</v>
      </c>
    </row>
    <row r="132" spans="1:7" ht="18" thickBot="1" x14ac:dyDescent="0.35">
      <c r="A132" s="2">
        <v>11</v>
      </c>
      <c r="C132" s="38" t="s">
        <v>47</v>
      </c>
      <c r="D132" s="43">
        <f>TRUNC(2402+265+286,-1)</f>
        <v>2950</v>
      </c>
      <c r="E132" s="64">
        <f t="shared" si="4"/>
        <v>9750</v>
      </c>
      <c r="F132" s="54" t="s">
        <v>262</v>
      </c>
    </row>
    <row r="133" spans="1:7" x14ac:dyDescent="0.3">
      <c r="A133" s="2">
        <v>12</v>
      </c>
      <c r="C133" s="27" t="s">
        <v>112</v>
      </c>
      <c r="D133" s="39">
        <f>SUM(D122:D132)</f>
        <v>116040</v>
      </c>
      <c r="E133" s="39">
        <f>SUM(E122:E132)</f>
        <v>383570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  <c r="F137" s="2" t="s">
        <v>254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TRUNC(778,-1)</f>
        <v>770</v>
      </c>
      <c r="E140" s="63">
        <f t="shared" si="5"/>
        <v>2540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TRUNC(21419,-1)</f>
        <v>21410</v>
      </c>
      <c r="E142" s="63">
        <f t="shared" si="5"/>
        <v>70770</v>
      </c>
    </row>
    <row r="143" spans="1:7" x14ac:dyDescent="0.3">
      <c r="A143" s="2">
        <v>8</v>
      </c>
      <c r="C143" s="38" t="s">
        <v>62</v>
      </c>
      <c r="D143" s="42">
        <v>2200</v>
      </c>
      <c r="E143" s="63">
        <f t="shared" si="5"/>
        <v>7270</v>
      </c>
    </row>
    <row r="144" spans="1:7" x14ac:dyDescent="0.3">
      <c r="A144" s="2">
        <v>9</v>
      </c>
      <c r="C144" s="38" t="s">
        <v>63</v>
      </c>
      <c r="D144" s="42">
        <f>TRUNC(6136,-1)</f>
        <v>6130</v>
      </c>
      <c r="E144" s="63">
        <f t="shared" si="5"/>
        <v>20260</v>
      </c>
    </row>
    <row r="145" spans="1:7" ht="17.25" thickBot="1" x14ac:dyDescent="0.35">
      <c r="A145" s="2">
        <v>10</v>
      </c>
      <c r="C145" s="38" t="s">
        <v>148</v>
      </c>
      <c r="D145" s="43">
        <v>15120</v>
      </c>
      <c r="E145" s="64">
        <f t="shared" si="5"/>
        <v>49980</v>
      </c>
    </row>
    <row r="146" spans="1:7" x14ac:dyDescent="0.3">
      <c r="A146" s="2">
        <v>11</v>
      </c>
      <c r="C146" s="27" t="s">
        <v>112</v>
      </c>
      <c r="D146" s="39">
        <f>SUM(D136:D145)</f>
        <v>45630</v>
      </c>
      <c r="E146" s="39">
        <f>SUM(E136:E145)</f>
        <v>150820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TRUNC(3136+208,-1)</f>
        <v>3340</v>
      </c>
      <c r="E149" s="62">
        <f>TRUNC(+D149*3.3058,-1)</f>
        <v>11040</v>
      </c>
    </row>
    <row r="150" spans="1:7" x14ac:dyDescent="0.3">
      <c r="A150" s="2">
        <v>2</v>
      </c>
      <c r="C150" s="38" t="s">
        <v>49</v>
      </c>
      <c r="D150" s="42">
        <f>TRUNC(411,-1)</f>
        <v>410</v>
      </c>
      <c r="E150" s="63">
        <f>TRUNC(+D150*3.3058,-1)</f>
        <v>1350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TRUNC(67+2635+429+123,-1)</f>
        <v>3250</v>
      </c>
      <c r="E152" s="63">
        <f>TRUNC(+D152*3.3058,-1)</f>
        <v>10740</v>
      </c>
      <c r="F152" s="2" t="s">
        <v>263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7000</v>
      </c>
      <c r="E154" s="39">
        <f>SUM(E149:E153)</f>
        <v>23130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TRUNC(7509,-1)</f>
        <v>7500</v>
      </c>
      <c r="E157" s="62">
        <f>TRUNC(+D157*3.3058,-1)</f>
        <v>24790</v>
      </c>
    </row>
    <row r="158" spans="1:7" x14ac:dyDescent="0.3">
      <c r="A158" s="2">
        <v>2</v>
      </c>
      <c r="C158" s="38" t="s">
        <v>52</v>
      </c>
      <c r="D158" s="42">
        <f>TRUNC(3589,-1)</f>
        <v>3580</v>
      </c>
      <c r="E158" s="63">
        <f>TRUNC(+D158*3.3058,-1)</f>
        <v>11830</v>
      </c>
    </row>
    <row r="159" spans="1:7" x14ac:dyDescent="0.3">
      <c r="A159" s="2">
        <v>3</v>
      </c>
      <c r="C159" s="38" t="s">
        <v>47</v>
      </c>
      <c r="D159" s="42">
        <f>TRUNC(5247+154,-1)</f>
        <v>5400</v>
      </c>
      <c r="E159" s="63">
        <f>TRUNC(+D159*3.3058,-1)</f>
        <v>17850</v>
      </c>
      <c r="F159" s="2" t="s">
        <v>264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16480</v>
      </c>
      <c r="E161" s="39">
        <f>SUM(E157:E160)</f>
        <v>54470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2020-12-07T10:04:53Z</dcterms:modified>
</cp:coreProperties>
</file>