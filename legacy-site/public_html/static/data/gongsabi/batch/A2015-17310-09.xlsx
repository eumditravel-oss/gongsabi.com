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32" i="4"/>
  <c r="D137" i="4"/>
  <c r="D131" i="4"/>
  <c r="D130" i="4"/>
  <c r="D126" i="4"/>
  <c r="D118" i="4"/>
  <c r="D117" i="4"/>
  <c r="D116" i="4"/>
  <c r="D104" i="4"/>
  <c r="D103" i="4"/>
  <c r="D102" i="4"/>
  <c r="D100" i="4"/>
  <c r="D99" i="4"/>
  <c r="D98" i="4"/>
  <c r="D91" i="4"/>
  <c r="D89" i="4"/>
  <c r="D73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<sst xmlns="http://schemas.openxmlformats.org/spreadsheetml/2006/main" count="395" uniqueCount="266">
  <si>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</si>
  <si>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</si>
  <si>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</si>
  <si>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</si>
  <si>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</si>
  <si>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</si>
  <si>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</si>
  <si>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</si>
  <si>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</si>
  <si>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</si>
  <si>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</si>
  <si>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</si>
  <si>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</si>
  <si>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</si>
  <si>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</si>
  <si>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</si>
  <si>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</si>
  <si>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</si>
  <si>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</si>
  <si>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</si>
  <si>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</si>
  <si>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</si>
  <si>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</si>
  <si>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</si>
  <si>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</si>
  <si>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</si>
  <si>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</si>
  <si>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</si>
  <si>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</si>
  <si>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</si>
  <si>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</si>
  <si>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</si>
  <si>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</si>
  <si>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</si>
  <si>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</si>
  <si>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</si>
  <si>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</si>
  <si>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</si>
  <si>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</si>
  <si>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</si>
  <si>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</si>
  <si>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</si>
  <si>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</si>
  <si>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</si>
  <si>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</si>
  <si>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</si>
  <si>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</si>
  <si>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</si>
  <si>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</si>
  <si>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</si>
  <si>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</si>
  <si>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</si>
  <si>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</si>
  <si>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</si>
  <si>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</si>
  <si>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</si>
  <si>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</si>
  <si>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</si>
  <si>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</si>
  <si>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</si>
  <si>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</si>
  <si>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</si>
  <si>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</si>
  <si>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</si>
  <si>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</si>
  <si>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</si>
  <si>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</si>
  <si>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</si>
  <si>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</si>
  <si>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</si>
  <si>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</si>
  <si>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</si>
  <si>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</si>
  <si>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</si>
  <si>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</si>
  <si>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</si>
  <si>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</si>
  <si>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</si>
  <si>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</si>
  <si>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</si>
  <si>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</si>
  <si>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</si>
  <si>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</si>
  <si>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</si>
  <si>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</si>
  <si>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</si>
  <si>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</si>
  <si>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</si>
  <si>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</si>
  <si>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</si>
  <si>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</si>
  <si>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</si>
  <si>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</si>
  <si>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</si>
  <si>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</si>
  <si>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</si>
  <si>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</si>
  <si>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</si>
  <si>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</si>
  <si>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</si>
  <si>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</si>
  <si>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</si>
  <si>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</si>
  <si>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</si>
  <si>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</si>
  <si>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</si>
  <si>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</si>
  <si>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</si>
  <si>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</si>
  <si>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</si>
  <si>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</si>
  <si>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</si>
  <si>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</si>
  <si>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</si>
  <si>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</si>
  <si>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</si>
  <si>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</si>
  <si>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</si>
  <si>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</si>
  <si>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</si>
  <si>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</si>
  <si>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</si>
  <si>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</si>
  <si>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</si>
  <si>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</si>
  <si>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</si>
  <si>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</si>
  <si>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</si>
  <si>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</si>
  <si>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</si>
  <si>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</si>
  <si>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</si>
  <si>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</si>
  <si>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</si>
  <si>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</si>
  <si>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</si>
  <si>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</si>
  <si>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</si>
  <si>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</si>
  <si>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</si>
  <si>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</si>
  <si>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</si>
  <si>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</si>
  <si>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</si>
  <si>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</si>
  <si>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</si>
  <si>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</si>
  <si>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</si>
  <si>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</si>
  <si>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</si>
  <si>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</si>
  <si>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</si>
  <si>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</si>
  <si>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</si>
  <si>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</si>
  <si>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</si>
  <si>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</si>
  <si>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</si>
  <si>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</si>
  <si>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</si>
  <si>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</si>
  <si>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</si>
  <si>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</si>
  <si>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</si>
  <si>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</si>
  <si>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</si>
  <si>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</si>
  <si>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</si>
  <si>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</si>
  <si>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</si>
  <si>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</si>
  <si>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</si>
  <si>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</si>
  <si>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</si>
  <si>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</si>
  <si>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</si>
  <si>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</si>
  <si>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</si>
  <si>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</si>
  <si>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</si>
  <si>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</si>
  <si>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</si>
  <si>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</si>
  <si>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</si>
  <si>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</si>
  <si>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</si>
  <si>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</si>
  <si>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</si>
  <si>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</si>
  <si>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</si>
  <si>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</si>
  <si>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</si>
  <si>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</si>
  <si>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</si>
  <si>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</si>
  <si>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</si>
  <si>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</si>
  <si>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</si>
  <si>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</si>
  <si>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</si>
  <si>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</si>
  <si>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</si>
  <si>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</si>
  <si>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</si>
  <si>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</si>
  <si>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</si>
  <si>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</si>
  <si>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</si>
  <si>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</si>
  <si>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</si>
  <si>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</si>
  <si>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</si>
  <si>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</si>
  <si>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</si>
  <si>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</si>
  <si>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</si>
  <si>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</si>
  <si>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</si>
  <si>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</si>
  <si>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</si>
  <si>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</si>
  <si>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</si>
  <si>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</si>
  <si>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</si>
  <si>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</si>
  <si>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</si>
  <si>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</si>
  <si>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</si>
  <si>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</si>
  <si>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</si>
  <si>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</si>
  <si>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</si>
  <si>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</si>
  <si>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</si>
  <si>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</si>
  <si>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</si>
  <si>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</si>
  <si>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</si>
  <si>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</si>
  <si>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</si>
  <si>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</si>
  <si>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</si>
  <si>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</si>
  <si>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</si>
  <si>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</si>
  <si>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</si>
  <si>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</si>
  <si>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</si>
  <si>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</si>
  <si>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</si>
  <si>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</si>
  <si>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</si>
  <si>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</si>
  <si>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전기인입 및 수변전 설비공사</t>
    <phoneticPr fontId="2" type="noConversion"/>
  </si>
  <si>
    <t>가금연구단지 이전사업</t>
    <phoneticPr fontId="2" type="noConversion"/>
  </si>
  <si>
    <t>기타</t>
  </si>
  <si>
    <t>강원도</t>
  </si>
  <si>
    <t>기초공사,해체및철거공사, 골재비및운반비, 작업부산물, 품질시험비, 기타공사</t>
    <phoneticPr fontId="2" type="noConversion"/>
  </si>
  <si>
    <t>난방배관공사, 기타공사</t>
    <phoneticPr fontId="2" type="noConversion"/>
  </si>
  <si>
    <t>옥외소화배관공사, 기타공사</t>
    <phoneticPr fontId="2" type="noConversion"/>
  </si>
  <si>
    <t>토목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</si>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</sst>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6141.14</v>
      </c>
      <c r="D7" s="36">
        <f>+C7/3.3058</f>
        <v>1857.6864904107931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748960</v>
      </c>
      <c r="E25" s="58">
        <f t="shared" si="0"/>
        <v>2475910</v>
      </c>
    </row>
    <row r="26" spans="1:5" x14ac:dyDescent="0.3">
      <c r="B26" s="2">
        <v>3</v>
      </c>
      <c r="C26" s="35" t="s">
        <v>95</v>
      </c>
      <c r="D26" s="45">
        <f>+D66</f>
        <v>42060</v>
      </c>
      <c r="E26" s="58">
        <f t="shared" si="0"/>
        <v>139040</v>
      </c>
    </row>
    <row r="27" spans="1:5" x14ac:dyDescent="0.3">
      <c r="B27" s="2">
        <v>4</v>
      </c>
      <c r="C27" s="35" t="s">
        <v>96</v>
      </c>
      <c r="D27" s="45">
        <f>+D95</f>
        <v>287900</v>
      </c>
      <c r="E27" s="58">
        <f t="shared" si="0"/>
        <v>951730</v>
      </c>
    </row>
    <row r="28" spans="1:5" x14ac:dyDescent="0.3">
      <c r="B28" s="2">
        <v>5</v>
      </c>
      <c r="C28" s="35" t="s">
        <v>97</v>
      </c>
      <c r="D28" s="45">
        <f>+D119</f>
        <v>205480</v>
      </c>
      <c r="E28" s="58">
        <f t="shared" si="0"/>
        <v>679270</v>
      </c>
    </row>
    <row r="29" spans="1:5" x14ac:dyDescent="0.3">
      <c r="B29" s="2">
        <v>6</v>
      </c>
      <c r="C29" s="35" t="s">
        <v>98</v>
      </c>
      <c r="D29" s="45">
        <f>+D133</f>
        <v>52460</v>
      </c>
      <c r="E29" s="58">
        <f t="shared" si="0"/>
        <v>173420</v>
      </c>
    </row>
    <row r="30" spans="1:5" x14ac:dyDescent="0.3">
      <c r="B30" s="2">
        <v>7</v>
      </c>
      <c r="C30" s="35" t="s">
        <v>99</v>
      </c>
      <c r="D30" s="45">
        <f>+D146</f>
        <v>11240</v>
      </c>
      <c r="E30" s="58">
        <f t="shared" si="0"/>
        <v>37150</v>
      </c>
    </row>
    <row r="31" spans="1:5" x14ac:dyDescent="0.3">
      <c r="B31" s="2">
        <v>8</v>
      </c>
      <c r="C31" s="35" t="s">
        <v>100</v>
      </c>
      <c r="D31" s="45">
        <f>+D154</f>
        <v>222160</v>
      </c>
      <c r="E31" s="58">
        <f t="shared" si="0"/>
        <v>734410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431820</v>
      </c>
      <c r="E33" s="59">
        <f t="shared" si="0"/>
        <v>1427510</v>
      </c>
    </row>
    <row r="34" spans="1:7" x14ac:dyDescent="0.3">
      <c r="C34" s="35" t="s">
        <v>112</v>
      </c>
      <c r="D34" s="44">
        <f>SUM(D24:D33)</f>
        <v>2002080</v>
      </c>
      <c r="E34" s="44">
        <f>SUM(E24:E33)</f>
        <v>6618440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261</v>
      </c>
      <c r="E39" s="66" t="s">
        <v>262</v>
      </c>
      <c r="G39" s="67"/>
    </row>
    <row r="40" spans="1:7" x14ac:dyDescent="0.3">
      <c r="A40" s="2">
        <v>1</v>
      </c>
      <c r="C40" s="38" t="s">
        <v>15</v>
      </c>
      <c r="D40" s="40">
        <f>TRUNC(23992,-1)</f>
        <v>23990</v>
      </c>
      <c r="E40" s="61">
        <f t="shared" ref="E40:E59" si="1">TRUNC(+D40*3.3058,-1)</f>
        <v>79300</v>
      </c>
    </row>
    <row r="41" spans="1:7" x14ac:dyDescent="0.3">
      <c r="A41" s="2">
        <v>2</v>
      </c>
      <c r="C41" s="38" t="s">
        <v>13</v>
      </c>
      <c r="D41" s="42">
        <f>TRUNC(57141,-1)</f>
        <v>57140</v>
      </c>
      <c r="E41" s="62">
        <f t="shared" si="1"/>
        <v>188890</v>
      </c>
    </row>
    <row r="42" spans="1:7" x14ac:dyDescent="0.3">
      <c r="A42" s="2">
        <v>3</v>
      </c>
      <c r="C42" s="38" t="s">
        <v>14</v>
      </c>
      <c r="D42" s="42">
        <f>TRUNC(176639,-1)</f>
        <v>176630</v>
      </c>
      <c r="E42" s="62">
        <f t="shared" si="1"/>
        <v>583900</v>
      </c>
    </row>
    <row r="43" spans="1:7" x14ac:dyDescent="0.3">
      <c r="A43" s="2">
        <v>4</v>
      </c>
      <c r="C43" s="38" t="s">
        <v>16</v>
      </c>
      <c r="D43" s="42">
        <f>TRUNC(11085,-1)</f>
        <v>11080</v>
      </c>
      <c r="E43" s="62">
        <f t="shared" si="1"/>
        <v>36620</v>
      </c>
    </row>
    <row r="44" spans="1:7" x14ac:dyDescent="0.3">
      <c r="A44" s="2">
        <v>5</v>
      </c>
      <c r="C44" s="38" t="s">
        <v>17</v>
      </c>
      <c r="D44" s="42">
        <f>TRUNC(28355,-1)</f>
        <v>28350</v>
      </c>
      <c r="E44" s="62">
        <f t="shared" si="1"/>
        <v>93710</v>
      </c>
    </row>
    <row r="45" spans="1:7" x14ac:dyDescent="0.3">
      <c r="A45" s="2">
        <v>6</v>
      </c>
      <c r="C45" s="38" t="s">
        <v>18</v>
      </c>
      <c r="D45" s="42">
        <f>TRUNC(3394,-1)</f>
        <v>3390</v>
      </c>
      <c r="E45" s="62">
        <f t="shared" si="1"/>
        <v>11200</v>
      </c>
    </row>
    <row r="46" spans="1:7" x14ac:dyDescent="0.3">
      <c r="A46" s="2">
        <v>7</v>
      </c>
      <c r="C46" s="38" t="s">
        <v>19</v>
      </c>
      <c r="D46" s="42">
        <f>TRUNC(333,-1)</f>
        <v>330</v>
      </c>
      <c r="E46" s="62">
        <f t="shared" si="1"/>
        <v>1090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TRUNC(132918,-1)</f>
        <v>132910</v>
      </c>
      <c r="E48" s="62">
        <f t="shared" si="1"/>
        <v>439370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TRUNC(5698,-1)</f>
        <v>5690</v>
      </c>
      <c r="E49" s="62">
        <f t="shared" si="1"/>
        <v>18810</v>
      </c>
    </row>
    <row r="50" spans="1:7" x14ac:dyDescent="0.3">
      <c r="A50" s="2">
        <v>11</v>
      </c>
      <c r="C50" s="38" t="s">
        <v>154</v>
      </c>
      <c r="D50" s="42">
        <f>TRUNC(20164,-1)</f>
        <v>20160</v>
      </c>
      <c r="E50" s="62">
        <f t="shared" si="1"/>
        <v>66640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TRUNC(2571,-1)</f>
        <v>2570</v>
      </c>
      <c r="E52" s="62">
        <f t="shared" si="1"/>
        <v>8490</v>
      </c>
    </row>
    <row r="53" spans="1:7" x14ac:dyDescent="0.3">
      <c r="A53" s="2">
        <v>14</v>
      </c>
      <c r="C53" s="38" t="s">
        <v>25</v>
      </c>
      <c r="D53" s="42">
        <f>TRUNC(20823,-1)</f>
        <v>20820</v>
      </c>
      <c r="E53" s="62">
        <f t="shared" si="1"/>
        <v>68820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TRUNC(9406+8893+2310-351+3174+3470,-1)</f>
        <v>26900</v>
      </c>
      <c r="E58" s="62">
        <f t="shared" si="1"/>
        <v>88920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TRUNC(239002,-1)</f>
        <v>239000</v>
      </c>
      <c r="E59" s="63">
        <f t="shared" si="1"/>
        <v>790080</v>
      </c>
    </row>
    <row r="60" spans="1:7" x14ac:dyDescent="0.3">
      <c r="A60" s="2">
        <v>21</v>
      </c>
      <c r="C60" s="27" t="s">
        <v>112</v>
      </c>
      <c r="D60" s="39">
        <f>SUM(D40:D59)</f>
        <v>748960</v>
      </c>
      <c r="E60" s="39">
        <f>SUM(E40:E59)</f>
        <v>2475840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TRUNC(42067,-1)</f>
        <v>42060</v>
      </c>
      <c r="E63" s="61">
        <f>TRUNC(+D63*3.3058,-1)</f>
        <v>139040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42060</v>
      </c>
      <c r="E66" s="64">
        <f>SUM(E63:E65)</f>
        <v>139040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TRUNC(3334,-1)</f>
        <v>3330</v>
      </c>
      <c r="E69" s="61">
        <f t="shared" ref="E69:E94" si="2">TRUNC(+D69*3.3058,-1)</f>
        <v>11000</v>
      </c>
    </row>
    <row r="70" spans="1:7" ht="16.5" customHeight="1" x14ac:dyDescent="0.3">
      <c r="A70" s="2">
        <v>2</v>
      </c>
      <c r="C70" s="38" t="s">
        <v>31</v>
      </c>
      <c r="D70" s="42">
        <f>TRUNC(12034,-1)</f>
        <v>12030</v>
      </c>
      <c r="E70" s="62">
        <f t="shared" si="2"/>
        <v>39760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2">
        <f t="shared" si="2"/>
        <v>0</v>
      </c>
    </row>
    <row r="73" spans="1:7" x14ac:dyDescent="0.3">
      <c r="A73" s="2">
        <v>5</v>
      </c>
      <c r="C73" s="38" t="s">
        <v>34</v>
      </c>
      <c r="D73" s="42">
        <f>TRUNC(4012,-1)</f>
        <v>4010</v>
      </c>
      <c r="E73" s="62">
        <f t="shared" si="2"/>
        <v>13250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TRUNC(1673,-1)</f>
        <v>1670</v>
      </c>
      <c r="E89" s="62">
        <f t="shared" si="2"/>
        <v>5520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TRUNC(2042,-1)</f>
        <v>2040</v>
      </c>
      <c r="E91" s="62">
        <f t="shared" si="2"/>
        <v>6740</v>
      </c>
    </row>
    <row r="92" spans="1:7" x14ac:dyDescent="0.3">
      <c r="A92" s="2">
        <v>24</v>
      </c>
      <c r="C92" s="38" t="s">
        <v>38</v>
      </c>
      <c r="D92" s="42">
        <v>1150</v>
      </c>
      <c r="E92" s="62">
        <f t="shared" si="2"/>
        <v>3800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1313+262357</f>
        <v>263670</v>
      </c>
      <c r="E94" s="63">
        <f t="shared" si="2"/>
        <v>871640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287900</v>
      </c>
      <c r="E95" s="39">
        <f>SUM(E69:E94)</f>
        <v>951710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TRUNC(13406,-1)</f>
        <v>13400</v>
      </c>
      <c r="E98" s="61">
        <f t="shared" ref="E98:E118" si="3">TRUNC(+D98*3.3058,-1)</f>
        <v>44290</v>
      </c>
    </row>
    <row r="99" spans="1:7" x14ac:dyDescent="0.3">
      <c r="A99" s="2">
        <v>2</v>
      </c>
      <c r="C99" s="38" t="s">
        <v>40</v>
      </c>
      <c r="D99" s="42">
        <f>TRUNC(15505,-1)</f>
        <v>15500</v>
      </c>
      <c r="E99" s="62">
        <f t="shared" si="3"/>
        <v>51230</v>
      </c>
    </row>
    <row r="100" spans="1:7" x14ac:dyDescent="0.3">
      <c r="A100" s="2">
        <v>3</v>
      </c>
      <c r="C100" s="38" t="s">
        <v>41</v>
      </c>
      <c r="D100" s="42">
        <f>TRUNC(20387,-1)</f>
        <v>20380</v>
      </c>
      <c r="E100" s="62">
        <f t="shared" si="3"/>
        <v>67370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TRUNC(15412,-1)</f>
        <v>15410</v>
      </c>
      <c r="E102" s="62">
        <f t="shared" si="3"/>
        <v>50940</v>
      </c>
    </row>
    <row r="103" spans="1:7" x14ac:dyDescent="0.3">
      <c r="A103" s="2">
        <v>6</v>
      </c>
      <c r="C103" s="38" t="s">
        <v>44</v>
      </c>
      <c r="D103" s="42">
        <f>TRUNC(4091,-1)</f>
        <v>4090</v>
      </c>
      <c r="E103" s="62">
        <f t="shared" si="3"/>
        <v>13520</v>
      </c>
    </row>
    <row r="104" spans="1:7" x14ac:dyDescent="0.3">
      <c r="A104" s="2">
        <v>7</v>
      </c>
      <c r="C104" s="38" t="s">
        <v>45</v>
      </c>
      <c r="D104" s="42">
        <f>TRUNC(7749,-1)</f>
        <v>7740</v>
      </c>
      <c r="E104" s="62">
        <f t="shared" si="3"/>
        <v>25580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TRUNC(62514,-1)</f>
        <v>62510</v>
      </c>
      <c r="E116" s="62">
        <f t="shared" si="3"/>
        <v>206640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TRUNC(66278,-1)</f>
        <v>66270</v>
      </c>
      <c r="E117" s="62">
        <f t="shared" si="3"/>
        <v>219070</v>
      </c>
    </row>
    <row r="118" spans="1:7" ht="17.25" thickBot="1" x14ac:dyDescent="0.35">
      <c r="A118" s="2">
        <v>21</v>
      </c>
      <c r="C118" s="38" t="s">
        <v>47</v>
      </c>
      <c r="D118" s="43">
        <f>TRUNC(187,-1)</f>
        <v>180</v>
      </c>
      <c r="E118" s="63">
        <f t="shared" si="3"/>
        <v>590</v>
      </c>
    </row>
    <row r="119" spans="1:7" x14ac:dyDescent="0.3">
      <c r="A119" s="2">
        <v>22</v>
      </c>
      <c r="C119" s="27" t="s">
        <v>112</v>
      </c>
      <c r="D119" s="39">
        <f>SUM(D98:D118)</f>
        <v>205480</v>
      </c>
      <c r="E119" s="39">
        <f>SUM(E98:E118)</f>
        <v>679230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1">
        <f t="shared" ref="E122:E132" si="4">TRUNC(+D122*3.3058,-1)</f>
        <v>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2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TRUNC(16959,-1)</f>
        <v>16950</v>
      </c>
      <c r="E126" s="62">
        <f t="shared" si="4"/>
        <v>56030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TRUNC(6934,-1)</f>
        <v>6930</v>
      </c>
      <c r="E130" s="62">
        <f t="shared" si="4"/>
        <v>22900</v>
      </c>
    </row>
    <row r="131" spans="1:7" x14ac:dyDescent="0.3">
      <c r="A131" s="2">
        <v>10</v>
      </c>
      <c r="C131" s="38" t="s">
        <v>148</v>
      </c>
      <c r="D131" s="42">
        <f>TRUNC(20733,-1)</f>
        <v>20730</v>
      </c>
      <c r="E131" s="62">
        <f t="shared" si="4"/>
        <v>68520</v>
      </c>
    </row>
    <row r="132" spans="1:7" ht="17.25" thickBot="1" x14ac:dyDescent="0.35">
      <c r="A132" s="2">
        <v>11</v>
      </c>
      <c r="C132" s="38" t="s">
        <v>47</v>
      </c>
      <c r="D132" s="43">
        <f>TRUNC(7711+146,-1)</f>
        <v>7850</v>
      </c>
      <c r="E132" s="63">
        <f t="shared" si="4"/>
        <v>25950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52460</v>
      </c>
      <c r="E133" s="39">
        <f>SUM(E122:E132)</f>
        <v>173400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TRUNC(1727+715,-1)</f>
        <v>2440</v>
      </c>
      <c r="E137" s="62">
        <f t="shared" si="5"/>
        <v>8060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2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2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TRUNC(2758,-1)</f>
        <v>2750</v>
      </c>
      <c r="E143" s="62">
        <f t="shared" si="5"/>
        <v>9090</v>
      </c>
    </row>
    <row r="144" spans="1:7" x14ac:dyDescent="0.3">
      <c r="A144" s="2">
        <v>9</v>
      </c>
      <c r="C144" s="38" t="s">
        <v>63</v>
      </c>
      <c r="D144" s="42">
        <f>TRUNC(6053,-1)</f>
        <v>6050</v>
      </c>
      <c r="E144" s="62">
        <f t="shared" si="5"/>
        <v>20000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11240</v>
      </c>
      <c r="E146" s="39">
        <f>SUM(E136:E145)</f>
        <v>37150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TRUNC(77646+7385,-1)</f>
        <v>85030</v>
      </c>
      <c r="E149" s="61">
        <f>TRUNC(+D149*3.3058,-1)</f>
        <v>281090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TRUNC(26958,-1)</f>
        <v>26950</v>
      </c>
      <c r="E150" s="62">
        <f>TRUNC(+D150*3.3058,-1)</f>
        <v>89090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TRUNC(108196,-1)</f>
        <v>108190</v>
      </c>
      <c r="E151" s="62">
        <f>TRUNC(+D151*3.3058,-1)</f>
        <v>357650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TRUNC(337+1654,-1)</f>
        <v>1990</v>
      </c>
      <c r="E152" s="62">
        <f>TRUNC(+D152*3.3058,-1)</f>
        <v>6570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222160</v>
      </c>
      <c r="E154" s="39">
        <f>SUM(E149:E153)</f>
        <v>734400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2020-12-07T10:19:19Z</dcterms:modified>
</cp:coreProperties>
</file>