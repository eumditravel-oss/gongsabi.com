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3" i="4"/>
  <c r="D142" i="4"/>
  <c r="D141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6" i="4"/>
  <c r="D73" i="4"/>
  <c r="D72" i="4"/>
  <c r="D70" i="4"/>
  <c r="D69" i="4"/>
  <c r="D65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<sst xmlns="http://schemas.openxmlformats.org/spreadsheetml/2006/main" count="394" uniqueCount="268">
  <si>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</si>
  <si>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</si>
  <si>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</si>
  <si>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</si>
  <si>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</si>
  <si>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</si>
  <si>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</si>
  <si>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</si>
  <si>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</si>
  <si>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</si>
  <si>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</si>
  <si>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</si>
  <si>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</si>
  <si>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</si>
  <si>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</si>
  <si>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</si>
  <si>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</si>
  <si>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</si>
  <si>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</si>
  <si>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</si>
  <si>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</si>
  <si>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</si>
  <si>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</si>
  <si>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</si>
  <si>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</si>
  <si>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</si>
  <si>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</si>
  <si>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</si>
  <si>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</si>
  <si>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</si>
  <si>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</si>
  <si>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</si>
  <si>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</si>
  <si>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</si>
  <si>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</si>
  <si>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</si>
  <si>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</si>
  <si>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</si>
  <si>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</si>
  <si>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</si>
  <si>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</si>
  <si>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</si>
  <si>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</si>
  <si>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</si>
  <si>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</si>
  <si>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</si>
  <si>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</si>
  <si>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</si>
  <si>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</si>
  <si>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</si>
  <si>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</si>
  <si>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</si>
  <si>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</si>
  <si>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</si>
  <si>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</si>
  <si>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</si>
  <si>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</si>
  <si>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</si>
  <si>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</si>
  <si>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</si>
  <si>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</si>
  <si>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</si>
  <si>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</si>
  <si>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</si>
  <si>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</si>
  <si>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</si>
  <si>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</si>
  <si>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</si>
  <si>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</si>
  <si>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</si>
  <si>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</si>
  <si>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</si>
  <si>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</si>
  <si>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</si>
  <si>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</si>
  <si>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</si>
  <si>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</si>
  <si>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</si>
  <si>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</si>
  <si>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</si>
  <si>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</si>
  <si>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</si>
  <si>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</si>
  <si>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</si>
  <si>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</si>
  <si>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</si>
  <si>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</si>
  <si>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</si>
  <si>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</si>
  <si>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</si>
  <si>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</si>
  <si>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</si>
  <si>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</si>
  <si>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</si>
  <si>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</si>
  <si>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</si>
  <si>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</si>
  <si>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</si>
  <si>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</si>
  <si>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</si>
  <si>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</si>
  <si>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</si>
  <si>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</si>
  <si>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</si>
  <si>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</si>
  <si>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</si>
  <si>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</si>
  <si>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</si>
  <si>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</si>
  <si>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</si>
  <si>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</si>
  <si>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</si>
  <si>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</si>
  <si>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</si>
  <si>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</si>
  <si>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</si>
  <si>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</si>
  <si>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</si>
  <si>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</si>
  <si>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</si>
  <si>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</si>
  <si>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</si>
  <si>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</si>
  <si>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</si>
  <si>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</si>
  <si>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</si>
  <si>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</si>
  <si>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</si>
  <si>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</si>
  <si>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</si>
  <si>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</si>
  <si>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</si>
  <si>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</si>
  <si>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</si>
  <si>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</si>
  <si>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</si>
  <si>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</si>
  <si>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</si>
  <si>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</si>
  <si>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</si>
  <si>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</si>
  <si>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</si>
  <si>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</si>
  <si>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</si>
  <si>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</si>
  <si>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</si>
  <si>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</si>
  <si>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</si>
  <si>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</si>
  <si>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</si>
  <si>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</si>
  <si>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</si>
  <si>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</si>
  <si>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</si>
  <si>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</si>
  <si>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</si>
  <si>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</si>
  <si>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</si>
  <si>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</si>
  <si>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</si>
  <si>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</si>
  <si>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</si>
  <si>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</si>
  <si>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</si>
  <si>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</si>
  <si>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</si>
  <si>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</si>
  <si>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</si>
  <si>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</si>
  <si>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</si>
  <si>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</si>
  <si>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</si>
  <si>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</si>
  <si>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</si>
  <si>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</si>
  <si>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</si>
  <si>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</si>
  <si>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</si>
  <si>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</si>
  <si>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</si>
  <si>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</si>
  <si>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</si>
  <si>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</si>
  <si>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</si>
  <si>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</si>
  <si>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</si>
  <si>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</si>
  <si>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</si>
  <si>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</si>
  <si>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</si>
  <si>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</si>
  <si>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</si>
  <si>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</si>
  <si>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</si>
  <si>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</si>
  <si>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</si>
  <si>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</si>
  <si>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</si>
  <si>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</si>
  <si>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</si>
  <si>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</si>
  <si>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</si>
  <si>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</si>
  <si>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</si>
  <si>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</si>
  <si>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</si>
  <si>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</si>
  <si>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</si>
  <si>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</si>
  <si>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</si>
  <si>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</si>
  <si>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</si>
  <si>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</si>
  <si>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</si>
  <si>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</si>
  <si>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</si>
  <si>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</si>
  <si>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</si>
  <si>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</si>
  <si>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</si>
  <si>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</si>
  <si>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</si>
  <si>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</si>
  <si>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</si>
  <si>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</si>
  <si>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</si>
  <si>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</si>
  <si>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</si>
  <si>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</si>
  <si>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</si>
  <si>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</si>
  <si>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</si>
  <si>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</si>
  <si>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</si>
  <si>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</si>
  <si>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</si>
  <si>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</si>
  <si>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</si>
  <si>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</si>
  <si>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</si>
  <si>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</si>
  <si>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</si>
  <si>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</si>
  <si>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</si>
  <si>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</si>
  <si>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</si>
  <si>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</si>
  <si>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</si>
  <si>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</si>
  <si>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</si>
  <si>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</si>
  <si>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</si>
  <si>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</si>
  <si>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</si>
  <si>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</si>
  <si>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</si>
  <si>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3-3생활권 복합커뮤니티센터 신축공사</t>
    <phoneticPr fontId="2" type="noConversion"/>
  </si>
  <si>
    <t>세종시</t>
  </si>
  <si>
    <t>골재비및운반비, 작업부산물, 기타공사</t>
    <phoneticPr fontId="2" type="noConversion"/>
  </si>
  <si>
    <t>공조배관공사, 우수처리시설공사, 기타공사</t>
    <phoneticPr fontId="2" type="noConversion"/>
  </si>
  <si>
    <t>원격검침 설비공사</t>
    <phoneticPr fontId="2" type="noConversion"/>
  </si>
  <si>
    <t>CCTV설비공사, 주차관제설비공사, 기타공사</t>
    <phoneticPr fontId="2" type="noConversion"/>
  </si>
  <si>
    <t>펌프실배관공사, 무선통신보조설비공사, 기타공사</t>
    <phoneticPr fontId="2" type="noConversion"/>
  </si>
  <si>
    <t>사급자재비</t>
    <phoneticPr fontId="2" type="noConversion"/>
  </si>
  <si>
    <t>기타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</si>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</sst>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14213.46</v>
      </c>
      <c r="D7" s="36">
        <f>+C7/3.3058</f>
        <v>4299.5523020146402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937220</v>
      </c>
      <c r="E25" s="59">
        <f t="shared" si="0"/>
        <v>3098260</v>
      </c>
    </row>
    <row r="26" spans="1:5" x14ac:dyDescent="0.3">
      <c r="B26" s="2">
        <v>3</v>
      </c>
      <c r="C26" s="35" t="s">
        <v>95</v>
      </c>
      <c r="D26" s="45">
        <f>+D66</f>
        <v>46320</v>
      </c>
      <c r="E26" s="59">
        <f t="shared" si="0"/>
        <v>153120</v>
      </c>
    </row>
    <row r="27" spans="1:5" x14ac:dyDescent="0.3">
      <c r="B27" s="2">
        <v>4</v>
      </c>
      <c r="C27" s="35" t="s">
        <v>96</v>
      </c>
      <c r="D27" s="45">
        <f>+D95</f>
        <v>228220</v>
      </c>
      <c r="E27" s="59">
        <f t="shared" si="0"/>
        <v>754440</v>
      </c>
    </row>
    <row r="28" spans="1:5" x14ac:dyDescent="0.3">
      <c r="B28" s="2">
        <v>5</v>
      </c>
      <c r="C28" s="35" t="s">
        <v>97</v>
      </c>
      <c r="D28" s="45">
        <f>+D119</f>
        <v>173200</v>
      </c>
      <c r="E28" s="59">
        <f t="shared" si="0"/>
        <v>572560</v>
      </c>
    </row>
    <row r="29" spans="1:5" x14ac:dyDescent="0.3">
      <c r="B29" s="2">
        <v>6</v>
      </c>
      <c r="C29" s="35" t="s">
        <v>98</v>
      </c>
      <c r="D29" s="45">
        <f>+D133</f>
        <v>105220</v>
      </c>
      <c r="E29" s="59">
        <f t="shared" si="0"/>
        <v>347830</v>
      </c>
    </row>
    <row r="30" spans="1:5" x14ac:dyDescent="0.3">
      <c r="B30" s="2">
        <v>7</v>
      </c>
      <c r="C30" s="35" t="s">
        <v>99</v>
      </c>
      <c r="D30" s="45">
        <f>+D146</f>
        <v>60420</v>
      </c>
      <c r="E30" s="59">
        <f t="shared" si="0"/>
        <v>199730</v>
      </c>
    </row>
    <row r="31" spans="1:5" x14ac:dyDescent="0.3">
      <c r="B31" s="2">
        <v>8</v>
      </c>
      <c r="C31" s="35" t="s">
        <v>100</v>
      </c>
      <c r="D31" s="45">
        <f>+D154</f>
        <v>21940</v>
      </c>
      <c r="E31" s="59">
        <f t="shared" si="0"/>
        <v>72520</v>
      </c>
    </row>
    <row r="32" spans="1:5" x14ac:dyDescent="0.3">
      <c r="B32" s="2">
        <v>9</v>
      </c>
      <c r="C32" s="35" t="s">
        <v>101</v>
      </c>
      <c r="D32" s="45">
        <f>+D161</f>
        <v>61090</v>
      </c>
      <c r="E32" s="59">
        <f t="shared" si="0"/>
        <v>201950</v>
      </c>
    </row>
    <row r="33" spans="1:7" x14ac:dyDescent="0.3">
      <c r="B33" s="2">
        <v>10</v>
      </c>
      <c r="C33" s="35" t="s">
        <v>155</v>
      </c>
      <c r="D33" s="53">
        <f>TRUNC(SUM(D24:D32)*0.275,-1)</f>
        <v>449240</v>
      </c>
      <c r="E33" s="60">
        <f t="shared" si="0"/>
        <v>1485090</v>
      </c>
    </row>
    <row r="34" spans="1:7" x14ac:dyDescent="0.3">
      <c r="C34" s="35" t="s">
        <v>112</v>
      </c>
      <c r="D34" s="44">
        <f>SUM(D24:D33)</f>
        <v>2082870</v>
      </c>
      <c r="E34" s="44">
        <f>SUM(E24:E33)</f>
        <v>6885500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TRUNC(71298,-1)</f>
        <v>71290</v>
      </c>
      <c r="E40" s="62">
        <f t="shared" ref="E40:E59" si="1">TRUNC(+D40*3.3058,-1)</f>
        <v>235670</v>
      </c>
    </row>
    <row r="41" spans="1:7" x14ac:dyDescent="0.3">
      <c r="A41" s="2">
        <v>2</v>
      </c>
      <c r="C41" s="38" t="s">
        <v>13</v>
      </c>
      <c r="D41" s="42">
        <f>TRUNC(157773,-1)</f>
        <v>157770</v>
      </c>
      <c r="E41" s="63">
        <f t="shared" si="1"/>
        <v>521550</v>
      </c>
    </row>
    <row r="42" spans="1:7" x14ac:dyDescent="0.3">
      <c r="A42" s="2">
        <v>3</v>
      </c>
      <c r="C42" s="38" t="s">
        <v>14</v>
      </c>
      <c r="D42" s="42">
        <f>TRUNC(36711,-1)</f>
        <v>36710</v>
      </c>
      <c r="E42" s="63">
        <f t="shared" si="1"/>
        <v>121350</v>
      </c>
    </row>
    <row r="43" spans="1:7" x14ac:dyDescent="0.3">
      <c r="A43" s="2">
        <v>4</v>
      </c>
      <c r="C43" s="38" t="s">
        <v>16</v>
      </c>
      <c r="D43" s="42">
        <f>TRUNC(16111,-1)</f>
        <v>16110</v>
      </c>
      <c r="E43" s="63">
        <f t="shared" si="1"/>
        <v>53250</v>
      </c>
    </row>
    <row r="44" spans="1:7" x14ac:dyDescent="0.3">
      <c r="A44" s="2">
        <v>5</v>
      </c>
      <c r="C44" s="38" t="s">
        <v>17</v>
      </c>
      <c r="D44" s="42">
        <f>TRUNC(52881,-1)</f>
        <v>52880</v>
      </c>
      <c r="E44" s="63">
        <f t="shared" si="1"/>
        <v>174810</v>
      </c>
    </row>
    <row r="45" spans="1:7" x14ac:dyDescent="0.3">
      <c r="A45" s="2">
        <v>6</v>
      </c>
      <c r="C45" s="38" t="s">
        <v>18</v>
      </c>
      <c r="D45" s="42">
        <v>9660</v>
      </c>
      <c r="E45" s="63">
        <f t="shared" si="1"/>
        <v>31930</v>
      </c>
    </row>
    <row r="46" spans="1:7" x14ac:dyDescent="0.3">
      <c r="A46" s="2">
        <v>7</v>
      </c>
      <c r="C46" s="38" t="s">
        <v>19</v>
      </c>
      <c r="D46" s="42">
        <f>TRUNC(10575,-1)</f>
        <v>10570</v>
      </c>
      <c r="E46" s="63">
        <f t="shared" si="1"/>
        <v>34940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TRUNC(58512,-1)</f>
        <v>58510</v>
      </c>
      <c r="E48" s="63">
        <f t="shared" si="1"/>
        <v>193420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TRUNC(18454,-1)</f>
        <v>18450</v>
      </c>
      <c r="E49" s="63">
        <f t="shared" si="1"/>
        <v>60990</v>
      </c>
    </row>
    <row r="50" spans="1:7" x14ac:dyDescent="0.3">
      <c r="A50" s="2">
        <v>11</v>
      </c>
      <c r="C50" s="38" t="s">
        <v>156</v>
      </c>
      <c r="D50" s="42">
        <f>TRUNC(50062,-1)</f>
        <v>50060</v>
      </c>
      <c r="E50" s="63">
        <f t="shared" si="1"/>
        <v>165480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TRUNC(8376,-1)</f>
        <v>8370</v>
      </c>
      <c r="E52" s="63">
        <f t="shared" si="1"/>
        <v>27660</v>
      </c>
    </row>
    <row r="53" spans="1:7" x14ac:dyDescent="0.3">
      <c r="A53" s="2">
        <v>14</v>
      </c>
      <c r="C53" s="38" t="s">
        <v>25</v>
      </c>
      <c r="D53" s="42">
        <f>TRUNC(149775,-1)</f>
        <v>149770</v>
      </c>
      <c r="E53" s="63">
        <f t="shared" si="1"/>
        <v>495100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TRUNC(2745-428+15072,-1)</f>
        <v>17380</v>
      </c>
      <c r="E58" s="63">
        <f t="shared" si="1"/>
        <v>57450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TRUNC(279697,-1)</f>
        <v>279690</v>
      </c>
      <c r="E59" s="64">
        <f t="shared" si="1"/>
        <v>924590</v>
      </c>
    </row>
    <row r="60" spans="1:7" x14ac:dyDescent="0.3">
      <c r="A60" s="2">
        <v>21</v>
      </c>
      <c r="C60" s="27" t="s">
        <v>112</v>
      </c>
      <c r="D60" s="39">
        <f>SUM(D40:D59)</f>
        <v>937220</v>
      </c>
      <c r="E60" s="39">
        <f>SUM(E40:E59)</f>
        <v>3098190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37960</v>
      </c>
      <c r="E63" s="62">
        <f>TRUNC(+D63*3.3058,-1)</f>
        <v>125480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TRUNC(8369,-1)</f>
        <v>8360</v>
      </c>
      <c r="E65" s="64">
        <f>TRUNC(+D65*3.3058,-1)</f>
        <v>27630</v>
      </c>
    </row>
    <row r="66" spans="1:7" x14ac:dyDescent="0.3">
      <c r="A66" s="2">
        <v>4</v>
      </c>
      <c r="C66" s="27" t="s">
        <v>112</v>
      </c>
      <c r="D66" s="39">
        <f>SUM(D63:D65)</f>
        <v>46320</v>
      </c>
      <c r="E66" s="65">
        <f>SUM(E63:E65)</f>
        <v>153110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TRUNC(15537,-1)</f>
        <v>15530</v>
      </c>
      <c r="E69" s="62">
        <f t="shared" ref="E69:E94" si="2">TRUNC(+D69*3.3058,-1)</f>
        <v>51330</v>
      </c>
    </row>
    <row r="70" spans="1:7" ht="16.5" customHeight="1" x14ac:dyDescent="0.3">
      <c r="A70" s="2">
        <v>2</v>
      </c>
      <c r="C70" s="38" t="s">
        <v>31</v>
      </c>
      <c r="D70" s="42">
        <f>TRUNC(47,-1)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v>14150</v>
      </c>
      <c r="E71" s="63">
        <f t="shared" si="2"/>
        <v>46770</v>
      </c>
    </row>
    <row r="72" spans="1:7" x14ac:dyDescent="0.3">
      <c r="A72" s="2">
        <v>4</v>
      </c>
      <c r="C72" s="38" t="s">
        <v>33</v>
      </c>
      <c r="D72" s="42">
        <f>TRUNC(365,-1)</f>
        <v>360</v>
      </c>
      <c r="E72" s="63">
        <f t="shared" si="2"/>
        <v>1190</v>
      </c>
    </row>
    <row r="73" spans="1:7" x14ac:dyDescent="0.3">
      <c r="A73" s="2">
        <v>5</v>
      </c>
      <c r="C73" s="38" t="s">
        <v>34</v>
      </c>
      <c r="D73" s="42">
        <f>TRUNC(7473,-1)</f>
        <v>7470</v>
      </c>
      <c r="E73" s="63">
        <f t="shared" si="2"/>
        <v>24690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TRUNC(36647,-1)</f>
        <v>36640</v>
      </c>
      <c r="E76" s="63">
        <f t="shared" si="2"/>
        <v>121120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TRUNC(6883,-1)</f>
        <v>6880</v>
      </c>
      <c r="E89" s="63">
        <f t="shared" si="2"/>
        <v>22740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TRUNC(4148,-1)</f>
        <v>4140</v>
      </c>
      <c r="E91" s="63">
        <f t="shared" si="2"/>
        <v>13680</v>
      </c>
    </row>
    <row r="92" spans="1:7" x14ac:dyDescent="0.3">
      <c r="A92" s="2">
        <v>24</v>
      </c>
      <c r="C92" s="38" t="s">
        <v>38</v>
      </c>
      <c r="D92" s="42">
        <f>TRUNC(4299,-1)</f>
        <v>4290</v>
      </c>
      <c r="E92" s="63">
        <f t="shared" si="2"/>
        <v>14180</v>
      </c>
    </row>
    <row r="93" spans="1:7" x14ac:dyDescent="0.3">
      <c r="A93" s="2">
        <v>25</v>
      </c>
      <c r="C93" s="38" t="s">
        <v>149</v>
      </c>
      <c r="D93" s="42">
        <f>TRUNC(101945,-1)</f>
        <v>101940</v>
      </c>
      <c r="E93" s="63">
        <f t="shared" si="2"/>
        <v>336990</v>
      </c>
    </row>
    <row r="94" spans="1:7" ht="17.25" thickBot="1" x14ac:dyDescent="0.35">
      <c r="A94" s="2">
        <v>26</v>
      </c>
      <c r="C94" s="38" t="s">
        <v>47</v>
      </c>
      <c r="D94" s="43">
        <f>TRUNC(30638+4184+1962,-1)</f>
        <v>36780</v>
      </c>
      <c r="E94" s="64">
        <f t="shared" si="2"/>
        <v>121580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228220</v>
      </c>
      <c r="E95" s="39">
        <f>SUM(E69:E94)</f>
        <v>754400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TRUNC(10076,-1)</f>
        <v>10070</v>
      </c>
      <c r="E98" s="62">
        <f t="shared" ref="E98:E118" si="3">TRUNC(+D98*3.3058,-1)</f>
        <v>33280</v>
      </c>
    </row>
    <row r="99" spans="1:7" x14ac:dyDescent="0.3">
      <c r="A99" s="2">
        <v>2</v>
      </c>
      <c r="C99" s="38" t="s">
        <v>40</v>
      </c>
      <c r="D99" s="42">
        <f>TRUNC(7187,-1)</f>
        <v>7180</v>
      </c>
      <c r="E99" s="63">
        <f t="shared" si="3"/>
        <v>23730</v>
      </c>
    </row>
    <row r="100" spans="1:7" x14ac:dyDescent="0.3">
      <c r="A100" s="2">
        <v>3</v>
      </c>
      <c r="C100" s="38" t="s">
        <v>41</v>
      </c>
      <c r="D100" s="42">
        <f>TRUNC(30646,-1)</f>
        <v>30640</v>
      </c>
      <c r="E100" s="63">
        <f t="shared" si="3"/>
        <v>101280</v>
      </c>
    </row>
    <row r="101" spans="1:7" x14ac:dyDescent="0.3">
      <c r="A101" s="2">
        <v>4</v>
      </c>
      <c r="C101" s="38" t="s">
        <v>42</v>
      </c>
      <c r="D101" s="42">
        <f>TRUNC(3723,-1)</f>
        <v>3720</v>
      </c>
      <c r="E101" s="63">
        <f t="shared" si="3"/>
        <v>12290</v>
      </c>
    </row>
    <row r="102" spans="1:7" x14ac:dyDescent="0.3">
      <c r="A102" s="2">
        <v>5</v>
      </c>
      <c r="C102" s="38" t="s">
        <v>43</v>
      </c>
      <c r="D102" s="42">
        <f>TRUNC(12413,-1)</f>
        <v>12410</v>
      </c>
      <c r="E102" s="63">
        <f t="shared" si="3"/>
        <v>41020</v>
      </c>
    </row>
    <row r="103" spans="1:7" x14ac:dyDescent="0.3">
      <c r="A103" s="2">
        <v>6</v>
      </c>
      <c r="C103" s="38" t="s">
        <v>44</v>
      </c>
      <c r="D103" s="42">
        <v>2390</v>
      </c>
      <c r="E103" s="63">
        <f t="shared" si="3"/>
        <v>7900</v>
      </c>
    </row>
    <row r="104" spans="1:7" x14ac:dyDescent="0.3">
      <c r="A104" s="2">
        <v>7</v>
      </c>
      <c r="C104" s="38" t="s">
        <v>45</v>
      </c>
      <c r="D104" s="42">
        <f>TRUNC(3519,-1)</f>
        <v>3510</v>
      </c>
      <c r="E104" s="63">
        <f t="shared" si="3"/>
        <v>11600</v>
      </c>
    </row>
    <row r="105" spans="1:7" x14ac:dyDescent="0.3">
      <c r="A105" s="2">
        <v>8</v>
      </c>
      <c r="C105" s="38" t="s">
        <v>46</v>
      </c>
      <c r="D105" s="42">
        <f>TRUNC(4451,-1)</f>
        <v>4450</v>
      </c>
      <c r="E105" s="63">
        <f t="shared" si="3"/>
        <v>14710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TRUNC(5321,-1)</f>
        <v>5320</v>
      </c>
      <c r="E114" s="63">
        <f t="shared" si="3"/>
        <v>17580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TRUNC(5307,-1)</f>
        <v>5300</v>
      </c>
      <c r="E116" s="63">
        <f t="shared" si="3"/>
        <v>17520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TRUNC(86283,-1)</f>
        <v>86280</v>
      </c>
      <c r="E117" s="63">
        <f t="shared" si="3"/>
        <v>285220</v>
      </c>
    </row>
    <row r="118" spans="1:7" ht="17.25" thickBot="1" x14ac:dyDescent="0.35">
      <c r="A118" s="2">
        <v>21</v>
      </c>
      <c r="C118" s="38" t="s">
        <v>47</v>
      </c>
      <c r="D118" s="43">
        <f>TRUNC(1510+427,-1)</f>
        <v>1930</v>
      </c>
      <c r="E118" s="64">
        <f t="shared" si="3"/>
        <v>6380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173200</v>
      </c>
      <c r="E119" s="39">
        <f>SUM(E98:E118)</f>
        <v>572510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TRUNC(4671,-1)</f>
        <v>4670</v>
      </c>
      <c r="E122" s="62">
        <f t="shared" ref="E122:E132" si="4">TRUNC(+D122*3.3058,-1)</f>
        <v>15430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TRUNC(2482,-1)</f>
        <v>2480</v>
      </c>
      <c r="E124" s="63">
        <f t="shared" si="4"/>
        <v>8190</v>
      </c>
    </row>
    <row r="125" spans="1:7" x14ac:dyDescent="0.3">
      <c r="A125" s="2">
        <v>4</v>
      </c>
      <c r="C125" s="38" t="s">
        <v>138</v>
      </c>
      <c r="D125" s="42">
        <f>TRUNC(6686,-1)</f>
        <v>6680</v>
      </c>
      <c r="E125" s="63">
        <f t="shared" si="4"/>
        <v>22080</v>
      </c>
    </row>
    <row r="126" spans="1:7" x14ac:dyDescent="0.3">
      <c r="A126" s="2">
        <v>5</v>
      </c>
      <c r="C126" s="38" t="s">
        <v>53</v>
      </c>
      <c r="D126" s="42">
        <v>1090</v>
      </c>
      <c r="E126" s="63">
        <f t="shared" si="4"/>
        <v>3600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TRUNC(1562,-1)</f>
        <v>1560</v>
      </c>
      <c r="E128" s="63">
        <f t="shared" si="4"/>
        <v>5150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TRUNC(16522,-1)</f>
        <v>16520</v>
      </c>
      <c r="E130" s="63">
        <f t="shared" si="4"/>
        <v>54610</v>
      </c>
    </row>
    <row r="131" spans="1:7" x14ac:dyDescent="0.3">
      <c r="A131" s="2">
        <v>10</v>
      </c>
      <c r="C131" s="38" t="s">
        <v>149</v>
      </c>
      <c r="D131" s="42">
        <f>TRUNC(67363,-1)</f>
        <v>67360</v>
      </c>
      <c r="E131" s="63">
        <f t="shared" si="4"/>
        <v>222670</v>
      </c>
    </row>
    <row r="132" spans="1:7" ht="18" thickBot="1" x14ac:dyDescent="0.35">
      <c r="A132" s="2">
        <v>11</v>
      </c>
      <c r="C132" s="38" t="s">
        <v>47</v>
      </c>
      <c r="D132" s="43">
        <f>TRUNC(3639+1103+123,-1)</f>
        <v>4860</v>
      </c>
      <c r="E132" s="64">
        <f t="shared" si="4"/>
        <v>16060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105220</v>
      </c>
      <c r="E133" s="39">
        <f>SUM(E122:E132)</f>
        <v>347790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TRUNC(1362+3361+1303,-1)</f>
        <v>6020</v>
      </c>
      <c r="E137" s="63">
        <f t="shared" si="5"/>
        <v>19900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1820</v>
      </c>
      <c r="E140" s="63">
        <f t="shared" si="5"/>
        <v>6010</v>
      </c>
    </row>
    <row r="141" spans="1:7" x14ac:dyDescent="0.3">
      <c r="A141" s="2">
        <v>6</v>
      </c>
      <c r="C141" s="38" t="s">
        <v>59</v>
      </c>
      <c r="D141" s="42">
        <f>TRUNC(27739,-1)</f>
        <v>27730</v>
      </c>
      <c r="E141" s="63">
        <f t="shared" si="5"/>
        <v>91660</v>
      </c>
    </row>
    <row r="142" spans="1:7" x14ac:dyDescent="0.3">
      <c r="A142" s="2">
        <v>7</v>
      </c>
      <c r="C142" s="38" t="s">
        <v>58</v>
      </c>
      <c r="D142" s="42">
        <f>TRUNC(5568,-1)</f>
        <v>5560</v>
      </c>
      <c r="E142" s="63">
        <f t="shared" si="5"/>
        <v>18380</v>
      </c>
    </row>
    <row r="143" spans="1:7" x14ac:dyDescent="0.3">
      <c r="A143" s="2">
        <v>8</v>
      </c>
      <c r="C143" s="38" t="s">
        <v>62</v>
      </c>
      <c r="D143" s="42">
        <f>TRUNC(3902,-1)</f>
        <v>3900</v>
      </c>
      <c r="E143" s="63">
        <f t="shared" si="5"/>
        <v>12890</v>
      </c>
    </row>
    <row r="144" spans="1:7" x14ac:dyDescent="0.3">
      <c r="A144" s="2">
        <v>9</v>
      </c>
      <c r="C144" s="38" t="s">
        <v>63</v>
      </c>
      <c r="D144" s="42">
        <v>15390</v>
      </c>
      <c r="E144" s="63">
        <f t="shared" si="5"/>
        <v>50870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60420</v>
      </c>
      <c r="E146" s="39">
        <f>SUM(E136:E145)</f>
        <v>199710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TRUNC(6460+3807,-1)</f>
        <v>10260</v>
      </c>
      <c r="E149" s="62">
        <f>TRUNC(+D149*3.3058,-1)</f>
        <v>33910</v>
      </c>
    </row>
    <row r="150" spans="1:7" x14ac:dyDescent="0.3">
      <c r="A150" s="2">
        <v>2</v>
      </c>
      <c r="C150" s="38" t="s">
        <v>49</v>
      </c>
      <c r="D150" s="42">
        <f>TRUNC(933,-1)</f>
        <v>930</v>
      </c>
      <c r="E150" s="63">
        <f>TRUNC(+D150*3.3058,-1)</f>
        <v>3070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TRUNC(770+1198,-1)</f>
        <v>1960</v>
      </c>
      <c r="E152" s="63">
        <f>TRUNC(+D152*3.3058,-1)</f>
        <v>6470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TRUNC(8795,-1)</f>
        <v>8790</v>
      </c>
      <c r="E153" s="64">
        <f>TRUNC(+D153*3.3058,-1)</f>
        <v>29050</v>
      </c>
    </row>
    <row r="154" spans="1:7" x14ac:dyDescent="0.3">
      <c r="A154" s="2">
        <v>6</v>
      </c>
      <c r="C154" s="27" t="s">
        <v>112</v>
      </c>
      <c r="D154" s="39">
        <f>SUM(D149:D153)</f>
        <v>21940</v>
      </c>
      <c r="E154" s="39">
        <f>SUM(E149:E153)</f>
        <v>72500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TRUNC(31587,-1)</f>
        <v>31580</v>
      </c>
      <c r="E157" s="62">
        <f>TRUNC(+D157*3.3058,-1)</f>
        <v>104390</v>
      </c>
    </row>
    <row r="158" spans="1:7" x14ac:dyDescent="0.3">
      <c r="A158" s="2">
        <v>2</v>
      </c>
      <c r="C158" s="38" t="s">
        <v>52</v>
      </c>
      <c r="D158" s="42">
        <f>TRUNC(13796,-1)</f>
        <v>13790</v>
      </c>
      <c r="E158" s="63">
        <f>TRUNC(+D158*3.3058,-1)</f>
        <v>45580</v>
      </c>
    </row>
    <row r="159" spans="1:7" x14ac:dyDescent="0.3">
      <c r="A159" s="2">
        <v>3</v>
      </c>
      <c r="C159" s="38" t="s">
        <v>47</v>
      </c>
      <c r="D159" s="42">
        <f>TRUNC(13549+2173,-1)</f>
        <v>15720</v>
      </c>
      <c r="E159" s="63">
        <f>TRUNC(+D159*3.3058,-1)</f>
        <v>51960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61090</v>
      </c>
      <c r="E161" s="39">
        <f>SUM(E157:E160)</f>
        <v>201930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2020-12-08T01:26:04Z</dcterms:modified>
</cp:coreProperties>
</file>