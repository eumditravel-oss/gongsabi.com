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44" i="4"/>
  <c r="E143" i="4"/>
  <c r="E142" i="4"/>
  <c r="E141" i="4"/>
  <c r="E140" i="4"/>
  <c r="E139" i="4"/>
  <c r="E138" i="4"/>
  <c r="E129" i="4"/>
  <c r="E126" i="4"/>
  <c r="E124" i="4"/>
  <c r="E113" i="4"/>
  <c r="E112" i="4"/>
  <c r="E111" i="4"/>
  <c r="E110" i="4"/>
  <c r="E109" i="4"/>
  <c r="E108" i="4"/>
  <c r="E107" i="4"/>
  <c r="E106" i="4"/>
  <c r="E103" i="4"/>
  <c r="E92" i="4"/>
  <c r="E91" i="4"/>
  <c r="E89" i="4"/>
  <c r="E88" i="4"/>
  <c r="E87" i="4"/>
  <c r="E86" i="4"/>
  <c r="E84" i="4"/>
  <c r="E83" i="4"/>
  <c r="E82" i="4"/>
  <c r="E81" i="4"/>
  <c r="E80" i="4"/>
  <c r="E78" i="4"/>
  <c r="E77" i="4"/>
  <c r="E76" i="4"/>
  <c r="E74" i="4"/>
  <c r="E73" i="4"/>
  <c r="E64" i="4"/>
  <c r="E57" i="4"/>
  <c r="E56" i="4"/>
  <c r="E47" i="4"/>
  <c r="E46" i="4"/>
  <c r="D93" i="4" l="1"/>
  <c r="E93" i="4" s="1"/>
  <c r="D159" i="4"/>
  <c r="E159" i="4" s="1"/>
  <c r="D158" i="4"/>
  <c r="E158" i="4" s="1"/>
  <c r="D157" i="4"/>
  <c r="E157" i="4" s="1"/>
  <c r="D152" i="4"/>
  <c r="E152" i="4" s="1"/>
  <c r="D137" i="4"/>
  <c r="E137" i="4" s="1"/>
  <c r="D150" i="4"/>
  <c r="E150" i="4" s="1"/>
  <c r="D149" i="4"/>
  <c r="E149" i="4" s="1"/>
  <c r="D136" i="4"/>
  <c r="E136" i="4" s="1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E133" i="4" s="1"/>
  <c r="D123" i="4"/>
  <c r="E123" i="4" s="1"/>
  <c r="D122" i="4"/>
  <c r="E122" i="4" s="1"/>
  <c r="D118" i="4"/>
  <c r="E118" i="4" s="1"/>
  <c r="D117" i="4"/>
  <c r="E117" i="4" s="1"/>
  <c r="D116" i="4"/>
  <c r="E116" i="4" s="1"/>
  <c r="D115" i="4"/>
  <c r="E115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0" i="4"/>
  <c r="E90" i="4" s="1"/>
  <c r="D85" i="4"/>
  <c r="E85" i="4" s="1"/>
  <c r="D79" i="4"/>
  <c r="E79" i="4" s="1"/>
  <c r="D75" i="4"/>
  <c r="E75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4" i="4"/>
  <c r="D31" i="4" s="1"/>
  <c r="E31" i="4" s="1"/>
  <c r="D95" i="4"/>
  <c r="D27" i="4" s="1"/>
  <c r="E27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19" i="4" l="1"/>
  <c r="D28" i="4" s="1"/>
  <c r="E28" i="4" s="1"/>
  <c r="D161" i="4"/>
  <c r="D32" i="4" s="1"/>
  <c r="E32" i="4" s="1"/>
  <c r="D60" i="4"/>
  <c r="D25" i="4" s="1"/>
  <c r="D133" i="4"/>
  <c r="D29" i="4" s="1"/>
  <c r="E29" i="4" s="1"/>
  <c r="D66" i="4"/>
  <c r="D26" i="4" s="1"/>
  <c r="E26" i="4" s="1"/>
  <c r="D146" i="4"/>
  <c r="D30" i="4" s="1"/>
  <c r="E30" i="4" s="1"/>
  <c r="E60" i="4"/>
  <c r="E66" i="4"/>
  <c r="E119" i="4"/>
  <c r="E154" i="4"/>
  <c r="E161" i="4"/>
  <c r="E95" i="4"/>
  <c r="E146" i="4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<sst xmlns="http://schemas.openxmlformats.org/spreadsheetml/2006/main" count="397" uniqueCount="271">
  <si>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</si>
  <si>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</si>
  <si>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</si>
  <si>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</si>
  <si>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</si>
  <si>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</si>
  <si>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</si>
  <si>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</si>
  <si>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</si>
  <si>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</si>
  <si>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</si>
  <si>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</si>
  <si>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</si>
  <si>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</si>
  <si>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</si>
  <si>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</si>
  <si>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</si>
  <si>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</si>
  <si>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</si>
  <si>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</si>
  <si>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</si>
  <si>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</si>
  <si>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</si>
  <si>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</si>
  <si>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</si>
  <si>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</si>
  <si>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</si>
  <si>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</si>
  <si>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</si>
  <si>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</si>
  <si>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</si>
  <si>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</si>
  <si>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</si>
  <si>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</si>
  <si>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</si>
  <si>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</si>
  <si>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</si>
  <si>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</si>
  <si>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</si>
  <si>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</si>
  <si>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</si>
  <si>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</si>
  <si>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</si>
  <si>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</si>
  <si>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</si>
  <si>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</si>
  <si>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</si>
  <si>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</si>
  <si>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</si>
  <si>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</si>
  <si>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</si>
  <si>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</si>
  <si>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</si>
  <si>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</si>
  <si>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</si>
  <si>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</si>
  <si>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</si>
  <si>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</si>
  <si>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</si>
  <si>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</si>
  <si>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</si>
  <si>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</si>
  <si>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</si>
  <si>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</si>
  <si>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</si>
  <si>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</si>
  <si>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</si>
  <si>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</si>
  <si>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</si>
  <si>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</si>
  <si>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</si>
  <si>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</si>
  <si>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</si>
  <si>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</si>
  <si>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</si>
  <si>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</si>
  <si>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</si>
  <si>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</si>
  <si>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</si>
  <si>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</si>
  <si>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</si>
  <si>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</si>
  <si>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</si>
  <si>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</si>
  <si>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</si>
  <si>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</si>
  <si>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</si>
  <si>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</si>
  <si>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</si>
  <si>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</si>
  <si>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</si>
  <si>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</si>
  <si>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</si>
  <si>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</si>
  <si>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</si>
  <si>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</si>
  <si>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</si>
  <si>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</si>
  <si>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</si>
  <si>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</si>
  <si>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</si>
  <si>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</si>
  <si>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</si>
  <si>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</si>
  <si>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</si>
  <si>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</si>
  <si>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</si>
  <si>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</si>
  <si>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</si>
  <si>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</si>
  <si>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</si>
  <si>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</si>
  <si>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</si>
  <si>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</si>
  <si>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</si>
  <si>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</si>
  <si>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</si>
  <si>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</si>
  <si>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</si>
  <si>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</si>
  <si>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</si>
  <si>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</si>
  <si>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</si>
  <si>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</si>
  <si>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</si>
  <si>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</si>
  <si>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</si>
  <si>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</si>
  <si>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</si>
  <si>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</si>
  <si>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</si>
  <si>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</si>
  <si>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</si>
  <si>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</si>
  <si>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</si>
  <si>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</si>
  <si>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</si>
  <si>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</si>
  <si>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</si>
  <si>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</si>
  <si>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</si>
  <si>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</si>
  <si>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</si>
  <si>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</si>
  <si>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</si>
  <si>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</si>
  <si>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</si>
  <si>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</si>
  <si>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</si>
  <si>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</si>
  <si>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</si>
  <si>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</si>
  <si>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</si>
  <si>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</si>
  <si>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</si>
  <si>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</si>
  <si>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</si>
  <si>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</si>
  <si>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</si>
  <si>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</si>
  <si>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</si>
  <si>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</si>
  <si>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</si>
  <si>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</si>
  <si>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</si>
  <si>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</si>
  <si>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</si>
  <si>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</si>
  <si>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</si>
  <si>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</si>
  <si>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</si>
  <si>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</si>
  <si>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</si>
  <si>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</si>
  <si>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</si>
  <si>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</si>
  <si>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</si>
  <si>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</si>
  <si>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</si>
  <si>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</si>
  <si>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</si>
  <si>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</si>
  <si>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</si>
  <si>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</si>
  <si>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</si>
  <si>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</si>
  <si>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</si>
  <si>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</si>
  <si>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</si>
  <si>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</si>
  <si>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</si>
  <si>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</si>
  <si>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</si>
  <si>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</si>
  <si>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</si>
  <si>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</si>
  <si>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</si>
  <si>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</si>
  <si>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</si>
  <si>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</si>
  <si>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</si>
  <si>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</si>
  <si>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</si>
  <si>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</si>
  <si>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</si>
  <si>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</si>
  <si>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</si>
  <si>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</si>
  <si>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</si>
  <si>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</si>
  <si>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</si>
  <si>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</si>
  <si>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</si>
  <si>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</si>
  <si>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</si>
  <si>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</si>
  <si>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</si>
  <si>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</si>
  <si>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</si>
  <si>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</si>
  <si>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</si>
  <si>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</si>
  <si>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</si>
  <si>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</si>
  <si>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</si>
  <si>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</si>
  <si>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</si>
  <si>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</si>
  <si>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</si>
  <si>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</si>
  <si>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</si>
  <si>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</si>
  <si>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</si>
  <si>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</si>
  <si>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</si>
  <si>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</si>
  <si>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</si>
  <si>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</si>
  <si>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</si>
  <si>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</si>
  <si>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</si>
  <si>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</si>
  <si>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</si>
  <si>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</si>
  <si>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</si>
  <si>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</si>
  <si>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</si>
  <si>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</si>
  <si>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00청사 건립공사</t>
  </si>
  <si>
    <t>서울</t>
  </si>
  <si>
    <t>잡공사, 사인공사, 철거공사, 판넬공사, 품질시험비,골재비,운반비, 작업 부산물</t>
    <phoneticPr fontId="2" type="noConversion"/>
  </si>
  <si>
    <t>도급자설치관급자재, 관급자설치관급자재</t>
    <phoneticPr fontId="2" type="noConversion"/>
  </si>
  <si>
    <t>흙막이 계측공사, 가설공사, 영구배수및뉴타운기술사용, 상수공사, 철거공사, 자재대 및 운반비</t>
    <phoneticPr fontId="2" type="noConversion"/>
  </si>
  <si>
    <t>식재지반조성공사, 수목이식공사, 조경포장공사, 부대공사</t>
    <phoneticPr fontId="2" type="noConversion"/>
  </si>
  <si>
    <t>환기덕트설치공사</t>
  </si>
  <si>
    <t>공조배관공사, 위생배관공사, 중수처리시스템설치공사, 정화조설비공사, 승강기설치공사, 가설청사설비공사</t>
    <phoneticPr fontId="2" type="noConversion"/>
  </si>
  <si>
    <t>소방설비공사</t>
    <phoneticPr fontId="2" type="noConversion"/>
  </si>
  <si>
    <t>옥외보안등설비공</t>
  </si>
  <si>
    <t>전력인입설비공사</t>
  </si>
  <si>
    <t>피뢰침 및 접지설비공사 요약</t>
  </si>
  <si>
    <t>경관조명공사, 조명제어공사</t>
    <phoneticPr fontId="2" type="noConversion"/>
  </si>
  <si>
    <t>SNOW MELTING공사, UPS설비공사, 무선통신공사, 발전기설비공사, 전력제어공사, 주차관제설비공사</t>
    <phoneticPr fontId="2" type="noConversion"/>
  </si>
  <si>
    <t>공청TV 설비공사</t>
    <phoneticPr fontId="2" type="noConversion"/>
  </si>
  <si>
    <t>LAN 장비공사</t>
    <phoneticPr fontId="2" type="noConversion"/>
  </si>
  <si>
    <t>CCTV 설비공사, 누수검지설비공사, 빌딩안내공사, 인터폰설비공사, 재부재설비공사, 재활용설비공사, 통신인입설비공사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</si>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</sst>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27518</v>
      </c>
      <c r="D7" s="36">
        <f>+C7/3.3058</f>
        <v>8324.1575412910643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265</v>
      </c>
    </row>
    <row r="24" spans="1:5" x14ac:dyDescent="0.3">
      <c r="B24" s="2">
        <v>1</v>
      </c>
      <c r="C24" s="35" t="s">
        <v>110</v>
      </c>
      <c r="D24" s="41">
        <f>+D37</f>
        <v>11100</v>
      </c>
      <c r="E24" s="58">
        <f t="shared" ref="E24:E33" si="0">TRUNC(+D24*3.3058,-1)</f>
        <v>36690</v>
      </c>
    </row>
    <row r="25" spans="1:5" x14ac:dyDescent="0.3">
      <c r="B25" s="2">
        <v>2</v>
      </c>
      <c r="C25" s="35" t="s">
        <v>111</v>
      </c>
      <c r="D25" s="45">
        <f>+D60</f>
        <v>680640</v>
      </c>
      <c r="E25" s="59">
        <f t="shared" si="0"/>
        <v>2250050</v>
      </c>
    </row>
    <row r="26" spans="1:5" x14ac:dyDescent="0.3">
      <c r="B26" s="2">
        <v>3</v>
      </c>
      <c r="C26" s="35" t="s">
        <v>95</v>
      </c>
      <c r="D26" s="45">
        <f>+D66</f>
        <v>136930</v>
      </c>
      <c r="E26" s="59">
        <f t="shared" si="0"/>
        <v>452660</v>
      </c>
    </row>
    <row r="27" spans="1:5" x14ac:dyDescent="0.3">
      <c r="B27" s="2">
        <v>4</v>
      </c>
      <c r="C27" s="35" t="s">
        <v>96</v>
      </c>
      <c r="D27" s="45">
        <f>+D95</f>
        <v>246450</v>
      </c>
      <c r="E27" s="59">
        <f t="shared" si="0"/>
        <v>814710</v>
      </c>
    </row>
    <row r="28" spans="1:5" x14ac:dyDescent="0.3">
      <c r="B28" s="2">
        <v>5</v>
      </c>
      <c r="C28" s="35" t="s">
        <v>97</v>
      </c>
      <c r="D28" s="45">
        <f>+D119</f>
        <v>140490</v>
      </c>
      <c r="E28" s="59">
        <f t="shared" si="0"/>
        <v>464430</v>
      </c>
    </row>
    <row r="29" spans="1:5" x14ac:dyDescent="0.3">
      <c r="B29" s="2">
        <v>6</v>
      </c>
      <c r="C29" s="35" t="s">
        <v>98</v>
      </c>
      <c r="D29" s="45">
        <f>+D133</f>
        <v>102520</v>
      </c>
      <c r="E29" s="59">
        <f t="shared" si="0"/>
        <v>338910</v>
      </c>
    </row>
    <row r="30" spans="1:5" x14ac:dyDescent="0.3">
      <c r="B30" s="2">
        <v>7</v>
      </c>
      <c r="C30" s="35" t="s">
        <v>99</v>
      </c>
      <c r="D30" s="45">
        <f>+D146</f>
        <v>58440</v>
      </c>
      <c r="E30" s="59">
        <f t="shared" si="0"/>
        <v>193190</v>
      </c>
    </row>
    <row r="31" spans="1:5" x14ac:dyDescent="0.3">
      <c r="B31" s="2">
        <v>8</v>
      </c>
      <c r="C31" s="35" t="s">
        <v>100</v>
      </c>
      <c r="D31" s="45">
        <f>+D154</f>
        <v>10480</v>
      </c>
      <c r="E31" s="59">
        <f t="shared" si="0"/>
        <v>34640</v>
      </c>
    </row>
    <row r="32" spans="1:5" x14ac:dyDescent="0.3">
      <c r="B32" s="2">
        <v>9</v>
      </c>
      <c r="C32" s="35" t="s">
        <v>101</v>
      </c>
      <c r="D32" s="45">
        <f>+D161</f>
        <v>17410</v>
      </c>
      <c r="E32" s="59">
        <f t="shared" si="0"/>
        <v>57550</v>
      </c>
    </row>
    <row r="33" spans="1:7" x14ac:dyDescent="0.3">
      <c r="B33" s="2">
        <v>10</v>
      </c>
      <c r="C33" s="35" t="s">
        <v>153</v>
      </c>
      <c r="D33" s="53">
        <f>TRUNC(SUM(D24:D32)*0.275,-1)</f>
        <v>386220</v>
      </c>
      <c r="E33" s="60">
        <f t="shared" si="0"/>
        <v>1276760</v>
      </c>
    </row>
    <row r="34" spans="1:7" x14ac:dyDescent="0.3">
      <c r="C34" s="35" t="s">
        <v>112</v>
      </c>
      <c r="D34" s="44">
        <f>SUM(D24:D33)</f>
        <v>1790680</v>
      </c>
      <c r="E34" s="44">
        <f>SUM(E24:E33)</f>
        <v>5919590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265</v>
      </c>
      <c r="G36" s="55"/>
    </row>
    <row r="37" spans="1:7" ht="17.25" thickBot="1" x14ac:dyDescent="0.35">
      <c r="C37" s="38" t="s">
        <v>143</v>
      </c>
      <c r="D37" s="52">
        <f>TRUNC(11105.5207500545,-1)</f>
        <v>11100</v>
      </c>
      <c r="E37" s="61">
        <f>TRUNC(+D37*3.3058,-1)</f>
        <v>36690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TRUNC(30961.7269060251,-1)</f>
        <v>30960</v>
      </c>
      <c r="E40" s="62">
        <f t="shared" ref="E40:E59" si="1">TRUNC(+D40*3.3058,-1)</f>
        <v>102340</v>
      </c>
    </row>
    <row r="41" spans="1:7" x14ac:dyDescent="0.3">
      <c r="A41" s="2">
        <v>2</v>
      </c>
      <c r="C41" s="38" t="s">
        <v>13</v>
      </c>
      <c r="D41" s="42">
        <f>TRUNC(100029.98535504,-1)</f>
        <v>100020</v>
      </c>
      <c r="E41" s="63">
        <f t="shared" si="1"/>
        <v>330640</v>
      </c>
    </row>
    <row r="42" spans="1:7" x14ac:dyDescent="0.3">
      <c r="A42" s="2">
        <v>3</v>
      </c>
      <c r="C42" s="38" t="s">
        <v>14</v>
      </c>
      <c r="D42" s="42">
        <f>TRUNC(62743.4709281198,-1)</f>
        <v>62740</v>
      </c>
      <c r="E42" s="63">
        <f t="shared" si="1"/>
        <v>207400</v>
      </c>
    </row>
    <row r="43" spans="1:7" x14ac:dyDescent="0.3">
      <c r="A43" s="2">
        <v>4</v>
      </c>
      <c r="C43" s="38" t="s">
        <v>16</v>
      </c>
      <c r="D43" s="42">
        <f>TRUNC(11001.9817210553,-1)</f>
        <v>11000</v>
      </c>
      <c r="E43" s="63">
        <f t="shared" si="1"/>
        <v>36360</v>
      </c>
    </row>
    <row r="44" spans="1:7" x14ac:dyDescent="0.3">
      <c r="A44" s="2">
        <v>5</v>
      </c>
      <c r="C44" s="38" t="s">
        <v>17</v>
      </c>
      <c r="D44" s="42">
        <f>TRUNC(13231.8435569445,-1)</f>
        <v>13230</v>
      </c>
      <c r="E44" s="63">
        <f t="shared" si="1"/>
        <v>43730</v>
      </c>
    </row>
    <row r="45" spans="1:7" x14ac:dyDescent="0.3">
      <c r="A45" s="2">
        <v>6</v>
      </c>
      <c r="C45" s="38" t="s">
        <v>18</v>
      </c>
      <c r="D45" s="42">
        <f>TRUNC(10122.3836761393,-1)</f>
        <v>10120</v>
      </c>
      <c r="E45" s="63">
        <f t="shared" si="1"/>
        <v>33450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TRUNC(44823.0014899339,-1)</f>
        <v>44820</v>
      </c>
      <c r="E48" s="63">
        <f t="shared" si="1"/>
        <v>148160</v>
      </c>
    </row>
    <row r="49" spans="1:7" x14ac:dyDescent="0.3">
      <c r="A49" s="2">
        <v>10</v>
      </c>
      <c r="C49" s="38" t="s">
        <v>22</v>
      </c>
      <c r="D49" s="42">
        <f>TRUNC(12712.7171306054,-1)</f>
        <v>12710</v>
      </c>
      <c r="E49" s="63">
        <f t="shared" si="1"/>
        <v>42010</v>
      </c>
    </row>
    <row r="50" spans="1:7" x14ac:dyDescent="0.3">
      <c r="A50" s="2">
        <v>11</v>
      </c>
      <c r="C50" s="38" t="s">
        <v>154</v>
      </c>
      <c r="D50" s="42">
        <f>TRUNC(59112.6009884439,-1)</f>
        <v>59110</v>
      </c>
      <c r="E50" s="63">
        <f t="shared" si="1"/>
        <v>195400</v>
      </c>
    </row>
    <row r="51" spans="1:7" x14ac:dyDescent="0.3">
      <c r="A51" s="2">
        <v>12</v>
      </c>
      <c r="C51" s="38" t="s">
        <v>23</v>
      </c>
      <c r="D51" s="42">
        <f>TRUNC(23966.4481430336,-1)</f>
        <v>23960</v>
      </c>
      <c r="E51" s="63">
        <f t="shared" si="1"/>
        <v>79200</v>
      </c>
    </row>
    <row r="52" spans="1:7" x14ac:dyDescent="0.3">
      <c r="A52" s="2">
        <v>13</v>
      </c>
      <c r="C52" s="38" t="s">
        <v>24</v>
      </c>
      <c r="D52" s="42">
        <f>TRUNC(8814.41961625118,-1)</f>
        <v>8810</v>
      </c>
      <c r="E52" s="63">
        <f t="shared" si="1"/>
        <v>29120</v>
      </c>
    </row>
    <row r="53" spans="1:7" x14ac:dyDescent="0.3">
      <c r="A53" s="2">
        <v>14</v>
      </c>
      <c r="C53" s="38" t="s">
        <v>25</v>
      </c>
      <c r="D53" s="42">
        <f>TRUNC(53245.5563631078,-1)</f>
        <v>53240</v>
      </c>
      <c r="E53" s="63">
        <f t="shared" si="1"/>
        <v>176000</v>
      </c>
    </row>
    <row r="54" spans="1:7" x14ac:dyDescent="0.3">
      <c r="A54" s="2">
        <v>15</v>
      </c>
      <c r="C54" s="38" t="s">
        <v>147</v>
      </c>
      <c r="D54" s="42">
        <f>TRUNC(35476.7735663929,-1)</f>
        <v>35470</v>
      </c>
      <c r="E54" s="63">
        <f t="shared" si="1"/>
        <v>117250</v>
      </c>
    </row>
    <row r="55" spans="1:7" x14ac:dyDescent="0.3">
      <c r="A55" s="2">
        <v>16</v>
      </c>
      <c r="C55" s="38" t="s">
        <v>144</v>
      </c>
      <c r="D55" s="42">
        <f>TRUNC(127.706192310488,-1)</f>
        <v>120</v>
      </c>
      <c r="E55" s="63">
        <f t="shared" si="1"/>
        <v>390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TRUNC(4633.04607893016+10159.746347845+11774.0340867796+5748.87709862635+120.27400247111+1104.04099135112+1779.99425830366-843.048368340722,-1)</f>
        <v>34470</v>
      </c>
      <c r="E58" s="63">
        <f t="shared" si="1"/>
        <v>113950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TRUNC(115030.852532888+64830.2928991933,-1)</f>
        <v>179860</v>
      </c>
      <c r="E59" s="64">
        <f t="shared" si="1"/>
        <v>594580</v>
      </c>
      <c r="F59" s="2" t="s">
        <v>251</v>
      </c>
    </row>
    <row r="60" spans="1:7" x14ac:dyDescent="0.3">
      <c r="A60" s="2">
        <v>21</v>
      </c>
      <c r="C60" s="27" t="s">
        <v>112</v>
      </c>
      <c r="D60" s="39">
        <f>SUM(D40:D59)</f>
        <v>680640</v>
      </c>
      <c r="E60" s="39">
        <f>SUM(E40:E59)</f>
        <v>2249980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265</v>
      </c>
      <c r="G62" s="55"/>
    </row>
    <row r="63" spans="1:7" x14ac:dyDescent="0.3">
      <c r="A63" s="2">
        <v>1</v>
      </c>
      <c r="C63" s="38" t="s">
        <v>27</v>
      </c>
      <c r="D63" s="40">
        <f>TRUNC(55.2862126608038,-1)</f>
        <v>50</v>
      </c>
      <c r="E63" s="62">
        <f>TRUNC(+D63*3.3058,-1)</f>
        <v>160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TRUNC(136888.152154953,-1)</f>
        <v>136880</v>
      </c>
      <c r="E65" s="64">
        <f>TRUNC(+D65*3.3058,-1)</f>
        <v>452490</v>
      </c>
    </row>
    <row r="66" spans="1:7" x14ac:dyDescent="0.3">
      <c r="A66" s="2">
        <v>4</v>
      </c>
      <c r="C66" s="27" t="s">
        <v>112</v>
      </c>
      <c r="D66" s="39">
        <f>SUM(D63:D65)</f>
        <v>136930</v>
      </c>
      <c r="E66" s="65">
        <f>SUM(E63:E65)</f>
        <v>452650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265</v>
      </c>
      <c r="G68" s="55"/>
    </row>
    <row r="69" spans="1:7" x14ac:dyDescent="0.3">
      <c r="A69" s="2">
        <v>1</v>
      </c>
      <c r="C69" s="38" t="s">
        <v>30</v>
      </c>
      <c r="D69" s="40">
        <f>TRUNC(13569.6746129806,-1)</f>
        <v>13560</v>
      </c>
      <c r="E69" s="62">
        <f>TRUNC(+D69*3.3058,-1)</f>
        <v>44820</v>
      </c>
    </row>
    <row r="70" spans="1:7" ht="16.5" customHeight="1" x14ac:dyDescent="0.3">
      <c r="A70" s="2">
        <v>2</v>
      </c>
      <c r="C70" s="38" t="s">
        <v>31</v>
      </c>
      <c r="D70" s="42">
        <f>TRUNC(231.643360709354,-1)</f>
        <v>230</v>
      </c>
      <c r="E70" s="63">
        <f>TRUNC(+D70*3.3058,-1)</f>
        <v>760</v>
      </c>
    </row>
    <row r="71" spans="1:7" x14ac:dyDescent="0.3">
      <c r="A71" s="2">
        <v>3</v>
      </c>
      <c r="C71" s="38" t="s">
        <v>32</v>
      </c>
      <c r="D71" s="42">
        <f>TRUNC(12078.8999200523,-1)</f>
        <v>12070</v>
      </c>
      <c r="E71" s="63">
        <f t="shared" ref="E71:E73" si="2">TRUNC(+D71*3.3058,-1)</f>
        <v>39900</v>
      </c>
    </row>
    <row r="72" spans="1:7" x14ac:dyDescent="0.3">
      <c r="A72" s="2">
        <v>4</v>
      </c>
      <c r="C72" s="38" t="s">
        <v>33</v>
      </c>
      <c r="D72" s="42">
        <f>TRUNC(1106.49233229159,-1)</f>
        <v>1100</v>
      </c>
      <c r="E72" s="63">
        <f t="shared" si="2"/>
        <v>3630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TRUNC(290.591612762555,-1)</f>
        <v>290</v>
      </c>
      <c r="E75" s="63">
        <f>TRUNC(+D75*3.3058,-1)</f>
        <v>950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TRUNC(30618.4376771568,-1)</f>
        <v>30610</v>
      </c>
      <c r="E79" s="63">
        <f t="shared" si="3"/>
        <v>101190</v>
      </c>
      <c r="F79" s="2" t="s">
        <v>254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f>TRUNC(1016.2202194927,-1)</f>
        <v>1010</v>
      </c>
      <c r="E85" s="63">
        <f t="shared" si="3"/>
        <v>3330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TRUNC(1340.04142742932,-1)</f>
        <v>1340</v>
      </c>
      <c r="E90" s="63">
        <f>TRUNC(+D90*3.3058,-1)</f>
        <v>4420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TRUNC(104832,-1)</f>
        <v>104830</v>
      </c>
      <c r="E93" s="63">
        <f>TRUNC(+D93*3.3058,-1)</f>
        <v>346540</v>
      </c>
    </row>
    <row r="94" spans="1:7" ht="17.25" thickBot="1" x14ac:dyDescent="0.35">
      <c r="A94" s="2">
        <v>26</v>
      </c>
      <c r="C94" s="38" t="s">
        <v>47</v>
      </c>
      <c r="D94" s="43">
        <f>TRUNC(30869.8236790464+18549.2594301911+1482.66589141653+1502.59172178211+15969.5472054655+13043.6235191511,-1)</f>
        <v>81410</v>
      </c>
      <c r="E94" s="64">
        <f>TRUNC(+D94*3.3058,-1)</f>
        <v>269120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246450</v>
      </c>
      <c r="E95" s="39">
        <f>SUM(E69:E94)</f>
        <v>814660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265</v>
      </c>
      <c r="G97" s="55"/>
    </row>
    <row r="98" spans="1:7" x14ac:dyDescent="0.3">
      <c r="A98" s="2">
        <v>1</v>
      </c>
      <c r="C98" s="38" t="s">
        <v>39</v>
      </c>
      <c r="D98" s="40">
        <f>TRUNC(12248.1992877389,-1)</f>
        <v>12240</v>
      </c>
      <c r="E98" s="62">
        <f t="shared" ref="E98:E118" si="4">TRUNC(+D98*3.3058,-1)</f>
        <v>40460</v>
      </c>
    </row>
    <row r="99" spans="1:7" x14ac:dyDescent="0.3">
      <c r="A99" s="2">
        <v>2</v>
      </c>
      <c r="C99" s="38" t="s">
        <v>40</v>
      </c>
      <c r="D99" s="42">
        <f>TRUNC(7051.05636310778,-1)</f>
        <v>7050</v>
      </c>
      <c r="E99" s="63">
        <f t="shared" si="4"/>
        <v>23300</v>
      </c>
    </row>
    <row r="100" spans="1:7" x14ac:dyDescent="0.3">
      <c r="A100" s="2">
        <v>3</v>
      </c>
      <c r="C100" s="38" t="s">
        <v>41</v>
      </c>
      <c r="D100" s="42">
        <f>TRUNC(21783.1429246311,-1)</f>
        <v>21780</v>
      </c>
      <c r="E100" s="63">
        <f t="shared" si="4"/>
        <v>72000</v>
      </c>
    </row>
    <row r="101" spans="1:7" x14ac:dyDescent="0.3">
      <c r="A101" s="2">
        <v>4</v>
      </c>
      <c r="C101" s="38" t="s">
        <v>42</v>
      </c>
      <c r="D101" s="42">
        <f>TRUNC(4317.63743731376+3628.49255033069,-1)</f>
        <v>7940</v>
      </c>
      <c r="E101" s="63">
        <f t="shared" si="4"/>
        <v>26240</v>
      </c>
      <c r="F101" s="2" t="s">
        <v>260</v>
      </c>
    </row>
    <row r="102" spans="1:7" x14ac:dyDescent="0.3">
      <c r="A102" s="2">
        <v>5</v>
      </c>
      <c r="C102" s="38" t="s">
        <v>43</v>
      </c>
      <c r="D102" s="42">
        <f>TRUNC(9957.9614797587,-1)</f>
        <v>9950</v>
      </c>
      <c r="E102" s="63">
        <f t="shared" si="4"/>
        <v>32890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TRUNC(2214.91056762846,-1)</f>
        <v>2210</v>
      </c>
      <c r="E104" s="63">
        <f t="shared" si="4"/>
        <v>7300</v>
      </c>
      <c r="F104" s="2" t="s">
        <v>259</v>
      </c>
    </row>
    <row r="105" spans="1:7" x14ac:dyDescent="0.3">
      <c r="A105" s="2">
        <v>8</v>
      </c>
      <c r="C105" s="38" t="s">
        <v>46</v>
      </c>
      <c r="D105" s="42">
        <f>TRUNC(2846.48659059525,-1)</f>
        <v>2840</v>
      </c>
      <c r="E105" s="63">
        <f t="shared" si="4"/>
        <v>9380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TRUNC(242.997892288684,-1)</f>
        <v>240</v>
      </c>
      <c r="E114" s="63">
        <f t="shared" si="4"/>
        <v>790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f>TRUNC(2565.34479249945,-1)</f>
        <v>2560</v>
      </c>
      <c r="E115" s="63">
        <f t="shared" si="4"/>
        <v>8460</v>
      </c>
    </row>
    <row r="116" spans="1:7" x14ac:dyDescent="0.3">
      <c r="A116" s="2">
        <v>19</v>
      </c>
      <c r="C116" s="38" t="s">
        <v>115</v>
      </c>
      <c r="D116" s="42">
        <f>TRUNC(1191.88545679192,-1)</f>
        <v>1190</v>
      </c>
      <c r="E116" s="63">
        <f t="shared" si="4"/>
        <v>3930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TRUNC(17932.5532378807+33714.0053782978,-1)</f>
        <v>51640</v>
      </c>
      <c r="E117" s="63">
        <f t="shared" si="4"/>
        <v>170710</v>
      </c>
      <c r="F117" s="2" t="s">
        <v>251</v>
      </c>
    </row>
    <row r="118" spans="1:7" ht="17.25" thickBot="1" x14ac:dyDescent="0.35">
      <c r="A118" s="2">
        <v>21</v>
      </c>
      <c r="C118" s="38" t="s">
        <v>47</v>
      </c>
      <c r="D118" s="43">
        <f>TRUNC(1741.35507667708+4918.95991714514+2778.77055018533+4765.71793008213+3377.95333963224+3277.00814012646,-1)</f>
        <v>20850</v>
      </c>
      <c r="E118" s="64">
        <f t="shared" si="4"/>
        <v>68920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140490</v>
      </c>
      <c r="E119" s="39">
        <f>SUM(E98:E118)</f>
        <v>464380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265</v>
      </c>
      <c r="G121" s="55"/>
    </row>
    <row r="122" spans="1:7" x14ac:dyDescent="0.3">
      <c r="A122" s="2">
        <v>1</v>
      </c>
      <c r="C122" s="38" t="s">
        <v>55</v>
      </c>
      <c r="D122" s="40">
        <f>TRUNC(3405.51380914311,-1)</f>
        <v>3400</v>
      </c>
      <c r="E122" s="62">
        <f t="shared" ref="E122:E132" si="5">TRUNC(+D122*3.3058,-1)</f>
        <v>11230</v>
      </c>
      <c r="F122" s="2" t="s">
        <v>262</v>
      </c>
    </row>
    <row r="123" spans="1:7" x14ac:dyDescent="0.3">
      <c r="A123" s="2">
        <v>2</v>
      </c>
      <c r="C123" s="38" t="s">
        <v>124</v>
      </c>
      <c r="D123" s="42">
        <f>TRUNC(18329.3287302856,-1)</f>
        <v>18320</v>
      </c>
      <c r="E123" s="63">
        <f t="shared" si="5"/>
        <v>60560</v>
      </c>
      <c r="F123" s="2" t="s">
        <v>263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TRUNC(4550.08343629624,-1)</f>
        <v>4550</v>
      </c>
      <c r="E125" s="63">
        <f t="shared" si="5"/>
        <v>15040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f>TRUNC(1130.82469656225,-1)</f>
        <v>1130</v>
      </c>
      <c r="E127" s="63">
        <f t="shared" si="5"/>
        <v>3730</v>
      </c>
    </row>
    <row r="128" spans="1:7" x14ac:dyDescent="0.3">
      <c r="A128" s="2">
        <v>7</v>
      </c>
      <c r="C128" s="38" t="s">
        <v>46</v>
      </c>
      <c r="D128" s="42">
        <f>TRUNC(3020.6229377135,-1)</f>
        <v>3020</v>
      </c>
      <c r="E128" s="63">
        <f t="shared" si="5"/>
        <v>9980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TRUNC(33301.6290791482,-1)</f>
        <v>33300</v>
      </c>
      <c r="E130" s="63">
        <f t="shared" si="5"/>
        <v>110080</v>
      </c>
    </row>
    <row r="131" spans="1:7" x14ac:dyDescent="0.3">
      <c r="A131" s="2">
        <v>10</v>
      </c>
      <c r="C131" s="38" t="s">
        <v>148</v>
      </c>
      <c r="D131" s="42">
        <f>TRUNC(24174.1042226906,-1)</f>
        <v>24170</v>
      </c>
      <c r="E131" s="63">
        <f t="shared" si="5"/>
        <v>79900</v>
      </c>
    </row>
    <row r="132" spans="1:7" ht="18" thickBot="1" x14ac:dyDescent="0.35">
      <c r="A132" s="2">
        <v>11</v>
      </c>
      <c r="C132" s="38" t="s">
        <v>47</v>
      </c>
      <c r="D132" s="43">
        <f>TRUNC(1536.00890326332+1527.82582309761+3995.33011119994+26.5872519805218+1987.5583981394+4441.70379388037+1124.54447997674,-1)</f>
        <v>14630</v>
      </c>
      <c r="E132" s="64">
        <f t="shared" si="5"/>
        <v>48360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102520</v>
      </c>
      <c r="E133" s="39">
        <f>SUM(E122:E132)</f>
        <v>338880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265</v>
      </c>
      <c r="G135" s="55"/>
    </row>
    <row r="136" spans="1:7" x14ac:dyDescent="0.3">
      <c r="A136" s="2">
        <v>1</v>
      </c>
      <c r="C136" s="38" t="s">
        <v>131</v>
      </c>
      <c r="D136" s="40">
        <f>TRUNC(41400.2225452431,-1)</f>
        <v>41400</v>
      </c>
      <c r="E136" s="62">
        <f t="shared" ref="E136:E145" si="6">TRUNC(+D136*3.3058,-1)</f>
        <v>136860</v>
      </c>
    </row>
    <row r="137" spans="1:7" x14ac:dyDescent="0.3">
      <c r="A137" s="2">
        <v>2</v>
      </c>
      <c r="C137" s="38" t="s">
        <v>47</v>
      </c>
      <c r="D137" s="42">
        <f>TRUNC(17041.8130678102,-1)</f>
        <v>17040</v>
      </c>
      <c r="E137" s="63">
        <f t="shared" si="6"/>
        <v>56330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58440</v>
      </c>
      <c r="E146" s="39">
        <f>SUM(E136:E145)</f>
        <v>193190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265</v>
      </c>
      <c r="G148" s="55"/>
    </row>
    <row r="149" spans="1:7" x14ac:dyDescent="0.3">
      <c r="A149" s="2">
        <v>1</v>
      </c>
      <c r="C149" s="38" t="s">
        <v>48</v>
      </c>
      <c r="D149" s="40">
        <f>TRUNC(303.252889018097+29.9862998764445,-1)</f>
        <v>330</v>
      </c>
      <c r="E149" s="62">
        <f>TRUNC(+D149*3.3058,-1)</f>
        <v>1090</v>
      </c>
    </row>
    <row r="150" spans="1:7" x14ac:dyDescent="0.3">
      <c r="A150" s="2">
        <v>2</v>
      </c>
      <c r="C150" s="38" t="s">
        <v>49</v>
      </c>
      <c r="D150" s="42">
        <f>TRUNC(2617.42601206483,-1)</f>
        <v>2610</v>
      </c>
      <c r="E150" s="63">
        <f>TRUNC(+D150*3.3058,-1)</f>
        <v>8620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TRUNC(986.626935097027+1121.84217603023+5269.51813358529+4.9994549022458+85.5856166872592+80.029217239625,-1)</f>
        <v>7540</v>
      </c>
      <c r="E152" s="63">
        <f>TRUNC(+D152*3.3058,-1)</f>
        <v>24920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10480</v>
      </c>
      <c r="E154" s="39">
        <f>SUM(E149:E153)</f>
        <v>34630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265</v>
      </c>
      <c r="G156" s="55"/>
    </row>
    <row r="157" spans="1:7" x14ac:dyDescent="0.3">
      <c r="A157" s="2">
        <v>1</v>
      </c>
      <c r="C157" s="38" t="s">
        <v>51</v>
      </c>
      <c r="D157" s="40">
        <f>TRUNC(3105.85987353732,-1)</f>
        <v>3100</v>
      </c>
      <c r="E157" s="62">
        <f>TRUNC(+D157*3.3058,-1)</f>
        <v>10240</v>
      </c>
    </row>
    <row r="158" spans="1:7" x14ac:dyDescent="0.3">
      <c r="A158" s="2">
        <v>2</v>
      </c>
      <c r="C158" s="38" t="s">
        <v>52</v>
      </c>
      <c r="D158" s="42">
        <f>TRUNC(4410.57587760738,-1)</f>
        <v>4410</v>
      </c>
      <c r="E158" s="63">
        <f>TRUNC(+D158*3.3058,-1)</f>
        <v>14570</v>
      </c>
    </row>
    <row r="159" spans="1:7" x14ac:dyDescent="0.3">
      <c r="A159" s="2">
        <v>3</v>
      </c>
      <c r="C159" s="38" t="s">
        <v>47</v>
      </c>
      <c r="D159" s="42">
        <f>TRUNC(2070.68217166945+1095.07235264191+6732.54894977833+6.95675557816702,-1)</f>
        <v>9900</v>
      </c>
      <c r="E159" s="63">
        <f>TRUNC(+D159*3.3058,-1)</f>
        <v>32720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17410</v>
      </c>
      <c r="E161" s="39">
        <f>SUM(E157:E160)</f>
        <v>57530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2020-12-07T09:10:09Z</dcterms:modified>
</cp:coreProperties>
</file>