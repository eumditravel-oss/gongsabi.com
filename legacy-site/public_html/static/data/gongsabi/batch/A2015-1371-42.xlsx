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5" i="4"/>
  <c r="E139" i="4"/>
  <c r="E136" i="4"/>
  <c r="E131" i="4"/>
  <c r="E129" i="4"/>
  <c r="E123" i="4"/>
  <c r="E117" i="4"/>
  <c r="E115" i="4"/>
  <c r="E113" i="4"/>
  <c r="E112" i="4"/>
  <c r="E111" i="4"/>
  <c r="E110" i="4"/>
  <c r="E109" i="4"/>
  <c r="E108" i="4"/>
  <c r="E107" i="4"/>
  <c r="E106" i="4"/>
  <c r="E103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64" i="4"/>
  <c r="E59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D132" i="4"/>
  <c r="E132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D118" i="4"/>
  <c r="E118" i="4" s="1"/>
  <c r="D116" i="4"/>
  <c r="E116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2" i="4"/>
  <c r="E92" i="4" s="1"/>
  <c r="D91" i="4"/>
  <c r="E91" i="4" s="1"/>
  <c r="D90" i="4"/>
  <c r="E90" i="4" s="1"/>
  <c r="D89" i="4"/>
  <c r="E89" i="4" s="1"/>
  <c r="D76" i="4"/>
  <c r="E76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5" i="4"/>
  <c r="E65" i="4" s="1"/>
  <c r="D63" i="4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60" i="4" l="1"/>
  <c r="D25" i="4" s="1"/>
  <c r="E25" i="4" s="1"/>
  <c r="E40" i="4"/>
  <c r="E60" i="4" s="1"/>
  <c r="D95" i="4"/>
  <c r="D27" i="4" s="1"/>
  <c r="E27" i="4" s="1"/>
  <c r="E69" i="4"/>
  <c r="E95" i="4" s="1"/>
  <c r="D119" i="4"/>
  <c r="D28" i="4" s="1"/>
  <c r="E28" i="4" s="1"/>
  <c r="E98" i="4"/>
  <c r="E133" i="4"/>
  <c r="D161" i="4"/>
  <c r="D32" i="4" s="1"/>
  <c r="E32" i="4" s="1"/>
  <c r="E157" i="4"/>
  <c r="E161" i="4" s="1"/>
  <c r="E119" i="4"/>
  <c r="D154" i="4"/>
  <c r="D31" i="4" s="1"/>
  <c r="E31" i="4" s="1"/>
  <c r="E149" i="4"/>
  <c r="E154" i="4" s="1"/>
  <c r="D66" i="4"/>
  <c r="D26" i="4" s="1"/>
  <c r="E26" i="4" s="1"/>
  <c r="E63" i="4"/>
  <c r="E66" i="4" s="1"/>
  <c r="D133" i="4"/>
  <c r="D29" i="4" s="1"/>
  <c r="E29" i="4" s="1"/>
  <c r="E122" i="4"/>
  <c r="D146" i="4"/>
  <c r="D30" i="4" s="1"/>
  <c r="E30" i="4" s="1"/>
  <c r="E137" i="4"/>
  <c r="E146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<sst xmlns="http://schemas.openxmlformats.org/spreadsheetml/2006/main" count="395" uniqueCount="268">
  <si>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</si>
  <si>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</si>
  <si>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</si>
  <si>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</si>
  <si>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</si>
  <si>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</si>
  <si>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</si>
  <si>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</si>
  <si>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</si>
  <si>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</si>
  <si>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</si>
  <si>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</si>
  <si>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</si>
  <si>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</si>
  <si>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</si>
  <si>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</si>
  <si>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</si>
  <si>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</si>
  <si>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</si>
  <si>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</si>
  <si>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</si>
  <si>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</si>
  <si>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</si>
  <si>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</si>
  <si>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</si>
  <si>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</si>
  <si>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</si>
  <si>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</si>
  <si>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</si>
  <si>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</si>
  <si>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</si>
  <si>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</si>
  <si>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</si>
  <si>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</si>
  <si>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</si>
  <si>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</si>
  <si>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</si>
  <si>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</si>
  <si>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</si>
  <si>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</si>
  <si>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</si>
  <si>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</si>
  <si>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</si>
  <si>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</si>
  <si>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</si>
  <si>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</si>
  <si>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</si>
  <si>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</si>
  <si>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</si>
  <si>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</si>
  <si>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</si>
  <si>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</si>
  <si>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</si>
  <si>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</si>
  <si>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</si>
  <si>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</si>
  <si>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</si>
  <si>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</si>
  <si>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</si>
  <si>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</si>
  <si>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</si>
  <si>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</si>
  <si>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</si>
  <si>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</si>
  <si>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</si>
  <si>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</si>
  <si>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</si>
  <si>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</si>
  <si>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</si>
  <si>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</si>
  <si>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</si>
  <si>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</si>
  <si>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</si>
  <si>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</si>
  <si>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</si>
  <si>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</si>
  <si>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</si>
  <si>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</si>
  <si>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</si>
  <si>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</si>
  <si>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</si>
  <si>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</si>
  <si>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</si>
  <si>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</si>
  <si>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</si>
  <si>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</si>
  <si>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</si>
  <si>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</si>
  <si>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</si>
  <si>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</si>
  <si>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</si>
  <si>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</si>
  <si>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</si>
  <si>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</si>
  <si>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</si>
  <si>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</si>
  <si>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</si>
  <si>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</si>
  <si>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</si>
  <si>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</si>
  <si>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</si>
  <si>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</si>
  <si>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</si>
  <si>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</si>
  <si>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</si>
  <si>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</si>
  <si>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</si>
  <si>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</si>
  <si>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</si>
  <si>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</si>
  <si>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</si>
  <si>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</si>
  <si>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</si>
  <si>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</si>
  <si>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</si>
  <si>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</si>
  <si>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</si>
  <si>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</si>
  <si>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</si>
  <si>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</si>
  <si>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</si>
  <si>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</si>
  <si>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</si>
  <si>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</si>
  <si>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</si>
  <si>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</si>
  <si>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</si>
  <si>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</si>
  <si>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</si>
  <si>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</si>
  <si>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</si>
  <si>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</si>
  <si>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</si>
  <si>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</si>
  <si>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</si>
  <si>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</si>
  <si>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</si>
  <si>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</si>
  <si>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</si>
  <si>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</si>
  <si>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</si>
  <si>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</si>
  <si>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</si>
  <si>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</si>
  <si>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</si>
  <si>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</si>
  <si>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</si>
  <si>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</si>
  <si>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</si>
  <si>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</si>
  <si>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</si>
  <si>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</si>
  <si>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</si>
  <si>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</si>
  <si>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</si>
  <si>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</si>
  <si>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</si>
  <si>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</si>
  <si>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</si>
  <si>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</si>
  <si>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</si>
  <si>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</si>
  <si>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</si>
  <si>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</si>
  <si>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</si>
  <si>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</si>
  <si>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</si>
  <si>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</si>
  <si>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</si>
  <si>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</si>
  <si>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</si>
  <si>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</si>
  <si>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</si>
  <si>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</si>
  <si>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</si>
  <si>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</si>
  <si>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</si>
  <si>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</si>
  <si>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</si>
  <si>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</si>
  <si>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</si>
  <si>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</si>
  <si>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</si>
  <si>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</si>
  <si>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</si>
  <si>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</si>
  <si>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</si>
  <si>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</si>
  <si>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</si>
  <si>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</si>
  <si>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</si>
  <si>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</si>
  <si>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</si>
  <si>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</si>
  <si>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</si>
  <si>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</si>
  <si>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</si>
  <si>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</si>
  <si>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</si>
  <si>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</si>
  <si>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</si>
  <si>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</si>
  <si>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</si>
  <si>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</si>
  <si>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</si>
  <si>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</si>
  <si>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</si>
  <si>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</si>
  <si>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</si>
  <si>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</si>
  <si>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</si>
  <si>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</si>
  <si>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</si>
  <si>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</si>
  <si>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</si>
  <si>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</si>
  <si>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</si>
  <si>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</si>
  <si>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</si>
  <si>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</si>
  <si>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</si>
  <si>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</si>
  <si>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</si>
  <si>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</si>
  <si>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</si>
  <si>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</si>
  <si>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</si>
  <si>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</si>
  <si>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</si>
  <si>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</si>
  <si>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</si>
  <si>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</si>
  <si>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</si>
  <si>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</si>
  <si>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</si>
  <si>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</si>
  <si>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</si>
  <si>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</si>
  <si>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</si>
  <si>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</si>
  <si>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</si>
  <si>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</si>
  <si>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</si>
  <si>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</si>
  <si>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</si>
  <si>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</si>
  <si>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한국교직원공제회관 신축공사</t>
  </si>
  <si>
    <t>업무</t>
  </si>
  <si>
    <t>서울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</si>
  <si>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</si>
  <si>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</si>
  <si>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</si>
  <si>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</si>
  <si>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</si>
  <si>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해체및철거공사,골재비및운반비,작업부산물,품질시험비,기타공사</t>
    <phoneticPr fontId="2" type="noConversion"/>
  </si>
  <si>
    <t>공조배관공사,우수처리시설공사,바닥난방공사,기타공사</t>
    <phoneticPr fontId="2" type="noConversion"/>
  </si>
  <si>
    <t>옥외보안등설비공사</t>
    <phoneticPr fontId="2" type="noConversion"/>
  </si>
  <si>
    <t xml:space="preserve"> 전기인입 및 수변전 설비공사</t>
    <phoneticPr fontId="2" type="noConversion"/>
  </si>
  <si>
    <t>원격검침 설비공사</t>
    <phoneticPr fontId="2" type="noConversion"/>
  </si>
  <si>
    <t>CCTV설비공사</t>
    <phoneticPr fontId="2" type="noConversion"/>
  </si>
  <si>
    <t>옥외소화배관공사,펌프실배관공사,제연덕트설치공사,무선통신보조설비공사,기타공사</t>
    <phoneticPr fontId="2" type="noConversion"/>
  </si>
  <si>
    <t>토목 상수도공사, 토목 사급자재비, 토목 운반비,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</si>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</sst>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83381.31</v>
      </c>
      <c r="D7" s="36">
        <f>+C7/3.3058</f>
        <v>25222.732772702522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1132610</v>
      </c>
      <c r="E25" s="60">
        <f t="shared" si="0"/>
        <v>3744180</v>
      </c>
    </row>
    <row r="26" spans="1:5" x14ac:dyDescent="0.3">
      <c r="B26" s="2">
        <v>3</v>
      </c>
      <c r="C26" s="35" t="s">
        <v>95</v>
      </c>
      <c r="D26" s="45">
        <f>+D66</f>
        <v>128210</v>
      </c>
      <c r="E26" s="60">
        <f t="shared" si="0"/>
        <v>423830</v>
      </c>
    </row>
    <row r="27" spans="1:5" x14ac:dyDescent="0.3">
      <c r="B27" s="2">
        <v>4</v>
      </c>
      <c r="C27" s="35" t="s">
        <v>96</v>
      </c>
      <c r="D27" s="45">
        <f>+D95</f>
        <v>318910</v>
      </c>
      <c r="E27" s="60">
        <f t="shared" si="0"/>
        <v>1054250</v>
      </c>
    </row>
    <row r="28" spans="1:5" x14ac:dyDescent="0.3">
      <c r="B28" s="2">
        <v>5</v>
      </c>
      <c r="C28" s="35" t="s">
        <v>97</v>
      </c>
      <c r="D28" s="45">
        <f>+D119</f>
        <v>242720</v>
      </c>
      <c r="E28" s="60">
        <f t="shared" si="0"/>
        <v>802380</v>
      </c>
    </row>
    <row r="29" spans="1:5" x14ac:dyDescent="0.3">
      <c r="B29" s="2">
        <v>6</v>
      </c>
      <c r="C29" s="35" t="s">
        <v>98</v>
      </c>
      <c r="D29" s="45">
        <f>+D133</f>
        <v>138520</v>
      </c>
      <c r="E29" s="60">
        <f t="shared" si="0"/>
        <v>457910</v>
      </c>
    </row>
    <row r="30" spans="1:5" x14ac:dyDescent="0.3">
      <c r="B30" s="2">
        <v>7</v>
      </c>
      <c r="C30" s="35" t="s">
        <v>99</v>
      </c>
      <c r="D30" s="45">
        <f>+D146</f>
        <v>68190</v>
      </c>
      <c r="E30" s="60">
        <f t="shared" si="0"/>
        <v>225420</v>
      </c>
    </row>
    <row r="31" spans="1:5" x14ac:dyDescent="0.3">
      <c r="B31" s="2">
        <v>8</v>
      </c>
      <c r="C31" s="35" t="s">
        <v>100</v>
      </c>
      <c r="D31" s="45">
        <f>+D154</f>
        <v>2550</v>
      </c>
      <c r="E31" s="60">
        <f t="shared" si="0"/>
        <v>8420</v>
      </c>
    </row>
    <row r="32" spans="1:5" x14ac:dyDescent="0.3">
      <c r="B32" s="2">
        <v>9</v>
      </c>
      <c r="C32" s="35" t="s">
        <v>101</v>
      </c>
      <c r="D32" s="45">
        <f>+D161</f>
        <v>24810</v>
      </c>
      <c r="E32" s="60">
        <f t="shared" si="0"/>
        <v>82010</v>
      </c>
    </row>
    <row r="33" spans="1:7" x14ac:dyDescent="0.3">
      <c r="B33" s="2">
        <v>10</v>
      </c>
      <c r="C33" s="35" t="s">
        <v>154</v>
      </c>
      <c r="D33" s="53">
        <f>TRUNC(SUM(D24:D32)*0.275,-1)</f>
        <v>565540</v>
      </c>
      <c r="E33" s="61">
        <f t="shared" si="0"/>
        <v>1869560</v>
      </c>
    </row>
    <row r="34" spans="1:7" x14ac:dyDescent="0.3">
      <c r="C34" s="35" t="s">
        <v>112</v>
      </c>
      <c r="D34" s="44">
        <f>SUM(D24:D33)</f>
        <v>2622060</v>
      </c>
      <c r="E34" s="44">
        <f>SUM(E24:E33)</f>
        <v>8667960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TRUNC(48936,-1)</f>
        <v>48930</v>
      </c>
      <c r="E40" s="63">
        <f t="shared" ref="E40:E59" si="1">TRUNC(+D40*3.3058,-1)</f>
        <v>161750</v>
      </c>
    </row>
    <row r="41" spans="1:7" x14ac:dyDescent="0.3">
      <c r="A41" s="2">
        <v>2</v>
      </c>
      <c r="C41" s="38" t="s">
        <v>13</v>
      </c>
      <c r="D41" s="42">
        <f>TRUNC(137613,-1)</f>
        <v>137610</v>
      </c>
      <c r="E41" s="64">
        <f t="shared" si="1"/>
        <v>454910</v>
      </c>
    </row>
    <row r="42" spans="1:7" x14ac:dyDescent="0.3">
      <c r="A42" s="2">
        <v>3</v>
      </c>
      <c r="C42" s="38" t="s">
        <v>14</v>
      </c>
      <c r="D42" s="42">
        <f>TRUNC(178112,-1)</f>
        <v>178110</v>
      </c>
      <c r="E42" s="64">
        <f t="shared" si="1"/>
        <v>588790</v>
      </c>
    </row>
    <row r="43" spans="1:7" x14ac:dyDescent="0.3">
      <c r="A43" s="2">
        <v>4</v>
      </c>
      <c r="C43" s="38" t="s">
        <v>16</v>
      </c>
      <c r="D43" s="42">
        <f>TRUNC(5962,-1)</f>
        <v>5960</v>
      </c>
      <c r="E43" s="64">
        <f t="shared" si="1"/>
        <v>19700</v>
      </c>
    </row>
    <row r="44" spans="1:7" x14ac:dyDescent="0.3">
      <c r="A44" s="2">
        <v>5</v>
      </c>
      <c r="C44" s="38" t="s">
        <v>17</v>
      </c>
      <c r="D44" s="42">
        <f>TRUNC(12894,-1)</f>
        <v>12890</v>
      </c>
      <c r="E44" s="64">
        <f t="shared" si="1"/>
        <v>42610</v>
      </c>
    </row>
    <row r="45" spans="1:7" x14ac:dyDescent="0.3">
      <c r="A45" s="2">
        <v>6</v>
      </c>
      <c r="C45" s="38" t="s">
        <v>18</v>
      </c>
      <c r="D45" s="42">
        <f>TRUNC(6418,-1)</f>
        <v>6410</v>
      </c>
      <c r="E45" s="64">
        <f t="shared" si="1"/>
        <v>21190</v>
      </c>
    </row>
    <row r="46" spans="1:7" x14ac:dyDescent="0.3">
      <c r="A46" s="2">
        <v>7</v>
      </c>
      <c r="C46" s="38" t="s">
        <v>19</v>
      </c>
      <c r="D46" s="42">
        <f>TRUNC(28539,-1)</f>
        <v>28530</v>
      </c>
      <c r="E46" s="64">
        <f t="shared" si="1"/>
        <v>94310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TRUNC(137093,-1)</f>
        <v>137090</v>
      </c>
      <c r="E48" s="64">
        <f t="shared" si="1"/>
        <v>453190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TRUNC(11406,-1)</f>
        <v>11400</v>
      </c>
      <c r="E49" s="64">
        <f t="shared" si="1"/>
        <v>37680</v>
      </c>
    </row>
    <row r="50" spans="1:7" x14ac:dyDescent="0.3">
      <c r="A50" s="2">
        <v>11</v>
      </c>
      <c r="C50" s="38" t="s">
        <v>155</v>
      </c>
      <c r="D50" s="42">
        <f>TRUNC(207187,-1)</f>
        <v>207180</v>
      </c>
      <c r="E50" s="64">
        <f t="shared" si="1"/>
        <v>684890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TRUNC(9274,-1)</f>
        <v>9270</v>
      </c>
      <c r="E52" s="64">
        <f t="shared" si="1"/>
        <v>30640</v>
      </c>
    </row>
    <row r="53" spans="1:7" x14ac:dyDescent="0.3">
      <c r="A53" s="2">
        <v>14</v>
      </c>
      <c r="C53" s="38" t="s">
        <v>25</v>
      </c>
      <c r="D53" s="42">
        <f>TRUNC(235810,-1)</f>
        <v>235810</v>
      </c>
      <c r="E53" s="64">
        <f t="shared" si="1"/>
        <v>779540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TRUNC(13347+1816-1762+5186+94836,-1)</f>
        <v>113420</v>
      </c>
      <c r="E58" s="64">
        <f t="shared" si="1"/>
        <v>374940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1132610</v>
      </c>
      <c r="E60" s="39">
        <f>SUM(E40:E59)</f>
        <v>3744140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TRUNC(28960,-1)</f>
        <v>28960</v>
      </c>
      <c r="E63" s="63">
        <f>TRUNC(+D63*3.3058,-1)</f>
        <v>95730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TRUNC(99253,-1)</f>
        <v>99250</v>
      </c>
      <c r="E65" s="65">
        <f>TRUNC(+D65*3.3058,-1)</f>
        <v>328100</v>
      </c>
    </row>
    <row r="66" spans="1:7" x14ac:dyDescent="0.3">
      <c r="A66" s="2">
        <v>4</v>
      </c>
      <c r="C66" s="27" t="s">
        <v>112</v>
      </c>
      <c r="D66" s="57">
        <f>SUM(D63:D65)</f>
        <v>128210</v>
      </c>
      <c r="E66" s="57">
        <f>SUM(E63:E65)</f>
        <v>423830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TRUNC(65096,-1)</f>
        <v>65090</v>
      </c>
      <c r="E69" s="63">
        <f t="shared" ref="E69:E94" si="2">TRUNC(+D69*3.3058,-1)</f>
        <v>215170</v>
      </c>
    </row>
    <row r="70" spans="1:7" ht="16.5" customHeight="1" x14ac:dyDescent="0.3">
      <c r="A70" s="2">
        <v>2</v>
      </c>
      <c r="C70" s="38" t="s">
        <v>31</v>
      </c>
      <c r="D70" s="42">
        <f>TRUNC(76,-1)</f>
        <v>70</v>
      </c>
      <c r="E70" s="64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TRUNC(15969,-1)</f>
        <v>15960</v>
      </c>
      <c r="E71" s="64">
        <f t="shared" si="2"/>
        <v>52760</v>
      </c>
    </row>
    <row r="72" spans="1:7" x14ac:dyDescent="0.3">
      <c r="A72" s="2">
        <v>4</v>
      </c>
      <c r="C72" s="38" t="s">
        <v>33</v>
      </c>
      <c r="D72" s="42">
        <f>TRUNC(938,-1)</f>
        <v>930</v>
      </c>
      <c r="E72" s="64">
        <f t="shared" si="2"/>
        <v>3070</v>
      </c>
    </row>
    <row r="73" spans="1:7" x14ac:dyDescent="0.3">
      <c r="A73" s="2">
        <v>5</v>
      </c>
      <c r="C73" s="38" t="s">
        <v>34</v>
      </c>
      <c r="D73" s="42">
        <f>TRUNC(7085,-1)</f>
        <v>7080</v>
      </c>
      <c r="E73" s="64">
        <f t="shared" si="2"/>
        <v>23400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TRUNC(4103,-1)</f>
        <v>4100</v>
      </c>
      <c r="E75" s="64">
        <f t="shared" si="2"/>
        <v>13550</v>
      </c>
    </row>
    <row r="76" spans="1:7" x14ac:dyDescent="0.3">
      <c r="A76" s="2">
        <v>8</v>
      </c>
      <c r="C76" s="38" t="s">
        <v>119</v>
      </c>
      <c r="D76" s="42">
        <f>TRUNC(20966,-1)</f>
        <v>20960</v>
      </c>
      <c r="E76" s="64">
        <f t="shared" si="2"/>
        <v>69280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TRUNC(11361,-1)</f>
        <v>11360</v>
      </c>
      <c r="E89" s="64">
        <f t="shared" si="2"/>
        <v>37550</v>
      </c>
    </row>
    <row r="90" spans="1:7" x14ac:dyDescent="0.3">
      <c r="A90" s="2">
        <v>22</v>
      </c>
      <c r="C90" s="38" t="s">
        <v>36</v>
      </c>
      <c r="D90" s="42">
        <f>TRUNC(1185,-1)</f>
        <v>1180</v>
      </c>
      <c r="E90" s="64">
        <f t="shared" si="2"/>
        <v>3900</v>
      </c>
    </row>
    <row r="91" spans="1:7" x14ac:dyDescent="0.3">
      <c r="A91" s="2">
        <v>23</v>
      </c>
      <c r="C91" s="38" t="s">
        <v>37</v>
      </c>
      <c r="D91" s="42">
        <f>TRUNC(247,-1)</f>
        <v>240</v>
      </c>
      <c r="E91" s="64">
        <f t="shared" si="2"/>
        <v>790</v>
      </c>
    </row>
    <row r="92" spans="1:7" x14ac:dyDescent="0.3">
      <c r="A92" s="2">
        <v>24</v>
      </c>
      <c r="C92" s="38" t="s">
        <v>38</v>
      </c>
      <c r="D92" s="42">
        <f>TRUNC(9475,-1)</f>
        <v>9470</v>
      </c>
      <c r="E92" s="64">
        <f t="shared" si="2"/>
        <v>31300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TRUNC(129073+3675+108+49623,-1)</f>
        <v>182470</v>
      </c>
      <c r="E94" s="65">
        <f t="shared" si="2"/>
        <v>603200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318910</v>
      </c>
      <c r="E95" s="39">
        <f>SUM(E69:E94)</f>
        <v>1054200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TRUNC(44154,-1)</f>
        <v>44150</v>
      </c>
      <c r="E98" s="63">
        <f t="shared" ref="E98:E118" si="3">TRUNC(+D98*3.3058,-1)</f>
        <v>145950</v>
      </c>
    </row>
    <row r="99" spans="1:7" x14ac:dyDescent="0.3">
      <c r="A99" s="2">
        <v>2</v>
      </c>
      <c r="C99" s="38" t="s">
        <v>40</v>
      </c>
      <c r="D99" s="42">
        <f>TRUNC(18711,-1)</f>
        <v>18710</v>
      </c>
      <c r="E99" s="64">
        <f t="shared" si="3"/>
        <v>61850</v>
      </c>
    </row>
    <row r="100" spans="1:7" x14ac:dyDescent="0.3">
      <c r="A100" s="2">
        <v>3</v>
      </c>
      <c r="C100" s="38" t="s">
        <v>41</v>
      </c>
      <c r="D100" s="42">
        <f>TRUNC(63794,-1)</f>
        <v>63790</v>
      </c>
      <c r="E100" s="64">
        <f t="shared" si="3"/>
        <v>210870</v>
      </c>
    </row>
    <row r="101" spans="1:7" x14ac:dyDescent="0.3">
      <c r="A101" s="2">
        <v>4</v>
      </c>
      <c r="C101" s="38" t="s">
        <v>42</v>
      </c>
      <c r="D101" s="42">
        <f>TRUNC(13759,-1)</f>
        <v>13750</v>
      </c>
      <c r="E101" s="64">
        <f t="shared" si="3"/>
        <v>45450</v>
      </c>
    </row>
    <row r="102" spans="1:7" x14ac:dyDescent="0.3">
      <c r="A102" s="2">
        <v>5</v>
      </c>
      <c r="C102" s="38" t="s">
        <v>43</v>
      </c>
      <c r="D102" s="42">
        <f>TRUNC(16920,-1)</f>
        <v>16920</v>
      </c>
      <c r="E102" s="64">
        <f t="shared" si="3"/>
        <v>55930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TRUNC(2308,-1)</f>
        <v>2300</v>
      </c>
      <c r="E104" s="64">
        <f t="shared" si="3"/>
        <v>7600</v>
      </c>
    </row>
    <row r="105" spans="1:7" x14ac:dyDescent="0.3">
      <c r="A105" s="2">
        <v>8</v>
      </c>
      <c r="C105" s="38" t="s">
        <v>46</v>
      </c>
      <c r="D105" s="42">
        <f>TRUNC(8664,-1)</f>
        <v>8660</v>
      </c>
      <c r="E105" s="64">
        <f t="shared" si="3"/>
        <v>28620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TRUNC(15172,-1)</f>
        <v>15170</v>
      </c>
      <c r="E114" s="64">
        <f t="shared" si="3"/>
        <v>50140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TRUNC(33959,-1)</f>
        <v>33950</v>
      </c>
      <c r="E116" s="64">
        <f t="shared" si="3"/>
        <v>112230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TRUNC(1567+23759,-1)</f>
        <v>25320</v>
      </c>
      <c r="E118" s="65">
        <f t="shared" si="3"/>
        <v>83700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242720</v>
      </c>
      <c r="E119" s="39">
        <f>SUM(E98:E118)</f>
        <v>802340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TRUNC(7056,-1)</f>
        <v>7050</v>
      </c>
      <c r="E122" s="63">
        <f t="shared" ref="E122:E132" si="4">TRUNC(+D122*3.3058,-1)</f>
        <v>23300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TRUNC(24832,-1)</f>
        <v>24830</v>
      </c>
      <c r="E124" s="64">
        <f t="shared" si="4"/>
        <v>82080</v>
      </c>
    </row>
    <row r="125" spans="1:7" x14ac:dyDescent="0.3">
      <c r="A125" s="2">
        <v>4</v>
      </c>
      <c r="C125" s="38" t="s">
        <v>138</v>
      </c>
      <c r="D125" s="42">
        <f>TRUNC(4324,-1)</f>
        <v>4320</v>
      </c>
      <c r="E125" s="64">
        <f t="shared" si="4"/>
        <v>14280</v>
      </c>
    </row>
    <row r="126" spans="1:7" x14ac:dyDescent="0.3">
      <c r="A126" s="2">
        <v>5</v>
      </c>
      <c r="C126" s="38" t="s">
        <v>53</v>
      </c>
      <c r="D126" s="42">
        <f>TRUNC(103,-1)</f>
        <v>100</v>
      </c>
      <c r="E126" s="64">
        <f t="shared" si="4"/>
        <v>330</v>
      </c>
    </row>
    <row r="127" spans="1:7" x14ac:dyDescent="0.3">
      <c r="A127" s="2">
        <v>6</v>
      </c>
      <c r="C127" s="38" t="s">
        <v>56</v>
      </c>
      <c r="D127" s="42">
        <f>TRUNC(14763,-1)</f>
        <v>14760</v>
      </c>
      <c r="E127" s="64">
        <f t="shared" si="4"/>
        <v>48790</v>
      </c>
    </row>
    <row r="128" spans="1:7" x14ac:dyDescent="0.3">
      <c r="A128" s="2">
        <v>7</v>
      </c>
      <c r="C128" s="38" t="s">
        <v>46</v>
      </c>
      <c r="D128" s="42">
        <f>TRUNC(6331,-1)</f>
        <v>6330</v>
      </c>
      <c r="E128" s="64">
        <f t="shared" si="4"/>
        <v>20920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TRUNC(64658,-1)</f>
        <v>64650</v>
      </c>
      <c r="E130" s="64">
        <f t="shared" si="4"/>
        <v>213710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f>TRUNC(6069+10415,-1)</f>
        <v>16480</v>
      </c>
      <c r="E132" s="65">
        <f t="shared" si="4"/>
        <v>54470</v>
      </c>
      <c r="F132" s="2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138520</v>
      </c>
      <c r="E133" s="39">
        <f>SUM(E122:E132)</f>
        <v>457880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TRUNC(30+2309+6651+1050+99,-1)</f>
        <v>10130</v>
      </c>
      <c r="E137" s="64">
        <f t="shared" si="5"/>
        <v>33480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TRUNC(2351,-1)</f>
        <v>2350</v>
      </c>
      <c r="E138" s="64">
        <f t="shared" si="5"/>
        <v>7760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TRUNC(4420,-1)</f>
        <v>4420</v>
      </c>
      <c r="E140" s="64">
        <f t="shared" si="5"/>
        <v>14610</v>
      </c>
    </row>
    <row r="141" spans="1:7" x14ac:dyDescent="0.3">
      <c r="A141" s="2">
        <v>6</v>
      </c>
      <c r="C141" s="38" t="s">
        <v>59</v>
      </c>
      <c r="D141" s="42">
        <f>TRUNC(25625,-1)</f>
        <v>25620</v>
      </c>
      <c r="E141" s="64">
        <f t="shared" si="5"/>
        <v>84690</v>
      </c>
    </row>
    <row r="142" spans="1:7" x14ac:dyDescent="0.3">
      <c r="A142" s="2">
        <v>7</v>
      </c>
      <c r="C142" s="38" t="s">
        <v>58</v>
      </c>
      <c r="D142" s="42">
        <f>TRUNC(5577,-1)</f>
        <v>5570</v>
      </c>
      <c r="E142" s="64">
        <f t="shared" si="5"/>
        <v>18410</v>
      </c>
    </row>
    <row r="143" spans="1:7" x14ac:dyDescent="0.3">
      <c r="A143" s="2">
        <v>8</v>
      </c>
      <c r="C143" s="38" t="s">
        <v>62</v>
      </c>
      <c r="D143" s="42">
        <f>TRUNC(3138,-1)</f>
        <v>3130</v>
      </c>
      <c r="E143" s="64">
        <f t="shared" si="5"/>
        <v>10340</v>
      </c>
    </row>
    <row r="144" spans="1:7" x14ac:dyDescent="0.3">
      <c r="A144" s="2">
        <v>9</v>
      </c>
      <c r="C144" s="38" t="s">
        <v>63</v>
      </c>
      <c r="D144" s="42">
        <f>TRUNC(16971,-1)</f>
        <v>16970</v>
      </c>
      <c r="E144" s="64">
        <f t="shared" si="5"/>
        <v>56090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68190</v>
      </c>
      <c r="E146" s="39">
        <f>SUM(E136:E145)</f>
        <v>225380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TRUNC(214+11,-1)</f>
        <v>220</v>
      </c>
      <c r="E149" s="63">
        <f>TRUNC(+D149*3.3058,-1)</f>
        <v>720</v>
      </c>
      <c r="F149" s="2" t="s">
        <v>95</v>
      </c>
    </row>
    <row r="150" spans="1:7" x14ac:dyDescent="0.3">
      <c r="A150" s="2">
        <v>2</v>
      </c>
      <c r="C150" s="38" t="s">
        <v>49</v>
      </c>
      <c r="D150" s="42">
        <f>TRUNC(1939,-1)</f>
        <v>1930</v>
      </c>
      <c r="E150" s="64">
        <f>TRUNC(+D150*3.3058,-1)</f>
        <v>6380</v>
      </c>
      <c r="F150" s="2" t="s">
        <v>95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TRUNC(13+315+16+63,-1)</f>
        <v>400</v>
      </c>
      <c r="E152" s="64">
        <f>TRUNC(+D152*3.3058,-1)</f>
        <v>1320</v>
      </c>
      <c r="F152" s="58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2550</v>
      </c>
      <c r="E154" s="39">
        <f>SUM(E149:E153)</f>
        <v>8420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TRUNC(5192,-1)</f>
        <v>5190</v>
      </c>
      <c r="E157" s="63">
        <f>TRUNC(+D157*3.3058,-1)</f>
        <v>17150</v>
      </c>
    </row>
    <row r="158" spans="1:7" x14ac:dyDescent="0.3">
      <c r="A158" s="2">
        <v>2</v>
      </c>
      <c r="C158" s="38" t="s">
        <v>52</v>
      </c>
      <c r="D158" s="42">
        <f>TRUNC(13227,-1)</f>
        <v>13220</v>
      </c>
      <c r="E158" s="64">
        <f>TRUNC(+D158*3.3058,-1)</f>
        <v>43700</v>
      </c>
    </row>
    <row r="159" spans="1:7" x14ac:dyDescent="0.3">
      <c r="A159" s="2">
        <v>3</v>
      </c>
      <c r="C159" s="38" t="s">
        <v>47</v>
      </c>
      <c r="D159" s="42">
        <f>TRUNC(4699+1707,-1)</f>
        <v>6400</v>
      </c>
      <c r="E159" s="64">
        <f>TRUNC(+D159*3.3058,-1)</f>
        <v>21150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24810</v>
      </c>
      <c r="E161" s="39">
        <f>SUM(E157:E160)</f>
        <v>82000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2020-12-07T10:05:47Z</dcterms:modified>
</cp:coreProperties>
</file>