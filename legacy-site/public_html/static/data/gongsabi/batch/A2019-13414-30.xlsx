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9" i="4"/>
  <c r="D157" i="4"/>
  <c r="D153" i="4"/>
  <c r="D152" i="4"/>
  <c r="D151" i="4"/>
  <c r="D143" i="4"/>
  <c r="D137" i="4"/>
  <c r="D132" i="4"/>
  <c r="D131" i="4"/>
  <c r="D130" i="4"/>
  <c r="D128" i="4"/>
  <c r="D127" i="4"/>
  <c r="D126" i="4"/>
  <c r="D125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3" i="4"/>
  <c r="D92" i="4"/>
  <c r="D91" i="4"/>
  <c r="D90" i="4"/>
  <c r="D89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<sst xmlns="http://schemas.openxmlformats.org/spreadsheetml/2006/main" count="395" uniqueCount="268">
  <si>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</si>
  <si>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</si>
  <si>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</si>
  <si>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</si>
  <si>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</si>
  <si>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</si>
  <si>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</si>
  <si>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</si>
  <si>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</si>
  <si>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</si>
  <si>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</si>
  <si>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</si>
  <si>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</si>
  <si>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</si>
  <si>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</si>
  <si>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</si>
  <si>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</si>
  <si>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</si>
  <si>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</si>
  <si>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</si>
  <si>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</si>
  <si>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</si>
  <si>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</si>
  <si>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</si>
  <si>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</si>
  <si>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</si>
  <si>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</si>
  <si>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</si>
  <si>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</si>
  <si>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</si>
  <si>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</si>
  <si>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</si>
  <si>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</si>
  <si>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</si>
  <si>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</si>
  <si>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</si>
  <si>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</si>
  <si>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</si>
  <si>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</si>
  <si>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</si>
  <si>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</si>
  <si>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</si>
  <si>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</si>
  <si>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</si>
  <si>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</si>
  <si>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</si>
  <si>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</si>
  <si>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</si>
  <si>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</si>
  <si>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</si>
  <si>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</si>
  <si>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</si>
  <si>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</si>
  <si>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</si>
  <si>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</si>
  <si>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</si>
  <si>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</si>
  <si>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</si>
  <si>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</si>
  <si>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</si>
  <si>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</si>
  <si>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</si>
  <si>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</si>
  <si>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</si>
  <si>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</si>
  <si>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</si>
  <si>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</si>
  <si>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</si>
  <si>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</si>
  <si>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</si>
  <si>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</si>
  <si>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</si>
  <si>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</si>
  <si>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</si>
  <si>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</si>
  <si>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</si>
  <si>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</si>
  <si>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</si>
  <si>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</si>
  <si>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</si>
  <si>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</si>
  <si>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</si>
  <si>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</si>
  <si>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</si>
  <si>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</si>
  <si>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</si>
  <si>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</si>
  <si>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</si>
  <si>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</si>
  <si>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</si>
  <si>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</si>
  <si>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</si>
  <si>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</si>
  <si>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</si>
  <si>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</si>
  <si>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</si>
  <si>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</si>
  <si>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</si>
  <si>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</si>
  <si>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</si>
  <si>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</si>
  <si>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</si>
  <si>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</si>
  <si>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</si>
  <si>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</si>
  <si>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</si>
  <si>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</si>
  <si>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</si>
  <si>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</si>
  <si>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</si>
  <si>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</si>
  <si>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</si>
  <si>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</si>
  <si>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</si>
  <si>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</si>
  <si>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</si>
  <si>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</si>
  <si>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</si>
  <si>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</si>
  <si>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</si>
  <si>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</si>
  <si>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</si>
  <si>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</si>
  <si>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</si>
  <si>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</si>
  <si>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</si>
  <si>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</si>
  <si>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</si>
  <si>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</si>
  <si>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</si>
  <si>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</si>
  <si>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</si>
  <si>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</si>
  <si>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</si>
  <si>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</si>
  <si>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</si>
  <si>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</si>
  <si>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</si>
  <si>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</si>
  <si>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</si>
  <si>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</si>
  <si>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</si>
  <si>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</si>
  <si>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</si>
  <si>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</si>
  <si>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</si>
  <si>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</si>
  <si>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</si>
  <si>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</si>
  <si>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</si>
  <si>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</si>
  <si>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</si>
  <si>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</si>
  <si>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</si>
  <si>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</si>
  <si>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</si>
  <si>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</si>
  <si>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</si>
  <si>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</si>
  <si>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</si>
  <si>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</si>
  <si>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</si>
  <si>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</si>
  <si>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</si>
  <si>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</si>
  <si>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</si>
  <si>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</si>
  <si>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</si>
  <si>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</si>
  <si>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</si>
  <si>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</si>
  <si>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</si>
  <si>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</si>
  <si>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</si>
  <si>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</si>
  <si>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</si>
  <si>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</si>
  <si>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</si>
  <si>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</si>
  <si>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</si>
  <si>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</si>
  <si>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</si>
  <si>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</si>
  <si>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</si>
  <si>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</si>
  <si>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</si>
  <si>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</si>
  <si>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</si>
  <si>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</si>
  <si>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</si>
  <si>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</si>
  <si>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</si>
  <si>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</si>
  <si>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</si>
  <si>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</si>
  <si>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</si>
  <si>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</si>
  <si>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</si>
  <si>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</si>
  <si>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</si>
  <si>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</si>
  <si>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</si>
  <si>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</si>
  <si>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</si>
  <si>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</si>
  <si>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</si>
  <si>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</si>
  <si>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</si>
  <si>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</si>
  <si>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</si>
  <si>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</si>
  <si>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</si>
  <si>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</si>
  <si>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</si>
  <si>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</si>
  <si>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</si>
  <si>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</si>
  <si>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</si>
  <si>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</si>
  <si>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</si>
  <si>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</si>
  <si>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</si>
  <si>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</si>
  <si>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</si>
  <si>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</si>
  <si>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</si>
  <si>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</si>
  <si>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</si>
  <si>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</si>
  <si>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</si>
  <si>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</si>
  <si>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</si>
  <si>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</si>
  <si>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</si>
  <si>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</si>
  <si>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</si>
  <si>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</si>
  <si>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</si>
  <si>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</si>
  <si>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</si>
  <si>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</si>
  <si>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</si>
  <si>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</si>
  <si>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</si>
  <si>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</si>
  <si>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</si>
  <si>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</si>
  <si>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</si>
  <si>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</si>
  <si>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제주지방경찰청 이전 신축 건축 공사</t>
    <phoneticPr fontId="2" type="noConversion"/>
  </si>
  <si>
    <t>제주도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</si>
  <si>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</si>
  <si>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</si>
  <si>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</si>
  <si>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</si>
  <si>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기타공사</t>
    <phoneticPr fontId="2" type="noConversion"/>
  </si>
  <si>
    <t xml:space="preserve">전기인입 및 수변전 설비공사  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</si>
  <si>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</si>
  <si>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</si>
  <si>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</si>
  <si>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</si>
  <si>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</si>
  <si>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</si>
  <si>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</si>
  <si>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바닥난방공사,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</si>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</sst>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15837.12</v>
      </c>
      <c r="D7" s="36">
        <f>+C7/3.3058</f>
        <v>4790.7072418174121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803350</v>
      </c>
      <c r="E25" s="59">
        <f t="shared" si="0"/>
        <v>2655710</v>
      </c>
    </row>
    <row r="26" spans="1:5" x14ac:dyDescent="0.3">
      <c r="B26" s="2">
        <v>3</v>
      </c>
      <c r="C26" s="35" t="s">
        <v>95</v>
      </c>
      <c r="D26" s="45">
        <f>+D66</f>
        <v>15490</v>
      </c>
      <c r="E26" s="59">
        <f t="shared" si="0"/>
        <v>51200</v>
      </c>
    </row>
    <row r="27" spans="1:5" x14ac:dyDescent="0.3">
      <c r="B27" s="2">
        <v>4</v>
      </c>
      <c r="C27" s="35" t="s">
        <v>96</v>
      </c>
      <c r="D27" s="45">
        <f>+D95</f>
        <v>227950</v>
      </c>
      <c r="E27" s="59">
        <f t="shared" si="0"/>
        <v>753550</v>
      </c>
    </row>
    <row r="28" spans="1:5" x14ac:dyDescent="0.3">
      <c r="B28" s="2">
        <v>5</v>
      </c>
      <c r="C28" s="35" t="s">
        <v>97</v>
      </c>
      <c r="D28" s="45">
        <f>+D119</f>
        <v>223130</v>
      </c>
      <c r="E28" s="59">
        <f t="shared" si="0"/>
        <v>737620</v>
      </c>
    </row>
    <row r="29" spans="1:5" x14ac:dyDescent="0.3">
      <c r="B29" s="2">
        <v>6</v>
      </c>
      <c r="C29" s="35" t="s">
        <v>98</v>
      </c>
      <c r="D29" s="45">
        <f>+D133</f>
        <v>126850</v>
      </c>
      <c r="E29" s="59">
        <f t="shared" si="0"/>
        <v>419340</v>
      </c>
    </row>
    <row r="30" spans="1:5" x14ac:dyDescent="0.3">
      <c r="B30" s="2">
        <v>7</v>
      </c>
      <c r="C30" s="35" t="s">
        <v>99</v>
      </c>
      <c r="D30" s="45">
        <f>+D146</f>
        <v>73250</v>
      </c>
      <c r="E30" s="59">
        <f t="shared" si="0"/>
        <v>242140</v>
      </c>
    </row>
    <row r="31" spans="1:5" x14ac:dyDescent="0.3">
      <c r="B31" s="2">
        <v>8</v>
      </c>
      <c r="C31" s="35" t="s">
        <v>100</v>
      </c>
      <c r="D31" s="45">
        <f>+D154</f>
        <v>90370</v>
      </c>
      <c r="E31" s="59">
        <f t="shared" si="0"/>
        <v>298740</v>
      </c>
    </row>
    <row r="32" spans="1:5" x14ac:dyDescent="0.3">
      <c r="B32" s="2">
        <v>9</v>
      </c>
      <c r="C32" s="35" t="s">
        <v>101</v>
      </c>
      <c r="D32" s="45">
        <f>+D161</f>
        <v>35030</v>
      </c>
      <c r="E32" s="59">
        <f t="shared" si="0"/>
        <v>115800</v>
      </c>
    </row>
    <row r="33" spans="1:7" x14ac:dyDescent="0.3">
      <c r="B33" s="2">
        <v>10</v>
      </c>
      <c r="C33" s="35" t="s">
        <v>154</v>
      </c>
      <c r="D33" s="53">
        <f>TRUNC(SUM(D24:D32)*0.275,-1)</f>
        <v>438740</v>
      </c>
      <c r="E33" s="60">
        <f t="shared" si="0"/>
        <v>1450380</v>
      </c>
    </row>
    <row r="34" spans="1:7" x14ac:dyDescent="0.3">
      <c r="C34" s="35" t="s">
        <v>112</v>
      </c>
      <c r="D34" s="44">
        <f>SUM(D24:D33)</f>
        <v>2034160</v>
      </c>
      <c r="E34" s="44">
        <f>SUM(E24:E33)</f>
        <v>6724480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238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TRUNC(42665,-1)</f>
        <v>42660</v>
      </c>
      <c r="E40" s="62">
        <f t="shared" ref="E40:E59" si="1">TRUNC(+D40*3.3058,-1)</f>
        <v>141020</v>
      </c>
    </row>
    <row r="41" spans="1:7" x14ac:dyDescent="0.3">
      <c r="A41" s="2">
        <v>2</v>
      </c>
      <c r="C41" s="38" t="s">
        <v>13</v>
      </c>
      <c r="D41" s="42">
        <f>TRUNC(116169,-1)</f>
        <v>116160</v>
      </c>
      <c r="E41" s="63">
        <f t="shared" si="1"/>
        <v>384000</v>
      </c>
    </row>
    <row r="42" spans="1:7" x14ac:dyDescent="0.3">
      <c r="A42" s="2">
        <v>3</v>
      </c>
      <c r="C42" s="38" t="s">
        <v>14</v>
      </c>
      <c r="D42" s="42">
        <f>TRUNC(27076,-1)</f>
        <v>27070</v>
      </c>
      <c r="E42" s="63">
        <f t="shared" si="1"/>
        <v>89480</v>
      </c>
    </row>
    <row r="43" spans="1:7" x14ac:dyDescent="0.3">
      <c r="A43" s="2">
        <v>4</v>
      </c>
      <c r="C43" s="38" t="s">
        <v>16</v>
      </c>
      <c r="D43" s="42">
        <f>TRUNC(12516,-1)</f>
        <v>12510</v>
      </c>
      <c r="E43" s="63">
        <f t="shared" si="1"/>
        <v>41350</v>
      </c>
    </row>
    <row r="44" spans="1:7" x14ac:dyDescent="0.3">
      <c r="A44" s="2">
        <v>5</v>
      </c>
      <c r="C44" s="38" t="s">
        <v>17</v>
      </c>
      <c r="D44" s="42">
        <f>TRUNC(14413,-1)</f>
        <v>14410</v>
      </c>
      <c r="E44" s="63">
        <f t="shared" si="1"/>
        <v>47630</v>
      </c>
    </row>
    <row r="45" spans="1:7" x14ac:dyDescent="0.3">
      <c r="A45" s="2">
        <v>6</v>
      </c>
      <c r="C45" s="38" t="s">
        <v>18</v>
      </c>
      <c r="D45" s="42">
        <f>TRUNC(7574,-1)</f>
        <v>7570</v>
      </c>
      <c r="E45" s="63">
        <f t="shared" si="1"/>
        <v>25020</v>
      </c>
    </row>
    <row r="46" spans="1:7" x14ac:dyDescent="0.3">
      <c r="A46" s="2">
        <v>7</v>
      </c>
      <c r="C46" s="38" t="s">
        <v>19</v>
      </c>
      <c r="D46" s="42">
        <f>TRUNC(18644,-1)</f>
        <v>18640</v>
      </c>
      <c r="E46" s="63">
        <f t="shared" si="1"/>
        <v>61620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TRUNC(24364,-1)</f>
        <v>24360</v>
      </c>
      <c r="E48" s="63">
        <f t="shared" si="1"/>
        <v>80520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TRUNC(7897,-1)</f>
        <v>7890</v>
      </c>
      <c r="E49" s="63">
        <f t="shared" si="1"/>
        <v>26080</v>
      </c>
    </row>
    <row r="50" spans="1:7" x14ac:dyDescent="0.3">
      <c r="A50" s="2">
        <v>11</v>
      </c>
      <c r="C50" s="38" t="s">
        <v>155</v>
      </c>
      <c r="D50" s="42">
        <f>TRUNC(55689,-1)</f>
        <v>55680</v>
      </c>
      <c r="E50" s="63">
        <f t="shared" si="1"/>
        <v>184060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TRUNC(6649,-1)</f>
        <v>6640</v>
      </c>
      <c r="E52" s="63">
        <f t="shared" si="1"/>
        <v>21950</v>
      </c>
    </row>
    <row r="53" spans="1:7" x14ac:dyDescent="0.3">
      <c r="A53" s="2">
        <v>14</v>
      </c>
      <c r="C53" s="38" t="s">
        <v>25</v>
      </c>
      <c r="D53" s="42">
        <f>TRUNC(44018,-1)</f>
        <v>44010</v>
      </c>
      <c r="E53" s="63">
        <f t="shared" si="1"/>
        <v>145480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TRUNC(11402+20717+9787-1327+426+5323,-1)</f>
        <v>46320</v>
      </c>
      <c r="E58" s="63">
        <f t="shared" si="1"/>
        <v>153120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TRUNC(379434,-1)</f>
        <v>379430</v>
      </c>
      <c r="E59" s="64">
        <f t="shared" si="1"/>
        <v>1254310</v>
      </c>
    </row>
    <row r="60" spans="1:7" x14ac:dyDescent="0.3">
      <c r="A60" s="2">
        <v>21</v>
      </c>
      <c r="C60" s="27" t="s">
        <v>112</v>
      </c>
      <c r="D60" s="39">
        <f>SUM(D40:D59)</f>
        <v>803350</v>
      </c>
      <c r="E60" s="39">
        <f>SUM(E40:E59)</f>
        <v>2655640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TRUNC(13436,-1)</f>
        <v>13430</v>
      </c>
      <c r="E63" s="62">
        <f>TRUNC(+D63*3.3058,-1)</f>
        <v>44390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TRUNC(2063,-1)</f>
        <v>2060</v>
      </c>
      <c r="E65" s="64">
        <f>TRUNC(+D65*3.3058,-1)</f>
        <v>6800</v>
      </c>
    </row>
    <row r="66" spans="1:7" x14ac:dyDescent="0.3">
      <c r="A66" s="2">
        <v>4</v>
      </c>
      <c r="C66" s="27" t="s">
        <v>112</v>
      </c>
      <c r="D66" s="39">
        <f>SUM(D63:D65)</f>
        <v>15490</v>
      </c>
      <c r="E66" s="65">
        <f>SUM(E63:E65)</f>
        <v>51190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TRUNC(7378,-1)</f>
        <v>7370</v>
      </c>
      <c r="E69" s="62">
        <f t="shared" ref="E69:E94" si="2">TRUNC(+D69*3.3058,-1)</f>
        <v>24360</v>
      </c>
    </row>
    <row r="70" spans="1:7" ht="16.5" customHeight="1" x14ac:dyDescent="0.3">
      <c r="A70" s="2">
        <v>2</v>
      </c>
      <c r="C70" s="38" t="s">
        <v>31</v>
      </c>
      <c r="D70" s="42">
        <f>TRUNC(1006,-1)</f>
        <v>1000</v>
      </c>
      <c r="E70" s="63">
        <f t="shared" si="2"/>
        <v>3300</v>
      </c>
    </row>
    <row r="71" spans="1:7" x14ac:dyDescent="0.3">
      <c r="A71" s="2">
        <v>3</v>
      </c>
      <c r="C71" s="38" t="s">
        <v>32</v>
      </c>
      <c r="D71" s="42">
        <f>TRUNC(5297,-1)</f>
        <v>5290</v>
      </c>
      <c r="E71" s="63">
        <f t="shared" si="2"/>
        <v>17480</v>
      </c>
    </row>
    <row r="72" spans="1:7" x14ac:dyDescent="0.3">
      <c r="A72" s="2">
        <v>4</v>
      </c>
      <c r="C72" s="38" t="s">
        <v>33</v>
      </c>
      <c r="D72" s="42">
        <f>TRUNC(4578,-1)</f>
        <v>4570</v>
      </c>
      <c r="E72" s="63">
        <f t="shared" si="2"/>
        <v>15100</v>
      </c>
    </row>
    <row r="73" spans="1:7" x14ac:dyDescent="0.3">
      <c r="A73" s="2">
        <v>5</v>
      </c>
      <c r="C73" s="38" t="s">
        <v>34</v>
      </c>
      <c r="D73" s="42">
        <f>TRUNC(8932,-1)</f>
        <v>8930</v>
      </c>
      <c r="E73" s="63">
        <f t="shared" si="2"/>
        <v>29520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TRUNC(7884,-1)</f>
        <v>7880</v>
      </c>
      <c r="E89" s="63">
        <f t="shared" si="2"/>
        <v>26040</v>
      </c>
    </row>
    <row r="90" spans="1:7" x14ac:dyDescent="0.3">
      <c r="A90" s="2">
        <v>22</v>
      </c>
      <c r="C90" s="38" t="s">
        <v>36</v>
      </c>
      <c r="D90" s="42">
        <f>TRUNC(2747,-1)</f>
        <v>2740</v>
      </c>
      <c r="E90" s="63">
        <f t="shared" si="2"/>
        <v>9050</v>
      </c>
    </row>
    <row r="91" spans="1:7" x14ac:dyDescent="0.3">
      <c r="A91" s="2">
        <v>23</v>
      </c>
      <c r="C91" s="38" t="s">
        <v>37</v>
      </c>
      <c r="D91" s="42">
        <f>TRUNC(16622,-1)</f>
        <v>16620</v>
      </c>
      <c r="E91" s="63">
        <f t="shared" si="2"/>
        <v>54940</v>
      </c>
    </row>
    <row r="92" spans="1:7" x14ac:dyDescent="0.3">
      <c r="A92" s="2">
        <v>24</v>
      </c>
      <c r="C92" s="38" t="s">
        <v>38</v>
      </c>
      <c r="D92" s="42">
        <f>TRUNC(6149,-1)</f>
        <v>6140</v>
      </c>
      <c r="E92" s="63">
        <f t="shared" si="2"/>
        <v>20290</v>
      </c>
    </row>
    <row r="93" spans="1:7" x14ac:dyDescent="0.3">
      <c r="A93" s="2">
        <v>25</v>
      </c>
      <c r="C93" s="38" t="s">
        <v>148</v>
      </c>
      <c r="D93" s="42">
        <f>TRUNC(165026,-1)</f>
        <v>165020</v>
      </c>
      <c r="E93" s="63">
        <f t="shared" si="2"/>
        <v>545520</v>
      </c>
    </row>
    <row r="94" spans="1:7" ht="17.25" thickBot="1" x14ac:dyDescent="0.35">
      <c r="A94" s="2">
        <v>26</v>
      </c>
      <c r="C94" s="38" t="s">
        <v>47</v>
      </c>
      <c r="D94" s="43">
        <f>TRUNC(686+1707,-1)</f>
        <v>2390</v>
      </c>
      <c r="E94" s="64">
        <f t="shared" si="2"/>
        <v>7900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227950</v>
      </c>
      <c r="E95" s="39">
        <f>SUM(E69:E94)</f>
        <v>753500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TRUNC(9573,-1)</f>
        <v>9570</v>
      </c>
      <c r="E98" s="62">
        <f t="shared" ref="E98:E118" si="3">TRUNC(+D98*3.3058,-1)</f>
        <v>31630</v>
      </c>
    </row>
    <row r="99" spans="1:7" x14ac:dyDescent="0.3">
      <c r="A99" s="2">
        <v>2</v>
      </c>
      <c r="C99" s="38" t="s">
        <v>40</v>
      </c>
      <c r="D99" s="42">
        <f>TRUNC(6265,-1)</f>
        <v>6260</v>
      </c>
      <c r="E99" s="63">
        <f t="shared" si="3"/>
        <v>20690</v>
      </c>
    </row>
    <row r="100" spans="1:7" x14ac:dyDescent="0.3">
      <c r="A100" s="2">
        <v>3</v>
      </c>
      <c r="C100" s="38" t="s">
        <v>41</v>
      </c>
      <c r="D100" s="42">
        <f>TRUNC(34796,-1)</f>
        <v>34790</v>
      </c>
      <c r="E100" s="63">
        <f t="shared" si="3"/>
        <v>115000</v>
      </c>
    </row>
    <row r="101" spans="1:7" x14ac:dyDescent="0.3">
      <c r="A101" s="2">
        <v>4</v>
      </c>
      <c r="C101" s="38" t="s">
        <v>42</v>
      </c>
      <c r="D101" s="42">
        <f>TRUNC(648,-1)</f>
        <v>640</v>
      </c>
      <c r="E101" s="63">
        <f t="shared" si="3"/>
        <v>2110</v>
      </c>
    </row>
    <row r="102" spans="1:7" x14ac:dyDescent="0.3">
      <c r="A102" s="2">
        <v>5</v>
      </c>
      <c r="C102" s="38" t="s">
        <v>43</v>
      </c>
      <c r="D102" s="42">
        <f>TRUNC(19204,-1)</f>
        <v>19200</v>
      </c>
      <c r="E102" s="63">
        <f t="shared" si="3"/>
        <v>63470</v>
      </c>
    </row>
    <row r="103" spans="1:7" x14ac:dyDescent="0.3">
      <c r="A103" s="2">
        <v>6</v>
      </c>
      <c r="C103" s="38" t="s">
        <v>44</v>
      </c>
      <c r="D103" s="42">
        <f>TRUNC(7219,-1)</f>
        <v>7210</v>
      </c>
      <c r="E103" s="63">
        <f t="shared" si="3"/>
        <v>23830</v>
      </c>
    </row>
    <row r="104" spans="1:7" x14ac:dyDescent="0.3">
      <c r="A104" s="2">
        <v>7</v>
      </c>
      <c r="C104" s="38" t="s">
        <v>45</v>
      </c>
      <c r="D104" s="42">
        <f>TRUNC(7484,-1)</f>
        <v>7480</v>
      </c>
      <c r="E104" s="63">
        <f t="shared" si="3"/>
        <v>24720</v>
      </c>
    </row>
    <row r="105" spans="1:7" x14ac:dyDescent="0.3">
      <c r="A105" s="2">
        <v>8</v>
      </c>
      <c r="C105" s="38" t="s">
        <v>46</v>
      </c>
      <c r="D105" s="42">
        <f>TRUNC(3705,-1)</f>
        <v>3700</v>
      </c>
      <c r="E105" s="63">
        <f t="shared" si="3"/>
        <v>12230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TRUNC(8468,-1)</f>
        <v>8460</v>
      </c>
      <c r="E114" s="63">
        <f t="shared" si="3"/>
        <v>27960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TRUNC(2749,-1)</f>
        <v>2740</v>
      </c>
      <c r="E116" s="63">
        <f t="shared" si="3"/>
        <v>9050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TRUNC(121109,-1)</f>
        <v>121100</v>
      </c>
      <c r="E117" s="63">
        <f t="shared" si="3"/>
        <v>400330</v>
      </c>
    </row>
    <row r="118" spans="1:7" ht="17.25" thickBot="1" x14ac:dyDescent="0.35">
      <c r="A118" s="2">
        <v>21</v>
      </c>
      <c r="C118" s="38" t="s">
        <v>47</v>
      </c>
      <c r="D118" s="43">
        <f>TRUNC(998+986,-1)</f>
        <v>1980</v>
      </c>
      <c r="E118" s="64">
        <f t="shared" si="3"/>
        <v>6540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223130</v>
      </c>
      <c r="E119" s="39">
        <f>SUM(E98:E118)</f>
        <v>737560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TRUNC(6256,-1)</f>
        <v>6250</v>
      </c>
      <c r="E122" s="62">
        <f t="shared" ref="E122:E132" si="4">TRUNC(+D122*3.3058,-1)</f>
        <v>20660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1930</v>
      </c>
      <c r="E124" s="63">
        <f t="shared" si="4"/>
        <v>6380</v>
      </c>
    </row>
    <row r="125" spans="1:7" x14ac:dyDescent="0.3">
      <c r="A125" s="2">
        <v>4</v>
      </c>
      <c r="C125" s="38" t="s">
        <v>138</v>
      </c>
      <c r="D125" s="42">
        <f>TRUNC(9398,-1)</f>
        <v>9390</v>
      </c>
      <c r="E125" s="63">
        <f t="shared" si="4"/>
        <v>31040</v>
      </c>
    </row>
    <row r="126" spans="1:7" x14ac:dyDescent="0.3">
      <c r="A126" s="2">
        <v>5</v>
      </c>
      <c r="C126" s="38" t="s">
        <v>53</v>
      </c>
      <c r="D126" s="42">
        <f>TRUNC(9859,-1)</f>
        <v>9850</v>
      </c>
      <c r="E126" s="63">
        <f t="shared" si="4"/>
        <v>32560</v>
      </c>
    </row>
    <row r="127" spans="1:7" x14ac:dyDescent="0.3">
      <c r="A127" s="2">
        <v>6</v>
      </c>
      <c r="C127" s="38" t="s">
        <v>56</v>
      </c>
      <c r="D127" s="42">
        <f>TRUNC(5192,-1)</f>
        <v>5190</v>
      </c>
      <c r="E127" s="63">
        <f t="shared" si="4"/>
        <v>17150</v>
      </c>
    </row>
    <row r="128" spans="1:7" x14ac:dyDescent="0.3">
      <c r="A128" s="2">
        <v>7</v>
      </c>
      <c r="C128" s="38" t="s">
        <v>46</v>
      </c>
      <c r="D128" s="42">
        <f>TRUNC(8641,-1)</f>
        <v>8640</v>
      </c>
      <c r="E128" s="63">
        <f t="shared" si="4"/>
        <v>28560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TRUNC(33828,-1)</f>
        <v>33820</v>
      </c>
      <c r="E130" s="63">
        <f t="shared" si="4"/>
        <v>111800</v>
      </c>
    </row>
    <row r="131" spans="1:7" x14ac:dyDescent="0.3">
      <c r="A131" s="2">
        <v>10</v>
      </c>
      <c r="C131" s="38" t="s">
        <v>148</v>
      </c>
      <c r="D131" s="42">
        <f>TRUNC(46966,-1)</f>
        <v>46960</v>
      </c>
      <c r="E131" s="63">
        <f t="shared" si="4"/>
        <v>155240</v>
      </c>
    </row>
    <row r="132" spans="1:7" ht="18" thickBot="1" x14ac:dyDescent="0.35">
      <c r="A132" s="2">
        <v>11</v>
      </c>
      <c r="C132" s="38" t="s">
        <v>47</v>
      </c>
      <c r="D132" s="43">
        <f>TRUNC(1987+2834,-1)</f>
        <v>4820</v>
      </c>
      <c r="E132" s="64">
        <f t="shared" si="4"/>
        <v>15930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126850</v>
      </c>
      <c r="E133" s="39">
        <f>SUM(E122:E132)</f>
        <v>419320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TRUNC(179,-1)</f>
        <v>170</v>
      </c>
      <c r="E137" s="63">
        <f t="shared" si="5"/>
        <v>560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38750</v>
      </c>
      <c r="E142" s="63">
        <f t="shared" si="5"/>
        <v>128090</v>
      </c>
    </row>
    <row r="143" spans="1:7" x14ac:dyDescent="0.3">
      <c r="A143" s="2">
        <v>8</v>
      </c>
      <c r="C143" s="38" t="s">
        <v>62</v>
      </c>
      <c r="D143" s="42">
        <f>TRUNC(6491,-1)</f>
        <v>6490</v>
      </c>
      <c r="E143" s="63">
        <f t="shared" si="5"/>
        <v>21450</v>
      </c>
    </row>
    <row r="144" spans="1:7" x14ac:dyDescent="0.3">
      <c r="A144" s="2">
        <v>9</v>
      </c>
      <c r="C144" s="38" t="s">
        <v>63</v>
      </c>
      <c r="D144" s="42">
        <v>21020</v>
      </c>
      <c r="E144" s="63">
        <f t="shared" si="5"/>
        <v>69480</v>
      </c>
    </row>
    <row r="145" spans="1:7" ht="17.25" thickBot="1" x14ac:dyDescent="0.35">
      <c r="A145" s="2">
        <v>10</v>
      </c>
      <c r="C145" s="38" t="s">
        <v>148</v>
      </c>
      <c r="D145" s="43">
        <v>6820</v>
      </c>
      <c r="E145" s="64">
        <f t="shared" si="5"/>
        <v>22540</v>
      </c>
    </row>
    <row r="146" spans="1:7" x14ac:dyDescent="0.3">
      <c r="A146" s="2">
        <v>11</v>
      </c>
      <c r="C146" s="27" t="s">
        <v>112</v>
      </c>
      <c r="D146" s="39">
        <f>SUM(D136:D145)</f>
        <v>73250</v>
      </c>
      <c r="E146" s="39">
        <f>SUM(E136:E145)</f>
        <v>242120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11170</v>
      </c>
      <c r="E149" s="62">
        <f>TRUNC(+D149*3.3058,-1)</f>
        <v>36920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v>5990</v>
      </c>
      <c r="E150" s="63">
        <f>TRUNC(+D150*3.3058,-1)</f>
        <v>19800</v>
      </c>
    </row>
    <row r="151" spans="1:7" x14ac:dyDescent="0.3">
      <c r="A151" s="2">
        <v>3</v>
      </c>
      <c r="C151" s="38" t="s">
        <v>50</v>
      </c>
      <c r="D151" s="42">
        <f>TRUNC(8724,-1)</f>
        <v>8720</v>
      </c>
      <c r="E151" s="63">
        <f>TRUNC(+D151*3.3058,-1)</f>
        <v>28820</v>
      </c>
    </row>
    <row r="152" spans="1:7" x14ac:dyDescent="0.3">
      <c r="A152" s="2">
        <v>4</v>
      </c>
      <c r="C152" s="38" t="s">
        <v>47</v>
      </c>
      <c r="D152" s="42">
        <f>TRUNC(409+3572+705+806,-1)</f>
        <v>5490</v>
      </c>
      <c r="E152" s="63">
        <f>TRUNC(+D152*3.3058,-1)</f>
        <v>18140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TRUNC(59006,-1)</f>
        <v>59000</v>
      </c>
      <c r="E153" s="64">
        <f>TRUNC(+D153*3.3058,-1)</f>
        <v>195040</v>
      </c>
    </row>
    <row r="154" spans="1:7" x14ac:dyDescent="0.3">
      <c r="A154" s="2">
        <v>6</v>
      </c>
      <c r="C154" s="27" t="s">
        <v>112</v>
      </c>
      <c r="D154" s="39">
        <f>SUM(D149:D153)</f>
        <v>90370</v>
      </c>
      <c r="E154" s="39">
        <f>SUM(E149:E153)</f>
        <v>298720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TRUNC(16527,-1)</f>
        <v>16520</v>
      </c>
      <c r="E157" s="62">
        <f>TRUNC(+D157*3.3058,-1)</f>
        <v>54610</v>
      </c>
    </row>
    <row r="158" spans="1:7" x14ac:dyDescent="0.3">
      <c r="A158" s="2">
        <v>2</v>
      </c>
      <c r="C158" s="38" t="s">
        <v>52</v>
      </c>
      <c r="D158" s="42">
        <v>6460</v>
      </c>
      <c r="E158" s="63">
        <f>TRUNC(+D158*3.3058,-1)</f>
        <v>21350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TRUNC(4132+1756,-1)</f>
        <v>5880</v>
      </c>
      <c r="E159" s="63">
        <f>TRUNC(+D159*3.3058,-1)</f>
        <v>19430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TRUNC(6171,-1)</f>
        <v>6170</v>
      </c>
      <c r="E160" s="64">
        <f>TRUNC(+D160*3.3058,-1)</f>
        <v>20390</v>
      </c>
    </row>
    <row r="161" spans="1:5" x14ac:dyDescent="0.3">
      <c r="A161" s="2">
        <v>5</v>
      </c>
      <c r="C161" s="27" t="s">
        <v>112</v>
      </c>
      <c r="D161" s="39">
        <f>SUM(D157:D160)</f>
        <v>35030</v>
      </c>
      <c r="E161" s="39">
        <f>SUM(E157:E160)</f>
        <v>115780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2020-12-08T04:48:58Z</dcterms:modified>
</cp:coreProperties>
</file>