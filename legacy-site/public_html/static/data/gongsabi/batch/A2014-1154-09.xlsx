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65" i="4" l="1"/>
  <c r="D94" i="4" l="1"/>
  <c r="D84" i="4"/>
  <c r="D132" i="4" l="1"/>
  <c r="D122" i="4"/>
  <c r="D123" i="4"/>
  <c r="D137" i="4"/>
  <c r="D118" i="4"/>
  <c r="D104" i="4"/>
  <c r="D101" i="4"/>
  <c r="D102" i="4"/>
  <c r="D100" i="4"/>
  <c r="D99" i="4"/>
  <c r="D98" i="4"/>
  <c r="D136" i="4"/>
  <c r="D72" i="4"/>
  <c r="D81" i="4"/>
  <c r="D78" i="4"/>
  <c r="D71" i="4"/>
  <c r="D70" i="4"/>
  <c r="D69" i="4"/>
  <c r="D58" i="4"/>
  <c r="D53" i="4"/>
  <c r="D52" i="4"/>
  <c r="D51" i="4"/>
  <c r="D50" i="4"/>
  <c r="D49" i="4"/>
  <c r="D48" i="4"/>
  <c r="D55" i="4"/>
  <c r="D44" i="4"/>
  <c r="D45" i="4"/>
  <c r="D46" i="4"/>
  <c r="D43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33" i="4"/>
  <c r="E146" i="4"/>
  <c r="E119" i="4"/>
  <c r="E95" i="4"/>
  <c r="E154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<sst xmlns="http://schemas.openxmlformats.org/spreadsheetml/2006/main" count="391" uniqueCount="266">
  <si>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</si>
  <si>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</si>
  <si>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</si>
  <si>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</si>
  <si>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</si>
  <si>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</si>
  <si>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</si>
  <si>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</si>
  <si>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</si>
  <si>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</si>
  <si>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</si>
  <si>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</si>
  <si>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</si>
  <si>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</si>
  <si>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</si>
  <si>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</si>
  <si>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</si>
  <si>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</si>
  <si>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</si>
  <si>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</si>
  <si>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</si>
  <si>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</si>
  <si>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</si>
  <si>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</si>
  <si>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</si>
  <si>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</si>
  <si>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</si>
  <si>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</si>
  <si>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</si>
  <si>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</si>
  <si>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</si>
  <si>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</si>
  <si>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</si>
  <si>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</si>
  <si>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</si>
  <si>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</si>
  <si>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</si>
  <si>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</si>
  <si>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</si>
  <si>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</si>
  <si>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</si>
  <si>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</si>
  <si>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</si>
  <si>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</si>
  <si>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</si>
  <si>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</si>
  <si>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</si>
  <si>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</si>
  <si>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</si>
  <si>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</si>
  <si>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</si>
  <si>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</si>
  <si>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</si>
  <si>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</si>
  <si>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</si>
  <si>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</si>
  <si>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</si>
  <si>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</si>
  <si>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</si>
  <si>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</si>
  <si>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</si>
  <si>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</si>
  <si>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</si>
  <si>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</si>
  <si>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</si>
  <si>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</si>
  <si>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</si>
  <si>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</si>
  <si>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</si>
  <si>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</si>
  <si>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</si>
  <si>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</si>
  <si>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</si>
  <si>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</si>
  <si>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</si>
  <si>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</si>
  <si>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</si>
  <si>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</si>
  <si>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</si>
  <si>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</si>
  <si>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</si>
  <si>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</si>
  <si>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</si>
  <si>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</si>
  <si>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</si>
  <si>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</si>
  <si>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</si>
  <si>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</si>
  <si>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</si>
  <si>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</si>
  <si>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</si>
  <si>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</si>
  <si>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</si>
  <si>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</si>
  <si>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</si>
  <si>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</si>
  <si>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</si>
  <si>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</si>
  <si>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</si>
  <si>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</si>
  <si>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</si>
  <si>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</si>
  <si>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</si>
  <si>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</si>
  <si>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</si>
  <si>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</si>
  <si>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</si>
  <si>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</si>
  <si>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</si>
  <si>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</si>
  <si>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</si>
  <si>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</si>
  <si>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</si>
  <si>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</si>
  <si>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</si>
  <si>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</si>
  <si>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</si>
  <si>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</si>
  <si>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</si>
  <si>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</si>
  <si>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</si>
  <si>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</si>
  <si>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</si>
  <si>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</si>
  <si>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</si>
  <si>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</si>
  <si>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</si>
  <si>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</si>
  <si>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</si>
  <si>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</si>
  <si>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</si>
  <si>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</si>
  <si>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</si>
  <si>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</si>
  <si>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</si>
  <si>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</si>
  <si>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</si>
  <si>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</si>
  <si>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</si>
  <si>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</si>
  <si>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</si>
  <si>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</si>
  <si>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</si>
  <si>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</si>
  <si>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</si>
  <si>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</si>
  <si>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</si>
  <si>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</si>
  <si>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</si>
  <si>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</si>
  <si>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</si>
  <si>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</si>
  <si>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</si>
  <si>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</si>
  <si>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</si>
  <si>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</si>
  <si>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</si>
  <si>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</si>
  <si>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</si>
  <si>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</si>
  <si>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</si>
  <si>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</si>
  <si>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</si>
  <si>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</si>
  <si>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</si>
  <si>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</si>
  <si>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</si>
  <si>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</si>
  <si>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</si>
  <si>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</si>
  <si>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</si>
  <si>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</si>
  <si>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</si>
  <si>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</si>
  <si>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</si>
  <si>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</si>
  <si>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</si>
  <si>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</si>
  <si>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</si>
  <si>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</si>
  <si>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</si>
  <si>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</si>
  <si>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</si>
  <si>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</si>
  <si>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</si>
  <si>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</si>
  <si>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</si>
  <si>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</si>
  <si>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</si>
  <si>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</si>
  <si>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</si>
  <si>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</si>
  <si>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</si>
  <si>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</si>
  <si>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</si>
  <si>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</si>
  <si>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</si>
  <si>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</si>
  <si>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</si>
  <si>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</si>
  <si>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</si>
  <si>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</si>
  <si>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</si>
  <si>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</si>
  <si>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</si>
  <si>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</si>
  <si>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</si>
  <si>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</si>
  <si>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</si>
  <si>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</si>
  <si>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</si>
  <si>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</si>
  <si>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</si>
  <si>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</si>
  <si>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</si>
  <si>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</si>
  <si>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</si>
  <si>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</si>
  <si>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</si>
  <si>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</si>
  <si>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</si>
  <si>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</si>
  <si>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</si>
  <si>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</si>
  <si>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</si>
  <si>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</si>
  <si>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</si>
  <si>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</si>
  <si>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</si>
  <si>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</si>
  <si>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</si>
  <si>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</si>
  <si>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</si>
  <si>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</si>
  <si>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</si>
  <si>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</si>
  <si>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</si>
  <si>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</si>
  <si>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</si>
  <si>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</si>
  <si>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</si>
  <si>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</si>
  <si>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</si>
  <si>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</si>
  <si>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</si>
  <si>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</si>
  <si>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</si>
  <si>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</si>
  <si>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00대학교 공공기숙사 신축공사</t>
    <phoneticPr fontId="2" type="noConversion"/>
  </si>
  <si>
    <t>교육연구</t>
  </si>
  <si>
    <t>부산시</t>
  </si>
  <si>
    <t>토및지정공사,주방기구설치,주요자재비,E.V기계설치공사</t>
    <phoneticPr fontId="2" type="noConversion"/>
  </si>
  <si>
    <t>부대토목공사(흙막이공사)</t>
    <phoneticPr fontId="2" type="noConversion"/>
  </si>
  <si>
    <t>기계 소화설비공사</t>
    <phoneticPr fontId="2" type="noConversion"/>
  </si>
  <si>
    <t>비상조명설비</t>
    <phoneticPr fontId="2" type="noConversion"/>
  </si>
  <si>
    <t>단위세대.출입통제및객실제어설비,자동제어설비</t>
    <phoneticPr fontId="2" type="noConversion"/>
  </si>
  <si>
    <t>전기 소방공사</t>
    <phoneticPr fontId="2" type="noConversion"/>
  </si>
  <si>
    <t>통신간선설비,CCTV간선,CCTV설비</t>
    <phoneticPr fontId="2" type="noConversion"/>
  </si>
  <si>
    <t>TV간선설비,TV설비</t>
    <phoneticPr fontId="2" type="noConversion"/>
  </si>
  <si>
    <t>공기열원냉난방(히트펌프)공사,냉난방기(EHP)설치공사</t>
    <phoneticPr fontId="2" type="noConversion"/>
  </si>
  <si>
    <t>바닥난방공사,위생배관공사,우수(빗물)처리배관공사,정화조설치공사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</si>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</sst>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30071</v>
      </c>
      <c r="D7" s="36">
        <f>+C7/3.3058</f>
        <v>9096.4365660354524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629250</v>
      </c>
      <c r="E25" s="59">
        <f t="shared" si="0"/>
        <v>2080170</v>
      </c>
    </row>
    <row r="26" spans="1:5" x14ac:dyDescent="0.3">
      <c r="B26" s="2">
        <v>3</v>
      </c>
      <c r="C26" s="35" t="s">
        <v>95</v>
      </c>
      <c r="D26" s="45">
        <f>+D66</f>
        <v>64920</v>
      </c>
      <c r="E26" s="59">
        <f t="shared" si="0"/>
        <v>214610</v>
      </c>
    </row>
    <row r="27" spans="1:5" x14ac:dyDescent="0.3">
      <c r="B27" s="2">
        <v>4</v>
      </c>
      <c r="C27" s="35" t="s">
        <v>96</v>
      </c>
      <c r="D27" s="45">
        <f>+D95</f>
        <v>188240</v>
      </c>
      <c r="E27" s="59">
        <f t="shared" si="0"/>
        <v>622280</v>
      </c>
    </row>
    <row r="28" spans="1:5" x14ac:dyDescent="0.3">
      <c r="B28" s="2">
        <v>5</v>
      </c>
      <c r="C28" s="35" t="s">
        <v>97</v>
      </c>
      <c r="D28" s="45">
        <f>+D119</f>
        <v>139710</v>
      </c>
      <c r="E28" s="59">
        <f t="shared" si="0"/>
        <v>461850</v>
      </c>
    </row>
    <row r="29" spans="1:5" x14ac:dyDescent="0.3">
      <c r="B29" s="2">
        <v>6</v>
      </c>
      <c r="C29" s="35" t="s">
        <v>98</v>
      </c>
      <c r="D29" s="45">
        <f>+D133</f>
        <v>43200</v>
      </c>
      <c r="E29" s="59">
        <f t="shared" si="0"/>
        <v>142810</v>
      </c>
    </row>
    <row r="30" spans="1:5" x14ac:dyDescent="0.3">
      <c r="B30" s="2">
        <v>7</v>
      </c>
      <c r="C30" s="35" t="s">
        <v>99</v>
      </c>
      <c r="D30" s="45">
        <f>+D146</f>
        <v>47100</v>
      </c>
      <c r="E30" s="59">
        <f t="shared" si="0"/>
        <v>155700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305910</v>
      </c>
      <c r="E33" s="60">
        <f t="shared" si="0"/>
        <v>1011270</v>
      </c>
    </row>
    <row r="34" spans="1:7" x14ac:dyDescent="0.3">
      <c r="C34" s="35" t="s">
        <v>112</v>
      </c>
      <c r="D34" s="44">
        <f>SUM(D24:D33)</f>
        <v>1418330</v>
      </c>
      <c r="E34" s="44">
        <f>SUM(E24:E33)</f>
        <v>4688690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TRUNC(36464,-1)</f>
        <v>36460</v>
      </c>
      <c r="E40" s="62">
        <f t="shared" ref="E40:E59" si="1">TRUNC(+D40*3.3058,-1)</f>
        <v>120520</v>
      </c>
    </row>
    <row r="41" spans="1:7" x14ac:dyDescent="0.3">
      <c r="A41" s="2">
        <v>2</v>
      </c>
      <c r="C41" s="38" t="s">
        <v>13</v>
      </c>
      <c r="D41" s="42">
        <f>TRUNC(208184,-1)</f>
        <v>208180</v>
      </c>
      <c r="E41" s="63">
        <f t="shared" si="1"/>
        <v>688200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TRUNC(50887,-1)</f>
        <v>50880</v>
      </c>
      <c r="E43" s="63">
        <f t="shared" si="1"/>
        <v>168190</v>
      </c>
    </row>
    <row r="44" spans="1:7" x14ac:dyDescent="0.3">
      <c r="A44" s="2">
        <v>5</v>
      </c>
      <c r="C44" s="38" t="s">
        <v>17</v>
      </c>
      <c r="D44" s="42">
        <f>TRUNC(18355,-1)</f>
        <v>18350</v>
      </c>
      <c r="E44" s="63">
        <f t="shared" si="1"/>
        <v>60660</v>
      </c>
    </row>
    <row r="45" spans="1:7" x14ac:dyDescent="0.3">
      <c r="A45" s="2">
        <v>6</v>
      </c>
      <c r="C45" s="38" t="s">
        <v>18</v>
      </c>
      <c r="D45" s="42">
        <f>TRUNC(25605,-1)</f>
        <v>25600</v>
      </c>
      <c r="E45" s="63">
        <f t="shared" si="1"/>
        <v>84620</v>
      </c>
    </row>
    <row r="46" spans="1:7" x14ac:dyDescent="0.3">
      <c r="A46" s="2">
        <v>7</v>
      </c>
      <c r="C46" s="38" t="s">
        <v>19</v>
      </c>
      <c r="D46" s="42">
        <f>TRUNC(34128,-1)</f>
        <v>34120</v>
      </c>
      <c r="E46" s="63">
        <f t="shared" si="1"/>
        <v>112790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TRUNC(20189,-1)</f>
        <v>20180</v>
      </c>
      <c r="E48" s="63">
        <f t="shared" si="1"/>
        <v>66710</v>
      </c>
    </row>
    <row r="49" spans="1:7" x14ac:dyDescent="0.3">
      <c r="A49" s="2">
        <v>10</v>
      </c>
      <c r="C49" s="38" t="s">
        <v>22</v>
      </c>
      <c r="D49" s="42">
        <f>TRUNC(39958,-1)</f>
        <v>39950</v>
      </c>
      <c r="E49" s="63">
        <f t="shared" si="1"/>
        <v>132060</v>
      </c>
    </row>
    <row r="50" spans="1:7" x14ac:dyDescent="0.3">
      <c r="A50" s="2">
        <v>11</v>
      </c>
      <c r="C50" s="38" t="s">
        <v>155</v>
      </c>
      <c r="D50" s="42">
        <f>TRUNC(74024,-1)</f>
        <v>74020</v>
      </c>
      <c r="E50" s="63">
        <f t="shared" si="1"/>
        <v>244690</v>
      </c>
    </row>
    <row r="51" spans="1:7" x14ac:dyDescent="0.3">
      <c r="A51" s="2">
        <v>12</v>
      </c>
      <c r="C51" s="38" t="s">
        <v>23</v>
      </c>
      <c r="D51" s="42">
        <f>TRUNC(9301,-1)</f>
        <v>9300</v>
      </c>
      <c r="E51" s="63">
        <f t="shared" si="1"/>
        <v>30740</v>
      </c>
    </row>
    <row r="52" spans="1:7" x14ac:dyDescent="0.3">
      <c r="A52" s="2">
        <v>13</v>
      </c>
      <c r="C52" s="38" t="s">
        <v>24</v>
      </c>
      <c r="D52" s="42">
        <f>TRUNC(27887,-1)</f>
        <v>27880</v>
      </c>
      <c r="E52" s="63">
        <f t="shared" si="1"/>
        <v>92160</v>
      </c>
    </row>
    <row r="53" spans="1:7" x14ac:dyDescent="0.3">
      <c r="A53" s="2">
        <v>14</v>
      </c>
      <c r="C53" s="38" t="s">
        <v>25</v>
      </c>
      <c r="D53" s="42">
        <f>TRUNC(49716,-1)</f>
        <v>49710</v>
      </c>
      <c r="E53" s="63">
        <f t="shared" si="1"/>
        <v>164330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TRUNC(641,-1)</f>
        <v>640</v>
      </c>
      <c r="E55" s="63">
        <f t="shared" si="1"/>
        <v>2110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TRUNC(876+5867+13545+13701,-1)</f>
        <v>33980</v>
      </c>
      <c r="E58" s="63">
        <f t="shared" si="1"/>
        <v>112330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629250</v>
      </c>
      <c r="E60" s="39">
        <f>SUM(E40:E59)</f>
        <v>2080110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TRUNC(64926,-1)</f>
        <v>64920</v>
      </c>
      <c r="E65" s="64">
        <f>TRUNC(+D65*3.3058,-1)</f>
        <v>214610</v>
      </c>
      <c r="F65" s="2" t="s">
        <v>252</v>
      </c>
    </row>
    <row r="66" spans="1:7" x14ac:dyDescent="0.3">
      <c r="A66" s="2">
        <v>4</v>
      </c>
      <c r="C66" s="27" t="s">
        <v>112</v>
      </c>
      <c r="D66" s="39">
        <f>SUM(D63:D65)</f>
        <v>64920</v>
      </c>
      <c r="E66" s="65">
        <f>SUM(E63:E65)</f>
        <v>214610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TRUNC(8313,-1)</f>
        <v>8310</v>
      </c>
      <c r="E69" s="62">
        <f t="shared" ref="E69:E94" si="2">TRUNC(+D69*3.3058,-1)</f>
        <v>27470</v>
      </c>
    </row>
    <row r="70" spans="1:7" ht="16.5" customHeight="1" x14ac:dyDescent="0.3">
      <c r="A70" s="2">
        <v>2</v>
      </c>
      <c r="C70" s="38" t="s">
        <v>31</v>
      </c>
      <c r="D70" s="42">
        <f>TRUNC(373,-1)</f>
        <v>370</v>
      </c>
      <c r="E70" s="63">
        <f t="shared" si="2"/>
        <v>1220</v>
      </c>
    </row>
    <row r="71" spans="1:7" x14ac:dyDescent="0.3">
      <c r="A71" s="2">
        <v>3</v>
      </c>
      <c r="C71" s="38" t="s">
        <v>32</v>
      </c>
      <c r="D71" s="42">
        <f>TRUNC(2315,-1)</f>
        <v>2310</v>
      </c>
      <c r="E71" s="63">
        <f t="shared" si="2"/>
        <v>7630</v>
      </c>
    </row>
    <row r="72" spans="1:7" x14ac:dyDescent="0.3">
      <c r="A72" s="2">
        <v>4</v>
      </c>
      <c r="C72" s="38" t="s">
        <v>33</v>
      </c>
      <c r="D72" s="42">
        <f>TRUNC(520,-1)</f>
        <v>520</v>
      </c>
      <c r="E72" s="63">
        <f t="shared" si="2"/>
        <v>1710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f>TRUNC(8001,-1)</f>
        <v>8000</v>
      </c>
      <c r="E78" s="63">
        <f t="shared" si="2"/>
        <v>26440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f>TRUNC(1697,-1)</f>
        <v>1690</v>
      </c>
      <c r="E81" s="63">
        <f t="shared" si="2"/>
        <v>5580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TRUNC(17816+73548,-1)</f>
        <v>91360</v>
      </c>
      <c r="E84" s="63">
        <f t="shared" si="2"/>
        <v>302010</v>
      </c>
      <c r="F84" s="2" t="s">
        <v>259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TRUNC(15495+55744+2924+1517,-1)</f>
        <v>75680</v>
      </c>
      <c r="E94" s="64">
        <f t="shared" si="2"/>
        <v>250180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188240</v>
      </c>
      <c r="E95" s="39">
        <f>SUM(E69:E94)</f>
        <v>622240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TRUNC(48419,-1)</f>
        <v>48410</v>
      </c>
      <c r="E98" s="62">
        <f t="shared" ref="E98:E118" si="3">TRUNC(+D98*3.3058,-1)</f>
        <v>160030</v>
      </c>
    </row>
    <row r="99" spans="1:7" x14ac:dyDescent="0.3">
      <c r="A99" s="2">
        <v>2</v>
      </c>
      <c r="C99" s="38" t="s">
        <v>40</v>
      </c>
      <c r="D99" s="42">
        <f>TRUNC(1303,-1)</f>
        <v>1300</v>
      </c>
      <c r="E99" s="63">
        <f t="shared" si="3"/>
        <v>4290</v>
      </c>
    </row>
    <row r="100" spans="1:7" x14ac:dyDescent="0.3">
      <c r="A100" s="2">
        <v>3</v>
      </c>
      <c r="C100" s="38" t="s">
        <v>41</v>
      </c>
      <c r="D100" s="42">
        <f>TRUNC(13638,-1)</f>
        <v>13630</v>
      </c>
      <c r="E100" s="63">
        <f t="shared" si="3"/>
        <v>45050</v>
      </c>
    </row>
    <row r="101" spans="1:7" x14ac:dyDescent="0.3">
      <c r="A101" s="2">
        <v>4</v>
      </c>
      <c r="C101" s="38" t="s">
        <v>42</v>
      </c>
      <c r="D101" s="42">
        <f>TRUNC(1444,-1)</f>
        <v>1440</v>
      </c>
      <c r="E101" s="63">
        <f t="shared" si="3"/>
        <v>4760</v>
      </c>
      <c r="F101" s="2" t="s">
        <v>254</v>
      </c>
    </row>
    <row r="102" spans="1:7" x14ac:dyDescent="0.3">
      <c r="A102" s="2">
        <v>5</v>
      </c>
      <c r="C102" s="38" t="s">
        <v>43</v>
      </c>
      <c r="D102" s="42">
        <f>TRUNC(1320,-1)</f>
        <v>1320</v>
      </c>
      <c r="E102" s="63">
        <f t="shared" si="3"/>
        <v>4360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TRUNC(931,-1)</f>
        <v>930</v>
      </c>
      <c r="E104" s="63">
        <f t="shared" si="3"/>
        <v>3070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TRUNC(35435+36464+783,-1)</f>
        <v>72680</v>
      </c>
      <c r="E118" s="64">
        <f t="shared" si="3"/>
        <v>240260</v>
      </c>
      <c r="F118" s="2" t="s">
        <v>255</v>
      </c>
    </row>
    <row r="119" spans="1:7" x14ac:dyDescent="0.3">
      <c r="A119" s="2">
        <v>22</v>
      </c>
      <c r="C119" s="27" t="s">
        <v>112</v>
      </c>
      <c r="D119" s="39">
        <f>SUM(D98:D118)</f>
        <v>139710</v>
      </c>
      <c r="E119" s="39">
        <f>SUM(E98:E118)</f>
        <v>461820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TRUNC(942+6110,-1)</f>
        <v>7050</v>
      </c>
      <c r="E122" s="62">
        <f t="shared" ref="E122:E132" si="4">TRUNC(+D122*3.3058,-1)</f>
        <v>23300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f>TRUNC(20243,-1)</f>
        <v>20240</v>
      </c>
      <c r="E123" s="63">
        <f t="shared" si="4"/>
        <v>66900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TRUNC(11602+3100+1213,-1)</f>
        <v>15910</v>
      </c>
      <c r="E132" s="64">
        <f t="shared" si="4"/>
        <v>52590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43200</v>
      </c>
      <c r="E133" s="39">
        <f>SUM(E122:E132)</f>
        <v>142790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TRUNC(33406,-1)</f>
        <v>33400</v>
      </c>
      <c r="E136" s="62">
        <f t="shared" ref="E136:E145" si="5">TRUNC(+D136*3.3058,-1)</f>
        <v>110410</v>
      </c>
      <c r="F136" s="2" t="s">
        <v>253</v>
      </c>
    </row>
    <row r="137" spans="1:7" x14ac:dyDescent="0.3">
      <c r="A137" s="2">
        <v>2</v>
      </c>
      <c r="C137" s="38" t="s">
        <v>47</v>
      </c>
      <c r="D137" s="42">
        <f>TRUNC(13700,-1)</f>
        <v>13700</v>
      </c>
      <c r="E137" s="63">
        <f t="shared" si="5"/>
        <v>45280</v>
      </c>
      <c r="F137" s="2" t="s">
        <v>256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47100</v>
      </c>
      <c r="E146" s="39">
        <f>SUM(E136:E145)</f>
        <v>155690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2020-12-07T09:41:44Z</dcterms:modified>
</cp:coreProperties>
</file>