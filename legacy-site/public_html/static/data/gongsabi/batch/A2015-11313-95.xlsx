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3" i="4"/>
  <c r="E145" i="4"/>
  <c r="E142" i="4"/>
  <c r="E139" i="4"/>
  <c r="E138" i="4"/>
  <c r="E136" i="4"/>
  <c r="E129" i="4"/>
  <c r="E127" i="4"/>
  <c r="E123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9" i="4"/>
  <c r="E94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0" i="4"/>
  <c r="E65" i="4"/>
  <c r="E64" i="4"/>
  <c r="E57" i="4"/>
  <c r="E56" i="4"/>
  <c r="E55" i="4"/>
  <c r="E54" i="4"/>
  <c r="E53" i="4"/>
  <c r="E51" i="4"/>
  <c r="E37" i="4"/>
  <c r="D117" i="4" l="1"/>
  <c r="E117" i="4" s="1"/>
  <c r="D159" i="4" l="1"/>
  <c r="E159" i="4" s="1"/>
  <c r="D158" i="4"/>
  <c r="E158" i="4" s="1"/>
  <c r="D157" i="4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D118" i="4"/>
  <c r="E118" i="4" s="1"/>
  <c r="D116" i="4"/>
  <c r="E116" i="4" s="1"/>
  <c r="D105" i="4"/>
  <c r="E105" i="4" s="1"/>
  <c r="D104" i="4"/>
  <c r="E104" i="4" s="1"/>
  <c r="D102" i="4"/>
  <c r="E102" i="4" s="1"/>
  <c r="D100" i="4"/>
  <c r="E100" i="4" s="1"/>
  <c r="D98" i="4"/>
  <c r="D92" i="4"/>
  <c r="E92" i="4" s="1"/>
  <c r="D91" i="4"/>
  <c r="E91" i="4" s="1"/>
  <c r="D89" i="4"/>
  <c r="E89" i="4" s="1"/>
  <c r="D76" i="4"/>
  <c r="E76" i="4" s="1"/>
  <c r="D73" i="4"/>
  <c r="E73" i="4" s="1"/>
  <c r="D72" i="4"/>
  <c r="E72" i="4" s="1"/>
  <c r="D71" i="4"/>
  <c r="E71" i="4" s="1"/>
  <c r="D69" i="4"/>
  <c r="D63" i="4"/>
  <c r="E63" i="4" s="1"/>
  <c r="E66" i="4" s="1"/>
  <c r="D59" i="4"/>
  <c r="E59" i="4" s="1"/>
  <c r="D58" i="4"/>
  <c r="E58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66" i="4" l="1"/>
  <c r="D26" i="4" s="1"/>
  <c r="E26" i="4" s="1"/>
  <c r="D133" i="4"/>
  <c r="D29" i="4" s="1"/>
  <c r="E29" i="4" s="1"/>
  <c r="E122" i="4"/>
  <c r="D146" i="4"/>
  <c r="D30" i="4" s="1"/>
  <c r="E30" i="4" s="1"/>
  <c r="E137" i="4"/>
  <c r="E146" i="4" s="1"/>
  <c r="D60" i="4"/>
  <c r="D25" i="4" s="1"/>
  <c r="E25" i="4" s="1"/>
  <c r="E40" i="4"/>
  <c r="E60" i="4" s="1"/>
  <c r="D95" i="4"/>
  <c r="D27" i="4" s="1"/>
  <c r="E27" i="4" s="1"/>
  <c r="E69" i="4"/>
  <c r="E95" i="4" s="1"/>
  <c r="D119" i="4"/>
  <c r="D28" i="4" s="1"/>
  <c r="E28" i="4" s="1"/>
  <c r="E98" i="4"/>
  <c r="E119" i="4" s="1"/>
  <c r="D154" i="4"/>
  <c r="D31" i="4" s="1"/>
  <c r="E31" i="4" s="1"/>
  <c r="E149" i="4"/>
  <c r="E154" i="4" s="1"/>
  <c r="D161" i="4"/>
  <c r="D32" i="4" s="1"/>
  <c r="E32" i="4" s="1"/>
  <c r="E157" i="4"/>
  <c r="E161" i="4" s="1"/>
  <c r="E1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<sst xmlns="http://schemas.openxmlformats.org/spreadsheetml/2006/main" count="395" uniqueCount="266">
  <si>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</si>
  <si>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</si>
  <si>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</si>
  <si>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</si>
  <si>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</si>
  <si>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</si>
  <si>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</si>
  <si>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</si>
  <si>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</si>
  <si>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</si>
  <si>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</si>
  <si>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</si>
  <si>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</si>
  <si>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</si>
  <si>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</si>
  <si>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</si>
  <si>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</si>
  <si>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</si>
  <si>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</si>
  <si>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</si>
  <si>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</si>
  <si>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</si>
  <si>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</si>
  <si>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</si>
  <si>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</si>
  <si>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</si>
  <si>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</si>
  <si>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</si>
  <si>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</si>
  <si>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</si>
  <si>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</si>
  <si>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</si>
  <si>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</si>
  <si>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</si>
  <si>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</si>
  <si>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</si>
  <si>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</si>
  <si>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</si>
  <si>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</si>
  <si>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</si>
  <si>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</si>
  <si>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</si>
  <si>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</si>
  <si>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</si>
  <si>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</si>
  <si>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</si>
  <si>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</si>
  <si>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</si>
  <si>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</si>
  <si>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</si>
  <si>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</si>
  <si>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</si>
  <si>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</si>
  <si>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</si>
  <si>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</si>
  <si>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</si>
  <si>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</si>
  <si>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</si>
  <si>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</si>
  <si>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</si>
  <si>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</si>
  <si>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</si>
  <si>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</si>
  <si>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</si>
  <si>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</si>
  <si>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</si>
  <si>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</si>
  <si>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</si>
  <si>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</si>
  <si>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</si>
  <si>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</si>
  <si>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</si>
  <si>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</si>
  <si>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</si>
  <si>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</si>
  <si>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</si>
  <si>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</si>
  <si>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</si>
  <si>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</si>
  <si>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</si>
  <si>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</si>
  <si>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</si>
  <si>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</si>
  <si>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</si>
  <si>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</si>
  <si>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</si>
  <si>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</si>
  <si>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</si>
  <si>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</si>
  <si>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</si>
  <si>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</si>
  <si>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</si>
  <si>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</si>
  <si>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</si>
  <si>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</si>
  <si>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</si>
  <si>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</si>
  <si>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</si>
  <si>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</si>
  <si>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</si>
  <si>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</si>
  <si>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</si>
  <si>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</si>
  <si>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</si>
  <si>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</si>
  <si>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</si>
  <si>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</si>
  <si>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</si>
  <si>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</si>
  <si>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</si>
  <si>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</si>
  <si>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</si>
  <si>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</si>
  <si>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</si>
  <si>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</si>
  <si>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</si>
  <si>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</si>
  <si>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</si>
  <si>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</si>
  <si>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</si>
  <si>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</si>
  <si>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</si>
  <si>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</si>
  <si>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</si>
  <si>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</si>
  <si>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</si>
  <si>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</si>
  <si>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</si>
  <si>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</si>
  <si>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</si>
  <si>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</si>
  <si>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</si>
  <si>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</si>
  <si>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</si>
  <si>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</si>
  <si>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</si>
  <si>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</si>
  <si>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</si>
  <si>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</si>
  <si>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</si>
  <si>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</si>
  <si>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</si>
  <si>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</si>
  <si>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</si>
  <si>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</si>
  <si>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</si>
  <si>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</si>
  <si>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</si>
  <si>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</si>
  <si>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</si>
  <si>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</si>
  <si>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</si>
  <si>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</si>
  <si>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</si>
  <si>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</si>
  <si>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</si>
  <si>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</si>
  <si>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</si>
  <si>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</si>
  <si>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</si>
  <si>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</si>
  <si>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</si>
  <si>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</si>
  <si>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</si>
  <si>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</si>
  <si>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</si>
  <si>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</si>
  <si>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</si>
  <si>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</si>
  <si>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</si>
  <si>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</si>
  <si>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</si>
  <si>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</si>
  <si>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</si>
  <si>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</si>
  <si>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</si>
  <si>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</si>
  <si>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</si>
  <si>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</si>
  <si>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</si>
  <si>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</si>
  <si>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</si>
  <si>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</si>
  <si>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</si>
  <si>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</si>
  <si>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</si>
  <si>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</si>
  <si>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</si>
  <si>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</si>
  <si>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</si>
  <si>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</si>
  <si>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</si>
  <si>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</si>
  <si>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</si>
  <si>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</si>
  <si>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</si>
  <si>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</si>
  <si>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</si>
  <si>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</si>
  <si>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</si>
  <si>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</si>
  <si>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</si>
  <si>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</si>
  <si>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</si>
  <si>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</si>
  <si>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</si>
  <si>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</si>
  <si>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</si>
  <si>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</si>
  <si>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</si>
  <si>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</si>
  <si>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</si>
  <si>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</si>
  <si>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</si>
  <si>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</si>
  <si>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</si>
  <si>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</si>
  <si>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</si>
  <si>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</si>
  <si>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</si>
  <si>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</si>
  <si>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</si>
  <si>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</si>
  <si>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</si>
  <si>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</si>
  <si>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</si>
  <si>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</si>
  <si>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</si>
  <si>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</si>
  <si>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</si>
  <si>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</si>
  <si>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</si>
  <si>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</si>
  <si>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</si>
  <si>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</si>
  <si>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</si>
  <si>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</si>
  <si>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</si>
  <si>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</si>
  <si>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</si>
  <si>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</si>
  <si>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</si>
  <si>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</si>
  <si>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</si>
  <si>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</si>
  <si>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</si>
  <si>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전주봉곡초등학교 신축공사</t>
  </si>
  <si>
    <t>교육연구</t>
  </si>
  <si>
    <t>전라도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</si>
  <si>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</si>
  <si>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</si>
  <si>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</si>
  <si>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</si>
  <si>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기초공사,폐기물처리비,골재비및운반비,품질공사비, 기타공사</t>
    <phoneticPr fontId="2" type="noConversion"/>
  </si>
  <si>
    <t>난방배관공사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</si>
  <si>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</si>
  <si>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</si>
  <si>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</si>
  <si>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토목</t>
    <phoneticPr fontId="2" type="noConversion"/>
  </si>
  <si>
    <t>토목 상수도 공사, 운반비,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</si>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</sst>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7598.49</v>
      </c>
      <c r="D7" s="36">
        <f>+C7/3.3058</f>
        <v>2298.5328816020328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6">
        <f>+D60</f>
        <v>1073390</v>
      </c>
      <c r="E25" s="60">
        <f t="shared" si="0"/>
        <v>3548410</v>
      </c>
    </row>
    <row r="26" spans="1:5" x14ac:dyDescent="0.3">
      <c r="B26" s="2">
        <v>3</v>
      </c>
      <c r="C26" s="35" t="s">
        <v>95</v>
      </c>
      <c r="D26" s="56">
        <f>+D66</f>
        <v>7000</v>
      </c>
      <c r="E26" s="60">
        <f t="shared" si="0"/>
        <v>23140</v>
      </c>
    </row>
    <row r="27" spans="1:5" x14ac:dyDescent="0.3">
      <c r="B27" s="2">
        <v>4</v>
      </c>
      <c r="C27" s="35" t="s">
        <v>96</v>
      </c>
      <c r="D27" s="56">
        <f>+D95</f>
        <v>89600</v>
      </c>
      <c r="E27" s="60">
        <f t="shared" si="0"/>
        <v>296190</v>
      </c>
    </row>
    <row r="28" spans="1:5" x14ac:dyDescent="0.3">
      <c r="B28" s="2">
        <v>5</v>
      </c>
      <c r="C28" s="35" t="s">
        <v>97</v>
      </c>
      <c r="D28" s="56">
        <f>+D119</f>
        <v>150450</v>
      </c>
      <c r="E28" s="60">
        <f t="shared" si="0"/>
        <v>497350</v>
      </c>
    </row>
    <row r="29" spans="1:5" x14ac:dyDescent="0.3">
      <c r="B29" s="2">
        <v>6</v>
      </c>
      <c r="C29" s="35" t="s">
        <v>98</v>
      </c>
      <c r="D29" s="56">
        <f>+D133</f>
        <v>104640</v>
      </c>
      <c r="E29" s="60">
        <f t="shared" si="0"/>
        <v>345910</v>
      </c>
    </row>
    <row r="30" spans="1:5" x14ac:dyDescent="0.3">
      <c r="B30" s="2">
        <v>7</v>
      </c>
      <c r="C30" s="35" t="s">
        <v>99</v>
      </c>
      <c r="D30" s="56">
        <f>+D146</f>
        <v>39010</v>
      </c>
      <c r="E30" s="60">
        <f t="shared" si="0"/>
        <v>128950</v>
      </c>
    </row>
    <row r="31" spans="1:5" x14ac:dyDescent="0.3">
      <c r="B31" s="2">
        <v>8</v>
      </c>
      <c r="C31" s="35" t="s">
        <v>100</v>
      </c>
      <c r="D31" s="56">
        <f>+D154</f>
        <v>48760</v>
      </c>
      <c r="E31" s="60">
        <f t="shared" si="0"/>
        <v>161190</v>
      </c>
    </row>
    <row r="32" spans="1:5" x14ac:dyDescent="0.3">
      <c r="B32" s="2">
        <v>9</v>
      </c>
      <c r="C32" s="35" t="s">
        <v>101</v>
      </c>
      <c r="D32" s="56">
        <f>+D161</f>
        <v>27010</v>
      </c>
      <c r="E32" s="60">
        <f t="shared" si="0"/>
        <v>89280</v>
      </c>
    </row>
    <row r="33" spans="1:7" x14ac:dyDescent="0.3">
      <c r="B33" s="2">
        <v>10</v>
      </c>
      <c r="C33" s="35" t="s">
        <v>154</v>
      </c>
      <c r="D33" s="51">
        <f>TRUNC(SUM(D24:D32)*0.275,-1)</f>
        <v>423460</v>
      </c>
      <c r="E33" s="61">
        <f t="shared" si="0"/>
        <v>1399870</v>
      </c>
    </row>
    <row r="34" spans="1:7" x14ac:dyDescent="0.3">
      <c r="C34" s="35" t="s">
        <v>112</v>
      </c>
      <c r="D34" s="44">
        <f>SUM(D24:D33)</f>
        <v>1963320</v>
      </c>
      <c r="E34" s="44">
        <f>SUM(E24:E33)</f>
        <v>6490290</v>
      </c>
    </row>
    <row r="35" spans="1:7" s="53" customFormat="1" x14ac:dyDescent="0.3">
      <c r="C35" s="54"/>
      <c r="D35" s="54"/>
      <c r="E35" s="54"/>
      <c r="F35" s="52"/>
      <c r="G35" s="52"/>
    </row>
    <row r="36" spans="1:7" s="53" customFormat="1" ht="17.25" thickBot="1" x14ac:dyDescent="0.35">
      <c r="B36" s="53" t="s">
        <v>12</v>
      </c>
      <c r="C36" s="53" t="s">
        <v>236</v>
      </c>
      <c r="D36" s="54" t="s">
        <v>235</v>
      </c>
      <c r="E36" s="54" t="s">
        <v>153</v>
      </c>
      <c r="F36" s="52"/>
      <c r="G36" s="52"/>
    </row>
    <row r="37" spans="1:7" ht="17.25" thickBot="1" x14ac:dyDescent="0.35">
      <c r="C37" s="38" t="s">
        <v>143</v>
      </c>
      <c r="D37" s="57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TRUNC(55961,-1)</f>
        <v>55960</v>
      </c>
      <c r="E40" s="63">
        <f t="shared" ref="E40:E59" si="1">TRUNC(+D40*3.3058,-1)</f>
        <v>184990</v>
      </c>
    </row>
    <row r="41" spans="1:7" x14ac:dyDescent="0.3">
      <c r="A41" s="2">
        <v>2</v>
      </c>
      <c r="C41" s="38" t="s">
        <v>13</v>
      </c>
      <c r="D41" s="42">
        <f>TRUNC(137435,-1)</f>
        <v>137430</v>
      </c>
      <c r="E41" s="64">
        <f t="shared" si="1"/>
        <v>454310</v>
      </c>
    </row>
    <row r="42" spans="1:7" x14ac:dyDescent="0.3">
      <c r="A42" s="2">
        <v>3</v>
      </c>
      <c r="C42" s="38" t="s">
        <v>14</v>
      </c>
      <c r="D42" s="42">
        <f>TRUNC(11419,-1)</f>
        <v>11410</v>
      </c>
      <c r="E42" s="64">
        <f t="shared" si="1"/>
        <v>37710</v>
      </c>
    </row>
    <row r="43" spans="1:7" x14ac:dyDescent="0.3">
      <c r="A43" s="2">
        <v>4</v>
      </c>
      <c r="C43" s="38" t="s">
        <v>16</v>
      </c>
      <c r="D43" s="42">
        <f>TRUNC(48356,-1)</f>
        <v>48350</v>
      </c>
      <c r="E43" s="64">
        <f t="shared" si="1"/>
        <v>159830</v>
      </c>
    </row>
    <row r="44" spans="1:7" x14ac:dyDescent="0.3">
      <c r="A44" s="2">
        <v>5</v>
      </c>
      <c r="C44" s="38" t="s">
        <v>17</v>
      </c>
      <c r="D44" s="42">
        <f>TRUNC(14186,-1)</f>
        <v>14180</v>
      </c>
      <c r="E44" s="64">
        <f t="shared" si="1"/>
        <v>46870</v>
      </c>
    </row>
    <row r="45" spans="1:7" x14ac:dyDescent="0.3">
      <c r="A45" s="2">
        <v>6</v>
      </c>
      <c r="C45" s="38" t="s">
        <v>18</v>
      </c>
      <c r="D45" s="42">
        <f>TRUNC(8561,-1)</f>
        <v>8560</v>
      </c>
      <c r="E45" s="64">
        <f t="shared" si="1"/>
        <v>28290</v>
      </c>
    </row>
    <row r="46" spans="1:7" x14ac:dyDescent="0.3">
      <c r="A46" s="2">
        <v>7</v>
      </c>
      <c r="C46" s="38" t="s">
        <v>19</v>
      </c>
      <c r="D46" s="42">
        <f>TRUNC(33041,-1)</f>
        <v>33040</v>
      </c>
      <c r="E46" s="64">
        <f t="shared" si="1"/>
        <v>109220</v>
      </c>
    </row>
    <row r="47" spans="1:7" x14ac:dyDescent="0.3">
      <c r="A47" s="2">
        <v>8</v>
      </c>
      <c r="C47" s="38" t="s">
        <v>20</v>
      </c>
      <c r="D47" s="42">
        <f>TRUNC(154715,-1)</f>
        <v>154710</v>
      </c>
      <c r="E47" s="64">
        <f t="shared" si="1"/>
        <v>511440</v>
      </c>
    </row>
    <row r="48" spans="1:7" x14ac:dyDescent="0.3">
      <c r="A48" s="2">
        <v>9</v>
      </c>
      <c r="C48" s="38" t="s">
        <v>21</v>
      </c>
      <c r="D48" s="42">
        <f>TRUNC(65922,-1)</f>
        <v>65920</v>
      </c>
      <c r="E48" s="64">
        <f t="shared" si="1"/>
        <v>217910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TRUNC(21333,-1)</f>
        <v>21330</v>
      </c>
      <c r="E49" s="64">
        <f t="shared" si="1"/>
        <v>70510</v>
      </c>
    </row>
    <row r="50" spans="1:7" x14ac:dyDescent="0.3">
      <c r="A50" s="2">
        <v>11</v>
      </c>
      <c r="C50" s="38" t="s">
        <v>155</v>
      </c>
      <c r="D50" s="42">
        <f>TRUNC(53281,-1)</f>
        <v>53280</v>
      </c>
      <c r="E50" s="64">
        <f t="shared" si="1"/>
        <v>176130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TRUNC(10015,-1)</f>
        <v>10010</v>
      </c>
      <c r="E52" s="64">
        <f t="shared" si="1"/>
        <v>33090</v>
      </c>
    </row>
    <row r="53" spans="1:7" x14ac:dyDescent="0.3">
      <c r="A53" s="2">
        <v>14</v>
      </c>
      <c r="C53" s="38" t="s">
        <v>25</v>
      </c>
      <c r="D53" s="42">
        <v>0</v>
      </c>
      <c r="E53" s="64">
        <f t="shared" si="1"/>
        <v>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TRUNC(19910+37+7473+428+47446,-1)</f>
        <v>75290</v>
      </c>
      <c r="E58" s="64">
        <f t="shared" si="1"/>
        <v>248890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TRUNC(383928,-1)</f>
        <v>383920</v>
      </c>
      <c r="E59" s="65">
        <f t="shared" si="1"/>
        <v>1269160</v>
      </c>
    </row>
    <row r="60" spans="1:7" x14ac:dyDescent="0.3">
      <c r="A60" s="2">
        <v>21</v>
      </c>
      <c r="C60" s="27" t="s">
        <v>112</v>
      </c>
      <c r="D60" s="39">
        <f>SUM(D40:D59)</f>
        <v>1073390</v>
      </c>
      <c r="E60" s="39">
        <f>SUM(E40:E59)</f>
        <v>3548350</v>
      </c>
    </row>
    <row r="61" spans="1:7" s="53" customFormat="1" x14ac:dyDescent="0.3">
      <c r="C61" s="54"/>
      <c r="D61" s="54"/>
      <c r="E61" s="54"/>
      <c r="F61" s="52"/>
      <c r="G61" s="52"/>
    </row>
    <row r="62" spans="1:7" s="53" customFormat="1" ht="17.25" thickBot="1" x14ac:dyDescent="0.35">
      <c r="B62" s="53" t="s">
        <v>237</v>
      </c>
      <c r="C62" s="53" t="s">
        <v>238</v>
      </c>
      <c r="D62" s="54" t="s">
        <v>235</v>
      </c>
      <c r="E62" s="54" t="s">
        <v>153</v>
      </c>
      <c r="F62" s="52"/>
      <c r="G62" s="52"/>
    </row>
    <row r="63" spans="1:7" x14ac:dyDescent="0.3">
      <c r="A63" s="2">
        <v>1</v>
      </c>
      <c r="C63" s="38" t="s">
        <v>27</v>
      </c>
      <c r="D63" s="40">
        <f>TRUNC(7007,-1)</f>
        <v>7000</v>
      </c>
      <c r="E63" s="63">
        <f>TRUNC(+D63*3.3058,-1)</f>
        <v>23140</v>
      </c>
    </row>
    <row r="64" spans="1:7" x14ac:dyDescent="0.3">
      <c r="A64" s="2">
        <v>2</v>
      </c>
      <c r="C64" s="38" t="s">
        <v>29</v>
      </c>
      <c r="D64" s="4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5">
        <f>SUM(D63:D65)</f>
        <v>7000</v>
      </c>
      <c r="E66" s="55">
        <f>SUM(E63:E65)</f>
        <v>23140</v>
      </c>
    </row>
    <row r="67" spans="1:7" s="53" customFormat="1" x14ac:dyDescent="0.3">
      <c r="C67" s="54"/>
      <c r="D67" s="54"/>
      <c r="E67" s="54"/>
      <c r="F67" s="52"/>
      <c r="G67" s="52"/>
    </row>
    <row r="68" spans="1:7" s="53" customFormat="1" ht="17.25" thickBot="1" x14ac:dyDescent="0.35">
      <c r="B68" s="53" t="s">
        <v>239</v>
      </c>
      <c r="C68" s="53" t="s">
        <v>240</v>
      </c>
      <c r="D68" s="54" t="s">
        <v>235</v>
      </c>
      <c r="E68" s="54" t="s">
        <v>153</v>
      </c>
      <c r="F68" s="52"/>
      <c r="G68" s="52"/>
    </row>
    <row r="69" spans="1:7" x14ac:dyDescent="0.3">
      <c r="A69" s="2">
        <v>1</v>
      </c>
      <c r="C69" s="38" t="s">
        <v>30</v>
      </c>
      <c r="D69" s="40">
        <f>TRUNC(10972,-1)</f>
        <v>10970</v>
      </c>
      <c r="E69" s="63">
        <f t="shared" ref="E69:E94" si="2">TRUNC(+D69*3.3058,-1)</f>
        <v>36260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f>TRUNC(3292,-1)</f>
        <v>3290</v>
      </c>
      <c r="E71" s="64">
        <f t="shared" si="2"/>
        <v>10870</v>
      </c>
    </row>
    <row r="72" spans="1:7" x14ac:dyDescent="0.3">
      <c r="A72" s="2">
        <v>4</v>
      </c>
      <c r="C72" s="38" t="s">
        <v>33</v>
      </c>
      <c r="D72" s="42">
        <f>TRUNC(6818,-1)</f>
        <v>6810</v>
      </c>
      <c r="E72" s="64">
        <f t="shared" si="2"/>
        <v>22510</v>
      </c>
    </row>
    <row r="73" spans="1:7" x14ac:dyDescent="0.3">
      <c r="A73" s="2">
        <v>5</v>
      </c>
      <c r="C73" s="38" t="s">
        <v>34</v>
      </c>
      <c r="D73" s="42">
        <f>TRUNC(9921,-1)</f>
        <v>9920</v>
      </c>
      <c r="E73" s="64">
        <f t="shared" si="2"/>
        <v>32790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TRUNC(33009,-1)</f>
        <v>33000</v>
      </c>
      <c r="E76" s="64">
        <f t="shared" si="2"/>
        <v>109090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TRUNC(5885,-1)</f>
        <v>5880</v>
      </c>
      <c r="E89" s="64">
        <f t="shared" si="2"/>
        <v>19430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TRUNC(7037,-1)</f>
        <v>7030</v>
      </c>
      <c r="E91" s="64">
        <f t="shared" si="2"/>
        <v>23230</v>
      </c>
    </row>
    <row r="92" spans="1:7" x14ac:dyDescent="0.3">
      <c r="A92" s="2">
        <v>24</v>
      </c>
      <c r="C92" s="38" t="s">
        <v>38</v>
      </c>
      <c r="D92" s="42">
        <f>TRUNC(9652,-1)</f>
        <v>9650</v>
      </c>
      <c r="E92" s="64">
        <f t="shared" si="2"/>
        <v>31900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TRUNC(3058,-1)</f>
        <v>3050</v>
      </c>
      <c r="E94" s="65">
        <f t="shared" si="2"/>
        <v>10080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89600</v>
      </c>
      <c r="E95" s="39">
        <f>SUM(E69:E94)</f>
        <v>296160</v>
      </c>
    </row>
    <row r="96" spans="1:7" s="53" customFormat="1" x14ac:dyDescent="0.3">
      <c r="C96" s="54"/>
      <c r="D96" s="54"/>
      <c r="E96" s="54"/>
      <c r="F96" s="52"/>
      <c r="G96" s="52"/>
    </row>
    <row r="97" spans="1:7" s="53" customFormat="1" ht="17.25" thickBot="1" x14ac:dyDescent="0.35">
      <c r="B97" s="53" t="s">
        <v>241</v>
      </c>
      <c r="C97" s="53" t="s">
        <v>240</v>
      </c>
      <c r="D97" s="54" t="s">
        <v>235</v>
      </c>
      <c r="E97" s="54" t="s">
        <v>153</v>
      </c>
      <c r="F97" s="52"/>
      <c r="G97" s="52"/>
    </row>
    <row r="98" spans="1:7" x14ac:dyDescent="0.3">
      <c r="A98" s="2">
        <v>1</v>
      </c>
      <c r="C98" s="38" t="s">
        <v>39</v>
      </c>
      <c r="D98" s="40">
        <f>TRUNC(10281,-1)</f>
        <v>10280</v>
      </c>
      <c r="E98" s="63">
        <f t="shared" ref="E98:E118" si="3">TRUNC(+D98*3.3058,-1)</f>
        <v>33980</v>
      </c>
    </row>
    <row r="99" spans="1:7" x14ac:dyDescent="0.3">
      <c r="A99" s="2">
        <v>2</v>
      </c>
      <c r="C99" s="38" t="s">
        <v>40</v>
      </c>
      <c r="D99" s="42">
        <v>4520</v>
      </c>
      <c r="E99" s="64">
        <f t="shared" si="3"/>
        <v>14940</v>
      </c>
    </row>
    <row r="100" spans="1:7" x14ac:dyDescent="0.3">
      <c r="A100" s="2">
        <v>3</v>
      </c>
      <c r="C100" s="38" t="s">
        <v>41</v>
      </c>
      <c r="D100" s="42">
        <f>TRUNC(33621,-1)</f>
        <v>33620</v>
      </c>
      <c r="E100" s="64">
        <f t="shared" si="3"/>
        <v>111140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TRUNC(14165,-1)</f>
        <v>14160</v>
      </c>
      <c r="E102" s="64">
        <f t="shared" si="3"/>
        <v>46810</v>
      </c>
    </row>
    <row r="103" spans="1:7" x14ac:dyDescent="0.3">
      <c r="A103" s="2">
        <v>6</v>
      </c>
      <c r="C103" s="38" t="s">
        <v>44</v>
      </c>
      <c r="D103" s="42">
        <v>2050</v>
      </c>
      <c r="E103" s="64">
        <f t="shared" si="3"/>
        <v>6770</v>
      </c>
    </row>
    <row r="104" spans="1:7" x14ac:dyDescent="0.3">
      <c r="A104" s="2">
        <v>7</v>
      </c>
      <c r="C104" s="38" t="s">
        <v>45</v>
      </c>
      <c r="D104" s="42">
        <f>TRUNC(7463,-1)</f>
        <v>7460</v>
      </c>
      <c r="E104" s="64">
        <f t="shared" si="3"/>
        <v>24660</v>
      </c>
    </row>
    <row r="105" spans="1:7" x14ac:dyDescent="0.3">
      <c r="A105" s="2">
        <v>8</v>
      </c>
      <c r="C105" s="38" t="s">
        <v>46</v>
      </c>
      <c r="D105" s="42">
        <f>TRUNC(2502,-1)</f>
        <v>2500</v>
      </c>
      <c r="E105" s="64">
        <f t="shared" si="3"/>
        <v>8260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TRUNC(3986,-1)</f>
        <v>3980</v>
      </c>
      <c r="E116" s="64">
        <f t="shared" si="3"/>
        <v>13150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TRUNC(57547,-1)</f>
        <v>57540</v>
      </c>
      <c r="E117" s="64">
        <f t="shared" si="3"/>
        <v>190210</v>
      </c>
    </row>
    <row r="118" spans="1:7" ht="17.25" thickBot="1" x14ac:dyDescent="0.35">
      <c r="A118" s="2">
        <v>21</v>
      </c>
      <c r="C118" s="38" t="s">
        <v>47</v>
      </c>
      <c r="D118" s="43">
        <f>TRUNC(14344,-1)</f>
        <v>14340</v>
      </c>
      <c r="E118" s="65">
        <f t="shared" si="3"/>
        <v>47400</v>
      </c>
    </row>
    <row r="119" spans="1:7" x14ac:dyDescent="0.3">
      <c r="A119" s="2">
        <v>22</v>
      </c>
      <c r="C119" s="27" t="s">
        <v>112</v>
      </c>
      <c r="D119" s="39">
        <f>SUM(D98:D118)</f>
        <v>150450</v>
      </c>
      <c r="E119" s="39">
        <f>SUM(E98:E118)</f>
        <v>497320</v>
      </c>
    </row>
    <row r="120" spans="1:7" s="53" customFormat="1" x14ac:dyDescent="0.3">
      <c r="C120" s="54"/>
      <c r="D120" s="54"/>
      <c r="E120" s="54"/>
      <c r="F120" s="52"/>
      <c r="G120" s="52"/>
    </row>
    <row r="121" spans="1:7" s="53" customFormat="1" ht="17.25" thickBot="1" x14ac:dyDescent="0.35">
      <c r="B121" s="53" t="s">
        <v>242</v>
      </c>
      <c r="C121" s="53" t="s">
        <v>240</v>
      </c>
      <c r="D121" s="54" t="s">
        <v>235</v>
      </c>
      <c r="E121" s="54" t="s">
        <v>153</v>
      </c>
      <c r="F121" s="52"/>
      <c r="G121" s="52"/>
    </row>
    <row r="122" spans="1:7" x14ac:dyDescent="0.3">
      <c r="A122" s="2">
        <v>1</v>
      </c>
      <c r="C122" s="38" t="s">
        <v>55</v>
      </c>
      <c r="D122" s="40">
        <f>TRUNC(1472,-1)</f>
        <v>1470</v>
      </c>
      <c r="E122" s="63">
        <f t="shared" ref="E122:E132" si="4">TRUNC(+D122*3.3058,-1)</f>
        <v>4850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TRUNC(8858,-1)</f>
        <v>8850</v>
      </c>
      <c r="E124" s="64">
        <f t="shared" si="4"/>
        <v>29250</v>
      </c>
    </row>
    <row r="125" spans="1:7" x14ac:dyDescent="0.3">
      <c r="A125" s="2">
        <v>4</v>
      </c>
      <c r="C125" s="38" t="s">
        <v>138</v>
      </c>
      <c r="D125" s="42">
        <f>TRUNC(7657,-1)</f>
        <v>7650</v>
      </c>
      <c r="E125" s="64">
        <f t="shared" si="4"/>
        <v>25280</v>
      </c>
    </row>
    <row r="126" spans="1:7" x14ac:dyDescent="0.3">
      <c r="A126" s="2">
        <v>5</v>
      </c>
      <c r="C126" s="38" t="s">
        <v>53</v>
      </c>
      <c r="D126" s="42">
        <f>TRUNC(1591,-1)</f>
        <v>1590</v>
      </c>
      <c r="E126" s="64">
        <f t="shared" si="4"/>
        <v>5250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TRUNC(9975,-1)</f>
        <v>9970</v>
      </c>
      <c r="E128" s="64">
        <f t="shared" si="4"/>
        <v>32950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TRUNC(18111,-1)</f>
        <v>18110</v>
      </c>
      <c r="E130" s="64">
        <f t="shared" si="4"/>
        <v>59860</v>
      </c>
    </row>
    <row r="131" spans="1:7" x14ac:dyDescent="0.3">
      <c r="A131" s="2">
        <v>10</v>
      </c>
      <c r="C131" s="38" t="s">
        <v>148</v>
      </c>
      <c r="D131" s="42">
        <f>TRUNC(54651,-1)</f>
        <v>54650</v>
      </c>
      <c r="E131" s="64">
        <f t="shared" si="4"/>
        <v>180660</v>
      </c>
    </row>
    <row r="132" spans="1:7" ht="17.25" thickBot="1" x14ac:dyDescent="0.35">
      <c r="A132" s="2">
        <v>11</v>
      </c>
      <c r="C132" s="38" t="s">
        <v>47</v>
      </c>
      <c r="D132" s="43">
        <f>TRUNC(2351,-1)</f>
        <v>2350</v>
      </c>
      <c r="E132" s="65">
        <f t="shared" si="4"/>
        <v>7760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104640</v>
      </c>
      <c r="E133" s="39">
        <f>SUM(E122:E132)</f>
        <v>345860</v>
      </c>
    </row>
    <row r="134" spans="1:7" s="53" customFormat="1" x14ac:dyDescent="0.3">
      <c r="C134" s="54"/>
      <c r="D134" s="54"/>
      <c r="E134" s="54"/>
      <c r="F134" s="52"/>
      <c r="G134" s="52"/>
    </row>
    <row r="135" spans="1:7" s="53" customFormat="1" ht="17.25" thickBot="1" x14ac:dyDescent="0.35">
      <c r="B135" s="53" t="s">
        <v>243</v>
      </c>
      <c r="C135" s="53" t="s">
        <v>240</v>
      </c>
      <c r="D135" s="54" t="s">
        <v>235</v>
      </c>
      <c r="E135" s="54" t="s">
        <v>153</v>
      </c>
      <c r="F135" s="52"/>
      <c r="G135" s="52"/>
    </row>
    <row r="136" spans="1:7" x14ac:dyDescent="0.3">
      <c r="A136" s="2">
        <v>1</v>
      </c>
      <c r="C136" s="38" t="s">
        <v>131</v>
      </c>
      <c r="D136" s="58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TRUNC(7459,-1)</f>
        <v>7450</v>
      </c>
      <c r="E137" s="64">
        <f t="shared" si="5"/>
        <v>24620</v>
      </c>
    </row>
    <row r="138" spans="1:7" x14ac:dyDescent="0.3">
      <c r="A138" s="2">
        <v>3</v>
      </c>
      <c r="C138" s="38" t="s">
        <v>60</v>
      </c>
      <c r="D138" s="4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TRUNC(5617,-1)</f>
        <v>5610</v>
      </c>
      <c r="E140" s="64">
        <f t="shared" si="5"/>
        <v>18540</v>
      </c>
    </row>
    <row r="141" spans="1:7" x14ac:dyDescent="0.3">
      <c r="A141" s="2">
        <v>6</v>
      </c>
      <c r="C141" s="38" t="s">
        <v>59</v>
      </c>
      <c r="D141" s="42">
        <f>TRUNC(4612,-1)</f>
        <v>4610</v>
      </c>
      <c r="E141" s="64">
        <f t="shared" si="5"/>
        <v>15230</v>
      </c>
    </row>
    <row r="142" spans="1:7" x14ac:dyDescent="0.3">
      <c r="A142" s="2">
        <v>7</v>
      </c>
      <c r="C142" s="38" t="s">
        <v>58</v>
      </c>
      <c r="D142" s="42">
        <v>7450</v>
      </c>
      <c r="E142" s="64">
        <f t="shared" si="5"/>
        <v>24620</v>
      </c>
    </row>
    <row r="143" spans="1:7" x14ac:dyDescent="0.3">
      <c r="A143" s="2">
        <v>8</v>
      </c>
      <c r="C143" s="38" t="s">
        <v>62</v>
      </c>
      <c r="D143" s="42">
        <f>TRUNC(4633,-1)</f>
        <v>4630</v>
      </c>
      <c r="E143" s="64">
        <f t="shared" si="5"/>
        <v>15300</v>
      </c>
    </row>
    <row r="144" spans="1:7" x14ac:dyDescent="0.3">
      <c r="A144" s="2">
        <v>9</v>
      </c>
      <c r="C144" s="38" t="s">
        <v>63</v>
      </c>
      <c r="D144" s="42">
        <f>TRUNC(9268,-1)</f>
        <v>9260</v>
      </c>
      <c r="E144" s="64">
        <f t="shared" si="5"/>
        <v>30610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39010</v>
      </c>
      <c r="E146" s="39">
        <f>SUM(E136:E145)</f>
        <v>128920</v>
      </c>
    </row>
    <row r="147" spans="1:7" s="53" customFormat="1" x14ac:dyDescent="0.3">
      <c r="C147" s="54"/>
      <c r="D147" s="54"/>
      <c r="E147" s="54"/>
      <c r="F147" s="52"/>
      <c r="G147" s="52"/>
    </row>
    <row r="148" spans="1:7" s="53" customFormat="1" ht="17.25" thickBot="1" x14ac:dyDescent="0.35">
      <c r="B148" s="53" t="s">
        <v>244</v>
      </c>
      <c r="C148" s="53" t="s">
        <v>240</v>
      </c>
      <c r="D148" s="54" t="s">
        <v>235</v>
      </c>
      <c r="E148" s="54" t="s">
        <v>153</v>
      </c>
      <c r="F148" s="52"/>
      <c r="G148" s="52"/>
    </row>
    <row r="149" spans="1:7" x14ac:dyDescent="0.3">
      <c r="A149" s="2">
        <v>1</v>
      </c>
      <c r="C149" s="38" t="s">
        <v>48</v>
      </c>
      <c r="D149" s="40">
        <f>TRUNC(7317+2071,-1)</f>
        <v>9380</v>
      </c>
      <c r="E149" s="63">
        <f>TRUNC(+D149*3.3058,-1)</f>
        <v>31000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TRUNC(15967,-1)</f>
        <v>15960</v>
      </c>
      <c r="E150" s="64">
        <f>TRUNC(+D150*3.3058,-1)</f>
        <v>52760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f>TRUNC(15705,-1)</f>
        <v>15700</v>
      </c>
      <c r="E151" s="64">
        <f>TRUNC(+D151*3.3058,-1)</f>
        <v>51900</v>
      </c>
      <c r="F151" s="2" t="s">
        <v>258</v>
      </c>
    </row>
    <row r="152" spans="1:7" x14ac:dyDescent="0.3">
      <c r="A152" s="2">
        <v>4</v>
      </c>
      <c r="C152" s="38" t="s">
        <v>47</v>
      </c>
      <c r="D152" s="42">
        <f>TRUNC(7273+65+384,-1)</f>
        <v>7720</v>
      </c>
      <c r="E152" s="64">
        <f>TRUNC(+D152*3.3058,-1)</f>
        <v>25520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  <c r="F153" s="2" t="s">
        <v>258</v>
      </c>
    </row>
    <row r="154" spans="1:7" x14ac:dyDescent="0.3">
      <c r="A154" s="2">
        <v>6</v>
      </c>
      <c r="C154" s="27" t="s">
        <v>112</v>
      </c>
      <c r="D154" s="39">
        <f>SUM(D149:D153)</f>
        <v>48760</v>
      </c>
      <c r="E154" s="39">
        <f>SUM(E149:E153)</f>
        <v>161180</v>
      </c>
    </row>
    <row r="155" spans="1:7" s="53" customFormat="1" x14ac:dyDescent="0.3">
      <c r="C155" s="54"/>
      <c r="D155" s="54"/>
      <c r="E155" s="54"/>
      <c r="F155" s="52"/>
      <c r="G155" s="52"/>
    </row>
    <row r="156" spans="1:7" s="53" customFormat="1" ht="17.25" thickBot="1" x14ac:dyDescent="0.35">
      <c r="B156" s="53" t="s">
        <v>245</v>
      </c>
      <c r="C156" s="53" t="s">
        <v>240</v>
      </c>
      <c r="D156" s="54" t="s">
        <v>235</v>
      </c>
      <c r="E156" s="54" t="s">
        <v>153</v>
      </c>
      <c r="F156" s="52"/>
      <c r="G156" s="52"/>
    </row>
    <row r="157" spans="1:7" x14ac:dyDescent="0.3">
      <c r="A157" s="2">
        <v>1</v>
      </c>
      <c r="C157" s="38" t="s">
        <v>51</v>
      </c>
      <c r="D157" s="40">
        <f>TRUNC(10158,-1)</f>
        <v>10150</v>
      </c>
      <c r="E157" s="63">
        <f>TRUNC(+D157*3.3058,-1)</f>
        <v>33550</v>
      </c>
    </row>
    <row r="158" spans="1:7" x14ac:dyDescent="0.3">
      <c r="A158" s="2">
        <v>2</v>
      </c>
      <c r="C158" s="38" t="s">
        <v>52</v>
      </c>
      <c r="D158" s="42">
        <f>TRUNC(8412,-1)</f>
        <v>8410</v>
      </c>
      <c r="E158" s="64">
        <f>TRUNC(+D158*3.3058,-1)</f>
        <v>27800</v>
      </c>
    </row>
    <row r="159" spans="1:7" x14ac:dyDescent="0.3">
      <c r="A159" s="2">
        <v>3</v>
      </c>
      <c r="C159" s="38" t="s">
        <v>47</v>
      </c>
      <c r="D159" s="42">
        <f>TRUNC(8451,-1)</f>
        <v>8450</v>
      </c>
      <c r="E159" s="64">
        <f>TRUNC(+D159*3.3058,-1)</f>
        <v>27930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27010</v>
      </c>
      <c r="E161" s="39">
        <f>SUM(E156:E160)</f>
        <v>89280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2020-12-07T10:14:33Z</dcterms:modified>
</cp:coreProperties>
</file>