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8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58" i="4" l="1"/>
  <c r="D53" i="4"/>
  <c r="D52" i="4"/>
  <c r="D50" i="4"/>
  <c r="D49" i="4"/>
  <c r="D48" i="4"/>
  <c r="D46" i="4"/>
  <c r="D45" i="4"/>
  <c r="D44" i="4"/>
  <c r="D43" i="4"/>
  <c r="D42" i="4"/>
  <c r="D41" i="4"/>
  <c r="D40" i="4"/>
  <c r="D65" i="4"/>
  <c r="D63" i="4"/>
  <c r="D94" i="4"/>
  <c r="D92" i="4"/>
  <c r="D91" i="4"/>
  <c r="D89" i="4"/>
  <c r="D75" i="4"/>
  <c r="D73" i="4"/>
  <c r="D72" i="4"/>
  <c r="D71" i="4"/>
  <c r="D70" i="4"/>
  <c r="D69" i="4"/>
  <c r="D116" i="4"/>
  <c r="D114" i="4"/>
  <c r="D105" i="4"/>
  <c r="D104" i="4"/>
  <c r="D102" i="4"/>
  <c r="D101" i="4"/>
  <c r="D100" i="4"/>
  <c r="D99" i="4"/>
  <c r="D98" i="4"/>
  <c r="D132" i="4"/>
  <c r="D130" i="4"/>
  <c r="D128" i="4"/>
  <c r="D127" i="4"/>
  <c r="D125" i="4"/>
  <c r="D124" i="4"/>
  <c r="D122" i="4"/>
  <c r="D144" i="4"/>
  <c r="D143" i="4"/>
  <c r="D142" i="4"/>
  <c r="D141" i="4"/>
  <c r="D140" i="4"/>
  <c r="D139" i="4"/>
  <c r="D137" i="4"/>
  <c r="D152" i="4"/>
  <c r="D150" i="4"/>
  <c r="D149" i="4"/>
  <c r="D159" i="4"/>
  <c r="D158" i="4"/>
  <c r="D157" i="4"/>
  <c r="D131" i="4"/>
  <c r="D117" i="4"/>
  <c r="D59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46" i="4"/>
  <c r="E133" i="4"/>
  <c r="E119" i="4"/>
  <c r="E95" i="4"/>
  <c r="E66" i="4"/>
  <c r="E60" i="4"/>
  <c r="D161" i="4"/>
  <c r="D154" i="4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31" i="4"/>
  <c r="E31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E34" i="4" l="1"/>
  <c r="D34" i="4"/>
</calcChain>
</file>

<file path=xl/sharedStrings.xml><?xml version="1.0" encoding="utf-8"?>
<sst xmlns="http://schemas.openxmlformats.org/spreadsheetml/2006/main" count="390" uniqueCount="265">
  <si>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</si>
  <si>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</si>
  <si>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</si>
  <si>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</si>
  <si>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</si>
  <si>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</si>
  <si>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</si>
  <si>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</si>
  <si>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</si>
  <si>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</si>
  <si>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</si>
  <si>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</si>
  <si>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</si>
  <si>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</si>
  <si>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</si>
  <si>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</si>
  <si>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</si>
  <si>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</si>
  <si>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</si>
  <si>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</si>
  <si>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</si>
  <si>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</si>
  <si>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</si>
  <si>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</si>
  <si>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</si>
  <si>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</si>
  <si>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</si>
  <si>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</si>
  <si>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</si>
  <si>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</si>
  <si>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</si>
  <si>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</si>
  <si>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</si>
  <si>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</si>
  <si>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</si>
  <si>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</si>
  <si>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</si>
  <si>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</si>
  <si>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</si>
  <si>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</si>
  <si>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</si>
  <si>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</si>
  <si>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</si>
  <si>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</si>
  <si>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</si>
  <si>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</si>
  <si>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</si>
  <si>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</si>
  <si>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</si>
  <si>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</si>
  <si>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</si>
  <si>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</si>
  <si>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</si>
  <si>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</si>
  <si>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</si>
  <si>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</si>
  <si>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</si>
  <si>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</si>
  <si>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</si>
  <si>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</si>
  <si>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</si>
  <si>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</si>
  <si>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</si>
  <si>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</si>
  <si>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</si>
  <si>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</si>
  <si>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</si>
  <si>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</si>
  <si>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</si>
  <si>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</si>
  <si>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</si>
  <si>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</si>
  <si>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</si>
  <si>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</si>
  <si>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</si>
  <si>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</si>
  <si>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</si>
  <si>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</si>
  <si>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</si>
  <si>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</si>
  <si>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</si>
  <si>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</si>
  <si>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</si>
  <si>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</si>
  <si>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</si>
  <si>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</si>
  <si>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</si>
  <si>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</si>
  <si>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</si>
  <si>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</si>
  <si>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</si>
  <si>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</si>
  <si>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</si>
  <si>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</si>
  <si>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</si>
  <si>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</si>
  <si>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</si>
  <si>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</si>
  <si>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</si>
  <si>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</si>
  <si>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</si>
  <si>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</si>
  <si>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</si>
  <si>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</si>
  <si>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</si>
  <si>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</si>
  <si>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</si>
  <si>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</si>
  <si>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</si>
  <si>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</si>
  <si>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</si>
  <si>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</si>
  <si>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</si>
  <si>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</si>
  <si>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</si>
  <si>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</si>
  <si>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</si>
  <si>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</si>
  <si>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</si>
  <si>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</si>
  <si>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</si>
  <si>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</si>
  <si>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</si>
  <si>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</si>
  <si>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</si>
  <si>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</si>
  <si>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</si>
  <si>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</si>
  <si>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</si>
  <si>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</si>
  <si>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</si>
  <si>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</si>
  <si>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</si>
  <si>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</si>
  <si>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</si>
  <si>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</si>
  <si>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</si>
  <si>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</si>
  <si>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</si>
  <si>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</si>
  <si>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</si>
  <si>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</si>
  <si>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</si>
  <si>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</si>
  <si>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</si>
  <si>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</si>
  <si>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</si>
  <si>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</si>
  <si>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</si>
  <si>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</si>
  <si>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</si>
  <si>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</si>
  <si>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</si>
  <si>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</si>
  <si>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</si>
  <si>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</si>
  <si>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</si>
  <si>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</si>
  <si>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</si>
  <si>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</si>
  <si>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</si>
  <si>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</si>
  <si>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</si>
  <si>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</si>
  <si>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</si>
  <si>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</si>
  <si>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</si>
  <si>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</si>
  <si>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</si>
  <si>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</si>
  <si>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</si>
  <si>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</si>
  <si>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</si>
  <si>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</si>
  <si>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</si>
  <si>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</si>
  <si>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</si>
  <si>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</si>
  <si>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</si>
  <si>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</si>
  <si>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</si>
  <si>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</si>
  <si>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</si>
  <si>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</si>
  <si>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</si>
  <si>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</si>
  <si>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</si>
  <si>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</si>
  <si>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</si>
  <si>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</si>
  <si>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</si>
  <si>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</si>
  <si>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</si>
  <si>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</si>
  <si>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</si>
  <si>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</si>
  <si>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</si>
  <si>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</si>
  <si>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</si>
  <si>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</si>
  <si>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</si>
  <si>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</si>
  <si>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</si>
  <si>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</si>
  <si>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</si>
  <si>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</si>
  <si>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</si>
  <si>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</si>
  <si>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</si>
  <si>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</si>
  <si>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</si>
  <si>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</si>
  <si>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</si>
  <si>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</si>
  <si>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</si>
  <si>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</si>
  <si>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</si>
  <si>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</si>
  <si>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</si>
  <si>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</si>
  <si>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</si>
  <si>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</si>
  <si>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</si>
  <si>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</si>
  <si>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</si>
  <si>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</si>
  <si>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</si>
  <si>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</si>
  <si>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</si>
  <si>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</si>
  <si>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</si>
  <si>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</si>
  <si>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</si>
  <si>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</si>
  <si>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</si>
  <si>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</si>
  <si>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</si>
  <si>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</si>
  <si>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</si>
  <si>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</si>
  <si>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</si>
  <si>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</si>
  <si>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</si>
  <si>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</si>
  <si>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</si>
  <si>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</si>
  <si>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</si>
  <si>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</si>
  <si>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서울남부지방법원 별관 신축공사</t>
    <phoneticPr fontId="2" type="noConversion"/>
  </si>
  <si>
    <t>업무</t>
  </si>
  <si>
    <t>서울</t>
  </si>
  <si>
    <t>기초공사,해체및철거공사,골재비및운반비,작업부산물,품질시험비,기타공사</t>
    <phoneticPr fontId="2" type="noConversion"/>
  </si>
  <si>
    <t>공조배관공사,난방배관공사  ,우수처리시설공사,기타공사</t>
    <phoneticPr fontId="2" type="noConversion"/>
  </si>
  <si>
    <t xml:space="preserve">전기인입 및 수변전 설비공사  </t>
    <phoneticPr fontId="2" type="noConversion"/>
  </si>
  <si>
    <t>CATV 및 TV 설비공사</t>
    <phoneticPr fontId="2" type="noConversion"/>
  </si>
  <si>
    <t>CCTV설비공사,주차관제설비공사,기타공사</t>
    <phoneticPr fontId="2" type="noConversion"/>
  </si>
  <si>
    <t>우수공사,오수공사</t>
    <phoneticPr fontId="2" type="noConversion"/>
  </si>
  <si>
    <t>상수도공사,사급자재비,운반비,기타공사</t>
    <phoneticPr fontId="2" type="noConversion"/>
  </si>
  <si>
    <t>조경시설물</t>
    <phoneticPr fontId="2" type="noConversion"/>
  </si>
  <si>
    <t>포장공사,기타공사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</si>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</sst>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262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8051.41</v>
      </c>
      <c r="D7" s="36">
        <f>+C7/3.3058</f>
        <v>2435.540565067457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263</v>
      </c>
    </row>
    <row r="19" spans="1:5" x14ac:dyDescent="0.3">
      <c r="A19" s="2">
        <v>9</v>
      </c>
      <c r="B19" s="2" t="s">
        <v>264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870000</v>
      </c>
      <c r="E25" s="59">
        <f t="shared" si="0"/>
        <v>2876040</v>
      </c>
    </row>
    <row r="26" spans="1:5" x14ac:dyDescent="0.3">
      <c r="B26" s="2">
        <v>3</v>
      </c>
      <c r="C26" s="35" t="s">
        <v>95</v>
      </c>
      <c r="D26" s="45">
        <f>+D66</f>
        <v>34670</v>
      </c>
      <c r="E26" s="59">
        <f t="shared" si="0"/>
        <v>114610</v>
      </c>
    </row>
    <row r="27" spans="1:5" x14ac:dyDescent="0.3">
      <c r="B27" s="2">
        <v>4</v>
      </c>
      <c r="C27" s="35" t="s">
        <v>96</v>
      </c>
      <c r="D27" s="45">
        <f>+D95</f>
        <v>243940</v>
      </c>
      <c r="E27" s="59">
        <f t="shared" si="0"/>
        <v>806410</v>
      </c>
    </row>
    <row r="28" spans="1:5" x14ac:dyDescent="0.3">
      <c r="B28" s="2">
        <v>5</v>
      </c>
      <c r="C28" s="35" t="s">
        <v>97</v>
      </c>
      <c r="D28" s="45">
        <f>+D119</f>
        <v>174940</v>
      </c>
      <c r="E28" s="59">
        <f t="shared" si="0"/>
        <v>578310</v>
      </c>
    </row>
    <row r="29" spans="1:5" x14ac:dyDescent="0.3">
      <c r="B29" s="2">
        <v>6</v>
      </c>
      <c r="C29" s="35" t="s">
        <v>98</v>
      </c>
      <c r="D29" s="45">
        <f>+D133</f>
        <v>64990</v>
      </c>
      <c r="E29" s="59">
        <f t="shared" si="0"/>
        <v>214840</v>
      </c>
    </row>
    <row r="30" spans="1:5" x14ac:dyDescent="0.3">
      <c r="B30" s="2">
        <v>7</v>
      </c>
      <c r="C30" s="35" t="s">
        <v>99</v>
      </c>
      <c r="D30" s="45">
        <f>+D146</f>
        <v>69730</v>
      </c>
      <c r="E30" s="59">
        <f t="shared" si="0"/>
        <v>230510</v>
      </c>
    </row>
    <row r="31" spans="1:5" x14ac:dyDescent="0.3">
      <c r="B31" s="2">
        <v>8</v>
      </c>
      <c r="C31" s="35" t="s">
        <v>100</v>
      </c>
      <c r="D31" s="45">
        <f>+D154</f>
        <v>15120</v>
      </c>
      <c r="E31" s="59">
        <f t="shared" si="0"/>
        <v>49980</v>
      </c>
    </row>
    <row r="32" spans="1:5" x14ac:dyDescent="0.3">
      <c r="B32" s="2">
        <v>9</v>
      </c>
      <c r="C32" s="35" t="s">
        <v>101</v>
      </c>
      <c r="D32" s="45">
        <f>+D161</f>
        <v>37400</v>
      </c>
      <c r="E32" s="59">
        <f t="shared" si="0"/>
        <v>123630</v>
      </c>
    </row>
    <row r="33" spans="1:7" x14ac:dyDescent="0.3">
      <c r="B33" s="2">
        <v>10</v>
      </c>
      <c r="C33" s="35" t="s">
        <v>154</v>
      </c>
      <c r="D33" s="53">
        <f>TRUNC(SUM(D24:D32)*0.275,-1)</f>
        <v>415460</v>
      </c>
      <c r="E33" s="60">
        <f t="shared" si="0"/>
        <v>1373420</v>
      </c>
    </row>
    <row r="34" spans="1:7" x14ac:dyDescent="0.3">
      <c r="C34" s="35" t="s">
        <v>112</v>
      </c>
      <c r="D34" s="44">
        <f>SUM(D24:D33)</f>
        <v>1926250</v>
      </c>
      <c r="E34" s="44">
        <f>SUM(E24:E33)</f>
        <v>6367750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260</v>
      </c>
      <c r="E39" s="67" t="s">
        <v>261</v>
      </c>
      <c r="G39" s="68"/>
    </row>
    <row r="40" spans="1:7" x14ac:dyDescent="0.3">
      <c r="A40" s="2">
        <v>1</v>
      </c>
      <c r="C40" s="38" t="s">
        <v>15</v>
      </c>
      <c r="D40" s="40">
        <f>TRUNC(38825,-1)</f>
        <v>38820</v>
      </c>
      <c r="E40" s="62">
        <f t="shared" ref="E40:E59" si="1">TRUNC(+D40*3.3058,-1)</f>
        <v>128330</v>
      </c>
    </row>
    <row r="41" spans="1:7" x14ac:dyDescent="0.3">
      <c r="A41" s="2">
        <v>2</v>
      </c>
      <c r="C41" s="38" t="s">
        <v>13</v>
      </c>
      <c r="D41" s="42">
        <f>TRUNC(174548,-1)</f>
        <v>174540</v>
      </c>
      <c r="E41" s="63">
        <f t="shared" si="1"/>
        <v>576990</v>
      </c>
    </row>
    <row r="42" spans="1:7" x14ac:dyDescent="0.3">
      <c r="A42" s="2">
        <v>3</v>
      </c>
      <c r="C42" s="38" t="s">
        <v>14</v>
      </c>
      <c r="D42" s="42">
        <f>TRUNC(20021,-1)</f>
        <v>20020</v>
      </c>
      <c r="E42" s="63">
        <f t="shared" si="1"/>
        <v>66180</v>
      </c>
    </row>
    <row r="43" spans="1:7" x14ac:dyDescent="0.3">
      <c r="A43" s="2">
        <v>4</v>
      </c>
      <c r="C43" s="38" t="s">
        <v>16</v>
      </c>
      <c r="D43" s="42">
        <f>TRUNC(12042,-1)</f>
        <v>12040</v>
      </c>
      <c r="E43" s="63">
        <f t="shared" si="1"/>
        <v>39800</v>
      </c>
    </row>
    <row r="44" spans="1:7" x14ac:dyDescent="0.3">
      <c r="A44" s="2">
        <v>5</v>
      </c>
      <c r="C44" s="38" t="s">
        <v>17</v>
      </c>
      <c r="D44" s="42">
        <f>TRUNC(23961,-1)</f>
        <v>23960</v>
      </c>
      <c r="E44" s="63">
        <f t="shared" si="1"/>
        <v>79200</v>
      </c>
    </row>
    <row r="45" spans="1:7" x14ac:dyDescent="0.3">
      <c r="A45" s="2">
        <v>6</v>
      </c>
      <c r="C45" s="38" t="s">
        <v>18</v>
      </c>
      <c r="D45" s="42">
        <f>TRUNC(6739,-1)</f>
        <v>6730</v>
      </c>
      <c r="E45" s="63">
        <f t="shared" si="1"/>
        <v>22240</v>
      </c>
    </row>
    <row r="46" spans="1:7" x14ac:dyDescent="0.3">
      <c r="A46" s="2">
        <v>7</v>
      </c>
      <c r="C46" s="38" t="s">
        <v>19</v>
      </c>
      <c r="D46" s="42">
        <f>TRUNC(2871,-1)</f>
        <v>2870</v>
      </c>
      <c r="E46" s="63">
        <f t="shared" si="1"/>
        <v>9480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TRUNC(17698,-1)</f>
        <v>17690</v>
      </c>
      <c r="E48" s="63">
        <f t="shared" si="1"/>
        <v>58470</v>
      </c>
    </row>
    <row r="49" spans="1:7" x14ac:dyDescent="0.3">
      <c r="A49" s="2">
        <v>10</v>
      </c>
      <c r="C49" s="38" t="s">
        <v>22</v>
      </c>
      <c r="D49" s="42">
        <f>TRUNC(10104,-1)</f>
        <v>10100</v>
      </c>
      <c r="E49" s="63">
        <f t="shared" si="1"/>
        <v>33380</v>
      </c>
    </row>
    <row r="50" spans="1:7" x14ac:dyDescent="0.3">
      <c r="A50" s="2">
        <v>11</v>
      </c>
      <c r="C50" s="38" t="s">
        <v>155</v>
      </c>
      <c r="D50" s="42">
        <f>TRUNC(28663,-1)</f>
        <v>28660</v>
      </c>
      <c r="E50" s="63">
        <f t="shared" si="1"/>
        <v>94740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TRUNC(12553,-1)</f>
        <v>12550</v>
      </c>
      <c r="E52" s="63">
        <f t="shared" si="1"/>
        <v>41480</v>
      </c>
    </row>
    <row r="53" spans="1:7" x14ac:dyDescent="0.3">
      <c r="A53" s="2">
        <v>14</v>
      </c>
      <c r="C53" s="38" t="s">
        <v>25</v>
      </c>
      <c r="D53" s="42">
        <f>TRUNC(57217,-1)</f>
        <v>57210</v>
      </c>
      <c r="E53" s="63">
        <f t="shared" si="1"/>
        <v>189120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TRUNC(23283+387+5145-771+1505+12228,-1)</f>
        <v>41770</v>
      </c>
      <c r="E58" s="63">
        <f t="shared" si="1"/>
        <v>138080</v>
      </c>
      <c r="F58" s="2" t="s">
        <v>251</v>
      </c>
    </row>
    <row r="59" spans="1:7" ht="17.25" thickBot="1" x14ac:dyDescent="0.35">
      <c r="A59" s="2">
        <v>20</v>
      </c>
      <c r="C59" s="38" t="s">
        <v>148</v>
      </c>
      <c r="D59" s="43">
        <f>TRUNC(423044,-1)</f>
        <v>423040</v>
      </c>
      <c r="E59" s="64">
        <f t="shared" si="1"/>
        <v>1398480</v>
      </c>
    </row>
    <row r="60" spans="1:7" x14ac:dyDescent="0.3">
      <c r="A60" s="2">
        <v>21</v>
      </c>
      <c r="C60" s="27" t="s">
        <v>112</v>
      </c>
      <c r="D60" s="39">
        <f>SUM(D40:D59)</f>
        <v>870000</v>
      </c>
      <c r="E60" s="39">
        <f>SUM(E40:E59)</f>
        <v>2875970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TRUNC(16909,-1)</f>
        <v>16900</v>
      </c>
      <c r="E63" s="62">
        <f>TRUNC(+D63*3.3058,-1)</f>
        <v>55860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TRUNC(17770,-1)</f>
        <v>17770</v>
      </c>
      <c r="E65" s="64">
        <f>TRUNC(+D65*3.3058,-1)</f>
        <v>58740</v>
      </c>
    </row>
    <row r="66" spans="1:7" x14ac:dyDescent="0.3">
      <c r="A66" s="2">
        <v>4</v>
      </c>
      <c r="C66" s="27" t="s">
        <v>112</v>
      </c>
      <c r="D66" s="39">
        <f>SUM(D63:D65)</f>
        <v>34670</v>
      </c>
      <c r="E66" s="65">
        <f>SUM(E63:E65)</f>
        <v>114600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TRUNC(62829,-1)</f>
        <v>62820</v>
      </c>
      <c r="E69" s="62">
        <f t="shared" ref="E69:E94" si="2">TRUNC(+D69*3.3058,-1)</f>
        <v>207670</v>
      </c>
    </row>
    <row r="70" spans="1:7" ht="16.5" customHeight="1" x14ac:dyDescent="0.3">
      <c r="A70" s="2">
        <v>2</v>
      </c>
      <c r="C70" s="38" t="s">
        <v>31</v>
      </c>
      <c r="D70" s="42">
        <f>TRUNC(401,-1)</f>
        <v>400</v>
      </c>
      <c r="E70" s="63">
        <f t="shared" si="2"/>
        <v>1320</v>
      </c>
    </row>
    <row r="71" spans="1:7" x14ac:dyDescent="0.3">
      <c r="A71" s="2">
        <v>3</v>
      </c>
      <c r="C71" s="38" t="s">
        <v>32</v>
      </c>
      <c r="D71" s="42">
        <f>TRUNC(27590,-1)</f>
        <v>27590</v>
      </c>
      <c r="E71" s="63">
        <f t="shared" si="2"/>
        <v>91200</v>
      </c>
    </row>
    <row r="72" spans="1:7" x14ac:dyDescent="0.3">
      <c r="A72" s="2">
        <v>4</v>
      </c>
      <c r="C72" s="38" t="s">
        <v>33</v>
      </c>
      <c r="D72" s="42">
        <f>TRUNC(983,-1)</f>
        <v>980</v>
      </c>
      <c r="E72" s="63">
        <f t="shared" si="2"/>
        <v>3230</v>
      </c>
    </row>
    <row r="73" spans="1:7" x14ac:dyDescent="0.3">
      <c r="A73" s="2">
        <v>5</v>
      </c>
      <c r="C73" s="38" t="s">
        <v>34</v>
      </c>
      <c r="D73" s="42">
        <f>TRUNC(11183,-1)</f>
        <v>11180</v>
      </c>
      <c r="E73" s="63">
        <f t="shared" si="2"/>
        <v>36950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TRUNC(6070,-1)</f>
        <v>6070</v>
      </c>
      <c r="E75" s="63">
        <f t="shared" si="2"/>
        <v>20060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TRUNC(9376,-1)</f>
        <v>9370</v>
      </c>
      <c r="E89" s="63">
        <f t="shared" si="2"/>
        <v>30970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TRUNC(32058,-1)</f>
        <v>32050</v>
      </c>
      <c r="E91" s="63">
        <f t="shared" si="2"/>
        <v>105950</v>
      </c>
    </row>
    <row r="92" spans="1:7" x14ac:dyDescent="0.3">
      <c r="A92" s="2">
        <v>24</v>
      </c>
      <c r="C92" s="38" t="s">
        <v>38</v>
      </c>
      <c r="D92" s="42">
        <f>TRUNC(5517,-1)</f>
        <v>5510</v>
      </c>
      <c r="E92" s="63">
        <f t="shared" si="2"/>
        <v>18210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TRUNC(67585+3256+10189+6942,-1)</f>
        <v>87970</v>
      </c>
      <c r="E94" s="64">
        <f t="shared" si="2"/>
        <v>290810</v>
      </c>
      <c r="F94" s="2" t="s">
        <v>252</v>
      </c>
    </row>
    <row r="95" spans="1:7" x14ac:dyDescent="0.3">
      <c r="A95" s="2">
        <v>27</v>
      </c>
      <c r="C95" s="27" t="s">
        <v>112</v>
      </c>
      <c r="D95" s="39">
        <f>SUM(D69:D94)</f>
        <v>243940</v>
      </c>
      <c r="E95" s="39">
        <f>SUM(E69:E94)</f>
        <v>806370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TRUNC(8856,-1)</f>
        <v>8850</v>
      </c>
      <c r="E98" s="62">
        <f t="shared" ref="E98:E118" si="3">TRUNC(+D98*3.3058,-1)</f>
        <v>29250</v>
      </c>
    </row>
    <row r="99" spans="1:7" x14ac:dyDescent="0.3">
      <c r="A99" s="2">
        <v>2</v>
      </c>
      <c r="C99" s="38" t="s">
        <v>40</v>
      </c>
      <c r="D99" s="42">
        <f>TRUNC(13964,-1)</f>
        <v>13960</v>
      </c>
      <c r="E99" s="63">
        <f t="shared" si="3"/>
        <v>46140</v>
      </c>
    </row>
    <row r="100" spans="1:7" x14ac:dyDescent="0.3">
      <c r="A100" s="2">
        <v>3</v>
      </c>
      <c r="C100" s="38" t="s">
        <v>41</v>
      </c>
      <c r="D100" s="42">
        <f>TRUNC(34150,-1)</f>
        <v>34150</v>
      </c>
      <c r="E100" s="63">
        <f t="shared" si="3"/>
        <v>112890</v>
      </c>
    </row>
    <row r="101" spans="1:7" x14ac:dyDescent="0.3">
      <c r="A101" s="2">
        <v>4</v>
      </c>
      <c r="C101" s="38" t="s">
        <v>42</v>
      </c>
      <c r="D101" s="42">
        <f>TRUNC(4395,-1)</f>
        <v>4390</v>
      </c>
      <c r="E101" s="63">
        <f t="shared" si="3"/>
        <v>14510</v>
      </c>
    </row>
    <row r="102" spans="1:7" x14ac:dyDescent="0.3">
      <c r="A102" s="2">
        <v>5</v>
      </c>
      <c r="C102" s="38" t="s">
        <v>43</v>
      </c>
      <c r="D102" s="42">
        <f>TRUNC(19883,-1)</f>
        <v>19880</v>
      </c>
      <c r="E102" s="63">
        <f t="shared" si="3"/>
        <v>65710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TRUNC(1847,-1)</f>
        <v>1840</v>
      </c>
      <c r="E104" s="63">
        <f t="shared" si="3"/>
        <v>6080</v>
      </c>
    </row>
    <row r="105" spans="1:7" x14ac:dyDescent="0.3">
      <c r="A105" s="2">
        <v>8</v>
      </c>
      <c r="C105" s="38" t="s">
        <v>46</v>
      </c>
      <c r="D105" s="42">
        <f>TRUNC(5353,-1)</f>
        <v>5350</v>
      </c>
      <c r="E105" s="63">
        <f t="shared" si="3"/>
        <v>17680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TRUNC(1403,-1)</f>
        <v>1400</v>
      </c>
      <c r="E114" s="63">
        <f t="shared" si="3"/>
        <v>4620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TRUNC(6219,-1)</f>
        <v>6210</v>
      </c>
      <c r="E116" s="63">
        <f t="shared" si="3"/>
        <v>20520</v>
      </c>
      <c r="F116" s="2" t="s">
        <v>253</v>
      </c>
    </row>
    <row r="117" spans="1:7" x14ac:dyDescent="0.3">
      <c r="A117" s="2">
        <v>20</v>
      </c>
      <c r="C117" s="38" t="s">
        <v>148</v>
      </c>
      <c r="D117" s="42">
        <f>TRUNC(78918,-1)</f>
        <v>78910</v>
      </c>
      <c r="E117" s="63">
        <f t="shared" si="3"/>
        <v>260860</v>
      </c>
    </row>
    <row r="118" spans="1:7" ht="17.25" thickBot="1" x14ac:dyDescent="0.35">
      <c r="A118" s="2">
        <v>21</v>
      </c>
      <c r="C118" s="38" t="s">
        <v>47</v>
      </c>
      <c r="D118" s="43">
        <v>0</v>
      </c>
      <c r="E118" s="64">
        <f t="shared" si="3"/>
        <v>0</v>
      </c>
    </row>
    <row r="119" spans="1:7" x14ac:dyDescent="0.3">
      <c r="A119" s="2">
        <v>22</v>
      </c>
      <c r="C119" s="27" t="s">
        <v>112</v>
      </c>
      <c r="D119" s="39">
        <f>SUM(D98:D118)</f>
        <v>174940</v>
      </c>
      <c r="E119" s="39">
        <f>SUM(E98:E118)</f>
        <v>578260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TRUNC(3492,-1)</f>
        <v>3490</v>
      </c>
      <c r="E122" s="62">
        <f t="shared" ref="E122:E132" si="4">TRUNC(+D122*3.3058,-1)</f>
        <v>11530</v>
      </c>
      <c r="F122" s="2" t="s">
        <v>254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TRUNC(2832,-1)</f>
        <v>2830</v>
      </c>
      <c r="E124" s="63">
        <f t="shared" si="4"/>
        <v>9350</v>
      </c>
    </row>
    <row r="125" spans="1:7" x14ac:dyDescent="0.3">
      <c r="A125" s="2">
        <v>4</v>
      </c>
      <c r="C125" s="38" t="s">
        <v>138</v>
      </c>
      <c r="D125" s="42">
        <f>TRUNC(6443,-1)</f>
        <v>6440</v>
      </c>
      <c r="E125" s="63">
        <f t="shared" si="4"/>
        <v>21280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f>TRUNC(6792,-1)</f>
        <v>6790</v>
      </c>
      <c r="E127" s="63">
        <f t="shared" si="4"/>
        <v>22440</v>
      </c>
    </row>
    <row r="128" spans="1:7" x14ac:dyDescent="0.3">
      <c r="A128" s="2">
        <v>7</v>
      </c>
      <c r="C128" s="38" t="s">
        <v>46</v>
      </c>
      <c r="D128" s="42">
        <f>TRUNC(3766,-1)</f>
        <v>3760</v>
      </c>
      <c r="E128" s="63">
        <f t="shared" si="4"/>
        <v>12420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TRUNC(26213,-1)</f>
        <v>26210</v>
      </c>
      <c r="E130" s="63">
        <f t="shared" si="4"/>
        <v>86640</v>
      </c>
    </row>
    <row r="131" spans="1:7" x14ac:dyDescent="0.3">
      <c r="A131" s="2">
        <v>10</v>
      </c>
      <c r="C131" s="38" t="s">
        <v>148</v>
      </c>
      <c r="D131" s="42">
        <f>TRUNC(9290,-1)</f>
        <v>9290</v>
      </c>
      <c r="E131" s="63">
        <f t="shared" si="4"/>
        <v>30710</v>
      </c>
    </row>
    <row r="132" spans="1:7" ht="18" thickBot="1" x14ac:dyDescent="0.35">
      <c r="A132" s="2">
        <v>11</v>
      </c>
      <c r="C132" s="38" t="s">
        <v>47</v>
      </c>
      <c r="D132" s="43">
        <f>TRUNC(2358+1262+2568,-1)</f>
        <v>6180</v>
      </c>
      <c r="E132" s="64">
        <f t="shared" si="4"/>
        <v>20420</v>
      </c>
      <c r="F132" s="54" t="s">
        <v>255</v>
      </c>
    </row>
    <row r="133" spans="1:7" x14ac:dyDescent="0.3">
      <c r="A133" s="2">
        <v>12</v>
      </c>
      <c r="C133" s="27" t="s">
        <v>112</v>
      </c>
      <c r="D133" s="39">
        <f>SUM(D122:D132)</f>
        <v>64990</v>
      </c>
      <c r="E133" s="39">
        <f>SUM(E122:E132)</f>
        <v>214790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TRUNC(278,-1)</f>
        <v>270</v>
      </c>
      <c r="E137" s="63">
        <f t="shared" si="5"/>
        <v>890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TRUNC(1903,-1)</f>
        <v>1900</v>
      </c>
      <c r="E139" s="63">
        <f t="shared" si="5"/>
        <v>6280</v>
      </c>
    </row>
    <row r="140" spans="1:7" x14ac:dyDescent="0.3">
      <c r="A140" s="2">
        <v>5</v>
      </c>
      <c r="C140" s="38" t="s">
        <v>57</v>
      </c>
      <c r="D140" s="42">
        <f>TRUNC(2111,-1)</f>
        <v>2110</v>
      </c>
      <c r="E140" s="63">
        <f t="shared" si="5"/>
        <v>6970</v>
      </c>
    </row>
    <row r="141" spans="1:7" x14ac:dyDescent="0.3">
      <c r="A141" s="2">
        <v>6</v>
      </c>
      <c r="C141" s="38" t="s">
        <v>59</v>
      </c>
      <c r="D141" s="42">
        <f>TRUNC(31474,-1)</f>
        <v>31470</v>
      </c>
      <c r="E141" s="63">
        <f t="shared" si="5"/>
        <v>104030</v>
      </c>
    </row>
    <row r="142" spans="1:7" x14ac:dyDescent="0.3">
      <c r="A142" s="2">
        <v>7</v>
      </c>
      <c r="C142" s="38" t="s">
        <v>58</v>
      </c>
      <c r="D142" s="42">
        <f>TRUNC(13816,-1)</f>
        <v>13810</v>
      </c>
      <c r="E142" s="63">
        <f t="shared" si="5"/>
        <v>45650</v>
      </c>
    </row>
    <row r="143" spans="1:7" x14ac:dyDescent="0.3">
      <c r="A143" s="2">
        <v>8</v>
      </c>
      <c r="C143" s="38" t="s">
        <v>62</v>
      </c>
      <c r="D143" s="42">
        <f>TRUNC(3497,-1)</f>
        <v>3490</v>
      </c>
      <c r="E143" s="63">
        <f t="shared" si="5"/>
        <v>11530</v>
      </c>
    </row>
    <row r="144" spans="1:7" x14ac:dyDescent="0.3">
      <c r="A144" s="2">
        <v>9</v>
      </c>
      <c r="C144" s="38" t="s">
        <v>63</v>
      </c>
      <c r="D144" s="42">
        <f>TRUNC(16680,-1)</f>
        <v>16680</v>
      </c>
      <c r="E144" s="63">
        <f t="shared" si="5"/>
        <v>55140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69730</v>
      </c>
      <c r="E146" s="39">
        <f>SUM(E136:E145)</f>
        <v>230490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TRUNC(2455+274,-1)</f>
        <v>2720</v>
      </c>
      <c r="E149" s="62">
        <f>TRUNC(+D149*3.3058,-1)</f>
        <v>8990</v>
      </c>
      <c r="F149" s="2" t="s">
        <v>256</v>
      </c>
    </row>
    <row r="150" spans="1:7" x14ac:dyDescent="0.3">
      <c r="A150" s="2">
        <v>2</v>
      </c>
      <c r="C150" s="38" t="s">
        <v>49</v>
      </c>
      <c r="D150" s="42">
        <f>TRUNC(7665,-1)</f>
        <v>7660</v>
      </c>
      <c r="E150" s="63">
        <f>TRUNC(+D150*3.3058,-1)</f>
        <v>25320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TRUNC(204+3916+0+626,-1)</f>
        <v>4740</v>
      </c>
      <c r="E152" s="63">
        <f>TRUNC(+D152*3.3058,-1)</f>
        <v>15660</v>
      </c>
      <c r="F152" s="2" t="s">
        <v>257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15120</v>
      </c>
      <c r="E154" s="39">
        <f>SUM(E149:E153)</f>
        <v>49970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TRUNC(19454,-1)</f>
        <v>19450</v>
      </c>
      <c r="E157" s="62">
        <f>TRUNC(+D157*3.3058,-1)</f>
        <v>64290</v>
      </c>
    </row>
    <row r="158" spans="1:7" x14ac:dyDescent="0.3">
      <c r="A158" s="2">
        <v>2</v>
      </c>
      <c r="C158" s="38" t="s">
        <v>52</v>
      </c>
      <c r="D158" s="42">
        <f>TRUNC(9625,-1)</f>
        <v>9620</v>
      </c>
      <c r="E158" s="63">
        <f>TRUNC(+D158*3.3058,-1)</f>
        <v>31800</v>
      </c>
      <c r="F158" s="2" t="s">
        <v>258</v>
      </c>
    </row>
    <row r="159" spans="1:7" x14ac:dyDescent="0.3">
      <c r="A159" s="2">
        <v>3</v>
      </c>
      <c r="C159" s="38" t="s">
        <v>47</v>
      </c>
      <c r="D159" s="42">
        <f>TRUNC(8333+4,-1)</f>
        <v>8330</v>
      </c>
      <c r="E159" s="63">
        <f>TRUNC(+D159*3.3058,-1)</f>
        <v>27530</v>
      </c>
      <c r="F159" s="2" t="s">
        <v>259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37400</v>
      </c>
      <c r="E161" s="39">
        <f>SUM(E157:E160)</f>
        <v>123620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2020-12-08T02:23:10Z</dcterms:modified>
</cp:coreProperties>
</file>