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3" i="4"/>
  <c r="E151" i="4"/>
  <c r="E149" i="4"/>
  <c r="E145" i="4"/>
  <c r="E144" i="4"/>
  <c r="E143" i="4"/>
  <c r="E142" i="4"/>
  <c r="E141" i="4"/>
  <c r="E140" i="4"/>
  <c r="E139" i="4"/>
  <c r="E138" i="4"/>
  <c r="E130" i="4"/>
  <c r="E128" i="4"/>
  <c r="E127" i="4"/>
  <c r="E126" i="4"/>
  <c r="E125" i="4"/>
  <c r="E123" i="4"/>
  <c r="E116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89" i="4"/>
  <c r="E88" i="4"/>
  <c r="E87" i="4"/>
  <c r="E86" i="4"/>
  <c r="E85" i="4"/>
  <c r="E84" i="4"/>
  <c r="E83" i="4"/>
  <c r="E82" i="4"/>
  <c r="E81" i="4"/>
  <c r="E80" i="4"/>
  <c r="E79" i="4"/>
  <c r="E74" i="4"/>
  <c r="E73" i="4"/>
  <c r="E64" i="4"/>
  <c r="E57" i="4"/>
  <c r="E56" i="4"/>
  <c r="E54" i="4"/>
  <c r="D132" i="4" l="1"/>
  <c r="E132" i="4" s="1"/>
  <c r="D122" i="4" l="1"/>
  <c r="E122" i="4" s="1"/>
  <c r="D124" i="4"/>
  <c r="E124" i="4" s="1"/>
  <c r="D129" i="4"/>
  <c r="E129" i="4" s="1"/>
  <c r="D131" i="4"/>
  <c r="E131" i="4" s="1"/>
  <c r="D117" i="4"/>
  <c r="E117" i="4" s="1"/>
  <c r="D93" i="4"/>
  <c r="E93" i="4" s="1"/>
  <c r="D59" i="4"/>
  <c r="E59" i="4" s="1"/>
  <c r="E133" i="4" l="1"/>
  <c r="D159" i="4"/>
  <c r="E159" i="4" s="1"/>
  <c r="D158" i="4"/>
  <c r="E158" i="4" s="1"/>
  <c r="D157" i="4"/>
  <c r="D152" i="4"/>
  <c r="E152" i="4" s="1"/>
  <c r="D150" i="4"/>
  <c r="D137" i="4"/>
  <c r="E137" i="4" s="1"/>
  <c r="D136" i="4"/>
  <c r="D133" i="4"/>
  <c r="D29" i="4" s="1"/>
  <c r="E29" i="4" s="1"/>
  <c r="D118" i="4"/>
  <c r="E118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D94" i="4"/>
  <c r="E94" i="4" s="1"/>
  <c r="D90" i="4"/>
  <c r="E90" i="4" s="1"/>
  <c r="D78" i="4"/>
  <c r="E78" i="4" s="1"/>
  <c r="D77" i="4"/>
  <c r="E77" i="4" s="1"/>
  <c r="D76" i="4"/>
  <c r="E76" i="4" s="1"/>
  <c r="D75" i="4"/>
  <c r="E75" i="4" s="1"/>
  <c r="D72" i="4"/>
  <c r="E72" i="4" s="1"/>
  <c r="D71" i="4"/>
  <c r="E71" i="4" s="1"/>
  <c r="D70" i="4"/>
  <c r="D69" i="4"/>
  <c r="E69" i="4" s="1"/>
  <c r="D65" i="4"/>
  <c r="E65" i="4" s="1"/>
  <c r="D63" i="4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37" i="4"/>
  <c r="E37" i="4" s="1"/>
  <c r="D7" i="4"/>
  <c r="D24" i="4" l="1"/>
  <c r="E24" i="4" s="1"/>
  <c r="E95" i="4"/>
  <c r="D146" i="4"/>
  <c r="D30" i="4" s="1"/>
  <c r="E30" i="4" s="1"/>
  <c r="E136" i="4"/>
  <c r="E146" i="4" s="1"/>
  <c r="D161" i="4"/>
  <c r="D32" i="4" s="1"/>
  <c r="E32" i="4" s="1"/>
  <c r="E157" i="4"/>
  <c r="E161" i="4" s="1"/>
  <c r="D95" i="4"/>
  <c r="D27" i="4" s="1"/>
  <c r="E27" i="4" s="1"/>
  <c r="E70" i="4"/>
  <c r="D60" i="4"/>
  <c r="D25" i="4" s="1"/>
  <c r="E25" i="4" s="1"/>
  <c r="E40" i="4"/>
  <c r="E60" i="4" s="1"/>
  <c r="D66" i="4"/>
  <c r="D26" i="4" s="1"/>
  <c r="E26" i="4" s="1"/>
  <c r="E63" i="4"/>
  <c r="E66" i="4" s="1"/>
  <c r="D119" i="4"/>
  <c r="D28" i="4" s="1"/>
  <c r="E28" i="4" s="1"/>
  <c r="E98" i="4"/>
  <c r="E119" i="4" s="1"/>
  <c r="D154" i="4"/>
  <c r="D31" i="4" s="1"/>
  <c r="E31" i="4" s="1"/>
  <c r="E150" i="4"/>
  <c r="E154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<sst xmlns="http://schemas.openxmlformats.org/spreadsheetml/2006/main" count="395" uniqueCount="270">
  <si>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</si>
  <si>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</si>
  <si>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</si>
  <si>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</si>
  <si>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</si>
  <si>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</si>
  <si>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</si>
  <si>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</si>
  <si>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</si>
  <si>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</si>
  <si>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</si>
  <si>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</si>
  <si>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</si>
  <si>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</si>
  <si>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</si>
  <si>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</si>
  <si>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</si>
  <si>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</si>
  <si>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</si>
  <si>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</si>
  <si>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</si>
  <si>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</si>
  <si>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</si>
  <si>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</si>
  <si>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</si>
  <si>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</si>
  <si>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</si>
  <si>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</si>
  <si>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</si>
  <si>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</si>
  <si>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</si>
  <si>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</si>
  <si>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</si>
  <si>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</si>
  <si>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</si>
  <si>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</si>
  <si>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</si>
  <si>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</si>
  <si>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</si>
  <si>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</si>
  <si>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</si>
  <si>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</si>
  <si>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</si>
  <si>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</si>
  <si>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</si>
  <si>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</si>
  <si>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</si>
  <si>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</si>
  <si>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</si>
  <si>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</si>
  <si>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</si>
  <si>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</si>
  <si>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</si>
  <si>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</si>
  <si>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</si>
  <si>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</si>
  <si>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</si>
  <si>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</si>
  <si>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</si>
  <si>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</si>
  <si>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</si>
  <si>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</si>
  <si>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</si>
  <si>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</si>
  <si>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</si>
  <si>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</si>
  <si>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</si>
  <si>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</si>
  <si>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</si>
  <si>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</si>
  <si>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</si>
  <si>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</si>
  <si>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</si>
  <si>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</si>
  <si>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</si>
  <si>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</si>
  <si>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</si>
  <si>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</si>
  <si>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</si>
  <si>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</si>
  <si>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</si>
  <si>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</si>
  <si>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</si>
  <si>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</si>
  <si>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</si>
  <si>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</si>
  <si>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</si>
  <si>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</si>
  <si>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</si>
  <si>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</si>
  <si>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</si>
  <si>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</si>
  <si>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</si>
  <si>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</si>
  <si>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</si>
  <si>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</si>
  <si>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</si>
  <si>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</si>
  <si>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</si>
  <si>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</si>
  <si>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</si>
  <si>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</si>
  <si>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</si>
  <si>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</si>
  <si>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</si>
  <si>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</si>
  <si>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</si>
  <si>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</si>
  <si>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</si>
  <si>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</si>
  <si>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</si>
  <si>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</si>
  <si>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</si>
  <si>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</si>
  <si>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</si>
  <si>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</si>
  <si>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</si>
  <si>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</si>
  <si>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</si>
  <si>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</si>
  <si>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</si>
  <si>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</si>
  <si>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</si>
  <si>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</si>
  <si>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</si>
  <si>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</si>
  <si>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</si>
  <si>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</si>
  <si>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</si>
  <si>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</si>
  <si>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</si>
  <si>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</si>
  <si>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</si>
  <si>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</si>
  <si>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</si>
  <si>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</si>
  <si>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</si>
  <si>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</si>
  <si>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</si>
  <si>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</si>
  <si>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</si>
  <si>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</si>
  <si>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</si>
  <si>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</si>
  <si>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</si>
  <si>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</si>
  <si>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</si>
  <si>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</si>
  <si>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</si>
  <si>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</si>
  <si>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</si>
  <si>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</si>
  <si>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</si>
  <si>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</si>
  <si>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</si>
  <si>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</si>
  <si>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</si>
  <si>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</si>
  <si>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</si>
  <si>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</si>
  <si>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</si>
  <si>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</si>
  <si>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</si>
  <si>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</si>
  <si>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</si>
  <si>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</si>
  <si>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</si>
  <si>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</si>
  <si>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</si>
  <si>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</si>
  <si>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</si>
  <si>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</si>
  <si>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</si>
  <si>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</si>
  <si>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</si>
  <si>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</si>
  <si>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</si>
  <si>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</si>
  <si>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</si>
  <si>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</si>
  <si>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</si>
  <si>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</si>
  <si>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</si>
  <si>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</si>
  <si>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</si>
  <si>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</si>
  <si>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</si>
  <si>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</si>
  <si>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</si>
  <si>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</si>
  <si>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</si>
  <si>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</si>
  <si>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</si>
  <si>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</si>
  <si>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</si>
  <si>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</si>
  <si>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</si>
  <si>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</si>
  <si>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</si>
  <si>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</si>
  <si>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</si>
  <si>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</si>
  <si>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</si>
  <si>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</si>
  <si>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</si>
  <si>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</si>
  <si>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</si>
  <si>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</si>
  <si>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</si>
  <si>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</si>
  <si>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</si>
  <si>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</si>
  <si>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</si>
  <si>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</si>
  <si>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</si>
  <si>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</si>
  <si>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</si>
  <si>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</si>
  <si>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</si>
  <si>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</si>
  <si>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</si>
  <si>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</si>
  <si>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</si>
  <si>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</si>
  <si>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</si>
  <si>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</si>
  <si>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</si>
  <si>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</si>
  <si>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</si>
  <si>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</si>
  <si>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</si>
  <si>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</si>
  <si>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</si>
  <si>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</si>
  <si>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</si>
  <si>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</si>
  <si>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</si>
  <si>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</si>
  <si>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</si>
  <si>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</si>
  <si>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</si>
  <si>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</si>
  <si>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</si>
  <si>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</si>
  <si>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</si>
  <si>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</si>
  <si>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서울</t>
  </si>
  <si>
    <t>문화및집회</t>
  </si>
  <si>
    <t>00 문화예술회관 신축공사</t>
  </si>
  <si>
    <t>평</t>
    <phoneticPr fontId="2" type="noConversion"/>
  </si>
  <si>
    <t>원/ m2</t>
    <phoneticPr fontId="2" type="noConversion"/>
  </si>
  <si>
    <t>기타공사, 골재비및운반비,작업부산물, 음향공사</t>
    <phoneticPr fontId="2" type="noConversion"/>
  </si>
  <si>
    <t>축열식 지열공사</t>
  </si>
  <si>
    <t>공조배관공사,위생배관 공사</t>
    <phoneticPr fontId="2" type="noConversion"/>
  </si>
  <si>
    <t>FCU 설비공사, 자동제어설비공사</t>
    <phoneticPr fontId="2" type="noConversion"/>
  </si>
  <si>
    <t>기계 소화배관</t>
    <phoneticPr fontId="2" type="noConversion"/>
  </si>
  <si>
    <t>전기 소방공사</t>
    <phoneticPr fontId="2" type="noConversion"/>
  </si>
  <si>
    <t>토목 배수공, 상수도공,영구배수공,부대공, 사급자재대</t>
    <phoneticPr fontId="2" type="noConversion"/>
  </si>
  <si>
    <t>이식공, 포장공</t>
    <phoneticPr fontId="2" type="noConversion"/>
  </si>
  <si>
    <t>원/ m2</t>
    <phoneticPr fontId="2" type="noConversion"/>
  </si>
  <si>
    <t>원/ m2</t>
    <phoneticPr fontId="2" type="noConversion"/>
  </si>
  <si>
    <t>옥외약전설비공사,통신설비공사,CCTV설비공사,전관방송설비공사,인터폰설비공사,주차관제설비공사</t>
    <phoneticPr fontId="2" type="noConversion"/>
  </si>
  <si>
    <t>도급자설치관급</t>
    <phoneticPr fontId="2" type="noConversion"/>
  </si>
  <si>
    <t>관급자설치</t>
    <phoneticPr fontId="2" type="noConversion"/>
  </si>
  <si>
    <t>도급자설치, 관급자설치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</si>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</sst>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8799</v>
      </c>
      <c r="D7" s="36">
        <f>+C7/3.3058</f>
        <v>2661.6855224151491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246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250</v>
      </c>
      <c r="E23" s="35" t="s">
        <v>238</v>
      </c>
    </row>
    <row r="24" spans="1:5" x14ac:dyDescent="0.3">
      <c r="B24" s="2">
        <v>1</v>
      </c>
      <c r="C24" s="35" t="s">
        <v>110</v>
      </c>
      <c r="D24" s="41">
        <f>D37</f>
        <v>16580</v>
      </c>
      <c r="E24" s="59">
        <f t="shared" ref="E24:E33" si="0">TRUNC(+D24*3.3058,-1)</f>
        <v>54810</v>
      </c>
    </row>
    <row r="25" spans="1:5" x14ac:dyDescent="0.3">
      <c r="B25" s="2">
        <v>2</v>
      </c>
      <c r="C25" s="35" t="s">
        <v>111</v>
      </c>
      <c r="D25" s="45">
        <f>+D60</f>
        <v>860270</v>
      </c>
      <c r="E25" s="60">
        <f t="shared" si="0"/>
        <v>2843880</v>
      </c>
    </row>
    <row r="26" spans="1:5" x14ac:dyDescent="0.3">
      <c r="B26" s="2">
        <v>3</v>
      </c>
      <c r="C26" s="35" t="s">
        <v>95</v>
      </c>
      <c r="D26" s="45">
        <f>+D66</f>
        <v>155120</v>
      </c>
      <c r="E26" s="60">
        <f t="shared" si="0"/>
        <v>512790</v>
      </c>
    </row>
    <row r="27" spans="1:5" x14ac:dyDescent="0.3">
      <c r="B27" s="2">
        <v>4</v>
      </c>
      <c r="C27" s="35" t="s">
        <v>96</v>
      </c>
      <c r="D27" s="45">
        <f>+D95</f>
        <v>536940</v>
      </c>
      <c r="E27" s="60">
        <f t="shared" si="0"/>
        <v>1775010</v>
      </c>
    </row>
    <row r="28" spans="1:5" x14ac:dyDescent="0.3">
      <c r="B28" s="2">
        <v>5</v>
      </c>
      <c r="C28" s="35" t="s">
        <v>97</v>
      </c>
      <c r="D28" s="45">
        <f>+D119</f>
        <v>172960</v>
      </c>
      <c r="E28" s="60">
        <f t="shared" si="0"/>
        <v>571770</v>
      </c>
    </row>
    <row r="29" spans="1:5" x14ac:dyDescent="0.3">
      <c r="B29" s="2">
        <v>6</v>
      </c>
      <c r="C29" s="35" t="s">
        <v>98</v>
      </c>
      <c r="D29" s="45">
        <f>+D133</f>
        <v>176250</v>
      </c>
      <c r="E29" s="60">
        <f t="shared" si="0"/>
        <v>582640</v>
      </c>
    </row>
    <row r="30" spans="1:5" x14ac:dyDescent="0.3">
      <c r="B30" s="2">
        <v>7</v>
      </c>
      <c r="C30" s="35" t="s">
        <v>99</v>
      </c>
      <c r="D30" s="45">
        <f>+D146</f>
        <v>45300</v>
      </c>
      <c r="E30" s="60">
        <f t="shared" si="0"/>
        <v>149750</v>
      </c>
    </row>
    <row r="31" spans="1:5" x14ac:dyDescent="0.3">
      <c r="B31" s="2">
        <v>8</v>
      </c>
      <c r="C31" s="35" t="s">
        <v>100</v>
      </c>
      <c r="D31" s="45">
        <f>+D154</f>
        <v>40610</v>
      </c>
      <c r="E31" s="60">
        <f t="shared" si="0"/>
        <v>134240</v>
      </c>
    </row>
    <row r="32" spans="1:5" x14ac:dyDescent="0.3">
      <c r="B32" s="2">
        <v>9</v>
      </c>
      <c r="C32" s="35" t="s">
        <v>101</v>
      </c>
      <c r="D32" s="45">
        <f>+D161</f>
        <v>20050</v>
      </c>
      <c r="E32" s="60">
        <f t="shared" si="0"/>
        <v>66280</v>
      </c>
    </row>
    <row r="33" spans="1:7" x14ac:dyDescent="0.3">
      <c r="B33" s="2">
        <v>10</v>
      </c>
      <c r="C33" s="35" t="s">
        <v>153</v>
      </c>
      <c r="D33" s="58">
        <f>TRUNC(SUM(D24:D32)*0.275,-1)</f>
        <v>556620</v>
      </c>
      <c r="E33" s="61">
        <f t="shared" si="0"/>
        <v>1840070</v>
      </c>
    </row>
    <row r="34" spans="1:7" x14ac:dyDescent="0.3">
      <c r="C34" s="35" t="s">
        <v>112</v>
      </c>
      <c r="D34" s="44">
        <f>SUM(D24:D33)</f>
        <v>2580700</v>
      </c>
      <c r="E34" s="44">
        <f>SUM(E24:E33)</f>
        <v>8531240</v>
      </c>
    </row>
    <row r="35" spans="1:7" s="54" customFormat="1" x14ac:dyDescent="0.3">
      <c r="C35" s="55"/>
      <c r="D35" s="55"/>
      <c r="E35" s="55"/>
      <c r="F35" s="53"/>
      <c r="G35" s="53"/>
    </row>
    <row r="36" spans="1:7" s="54" customFormat="1" ht="17.25" thickBot="1" x14ac:dyDescent="0.35">
      <c r="B36" s="54" t="s">
        <v>12</v>
      </c>
      <c r="C36" s="54" t="s">
        <v>235</v>
      </c>
      <c r="D36" s="55" t="s">
        <v>259</v>
      </c>
      <c r="E36" s="55" t="s">
        <v>238</v>
      </c>
      <c r="F36" s="53"/>
      <c r="G36" s="53"/>
    </row>
    <row r="37" spans="1:7" ht="17.25" thickBot="1" x14ac:dyDescent="0.35">
      <c r="C37" s="38" t="s">
        <v>143</v>
      </c>
      <c r="D37" s="52">
        <f>TRUNC(16586.6249573815,-1)</f>
        <v>16580</v>
      </c>
      <c r="E37" s="62">
        <f>TRUNC(+D37*3.3058,-1)</f>
        <v>54810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TRUNC(61520.9396522332,-1)</f>
        <v>61520</v>
      </c>
      <c r="E40" s="63">
        <f t="shared" ref="E40:E59" si="1">TRUNC(+D40*3.3058,-1)</f>
        <v>203370</v>
      </c>
    </row>
    <row r="41" spans="1:7" x14ac:dyDescent="0.3">
      <c r="A41" s="2">
        <v>2</v>
      </c>
      <c r="C41" s="38" t="s">
        <v>13</v>
      </c>
      <c r="D41" s="42">
        <f>TRUNC(154781.474258438,-1)</f>
        <v>154780</v>
      </c>
      <c r="E41" s="64">
        <f t="shared" si="1"/>
        <v>511670</v>
      </c>
    </row>
    <row r="42" spans="1:7" x14ac:dyDescent="0.3">
      <c r="A42" s="2">
        <v>3</v>
      </c>
      <c r="C42" s="38" t="s">
        <v>14</v>
      </c>
      <c r="D42" s="42">
        <f>TRUNC(75348.8054324355,-1)</f>
        <v>75340</v>
      </c>
      <c r="E42" s="64">
        <f t="shared" si="1"/>
        <v>249050</v>
      </c>
    </row>
    <row r="43" spans="1:7" x14ac:dyDescent="0.3">
      <c r="A43" s="2">
        <v>4</v>
      </c>
      <c r="C43" s="38" t="s">
        <v>16</v>
      </c>
      <c r="D43" s="42">
        <f>TRUNC(19668.5448346403,-1)</f>
        <v>19660</v>
      </c>
      <c r="E43" s="64">
        <f t="shared" si="1"/>
        <v>64990</v>
      </c>
    </row>
    <row r="44" spans="1:7" x14ac:dyDescent="0.3">
      <c r="A44" s="2">
        <v>5</v>
      </c>
      <c r="C44" s="38" t="s">
        <v>17</v>
      </c>
      <c r="D44" s="42">
        <f>TRUNC(29029.7479259007,-1)</f>
        <v>29020</v>
      </c>
      <c r="E44" s="64">
        <f t="shared" si="1"/>
        <v>95930</v>
      </c>
    </row>
    <row r="45" spans="1:7" x14ac:dyDescent="0.3">
      <c r="A45" s="2">
        <v>6</v>
      </c>
      <c r="C45" s="38" t="s">
        <v>18</v>
      </c>
      <c r="D45" s="42">
        <f>TRUNC(4018.51608137288,-1)</f>
        <v>4010</v>
      </c>
      <c r="E45" s="64">
        <f t="shared" si="1"/>
        <v>13250</v>
      </c>
    </row>
    <row r="46" spans="1:7" x14ac:dyDescent="0.3">
      <c r="A46" s="2">
        <v>7</v>
      </c>
      <c r="C46" s="38" t="s">
        <v>19</v>
      </c>
      <c r="D46" s="42">
        <f>TRUNC(15938.5583589044,-1)</f>
        <v>15930</v>
      </c>
      <c r="E46" s="64">
        <f t="shared" si="1"/>
        <v>52660</v>
      </c>
    </row>
    <row r="47" spans="1:7" x14ac:dyDescent="0.3">
      <c r="A47" s="2">
        <v>8</v>
      </c>
      <c r="C47" s="38" t="s">
        <v>20</v>
      </c>
      <c r="D47" s="42">
        <f>TRUNC(5596.70053415161,-1)</f>
        <v>5590</v>
      </c>
      <c r="E47" s="64">
        <f t="shared" si="1"/>
        <v>18470</v>
      </c>
    </row>
    <row r="48" spans="1:7" x14ac:dyDescent="0.3">
      <c r="A48" s="2">
        <v>9</v>
      </c>
      <c r="C48" s="38" t="s">
        <v>21</v>
      </c>
      <c r="D48" s="42">
        <f>TRUNC(27088.0970564837,-1)</f>
        <v>27080</v>
      </c>
      <c r="E48" s="64">
        <f t="shared" si="1"/>
        <v>89520</v>
      </c>
    </row>
    <row r="49" spans="1:7" x14ac:dyDescent="0.3">
      <c r="A49" s="2">
        <v>10</v>
      </c>
      <c r="C49" s="38" t="s">
        <v>22</v>
      </c>
      <c r="D49" s="42">
        <f>TRUNC(24878.6292760541,-1)</f>
        <v>24870</v>
      </c>
      <c r="E49" s="64">
        <f t="shared" si="1"/>
        <v>82210</v>
      </c>
    </row>
    <row r="50" spans="1:7" x14ac:dyDescent="0.3">
      <c r="A50" s="2">
        <v>11</v>
      </c>
      <c r="C50" s="38" t="s">
        <v>154</v>
      </c>
      <c r="D50" s="42">
        <f>TRUNC(43441.5251733152,-1)</f>
        <v>43440</v>
      </c>
      <c r="E50" s="64">
        <f t="shared" si="1"/>
        <v>143600</v>
      </c>
    </row>
    <row r="51" spans="1:7" x14ac:dyDescent="0.3">
      <c r="A51" s="2">
        <v>12</v>
      </c>
      <c r="C51" s="38" t="s">
        <v>23</v>
      </c>
      <c r="D51" s="42">
        <f>TRUNC(13598.4410728492,-1)</f>
        <v>13590</v>
      </c>
      <c r="E51" s="64">
        <f t="shared" si="1"/>
        <v>44920</v>
      </c>
    </row>
    <row r="52" spans="1:7" x14ac:dyDescent="0.3">
      <c r="A52" s="2">
        <v>13</v>
      </c>
      <c r="C52" s="38" t="s">
        <v>24</v>
      </c>
      <c r="D52" s="42">
        <f>TRUNC(7924.12978747585,-1)</f>
        <v>7920</v>
      </c>
      <c r="E52" s="64">
        <f t="shared" si="1"/>
        <v>26180</v>
      </c>
    </row>
    <row r="53" spans="1:7" x14ac:dyDescent="0.3">
      <c r="A53" s="2">
        <v>14</v>
      </c>
      <c r="C53" s="38" t="s">
        <v>25</v>
      </c>
      <c r="D53" s="42">
        <f>TRUNC(100416.768155472,-1)</f>
        <v>100410</v>
      </c>
      <c r="E53" s="64">
        <f t="shared" si="1"/>
        <v>331930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TRUNC(268.788612342312,-1)</f>
        <v>260</v>
      </c>
      <c r="E55" s="64">
        <f t="shared" si="1"/>
        <v>850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TRUNC(64354.093078759+4451.08989657916-1277.60825093761+58219.417433799,-1)</f>
        <v>125740</v>
      </c>
      <c r="E58" s="64">
        <f t="shared" si="1"/>
        <v>415670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TRUNC(151115.013069667,-1)</f>
        <v>151110</v>
      </c>
      <c r="E59" s="65">
        <f t="shared" si="1"/>
        <v>499530</v>
      </c>
      <c r="F59" s="2" t="s">
        <v>262</v>
      </c>
    </row>
    <row r="60" spans="1:7" x14ac:dyDescent="0.3">
      <c r="A60" s="2">
        <v>21</v>
      </c>
      <c r="C60" s="27" t="s">
        <v>112</v>
      </c>
      <c r="D60" s="39">
        <f>SUM(D40:D59)</f>
        <v>860270</v>
      </c>
      <c r="E60" s="39">
        <f>SUM(E40:E59)</f>
        <v>2843800</v>
      </c>
    </row>
    <row r="61" spans="1:7" s="54" customFormat="1" x14ac:dyDescent="0.3">
      <c r="C61" s="55"/>
      <c r="D61" s="55"/>
      <c r="E61" s="55"/>
      <c r="F61" s="53"/>
      <c r="G61" s="53"/>
    </row>
    <row r="62" spans="1:7" s="54" customFormat="1" ht="17.25" thickBot="1" x14ac:dyDescent="0.35">
      <c r="B62" s="54" t="s">
        <v>236</v>
      </c>
      <c r="C62" s="54" t="s">
        <v>237</v>
      </c>
      <c r="D62" s="55" t="s">
        <v>234</v>
      </c>
      <c r="E62" s="55" t="s">
        <v>238</v>
      </c>
      <c r="F62" s="53"/>
      <c r="G62" s="53"/>
    </row>
    <row r="63" spans="1:7" x14ac:dyDescent="0.3">
      <c r="A63" s="2">
        <v>1</v>
      </c>
      <c r="C63" s="38" t="s">
        <v>27</v>
      </c>
      <c r="D63" s="40">
        <f>TRUNC(53848.2534378906,-1)</f>
        <v>53840</v>
      </c>
      <c r="E63" s="63">
        <f>TRUNC(+D63*3.3058,-1)</f>
        <v>177980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TRUNC(101285.593931129,-1)</f>
        <v>101280</v>
      </c>
      <c r="E65" s="65">
        <f>TRUNC(+D65*3.3058,-1)</f>
        <v>334810</v>
      </c>
    </row>
    <row r="66" spans="1:7" x14ac:dyDescent="0.3">
      <c r="A66" s="2">
        <v>4</v>
      </c>
      <c r="C66" s="27" t="s">
        <v>112</v>
      </c>
      <c r="D66" s="56">
        <f>SUM(D63:D65)</f>
        <v>155120</v>
      </c>
      <c r="E66" s="56">
        <f>SUM(E63:E65)</f>
        <v>512790</v>
      </c>
    </row>
    <row r="67" spans="1:7" s="54" customFormat="1" x14ac:dyDescent="0.3">
      <c r="C67" s="55"/>
      <c r="D67" s="55"/>
      <c r="E67" s="55"/>
      <c r="F67" s="53"/>
      <c r="G67" s="53"/>
    </row>
    <row r="68" spans="1:7" s="54" customFormat="1" ht="17.25" thickBot="1" x14ac:dyDescent="0.35">
      <c r="B68" s="54" t="s">
        <v>239</v>
      </c>
      <c r="C68" s="54" t="s">
        <v>240</v>
      </c>
      <c r="D68" s="55" t="s">
        <v>234</v>
      </c>
      <c r="E68" s="55" t="s">
        <v>238</v>
      </c>
      <c r="F68" s="53"/>
      <c r="G68" s="53"/>
    </row>
    <row r="69" spans="1:7" x14ac:dyDescent="0.3">
      <c r="A69" s="2">
        <v>1</v>
      </c>
      <c r="C69" s="38" t="s">
        <v>30</v>
      </c>
      <c r="D69" s="40">
        <f>TRUNC(16307.3679963632,-1)</f>
        <v>16300</v>
      </c>
      <c r="E69" s="63">
        <f>TRUNC(+D69*3.3058,-1)</f>
        <v>53880</v>
      </c>
    </row>
    <row r="70" spans="1:7" ht="16.5" customHeight="1" x14ac:dyDescent="0.3">
      <c r="A70" s="2">
        <v>2</v>
      </c>
      <c r="C70" s="38" t="s">
        <v>31</v>
      </c>
      <c r="D70" s="42">
        <f>TRUNC(73.8172519604501,-1)</f>
        <v>70</v>
      </c>
      <c r="E70" s="64">
        <f>TRUNC(+D70*3.3058,-1)</f>
        <v>230</v>
      </c>
    </row>
    <row r="71" spans="1:7" x14ac:dyDescent="0.3">
      <c r="A71" s="2">
        <v>3</v>
      </c>
      <c r="C71" s="38" t="s">
        <v>32</v>
      </c>
      <c r="D71" s="42">
        <f>TRUNC(13069.6276849642,-1)</f>
        <v>13060</v>
      </c>
      <c r="E71" s="64">
        <f t="shared" ref="E71:E73" si="2">TRUNC(+D71*3.3058,-1)</f>
        <v>43170</v>
      </c>
    </row>
    <row r="72" spans="1:7" x14ac:dyDescent="0.3">
      <c r="A72" s="2">
        <v>4</v>
      </c>
      <c r="C72" s="38" t="s">
        <v>33</v>
      </c>
      <c r="D72" s="42">
        <f>TRUNC(1213.79406750767,-1)</f>
        <v>1210</v>
      </c>
      <c r="E72" s="64">
        <f t="shared" si="2"/>
        <v>4000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TRUNC(1753.06284805091,-1)</f>
        <v>1750</v>
      </c>
      <c r="E75" s="64">
        <f>TRUNC(+D75*3.3058,-1)</f>
        <v>5780</v>
      </c>
    </row>
    <row r="76" spans="1:7" x14ac:dyDescent="0.3">
      <c r="A76" s="2">
        <v>8</v>
      </c>
      <c r="C76" s="38" t="s">
        <v>119</v>
      </c>
      <c r="D76" s="42">
        <f>TRUNC(30322.316854188,-1)</f>
        <v>30320</v>
      </c>
      <c r="E76" s="64">
        <f t="shared" ref="E76:E89" si="3">TRUNC(+D76*3.3058,-1)</f>
        <v>100230</v>
      </c>
      <c r="F76" s="2" t="s">
        <v>252</v>
      </c>
    </row>
    <row r="77" spans="1:7" x14ac:dyDescent="0.3">
      <c r="A77" s="2">
        <v>9</v>
      </c>
      <c r="C77" s="38" t="s">
        <v>152</v>
      </c>
      <c r="D77" s="42">
        <f>TRUNC(10955.7904307308,-1)</f>
        <v>10950</v>
      </c>
      <c r="E77" s="64">
        <f t="shared" si="3"/>
        <v>36190</v>
      </c>
    </row>
    <row r="78" spans="1:7" x14ac:dyDescent="0.3">
      <c r="A78" s="2">
        <v>10</v>
      </c>
      <c r="C78" s="38" t="s">
        <v>137</v>
      </c>
      <c r="D78" s="42">
        <f>TRUNC(44118.7219002159,-1)</f>
        <v>44110</v>
      </c>
      <c r="E78" s="64">
        <f t="shared" si="3"/>
        <v>145810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>TRUNC(+D84*3.3058,-1)</f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TRUNC(1957.21786566655,-1)</f>
        <v>1950</v>
      </c>
      <c r="E90" s="64">
        <f>TRUNC(+D90*3.3058,-1)</f>
        <v>6440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TRUNC(370142.743493579,-1)</f>
        <v>370140</v>
      </c>
      <c r="E93" s="64">
        <f>TRUNC(+D93*3.3058,-1)</f>
        <v>1223600</v>
      </c>
      <c r="F93" s="2" t="s">
        <v>263</v>
      </c>
    </row>
    <row r="94" spans="1:7" ht="17.25" thickBot="1" x14ac:dyDescent="0.35">
      <c r="A94" s="2">
        <v>26</v>
      </c>
      <c r="C94" s="38" t="s">
        <v>47</v>
      </c>
      <c r="D94" s="43">
        <f>TRUNC(22189.255597227+24892.2288896466,-1)</f>
        <v>47080</v>
      </c>
      <c r="E94" s="65">
        <f>TRUNC(+D94*3.3058,-1)</f>
        <v>155630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536940</v>
      </c>
      <c r="E95" s="39">
        <f>SUM(E69:E94)</f>
        <v>1774960</v>
      </c>
    </row>
    <row r="96" spans="1:7" s="54" customFormat="1" x14ac:dyDescent="0.3">
      <c r="C96" s="55"/>
      <c r="D96" s="55"/>
      <c r="E96" s="55"/>
      <c r="F96" s="53"/>
      <c r="G96" s="53"/>
    </row>
    <row r="97" spans="1:7" s="54" customFormat="1" ht="17.25" thickBot="1" x14ac:dyDescent="0.35">
      <c r="B97" s="54" t="s">
        <v>241</v>
      </c>
      <c r="C97" s="54" t="s">
        <v>240</v>
      </c>
      <c r="D97" s="55" t="s">
        <v>260</v>
      </c>
      <c r="E97" s="55" t="s">
        <v>238</v>
      </c>
      <c r="F97" s="53"/>
      <c r="G97" s="53"/>
    </row>
    <row r="98" spans="1:7" x14ac:dyDescent="0.3">
      <c r="A98" s="2">
        <v>1</v>
      </c>
      <c r="C98" s="38" t="s">
        <v>39</v>
      </c>
      <c r="D98" s="40">
        <f>TRUNC(14025.2427548585,-1)</f>
        <v>14020</v>
      </c>
      <c r="E98" s="63">
        <f t="shared" ref="E98:E118" si="4">TRUNC(+D98*3.3058,-1)</f>
        <v>46340</v>
      </c>
    </row>
    <row r="99" spans="1:7" x14ac:dyDescent="0.3">
      <c r="A99" s="2">
        <v>2</v>
      </c>
      <c r="C99" s="38" t="s">
        <v>40</v>
      </c>
      <c r="D99" s="42">
        <f>TRUNC(4182.82418456643,-1)</f>
        <v>4180</v>
      </c>
      <c r="E99" s="64">
        <f t="shared" si="4"/>
        <v>13810</v>
      </c>
    </row>
    <row r="100" spans="1:7" x14ac:dyDescent="0.3">
      <c r="A100" s="2">
        <v>3</v>
      </c>
      <c r="C100" s="38" t="s">
        <v>41</v>
      </c>
      <c r="D100" s="42">
        <f>TRUNC(15097.0994431185,-1)</f>
        <v>15090</v>
      </c>
      <c r="E100" s="64">
        <f t="shared" si="4"/>
        <v>49880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TRUNC(4469.64950562564,-1)</f>
        <v>4460</v>
      </c>
      <c r="E102" s="64">
        <f t="shared" si="4"/>
        <v>14740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TRUNC(2617.54608478236,-1)</f>
        <v>2610</v>
      </c>
      <c r="E104" s="64">
        <f t="shared" si="4"/>
        <v>8620</v>
      </c>
    </row>
    <row r="105" spans="1:7" x14ac:dyDescent="0.3">
      <c r="A105" s="2">
        <v>8</v>
      </c>
      <c r="C105" s="38" t="s">
        <v>46</v>
      </c>
      <c r="D105" s="42">
        <f>TRUNC(1144.06102966246,-1)</f>
        <v>1140</v>
      </c>
      <c r="E105" s="64">
        <f t="shared" si="4"/>
        <v>3760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TRUNC(287.775429026026,-1)</f>
        <v>280</v>
      </c>
      <c r="E114" s="64">
        <f t="shared" si="4"/>
        <v>920</v>
      </c>
    </row>
    <row r="115" spans="1:7" x14ac:dyDescent="0.3">
      <c r="A115" s="2">
        <v>18</v>
      </c>
      <c r="C115" s="38" t="s">
        <v>116</v>
      </c>
      <c r="D115" s="42">
        <f>TRUNC(2185.51437663371,-1)</f>
        <v>2180</v>
      </c>
      <c r="E115" s="64">
        <f t="shared" si="4"/>
        <v>7200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TRUNC(11055.1198999886+117314.240254574,-1)</f>
        <v>128360</v>
      </c>
      <c r="E117" s="64">
        <f t="shared" si="4"/>
        <v>424330</v>
      </c>
      <c r="F117" s="2" t="s">
        <v>264</v>
      </c>
    </row>
    <row r="118" spans="1:7" ht="17.25" thickBot="1" x14ac:dyDescent="0.35">
      <c r="A118" s="2">
        <v>21</v>
      </c>
      <c r="C118" s="38" t="s">
        <v>47</v>
      </c>
      <c r="D118" s="43">
        <f>TRUNC(463.085350608024+181.212069553358,-1)</f>
        <v>640</v>
      </c>
      <c r="E118" s="65">
        <f t="shared" si="4"/>
        <v>2110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172960</v>
      </c>
      <c r="E119" s="39">
        <f>SUM(E98:E118)</f>
        <v>571710</v>
      </c>
    </row>
    <row r="120" spans="1:7" s="54" customFormat="1" x14ac:dyDescent="0.3">
      <c r="C120" s="55"/>
      <c r="D120" s="55"/>
      <c r="E120" s="55"/>
      <c r="F120" s="53"/>
      <c r="G120" s="53"/>
    </row>
    <row r="121" spans="1:7" s="54" customFormat="1" ht="17.25" thickBot="1" x14ac:dyDescent="0.35">
      <c r="B121" s="54" t="s">
        <v>242</v>
      </c>
      <c r="C121" s="54" t="s">
        <v>240</v>
      </c>
      <c r="D121" s="55" t="s">
        <v>260</v>
      </c>
      <c r="E121" s="55" t="s">
        <v>238</v>
      </c>
      <c r="F121" s="53"/>
      <c r="G121" s="53"/>
    </row>
    <row r="122" spans="1:7" x14ac:dyDescent="0.3">
      <c r="A122" s="2">
        <v>1</v>
      </c>
      <c r="C122" s="38" t="s">
        <v>55</v>
      </c>
      <c r="D122" s="40">
        <f>TRUNC(6833.0367087169,-1)</f>
        <v>6830</v>
      </c>
      <c r="E122" s="63">
        <f t="shared" ref="E122:E132" si="5">TRUNC(+D122*3.3058,-1)</f>
        <v>22570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f>TRUNC(1551.13592453688,-1)</f>
        <v>1550</v>
      </c>
      <c r="E124" s="64">
        <f t="shared" si="5"/>
        <v>5120</v>
      </c>
    </row>
    <row r="125" spans="1:7" x14ac:dyDescent="0.3">
      <c r="A125" s="2">
        <v>4</v>
      </c>
      <c r="C125" s="38" t="s">
        <v>138</v>
      </c>
      <c r="D125" s="42">
        <v>0</v>
      </c>
      <c r="E125" s="64">
        <f t="shared" si="5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4">
        <f t="shared" si="5"/>
        <v>0</v>
      </c>
    </row>
    <row r="129" spans="1:7" x14ac:dyDescent="0.3">
      <c r="A129" s="2">
        <v>8</v>
      </c>
      <c r="C129" s="38" t="s">
        <v>126</v>
      </c>
      <c r="D129" s="42">
        <f>TRUNC(1043.69644277759,-1)</f>
        <v>1040</v>
      </c>
      <c r="E129" s="64">
        <f t="shared" si="5"/>
        <v>3430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4">
        <f t="shared" si="5"/>
        <v>0</v>
      </c>
    </row>
    <row r="131" spans="1:7" x14ac:dyDescent="0.3">
      <c r="A131" s="2">
        <v>10</v>
      </c>
      <c r="C131" s="38" t="s">
        <v>148</v>
      </c>
      <c r="D131" s="42">
        <f>TRUNC(151669.507898625,-1)</f>
        <v>151660</v>
      </c>
      <c r="E131" s="64">
        <f t="shared" si="5"/>
        <v>501350</v>
      </c>
      <c r="F131" s="2" t="s">
        <v>263</v>
      </c>
    </row>
    <row r="132" spans="1:7" ht="17.25" thickBot="1" x14ac:dyDescent="0.35">
      <c r="A132" s="2">
        <v>11</v>
      </c>
      <c r="C132" s="38" t="s">
        <v>47</v>
      </c>
      <c r="D132" s="43">
        <f>TRUNC(516.724400500057+5788.58949880668
+3198.06705307421
+4991.07307648596
+92.1679736333674
+592.283668598704,-1)</f>
        <v>15170</v>
      </c>
      <c r="E132" s="65">
        <f t="shared" si="5"/>
        <v>50140</v>
      </c>
      <c r="F132" s="2" t="s">
        <v>261</v>
      </c>
    </row>
    <row r="133" spans="1:7" x14ac:dyDescent="0.3">
      <c r="A133" s="2">
        <v>12</v>
      </c>
      <c r="C133" s="27" t="s">
        <v>112</v>
      </c>
      <c r="D133" s="39">
        <f>SUM(D122:D132)</f>
        <v>176250</v>
      </c>
      <c r="E133" s="39">
        <f>SUM(E122:E132)</f>
        <v>582610</v>
      </c>
    </row>
    <row r="134" spans="1:7" s="54" customFormat="1" x14ac:dyDescent="0.3">
      <c r="C134" s="55"/>
      <c r="D134" s="55"/>
      <c r="E134" s="55"/>
      <c r="F134" s="53"/>
      <c r="G134" s="53"/>
    </row>
    <row r="135" spans="1:7" s="54" customFormat="1" ht="17.25" thickBot="1" x14ac:dyDescent="0.35">
      <c r="B135" s="54" t="s">
        <v>243</v>
      </c>
      <c r="C135" s="54" t="s">
        <v>240</v>
      </c>
      <c r="D135" s="55" t="s">
        <v>260</v>
      </c>
      <c r="E135" s="55" t="s">
        <v>238</v>
      </c>
      <c r="F135" s="53"/>
      <c r="G135" s="53"/>
    </row>
    <row r="136" spans="1:7" x14ac:dyDescent="0.3">
      <c r="A136" s="2">
        <v>1</v>
      </c>
      <c r="C136" s="38" t="s">
        <v>131</v>
      </c>
      <c r="D136" s="40">
        <f>TRUNC(32460.0215933629,-1)</f>
        <v>32460</v>
      </c>
      <c r="E136" s="63">
        <f t="shared" ref="E136:E145" si="6">TRUNC(+D136*3.3058,-1)</f>
        <v>107300</v>
      </c>
      <c r="F136" s="2" t="s">
        <v>255</v>
      </c>
    </row>
    <row r="137" spans="1:7" x14ac:dyDescent="0.3">
      <c r="A137" s="2">
        <v>2</v>
      </c>
      <c r="C137" s="38" t="s">
        <v>47</v>
      </c>
      <c r="D137" s="42">
        <f>TRUNC(12848.4175474486,-1)</f>
        <v>12840</v>
      </c>
      <c r="E137" s="64">
        <f t="shared" si="6"/>
        <v>42440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45300</v>
      </c>
      <c r="E146" s="39">
        <f>SUM(E136:E145)</f>
        <v>149740</v>
      </c>
    </row>
    <row r="147" spans="1:7" s="54" customFormat="1" x14ac:dyDescent="0.3">
      <c r="C147" s="55"/>
      <c r="D147" s="55"/>
      <c r="E147" s="55"/>
      <c r="F147" s="53"/>
      <c r="G147" s="53"/>
    </row>
    <row r="148" spans="1:7" s="54" customFormat="1" ht="17.25" thickBot="1" x14ac:dyDescent="0.35">
      <c r="B148" s="54" t="s">
        <v>244</v>
      </c>
      <c r="C148" s="54" t="s">
        <v>240</v>
      </c>
      <c r="D148" s="55" t="s">
        <v>260</v>
      </c>
      <c r="E148" s="55" t="s">
        <v>238</v>
      </c>
      <c r="F148" s="53"/>
      <c r="G148" s="53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f>TRUNC(2881.89555631322,-1)</f>
        <v>2880</v>
      </c>
      <c r="E150" s="64">
        <f>TRUNC(+D150*3.3058,-1)</f>
        <v>9520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TRUNC(3177.79372655984+152.658029321514+1578.75894988067+2456.00670530742+30371.6331401296,-1)</f>
        <v>37730</v>
      </c>
      <c r="E152" s="64">
        <f>TRUNC(+D152*3.3058,-1)</f>
        <v>124720</v>
      </c>
      <c r="F152" s="57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40610</v>
      </c>
      <c r="E154" s="39">
        <f>SUM(E149:E153)</f>
        <v>134240</v>
      </c>
    </row>
    <row r="155" spans="1:7" s="54" customFormat="1" x14ac:dyDescent="0.3">
      <c r="C155" s="55"/>
      <c r="D155" s="55"/>
      <c r="E155" s="55"/>
      <c r="F155" s="53"/>
      <c r="G155" s="53"/>
    </row>
    <row r="156" spans="1:7" s="54" customFormat="1" ht="17.25" thickBot="1" x14ac:dyDescent="0.35">
      <c r="B156" s="54" t="s">
        <v>245</v>
      </c>
      <c r="C156" s="54" t="s">
        <v>240</v>
      </c>
      <c r="D156" s="55" t="s">
        <v>260</v>
      </c>
      <c r="E156" s="55" t="s">
        <v>238</v>
      </c>
      <c r="F156" s="53"/>
      <c r="G156" s="53"/>
    </row>
    <row r="157" spans="1:7" x14ac:dyDescent="0.3">
      <c r="A157" s="2">
        <v>1</v>
      </c>
      <c r="C157" s="38" t="s">
        <v>51</v>
      </c>
      <c r="D157" s="40">
        <f>TRUNC(3859.93158313445,-1)</f>
        <v>3850</v>
      </c>
      <c r="E157" s="63">
        <f>TRUNC(+D157*3.3058,-1)</f>
        <v>12720</v>
      </c>
    </row>
    <row r="158" spans="1:7" x14ac:dyDescent="0.3">
      <c r="A158" s="2">
        <v>2</v>
      </c>
      <c r="C158" s="38" t="s">
        <v>52</v>
      </c>
      <c r="D158" s="42">
        <f>TRUNC(11443.3149221502,-1)</f>
        <v>11440</v>
      </c>
      <c r="E158" s="64">
        <f>TRUNC(+D158*3.3058,-1)</f>
        <v>37810</v>
      </c>
    </row>
    <row r="159" spans="1:7" x14ac:dyDescent="0.3">
      <c r="A159" s="2">
        <v>3</v>
      </c>
      <c r="C159" s="38" t="s">
        <v>47</v>
      </c>
      <c r="D159" s="42">
        <f>TRUNC(129.802932151381+4635.47869076031,-1)</f>
        <v>4760</v>
      </c>
      <c r="E159" s="64">
        <f>TRUNC(+D159*3.3058,-1)</f>
        <v>15730</v>
      </c>
      <c r="F159" s="2" t="s">
        <v>258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20050</v>
      </c>
      <c r="E161" s="39">
        <f>SUM(E157:E160)</f>
        <v>66260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2020-12-07T08:59:29Z</dcterms:modified>
</cp:coreProperties>
</file>