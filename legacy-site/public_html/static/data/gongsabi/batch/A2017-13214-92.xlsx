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0" i="4"/>
  <c r="D149" i="4"/>
  <c r="D144" i="4"/>
  <c r="D143" i="4"/>
  <c r="D140" i="4"/>
  <c r="D137" i="4"/>
  <c r="D132" i="4"/>
  <c r="D131" i="4"/>
  <c r="D130" i="4"/>
  <c r="D128" i="4"/>
  <c r="D127" i="4"/>
  <c r="D125" i="4"/>
  <c r="D124" i="4"/>
  <c r="D122" i="4"/>
  <c r="D118" i="4"/>
  <c r="D117" i="4"/>
  <c r="D116" i="4"/>
  <c r="D114" i="4"/>
  <c r="D105" i="4"/>
  <c r="D104" i="4"/>
  <c r="D102" i="4"/>
  <c r="D100" i="4"/>
  <c r="D99" i="4"/>
  <c r="D98" i="4"/>
  <c r="D92" i="4"/>
  <c r="D91" i="4"/>
  <c r="D89" i="4"/>
  <c r="D73" i="4"/>
  <c r="D69" i="4"/>
  <c r="D65" i="4"/>
  <c r="D63" i="4"/>
  <c r="D59" i="4"/>
  <c r="D58" i="4"/>
  <c r="D53" i="4"/>
  <c r="D52" i="4"/>
  <c r="D49" i="4"/>
  <c r="D48" i="4"/>
  <c r="D46" i="4"/>
  <c r="D45" i="4"/>
  <c r="D44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<sst xmlns="http://schemas.openxmlformats.org/spreadsheetml/2006/main" count="392" uniqueCount="268">
  <si>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</si>
  <si>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</si>
  <si>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</si>
  <si>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</si>
  <si>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</si>
  <si>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</si>
  <si>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</si>
  <si>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</si>
  <si>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</si>
  <si>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</si>
  <si>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</si>
  <si>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</si>
  <si>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</si>
  <si>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</si>
  <si>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</si>
  <si>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</si>
  <si>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</si>
  <si>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</si>
  <si>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</si>
  <si>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</si>
  <si>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</si>
  <si>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</si>
  <si>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</si>
  <si>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</si>
  <si>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</si>
  <si>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</si>
  <si>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</si>
  <si>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</si>
  <si>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</si>
  <si>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</si>
  <si>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</si>
  <si>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</si>
  <si>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</si>
  <si>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</si>
  <si>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</si>
  <si>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</si>
  <si>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</si>
  <si>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</si>
  <si>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</si>
  <si>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</si>
  <si>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</si>
  <si>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</si>
  <si>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</si>
  <si>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</si>
  <si>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</si>
  <si>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</si>
  <si>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</si>
  <si>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</si>
  <si>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</si>
  <si>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</si>
  <si>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</si>
  <si>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</si>
  <si>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</si>
  <si>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</si>
  <si>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</si>
  <si>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</si>
  <si>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</si>
  <si>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</si>
  <si>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</si>
  <si>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</si>
  <si>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</si>
  <si>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</si>
  <si>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</si>
  <si>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</si>
  <si>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</si>
  <si>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</si>
  <si>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</si>
  <si>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</si>
  <si>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</si>
  <si>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</si>
  <si>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</si>
  <si>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</si>
  <si>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</si>
  <si>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</si>
  <si>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</si>
  <si>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</si>
  <si>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</si>
  <si>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</si>
  <si>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</si>
  <si>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</si>
  <si>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</si>
  <si>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</si>
  <si>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</si>
  <si>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</si>
  <si>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</si>
  <si>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</si>
  <si>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</si>
  <si>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</si>
  <si>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</si>
  <si>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</si>
  <si>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</si>
  <si>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</si>
  <si>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</si>
  <si>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</si>
  <si>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</si>
  <si>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</si>
  <si>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</si>
  <si>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</si>
  <si>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</si>
  <si>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</si>
  <si>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</si>
  <si>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</si>
  <si>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</si>
  <si>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</si>
  <si>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</si>
  <si>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</si>
  <si>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</si>
  <si>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</si>
  <si>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</si>
  <si>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</si>
  <si>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</si>
  <si>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</si>
  <si>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</si>
  <si>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</si>
  <si>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</si>
  <si>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</si>
  <si>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</si>
  <si>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</si>
  <si>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</si>
  <si>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</si>
  <si>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</si>
  <si>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</si>
  <si>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</si>
  <si>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</si>
  <si>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</si>
  <si>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</si>
  <si>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</si>
  <si>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</si>
  <si>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</si>
  <si>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</si>
  <si>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</si>
  <si>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</si>
  <si>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</si>
  <si>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</si>
  <si>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</si>
  <si>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</si>
  <si>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</si>
  <si>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</si>
  <si>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</si>
  <si>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</si>
  <si>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</si>
  <si>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</si>
  <si>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</si>
  <si>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</si>
  <si>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</si>
  <si>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</si>
  <si>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</si>
  <si>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</si>
  <si>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</si>
  <si>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</si>
  <si>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</si>
  <si>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</si>
  <si>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</si>
  <si>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</si>
  <si>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</si>
  <si>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</si>
  <si>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</si>
  <si>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</si>
  <si>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</si>
  <si>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</si>
  <si>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</si>
  <si>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</si>
  <si>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</si>
  <si>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</si>
  <si>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</si>
  <si>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</si>
  <si>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</si>
  <si>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</si>
  <si>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</si>
  <si>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</si>
  <si>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</si>
  <si>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</si>
  <si>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</si>
  <si>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</si>
  <si>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</si>
  <si>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</si>
  <si>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</si>
  <si>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</si>
  <si>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</si>
  <si>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</si>
  <si>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</si>
  <si>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</si>
  <si>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</si>
  <si>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</si>
  <si>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</si>
  <si>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</si>
  <si>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</si>
  <si>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</si>
  <si>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</si>
  <si>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</si>
  <si>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</si>
  <si>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</si>
  <si>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</si>
  <si>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</si>
  <si>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</si>
  <si>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</si>
  <si>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</si>
  <si>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</si>
  <si>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</si>
  <si>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</si>
  <si>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</si>
  <si>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</si>
  <si>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</si>
  <si>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</si>
  <si>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</si>
  <si>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</si>
  <si>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</si>
  <si>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</si>
  <si>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</si>
  <si>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</si>
  <si>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</si>
  <si>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</si>
  <si>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</si>
  <si>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</si>
  <si>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</si>
  <si>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</si>
  <si>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</si>
  <si>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</si>
  <si>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</si>
  <si>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</si>
  <si>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</si>
  <si>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</si>
  <si>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</si>
  <si>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</si>
  <si>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</si>
  <si>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</si>
  <si>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</si>
  <si>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</si>
  <si>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</si>
  <si>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</si>
  <si>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</si>
  <si>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</si>
  <si>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</si>
  <si>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</si>
  <si>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</si>
  <si>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</si>
  <si>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</si>
  <si>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</si>
  <si>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</si>
  <si>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</si>
  <si>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</si>
  <si>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</si>
  <si>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</si>
  <si>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</si>
  <si>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</si>
  <si>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</si>
  <si>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</si>
  <si>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</si>
  <si>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</si>
  <si>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</si>
  <si>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</si>
  <si>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</si>
  <si>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</si>
  <si>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</si>
  <si>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업무</t>
  </si>
  <si>
    <t xml:space="preserve"> TBN제주교통방송 청사 신축공사</t>
    <phoneticPr fontId="2" type="noConversion"/>
  </si>
  <si>
    <t>제주도</t>
  </si>
  <si>
    <t>기초공사, 골재비및운반비, 작업부산물, 품질시험비, 기타공사</t>
    <phoneticPr fontId="2" type="noConversion"/>
  </si>
  <si>
    <t xml:space="preserve">CCTV설비공사 </t>
    <phoneticPr fontId="2" type="noConversion"/>
  </si>
  <si>
    <t>상수도공사, 사급자재비</t>
    <phoneticPr fontId="2" type="noConversion"/>
  </si>
  <si>
    <t>포장공사</t>
    <phoneticPr fontId="2" type="noConversion"/>
  </si>
  <si>
    <t>옥외소화배관공사</t>
    <phoneticPr fontId="2" type="noConversion"/>
  </si>
  <si>
    <t>건축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</si>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</sst>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3899.42</v>
      </c>
      <c r="D7" s="36">
        <f>+C7/3.3058</f>
        <v>1179.5692419384113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1499250</v>
      </c>
      <c r="E25" s="59">
        <f t="shared" si="0"/>
        <v>4956220</v>
      </c>
    </row>
    <row r="26" spans="1:5" x14ac:dyDescent="0.3">
      <c r="B26" s="2">
        <v>3</v>
      </c>
      <c r="C26" s="35" t="s">
        <v>95</v>
      </c>
      <c r="D26" s="45">
        <f>+D66</f>
        <v>39910</v>
      </c>
      <c r="E26" s="59">
        <f t="shared" si="0"/>
        <v>131930</v>
      </c>
    </row>
    <row r="27" spans="1:5" x14ac:dyDescent="0.3">
      <c r="B27" s="2">
        <v>4</v>
      </c>
      <c r="C27" s="35" t="s">
        <v>96</v>
      </c>
      <c r="D27" s="45">
        <f>+D95</f>
        <v>26760</v>
      </c>
      <c r="E27" s="59">
        <f t="shared" si="0"/>
        <v>88460</v>
      </c>
    </row>
    <row r="28" spans="1:5" x14ac:dyDescent="0.3">
      <c r="B28" s="2">
        <v>5</v>
      </c>
      <c r="C28" s="35" t="s">
        <v>97</v>
      </c>
      <c r="D28" s="45">
        <f>+D119</f>
        <v>283800</v>
      </c>
      <c r="E28" s="59">
        <f t="shared" si="0"/>
        <v>938180</v>
      </c>
    </row>
    <row r="29" spans="1:5" x14ac:dyDescent="0.3">
      <c r="B29" s="2">
        <v>6</v>
      </c>
      <c r="C29" s="35" t="s">
        <v>98</v>
      </c>
      <c r="D29" s="45">
        <f>+D133</f>
        <v>126030</v>
      </c>
      <c r="E29" s="59">
        <f t="shared" si="0"/>
        <v>416620</v>
      </c>
    </row>
    <row r="30" spans="1:5" x14ac:dyDescent="0.3">
      <c r="B30" s="2">
        <v>7</v>
      </c>
      <c r="C30" s="35" t="s">
        <v>99</v>
      </c>
      <c r="D30" s="45">
        <f>+D146</f>
        <v>35160</v>
      </c>
      <c r="E30" s="59">
        <f t="shared" si="0"/>
        <v>116230</v>
      </c>
    </row>
    <row r="31" spans="1:5" x14ac:dyDescent="0.3">
      <c r="B31" s="2">
        <v>8</v>
      </c>
      <c r="C31" s="35" t="s">
        <v>100</v>
      </c>
      <c r="D31" s="45">
        <f>+D154</f>
        <v>34230</v>
      </c>
      <c r="E31" s="59">
        <f t="shared" si="0"/>
        <v>113150</v>
      </c>
    </row>
    <row r="32" spans="1:5" x14ac:dyDescent="0.3">
      <c r="B32" s="2">
        <v>9</v>
      </c>
      <c r="C32" s="35" t="s">
        <v>101</v>
      </c>
      <c r="D32" s="45">
        <f>+D161</f>
        <v>45510</v>
      </c>
      <c r="E32" s="59">
        <f t="shared" si="0"/>
        <v>150440</v>
      </c>
    </row>
    <row r="33" spans="1:7" x14ac:dyDescent="0.3">
      <c r="B33" s="2">
        <v>10</v>
      </c>
      <c r="C33" s="35" t="s">
        <v>154</v>
      </c>
      <c r="D33" s="53">
        <f>TRUNC(SUM(D24:D32)*0.275,-1)</f>
        <v>574920</v>
      </c>
      <c r="E33" s="60">
        <f t="shared" si="0"/>
        <v>1900570</v>
      </c>
    </row>
    <row r="34" spans="1:7" x14ac:dyDescent="0.3">
      <c r="C34" s="35" t="s">
        <v>112</v>
      </c>
      <c r="D34" s="44">
        <f>SUM(D24:D33)</f>
        <v>2665570</v>
      </c>
      <c r="E34" s="44">
        <f>SUM(E24:E33)</f>
        <v>8811800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262</v>
      </c>
      <c r="C39" s="56" t="s">
        <v>238</v>
      </c>
      <c r="D39" s="57" t="s">
        <v>263</v>
      </c>
      <c r="E39" s="57" t="s">
        <v>264</v>
      </c>
      <c r="G39" s="55"/>
    </row>
    <row r="40" spans="1:7" x14ac:dyDescent="0.3">
      <c r="A40" s="2">
        <v>1</v>
      </c>
      <c r="C40" s="38" t="s">
        <v>15</v>
      </c>
      <c r="D40" s="40">
        <f>TRUNC(86921,-1)</f>
        <v>86920</v>
      </c>
      <c r="E40" s="62">
        <f t="shared" ref="E40:E59" si="1">TRUNC(+D40*3.3058,-1)</f>
        <v>287340</v>
      </c>
    </row>
    <row r="41" spans="1:7" x14ac:dyDescent="0.3">
      <c r="A41" s="2">
        <v>2</v>
      </c>
      <c r="C41" s="38" t="s">
        <v>13</v>
      </c>
      <c r="D41" s="42">
        <f>TRUNC(226932,-1)</f>
        <v>226930</v>
      </c>
      <c r="E41" s="63">
        <f t="shared" si="1"/>
        <v>750180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42600</v>
      </c>
      <c r="E43" s="63">
        <f t="shared" si="1"/>
        <v>140820</v>
      </c>
    </row>
    <row r="44" spans="1:7" x14ac:dyDescent="0.3">
      <c r="A44" s="2">
        <v>5</v>
      </c>
      <c r="C44" s="38" t="s">
        <v>17</v>
      </c>
      <c r="D44" s="42">
        <f>TRUNC(64514,-1)</f>
        <v>64510</v>
      </c>
      <c r="E44" s="63">
        <f t="shared" si="1"/>
        <v>213250</v>
      </c>
    </row>
    <row r="45" spans="1:7" x14ac:dyDescent="0.3">
      <c r="A45" s="2">
        <v>6</v>
      </c>
      <c r="C45" s="38" t="s">
        <v>18</v>
      </c>
      <c r="D45" s="42">
        <f>TRUNC(8368,-1)</f>
        <v>8360</v>
      </c>
      <c r="E45" s="63">
        <f t="shared" si="1"/>
        <v>27630</v>
      </c>
    </row>
    <row r="46" spans="1:7" x14ac:dyDescent="0.3">
      <c r="A46" s="2">
        <v>7</v>
      </c>
      <c r="C46" s="38" t="s">
        <v>19</v>
      </c>
      <c r="D46" s="42">
        <f>TRUNC(33829,-1)</f>
        <v>33820</v>
      </c>
      <c r="E46" s="63">
        <f t="shared" si="1"/>
        <v>111800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TRUNC(80219,-1)</f>
        <v>80210</v>
      </c>
      <c r="E48" s="63">
        <f t="shared" si="1"/>
        <v>265150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TRUNC(35544,-1)</f>
        <v>35540</v>
      </c>
      <c r="E49" s="63">
        <f t="shared" si="1"/>
        <v>117480</v>
      </c>
    </row>
    <row r="50" spans="1:7" x14ac:dyDescent="0.3">
      <c r="A50" s="2">
        <v>11</v>
      </c>
      <c r="C50" s="38" t="s">
        <v>155</v>
      </c>
      <c r="D50" s="42">
        <v>47250</v>
      </c>
      <c r="E50" s="63">
        <f t="shared" si="1"/>
        <v>156190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TRUNC(15282,-1)</f>
        <v>15280</v>
      </c>
      <c r="E52" s="63">
        <f t="shared" si="1"/>
        <v>50510</v>
      </c>
    </row>
    <row r="53" spans="1:7" x14ac:dyDescent="0.3">
      <c r="A53" s="2">
        <v>14</v>
      </c>
      <c r="C53" s="38" t="s">
        <v>25</v>
      </c>
      <c r="D53" s="42">
        <f>TRUNC(265279,-1)</f>
        <v>265270</v>
      </c>
      <c r="E53" s="63">
        <f t="shared" si="1"/>
        <v>876920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TRUNC(76185+10289-769+2437+74976,-1)</f>
        <v>163110</v>
      </c>
      <c r="E58" s="63">
        <f t="shared" si="1"/>
        <v>539200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f>TRUNC(429453,-1)</f>
        <v>429450</v>
      </c>
      <c r="E59" s="64">
        <f t="shared" si="1"/>
        <v>1419670</v>
      </c>
    </row>
    <row r="60" spans="1:7" x14ac:dyDescent="0.3">
      <c r="A60" s="2">
        <v>21</v>
      </c>
      <c r="C60" s="27" t="s">
        <v>112</v>
      </c>
      <c r="D60" s="39">
        <f>SUM(D40:D59)</f>
        <v>1499250</v>
      </c>
      <c r="E60" s="39">
        <f>SUM(E40:E59)</f>
        <v>4956140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TRUNC(2495,-1)</f>
        <v>2490</v>
      </c>
      <c r="E63" s="62">
        <f>TRUNC(+D63*3.3058,-1)</f>
        <v>8230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TRUNC(37429,-1)</f>
        <v>37420</v>
      </c>
      <c r="E65" s="64">
        <f>TRUNC(+D65*3.3058,-1)</f>
        <v>123700</v>
      </c>
    </row>
    <row r="66" spans="1:7" x14ac:dyDescent="0.3">
      <c r="A66" s="2">
        <v>4</v>
      </c>
      <c r="C66" s="27" t="s">
        <v>112</v>
      </c>
      <c r="D66" s="39">
        <f>SUM(D63:D65)</f>
        <v>39910</v>
      </c>
      <c r="E66" s="65">
        <f>SUM(E63:E65)</f>
        <v>131930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TRUNC(7735,-1)</f>
        <v>7730</v>
      </c>
      <c r="E69" s="62">
        <f t="shared" ref="E69:E94" si="2">TRUNC(+D69*3.3058,-1)</f>
        <v>25550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TRUNC(5996,-1)</f>
        <v>5990</v>
      </c>
      <c r="E73" s="63">
        <f t="shared" si="2"/>
        <v>19800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TRUNC(4339,-1)</f>
        <v>4330</v>
      </c>
      <c r="E89" s="63">
        <f t="shared" si="2"/>
        <v>14310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TRUNC(3741,-1)</f>
        <v>3740</v>
      </c>
      <c r="E91" s="63">
        <f t="shared" si="2"/>
        <v>12360</v>
      </c>
    </row>
    <row r="92" spans="1:7" x14ac:dyDescent="0.3">
      <c r="A92" s="2">
        <v>24</v>
      </c>
      <c r="C92" s="38" t="s">
        <v>38</v>
      </c>
      <c r="D92" s="42">
        <f>TRUNC(4974,-1)</f>
        <v>4970</v>
      </c>
      <c r="E92" s="63">
        <f t="shared" si="2"/>
        <v>16420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26760</v>
      </c>
      <c r="E95" s="39">
        <f>SUM(E69:E94)</f>
        <v>88440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TRUNC(11339,-1)</f>
        <v>11330</v>
      </c>
      <c r="E98" s="62">
        <f t="shared" ref="E98:E118" si="3">TRUNC(+D98*3.3058,-1)</f>
        <v>37450</v>
      </c>
    </row>
    <row r="99" spans="1:7" x14ac:dyDescent="0.3">
      <c r="A99" s="2">
        <v>2</v>
      </c>
      <c r="C99" s="38" t="s">
        <v>40</v>
      </c>
      <c r="D99" s="42">
        <f>TRUNC(13961,-1)</f>
        <v>13960</v>
      </c>
      <c r="E99" s="63">
        <f t="shared" si="3"/>
        <v>46140</v>
      </c>
    </row>
    <row r="100" spans="1:7" x14ac:dyDescent="0.3">
      <c r="A100" s="2">
        <v>3</v>
      </c>
      <c r="C100" s="38" t="s">
        <v>41</v>
      </c>
      <c r="D100" s="42">
        <f>TRUNC(39528,-1)</f>
        <v>39520</v>
      </c>
      <c r="E100" s="63">
        <f t="shared" si="3"/>
        <v>130640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TRUNC(10233,-1)</f>
        <v>10230</v>
      </c>
      <c r="E102" s="63">
        <f t="shared" si="3"/>
        <v>33810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TRUNC(11036,-1)</f>
        <v>11030</v>
      </c>
      <c r="E104" s="63">
        <f t="shared" si="3"/>
        <v>36460</v>
      </c>
    </row>
    <row r="105" spans="1:7" x14ac:dyDescent="0.3">
      <c r="A105" s="2">
        <v>8</v>
      </c>
      <c r="C105" s="38" t="s">
        <v>46</v>
      </c>
      <c r="D105" s="42">
        <f>TRUNC(6993,-1)</f>
        <v>6990</v>
      </c>
      <c r="E105" s="63">
        <f t="shared" si="3"/>
        <v>23100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TRUNC(3515,-1)</f>
        <v>3510</v>
      </c>
      <c r="E114" s="63">
        <f t="shared" si="3"/>
        <v>11600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TRUNC(8543,-1)</f>
        <v>8540</v>
      </c>
      <c r="E116" s="63">
        <f t="shared" si="3"/>
        <v>28230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TRUNC(177809,-1)</f>
        <v>177800</v>
      </c>
      <c r="E117" s="63">
        <f t="shared" si="3"/>
        <v>587770</v>
      </c>
    </row>
    <row r="118" spans="1:7" ht="17.25" thickBot="1" x14ac:dyDescent="0.35">
      <c r="A118" s="2">
        <v>21</v>
      </c>
      <c r="C118" s="38" t="s">
        <v>47</v>
      </c>
      <c r="D118" s="43">
        <f>TRUNC(894,-1)</f>
        <v>890</v>
      </c>
      <c r="E118" s="64">
        <f t="shared" si="3"/>
        <v>2940</v>
      </c>
    </row>
    <row r="119" spans="1:7" x14ac:dyDescent="0.3">
      <c r="A119" s="2">
        <v>22</v>
      </c>
      <c r="C119" s="27" t="s">
        <v>112</v>
      </c>
      <c r="D119" s="39">
        <f>SUM(D98:D118)</f>
        <v>283800</v>
      </c>
      <c r="E119" s="39">
        <f>SUM(E98:E118)</f>
        <v>938140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TRUNC(7649,-1)</f>
        <v>7640</v>
      </c>
      <c r="E122" s="62">
        <f t="shared" ref="E122:E132" si="4">TRUNC(+D122*3.3058,-1)</f>
        <v>25250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TRUNC(905,-1)</f>
        <v>900</v>
      </c>
      <c r="E124" s="63">
        <f t="shared" si="4"/>
        <v>2970</v>
      </c>
    </row>
    <row r="125" spans="1:7" x14ac:dyDescent="0.3">
      <c r="A125" s="2">
        <v>4</v>
      </c>
      <c r="C125" s="38" t="s">
        <v>138</v>
      </c>
      <c r="D125" s="42">
        <f>TRUNC(8227,-1)</f>
        <v>8220</v>
      </c>
      <c r="E125" s="63">
        <f t="shared" si="4"/>
        <v>27170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TRUNC(1078,-1)</f>
        <v>1070</v>
      </c>
      <c r="E127" s="63">
        <f t="shared" si="4"/>
        <v>3530</v>
      </c>
    </row>
    <row r="128" spans="1:7" x14ac:dyDescent="0.3">
      <c r="A128" s="2">
        <v>7</v>
      </c>
      <c r="C128" s="38" t="s">
        <v>46</v>
      </c>
      <c r="D128" s="42">
        <f>TRUNC(9883,-1)</f>
        <v>9880</v>
      </c>
      <c r="E128" s="63">
        <f t="shared" si="4"/>
        <v>32660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TRUNC(22332,-1)</f>
        <v>22330</v>
      </c>
      <c r="E130" s="63">
        <f t="shared" si="4"/>
        <v>73810</v>
      </c>
    </row>
    <row r="131" spans="1:7" x14ac:dyDescent="0.3">
      <c r="A131" s="2">
        <v>10</v>
      </c>
      <c r="C131" s="38" t="s">
        <v>148</v>
      </c>
      <c r="D131" s="42">
        <f>TRUNC(73432,-1)</f>
        <v>73430</v>
      </c>
      <c r="E131" s="63">
        <f t="shared" si="4"/>
        <v>242740</v>
      </c>
    </row>
    <row r="132" spans="1:7" ht="18" thickBot="1" x14ac:dyDescent="0.35">
      <c r="A132" s="2">
        <v>11</v>
      </c>
      <c r="C132" s="38" t="s">
        <v>47</v>
      </c>
      <c r="D132" s="43">
        <f>TRUNC(2564,-1)</f>
        <v>2560</v>
      </c>
      <c r="E132" s="64">
        <f t="shared" si="4"/>
        <v>8460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126030</v>
      </c>
      <c r="E133" s="39">
        <f>SUM(E122:E132)</f>
        <v>416590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TRUNC(8288,-1)</f>
        <v>8280</v>
      </c>
      <c r="E137" s="63">
        <f t="shared" si="5"/>
        <v>27370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TRUNC(1596,-1)</f>
        <v>1590</v>
      </c>
      <c r="E140" s="63">
        <f t="shared" si="5"/>
        <v>5250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TRUNC(6421,-1)</f>
        <v>6420</v>
      </c>
      <c r="E143" s="63">
        <f t="shared" si="5"/>
        <v>21220</v>
      </c>
    </row>
    <row r="144" spans="1:7" x14ac:dyDescent="0.3">
      <c r="A144" s="2">
        <v>9</v>
      </c>
      <c r="C144" s="38" t="s">
        <v>63</v>
      </c>
      <c r="D144" s="42">
        <f>TRUNC(18874,-1)</f>
        <v>18870</v>
      </c>
      <c r="E144" s="63">
        <f t="shared" si="5"/>
        <v>62380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35160</v>
      </c>
      <c r="E146" s="39">
        <f>SUM(E136:E145)</f>
        <v>116220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TRUNC(6787+931,-1)</f>
        <v>7710</v>
      </c>
      <c r="E149" s="62">
        <f>TRUNC(+D149*3.3058,-1)</f>
        <v>25480</v>
      </c>
    </row>
    <row r="150" spans="1:7" x14ac:dyDescent="0.3">
      <c r="A150" s="2">
        <v>2</v>
      </c>
      <c r="C150" s="38" t="s">
        <v>49</v>
      </c>
      <c r="D150" s="42">
        <f>TRUNC(7021,-1)</f>
        <v>7020</v>
      </c>
      <c r="E150" s="63">
        <f>TRUNC(+D150*3.3058,-1)</f>
        <v>23200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TRUNC(28+19480,-1)</f>
        <v>19500</v>
      </c>
      <c r="E152" s="63">
        <f>TRUNC(+D152*3.3058,-1)</f>
        <v>64460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34230</v>
      </c>
      <c r="E154" s="39">
        <f>SUM(E149:E153)</f>
        <v>113140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TRUNC(26767,-1)</f>
        <v>26760</v>
      </c>
      <c r="E157" s="62">
        <f>TRUNC(+D157*3.3058,-1)</f>
        <v>88460</v>
      </c>
    </row>
    <row r="158" spans="1:7" x14ac:dyDescent="0.3">
      <c r="A158" s="2">
        <v>2</v>
      </c>
      <c r="C158" s="38" t="s">
        <v>52</v>
      </c>
      <c r="D158" s="42">
        <f>TRUNC(7169,-1)</f>
        <v>7160</v>
      </c>
      <c r="E158" s="63">
        <f>TRUNC(+D158*3.3058,-1)</f>
        <v>23660</v>
      </c>
    </row>
    <row r="159" spans="1:7" x14ac:dyDescent="0.3">
      <c r="A159" s="2">
        <v>3</v>
      </c>
      <c r="C159" s="38" t="s">
        <v>47</v>
      </c>
      <c r="D159" s="42">
        <f>TRUNC(11597,-1)</f>
        <v>11590</v>
      </c>
      <c r="E159" s="63">
        <f>TRUNC(+D159*3.3058,-1)</f>
        <v>38310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45510</v>
      </c>
      <c r="E161" s="39">
        <f>SUM(E157:E160)</f>
        <v>150430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2020-12-08T02:08:31Z</dcterms:modified>
</cp:coreProperties>
</file>