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45" i="4"/>
  <c r="D153" i="4"/>
  <c r="D160" i="4"/>
  <c r="D159" i="4"/>
  <c r="D158" i="4"/>
  <c r="D157" i="4"/>
  <c r="D152" i="4"/>
  <c r="D150" i="4"/>
  <c r="D149" i="4"/>
  <c r="D137" i="4"/>
  <c r="D139" i="4"/>
  <c r="D141" i="4"/>
  <c r="D142" i="4"/>
  <c r="D140" i="4"/>
  <c r="D132" i="4"/>
  <c r="D128" i="4"/>
  <c r="D127" i="4"/>
  <c r="D124" i="4"/>
  <c r="D125" i="4"/>
  <c r="D122" i="4"/>
  <c r="D130" i="4"/>
  <c r="D126" i="4"/>
  <c r="D118" i="4"/>
  <c r="D104" i="4"/>
  <c r="D103" i="4"/>
  <c r="D100" i="4"/>
  <c r="D102" i="4"/>
  <c r="D99" i="4"/>
  <c r="D114" i="4"/>
  <c r="D98" i="4"/>
  <c r="D94" i="4"/>
  <c r="D92" i="4"/>
  <c r="D89" i="4"/>
  <c r="D73" i="4"/>
  <c r="D72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<sst xmlns="http://schemas.openxmlformats.org/spreadsheetml/2006/main" count="394" uniqueCount="269">
  <si>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</si>
  <si>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</si>
  <si>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</si>
  <si>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</si>
  <si>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</si>
  <si>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</si>
  <si>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</si>
  <si>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</si>
  <si>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</si>
  <si>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</si>
  <si>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</si>
  <si>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</si>
  <si>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</si>
  <si>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</si>
  <si>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</si>
  <si>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</si>
  <si>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</si>
  <si>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</si>
  <si>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</si>
  <si>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</si>
  <si>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</si>
  <si>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</si>
  <si>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</si>
  <si>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</si>
  <si>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</si>
  <si>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</si>
  <si>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</si>
  <si>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</si>
  <si>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</si>
  <si>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</si>
  <si>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</si>
  <si>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</si>
  <si>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</si>
  <si>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</si>
  <si>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</si>
  <si>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</si>
  <si>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</si>
  <si>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</si>
  <si>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</si>
  <si>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</si>
  <si>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</si>
  <si>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</si>
  <si>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</si>
  <si>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</si>
  <si>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</si>
  <si>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</si>
  <si>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</si>
  <si>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</si>
  <si>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</si>
  <si>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</si>
  <si>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</si>
  <si>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</si>
  <si>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</si>
  <si>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</si>
  <si>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</si>
  <si>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</si>
  <si>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</si>
  <si>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</si>
  <si>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</si>
  <si>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</si>
  <si>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</si>
  <si>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</si>
  <si>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</si>
  <si>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</si>
  <si>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</si>
  <si>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</si>
  <si>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</si>
  <si>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</si>
  <si>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</si>
  <si>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</si>
  <si>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</si>
  <si>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</si>
  <si>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</si>
  <si>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</si>
  <si>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</si>
  <si>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</si>
  <si>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</si>
  <si>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</si>
  <si>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</si>
  <si>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</si>
  <si>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</si>
  <si>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</si>
  <si>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</si>
  <si>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</si>
  <si>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</si>
  <si>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</si>
  <si>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</si>
  <si>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</si>
  <si>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</si>
  <si>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</si>
  <si>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</si>
  <si>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</si>
  <si>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</si>
  <si>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</si>
  <si>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</si>
  <si>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</si>
  <si>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</si>
  <si>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</si>
  <si>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</si>
  <si>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</si>
  <si>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</si>
  <si>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</si>
  <si>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</si>
  <si>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</si>
  <si>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</si>
  <si>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</si>
  <si>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</si>
  <si>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</si>
  <si>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</si>
  <si>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</si>
  <si>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</si>
  <si>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</si>
  <si>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</si>
  <si>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</si>
  <si>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</si>
  <si>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</si>
  <si>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</si>
  <si>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</si>
  <si>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</si>
  <si>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</si>
  <si>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</si>
  <si>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</si>
  <si>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</si>
  <si>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</si>
  <si>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</si>
  <si>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</si>
  <si>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</si>
  <si>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</si>
  <si>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</si>
  <si>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</si>
  <si>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</si>
  <si>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</si>
  <si>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</si>
  <si>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</si>
  <si>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</si>
  <si>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</si>
  <si>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</si>
  <si>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</si>
  <si>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</si>
  <si>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</si>
  <si>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</si>
  <si>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</si>
  <si>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</si>
  <si>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</si>
  <si>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</si>
  <si>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</si>
  <si>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</si>
  <si>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</si>
  <si>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</si>
  <si>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</si>
  <si>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</si>
  <si>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</si>
  <si>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</si>
  <si>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</si>
  <si>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</si>
  <si>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</si>
  <si>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</si>
  <si>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</si>
  <si>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</si>
  <si>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</si>
  <si>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</si>
  <si>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</si>
  <si>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</si>
  <si>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</si>
  <si>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</si>
  <si>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</si>
  <si>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</si>
  <si>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</si>
  <si>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</si>
  <si>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</si>
  <si>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</si>
  <si>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</si>
  <si>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</si>
  <si>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</si>
  <si>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</si>
  <si>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</si>
  <si>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</si>
  <si>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</si>
  <si>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</si>
  <si>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</si>
  <si>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</si>
  <si>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</si>
  <si>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</si>
  <si>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</si>
  <si>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</si>
  <si>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</si>
  <si>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</si>
  <si>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</si>
  <si>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</si>
  <si>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</si>
  <si>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</si>
  <si>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</si>
  <si>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</si>
  <si>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</si>
  <si>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</si>
  <si>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</si>
  <si>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</si>
  <si>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</si>
  <si>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</si>
  <si>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</si>
  <si>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</si>
  <si>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</si>
  <si>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</si>
  <si>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</si>
  <si>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</si>
  <si>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</si>
  <si>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</si>
  <si>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</si>
  <si>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</si>
  <si>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</si>
  <si>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</si>
  <si>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</si>
  <si>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</si>
  <si>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</si>
  <si>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</si>
  <si>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</si>
  <si>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</si>
  <si>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</si>
  <si>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</si>
  <si>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</si>
  <si>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</si>
  <si>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</si>
  <si>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</si>
  <si>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</si>
  <si>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</si>
  <si>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</si>
  <si>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</si>
  <si>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</si>
  <si>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</si>
  <si>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</si>
  <si>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</si>
  <si>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</si>
  <si>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</si>
  <si>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</si>
  <si>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</si>
  <si>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</si>
  <si>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</si>
  <si>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</si>
  <si>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</si>
  <si>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</si>
  <si>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</si>
  <si>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</si>
  <si>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</si>
  <si>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</si>
  <si>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</si>
  <si>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</si>
  <si>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</si>
  <si>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</si>
  <si>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</si>
  <si>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</si>
  <si>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전북테크비즈센터 건립사업 건설공사</t>
    <phoneticPr fontId="2" type="noConversion"/>
  </si>
  <si>
    <t>전라도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</si>
  <si>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</si>
  <si>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</si>
  <si>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</si>
  <si>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기초공사,골재비및운반비,작업부산물,품질시험비,기타공사</t>
    <phoneticPr fontId="2" type="noConversion"/>
  </si>
  <si>
    <t>공조배관공사,우수처리시설공사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</si>
  <si>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</si>
  <si>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</si>
  <si>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CCTV설비공사,주차관제설비공사</t>
    <phoneticPr fontId="2" type="noConversion"/>
  </si>
  <si>
    <t>제연덕트설치공사,기타공사</t>
    <phoneticPr fontId="2" type="noConversion"/>
  </si>
  <si>
    <t>우수공사,오수공사</t>
    <phoneticPr fontId="2" type="noConversion"/>
  </si>
  <si>
    <t>사급자재비,기타공사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</si>
  <si>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</si>
  <si>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</si>
  <si>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원/ m2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</si>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</sst>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15457.12</v>
      </c>
      <c r="D7" s="36">
        <f>+C7/3.3058</f>
        <v>4675.7577590900846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933210</v>
      </c>
      <c r="E25" s="59">
        <f t="shared" si="0"/>
        <v>3085000</v>
      </c>
    </row>
    <row r="26" spans="1:5" x14ac:dyDescent="0.3">
      <c r="B26" s="2">
        <v>3</v>
      </c>
      <c r="C26" s="35" t="s">
        <v>95</v>
      </c>
      <c r="D26" s="45">
        <f>+D66</f>
        <v>8750</v>
      </c>
      <c r="E26" s="59">
        <f t="shared" si="0"/>
        <v>28920</v>
      </c>
    </row>
    <row r="27" spans="1:5" x14ac:dyDescent="0.3">
      <c r="B27" s="2">
        <v>4</v>
      </c>
      <c r="C27" s="35" t="s">
        <v>96</v>
      </c>
      <c r="D27" s="45">
        <f>+D95</f>
        <v>115940</v>
      </c>
      <c r="E27" s="59">
        <f t="shared" si="0"/>
        <v>383270</v>
      </c>
    </row>
    <row r="28" spans="1:5" x14ac:dyDescent="0.3">
      <c r="B28" s="2">
        <v>5</v>
      </c>
      <c r="C28" s="35" t="s">
        <v>97</v>
      </c>
      <c r="D28" s="45">
        <f>+D119</f>
        <v>196020</v>
      </c>
      <c r="E28" s="59">
        <f t="shared" si="0"/>
        <v>648000</v>
      </c>
    </row>
    <row r="29" spans="1:5" x14ac:dyDescent="0.3">
      <c r="B29" s="2">
        <v>6</v>
      </c>
      <c r="C29" s="35" t="s">
        <v>98</v>
      </c>
      <c r="D29" s="45">
        <f>+D133</f>
        <v>67780</v>
      </c>
      <c r="E29" s="59">
        <f t="shared" si="0"/>
        <v>224060</v>
      </c>
    </row>
    <row r="30" spans="1:5" x14ac:dyDescent="0.3">
      <c r="B30" s="2">
        <v>7</v>
      </c>
      <c r="C30" s="35" t="s">
        <v>99</v>
      </c>
      <c r="D30" s="45">
        <f>+D146</f>
        <v>53590</v>
      </c>
      <c r="E30" s="59">
        <f t="shared" si="0"/>
        <v>177150</v>
      </c>
    </row>
    <row r="31" spans="1:5" x14ac:dyDescent="0.3">
      <c r="B31" s="2">
        <v>8</v>
      </c>
      <c r="C31" s="35" t="s">
        <v>100</v>
      </c>
      <c r="D31" s="45">
        <f>+D154</f>
        <v>23350</v>
      </c>
      <c r="E31" s="59">
        <f t="shared" si="0"/>
        <v>77190</v>
      </c>
    </row>
    <row r="32" spans="1:5" x14ac:dyDescent="0.3">
      <c r="B32" s="2">
        <v>9</v>
      </c>
      <c r="C32" s="35" t="s">
        <v>101</v>
      </c>
      <c r="D32" s="45">
        <f>+D161</f>
        <v>41460</v>
      </c>
      <c r="E32" s="59">
        <f t="shared" si="0"/>
        <v>137050</v>
      </c>
    </row>
    <row r="33" spans="1:7" x14ac:dyDescent="0.3">
      <c r="B33" s="2">
        <v>10</v>
      </c>
      <c r="C33" s="35" t="s">
        <v>154</v>
      </c>
      <c r="D33" s="53">
        <f>TRUNC(SUM(D24:D32)*0.275,-1)</f>
        <v>396020</v>
      </c>
      <c r="E33" s="60">
        <f t="shared" si="0"/>
        <v>1309160</v>
      </c>
    </row>
    <row r="34" spans="1:7" x14ac:dyDescent="0.3">
      <c r="C34" s="35" t="s">
        <v>112</v>
      </c>
      <c r="D34" s="44">
        <f>SUM(D24:D33)</f>
        <v>1836120</v>
      </c>
      <c r="E34" s="44">
        <f>SUM(E24:E33)</f>
        <v>6069800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265</v>
      </c>
      <c r="E39" s="57" t="s">
        <v>236</v>
      </c>
      <c r="G39" s="55"/>
    </row>
    <row r="40" spans="1:7" x14ac:dyDescent="0.3">
      <c r="A40" s="2">
        <v>1</v>
      </c>
      <c r="C40" s="38" t="s">
        <v>15</v>
      </c>
      <c r="D40" s="40">
        <f>TRUNC(57239,-1)</f>
        <v>57230</v>
      </c>
      <c r="E40" s="62">
        <f t="shared" ref="E40:E59" si="1">TRUNC(+D40*3.3058,-1)</f>
        <v>189190</v>
      </c>
    </row>
    <row r="41" spans="1:7" x14ac:dyDescent="0.3">
      <c r="A41" s="2">
        <v>2</v>
      </c>
      <c r="C41" s="38" t="s">
        <v>13</v>
      </c>
      <c r="D41" s="42">
        <f>TRUNC(117225,-1)</f>
        <v>117220</v>
      </c>
      <c r="E41" s="63">
        <f t="shared" si="1"/>
        <v>387500</v>
      </c>
    </row>
    <row r="42" spans="1:7" x14ac:dyDescent="0.3">
      <c r="A42" s="2">
        <v>3</v>
      </c>
      <c r="C42" s="38" t="s">
        <v>14</v>
      </c>
      <c r="D42" s="42">
        <f>TRUNC(17054,-1)</f>
        <v>17050</v>
      </c>
      <c r="E42" s="63">
        <f t="shared" si="1"/>
        <v>56360</v>
      </c>
    </row>
    <row r="43" spans="1:7" x14ac:dyDescent="0.3">
      <c r="A43" s="2">
        <v>4</v>
      </c>
      <c r="C43" s="38" t="s">
        <v>16</v>
      </c>
      <c r="D43" s="42">
        <f>TRUNC(12554,-1)</f>
        <v>12550</v>
      </c>
      <c r="E43" s="63">
        <f t="shared" si="1"/>
        <v>41480</v>
      </c>
    </row>
    <row r="44" spans="1:7" x14ac:dyDescent="0.3">
      <c r="A44" s="2">
        <v>5</v>
      </c>
      <c r="C44" s="38" t="s">
        <v>17</v>
      </c>
      <c r="D44" s="42">
        <f>TRUNC(24556,-1)</f>
        <v>24550</v>
      </c>
      <c r="E44" s="63">
        <f t="shared" si="1"/>
        <v>81150</v>
      </c>
    </row>
    <row r="45" spans="1:7" x14ac:dyDescent="0.3">
      <c r="A45" s="2">
        <v>6</v>
      </c>
      <c r="C45" s="38" t="s">
        <v>18</v>
      </c>
      <c r="D45" s="42">
        <f>TRUNC(10382,-1)</f>
        <v>10380</v>
      </c>
      <c r="E45" s="63">
        <f t="shared" si="1"/>
        <v>34310</v>
      </c>
    </row>
    <row r="46" spans="1:7" x14ac:dyDescent="0.3">
      <c r="A46" s="2">
        <v>7</v>
      </c>
      <c r="C46" s="38" t="s">
        <v>19</v>
      </c>
      <c r="D46" s="42">
        <f>TRUNC(51786,-1)</f>
        <v>51780</v>
      </c>
      <c r="E46" s="63">
        <f t="shared" si="1"/>
        <v>171170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TRUNC(38181,-1)</f>
        <v>38180</v>
      </c>
      <c r="E48" s="63">
        <f t="shared" si="1"/>
        <v>126210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TRUNC(15628,-1)</f>
        <v>15620</v>
      </c>
      <c r="E49" s="63">
        <f t="shared" si="1"/>
        <v>51630</v>
      </c>
    </row>
    <row r="50" spans="1:7" x14ac:dyDescent="0.3">
      <c r="A50" s="2">
        <v>11</v>
      </c>
      <c r="C50" s="38" t="s">
        <v>155</v>
      </c>
      <c r="D50" s="42">
        <f>TRUNC(53046,-1)</f>
        <v>53040</v>
      </c>
      <c r="E50" s="63">
        <f t="shared" si="1"/>
        <v>175330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TRUNC(14872,-1)</f>
        <v>14870</v>
      </c>
      <c r="E52" s="63">
        <f t="shared" si="1"/>
        <v>49150</v>
      </c>
    </row>
    <row r="53" spans="1:7" x14ac:dyDescent="0.3">
      <c r="A53" s="2">
        <v>14</v>
      </c>
      <c r="C53" s="38" t="s">
        <v>25</v>
      </c>
      <c r="D53" s="42">
        <f>TRUNC(50287,-1)</f>
        <v>50280</v>
      </c>
      <c r="E53" s="63">
        <f t="shared" si="1"/>
        <v>166210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TRUNC(24392+4248-747+925+156144,-1)</f>
        <v>184960</v>
      </c>
      <c r="E58" s="63">
        <f t="shared" si="1"/>
        <v>611440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TRUNC(285506,-1)</f>
        <v>285500</v>
      </c>
      <c r="E59" s="64">
        <f t="shared" si="1"/>
        <v>943800</v>
      </c>
    </row>
    <row r="60" spans="1:7" x14ac:dyDescent="0.3">
      <c r="A60" s="2">
        <v>21</v>
      </c>
      <c r="C60" s="27" t="s">
        <v>112</v>
      </c>
      <c r="D60" s="39">
        <f>SUM(D40:D59)</f>
        <v>933210</v>
      </c>
      <c r="E60" s="39">
        <f>SUM(E40:E59)</f>
        <v>3084930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TRUNC(8757,-1)</f>
        <v>8750</v>
      </c>
      <c r="E63" s="62">
        <f>TRUNC(+D63*3.3058,-1)</f>
        <v>28920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8750</v>
      </c>
      <c r="E66" s="65">
        <f>SUM(E63:E65)</f>
        <v>28920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TRUNC(2060,-1)</f>
        <v>2060</v>
      </c>
      <c r="E72" s="63">
        <f t="shared" si="2"/>
        <v>6800</v>
      </c>
    </row>
    <row r="73" spans="1:7" x14ac:dyDescent="0.3">
      <c r="A73" s="2">
        <v>5</v>
      </c>
      <c r="C73" s="38" t="s">
        <v>34</v>
      </c>
      <c r="D73" s="42">
        <f>TRUNC(4558,-1)</f>
        <v>4550</v>
      </c>
      <c r="E73" s="63">
        <f t="shared" si="2"/>
        <v>15040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TRUNC(7196,-1)</f>
        <v>7190</v>
      </c>
      <c r="E89" s="63">
        <f t="shared" si="2"/>
        <v>23760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TRUNC(10911,-1)</f>
        <v>10910</v>
      </c>
      <c r="E92" s="63">
        <f t="shared" si="2"/>
        <v>36060</v>
      </c>
    </row>
    <row r="93" spans="1:7" x14ac:dyDescent="0.3">
      <c r="A93" s="2">
        <v>25</v>
      </c>
      <c r="C93" s="38" t="s">
        <v>148</v>
      </c>
      <c r="D93" s="42">
        <f>TRUNC(79686,-1)</f>
        <v>79680</v>
      </c>
      <c r="E93" s="63">
        <f t="shared" si="2"/>
        <v>263400</v>
      </c>
    </row>
    <row r="94" spans="1:7" ht="17.25" thickBot="1" x14ac:dyDescent="0.35">
      <c r="A94" s="2">
        <v>26</v>
      </c>
      <c r="C94" s="38" t="s">
        <v>47</v>
      </c>
      <c r="D94" s="43">
        <f>TRUNC(7225+4332,-1)</f>
        <v>11550</v>
      </c>
      <c r="E94" s="64">
        <f t="shared" si="2"/>
        <v>38180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115940</v>
      </c>
      <c r="E95" s="39">
        <f>SUM(E69:E94)</f>
        <v>383240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TRUNC(19120,-1)</f>
        <v>19120</v>
      </c>
      <c r="E98" s="62">
        <f t="shared" ref="E98:E118" si="3">TRUNC(+D98*3.3058,-1)</f>
        <v>63200</v>
      </c>
    </row>
    <row r="99" spans="1:7" x14ac:dyDescent="0.3">
      <c r="A99" s="2">
        <v>2</v>
      </c>
      <c r="C99" s="38" t="s">
        <v>40</v>
      </c>
      <c r="D99" s="42">
        <f>TRUNC(8779,-1)</f>
        <v>8770</v>
      </c>
      <c r="E99" s="63">
        <f t="shared" si="3"/>
        <v>28990</v>
      </c>
    </row>
    <row r="100" spans="1:7" x14ac:dyDescent="0.3">
      <c r="A100" s="2">
        <v>3</v>
      </c>
      <c r="C100" s="38" t="s">
        <v>41</v>
      </c>
      <c r="D100" s="42">
        <f>TRUNC(32045,-1)</f>
        <v>32040</v>
      </c>
      <c r="E100" s="63">
        <f t="shared" si="3"/>
        <v>105910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TRUNC(14320,-1)</f>
        <v>14320</v>
      </c>
      <c r="E102" s="63">
        <f t="shared" si="3"/>
        <v>47330</v>
      </c>
    </row>
    <row r="103" spans="1:7" x14ac:dyDescent="0.3">
      <c r="A103" s="2">
        <v>6</v>
      </c>
      <c r="C103" s="38" t="s">
        <v>44</v>
      </c>
      <c r="D103" s="42">
        <f>TRUNC(5080,-1)</f>
        <v>5080</v>
      </c>
      <c r="E103" s="63">
        <f t="shared" si="3"/>
        <v>16790</v>
      </c>
    </row>
    <row r="104" spans="1:7" x14ac:dyDescent="0.3">
      <c r="A104" s="2">
        <v>7</v>
      </c>
      <c r="C104" s="38" t="s">
        <v>45</v>
      </c>
      <c r="D104" s="42">
        <f>TRUNC(2133,-1)</f>
        <v>2130</v>
      </c>
      <c r="E104" s="63">
        <f t="shared" si="3"/>
        <v>7040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TRUNC(2133,-1)</f>
        <v>2130</v>
      </c>
      <c r="E114" s="63">
        <f t="shared" si="3"/>
        <v>7040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TRUNC(109046,-1)</f>
        <v>109040</v>
      </c>
      <c r="E117" s="63">
        <f t="shared" si="3"/>
        <v>360460</v>
      </c>
    </row>
    <row r="118" spans="1:7" ht="17.25" thickBot="1" x14ac:dyDescent="0.35">
      <c r="A118" s="2">
        <v>21</v>
      </c>
      <c r="C118" s="38" t="s">
        <v>47</v>
      </c>
      <c r="D118" s="43">
        <f>TRUNC(3395,-1)</f>
        <v>3390</v>
      </c>
      <c r="E118" s="64">
        <f t="shared" si="3"/>
        <v>11200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196020</v>
      </c>
      <c r="E119" s="39">
        <f>SUM(E98:E118)</f>
        <v>647960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TRUNC(4318,-1)</f>
        <v>4310</v>
      </c>
      <c r="E122" s="62">
        <f t="shared" ref="E122:E132" si="4">TRUNC(+D122*3.3058,-1)</f>
        <v>14240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TRUNC(1580,-1)</f>
        <v>1580</v>
      </c>
      <c r="E124" s="63">
        <f t="shared" si="4"/>
        <v>5220</v>
      </c>
    </row>
    <row r="125" spans="1:7" x14ac:dyDescent="0.3">
      <c r="A125" s="2">
        <v>4</v>
      </c>
      <c r="C125" s="38" t="s">
        <v>138</v>
      </c>
      <c r="D125" s="42">
        <f>TRUNC(6805,-1)</f>
        <v>6800</v>
      </c>
      <c r="E125" s="63">
        <f t="shared" si="4"/>
        <v>22470</v>
      </c>
    </row>
    <row r="126" spans="1:7" x14ac:dyDescent="0.3">
      <c r="A126" s="2">
        <v>5</v>
      </c>
      <c r="C126" s="38" t="s">
        <v>53</v>
      </c>
      <c r="D126" s="42">
        <f>TRUNC(919,-1)</f>
        <v>910</v>
      </c>
      <c r="E126" s="63">
        <f t="shared" si="4"/>
        <v>3000</v>
      </c>
    </row>
    <row r="127" spans="1:7" x14ac:dyDescent="0.3">
      <c r="A127" s="2">
        <v>6</v>
      </c>
      <c r="C127" s="38" t="s">
        <v>56</v>
      </c>
      <c r="D127" s="42">
        <f>TRUNC(1179,-1)</f>
        <v>1170</v>
      </c>
      <c r="E127" s="63">
        <f t="shared" si="4"/>
        <v>3860</v>
      </c>
    </row>
    <row r="128" spans="1:7" x14ac:dyDescent="0.3">
      <c r="A128" s="2">
        <v>7</v>
      </c>
      <c r="C128" s="38" t="s">
        <v>46</v>
      </c>
      <c r="D128" s="42">
        <f>TRUNC(3550,-1)</f>
        <v>3550</v>
      </c>
      <c r="E128" s="63">
        <f t="shared" si="4"/>
        <v>11730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TRUNC(13202,-1)</f>
        <v>13200</v>
      </c>
      <c r="E130" s="63">
        <f t="shared" si="4"/>
        <v>43630</v>
      </c>
    </row>
    <row r="131" spans="1:7" x14ac:dyDescent="0.3">
      <c r="A131" s="2">
        <v>10</v>
      </c>
      <c r="C131" s="38" t="s">
        <v>148</v>
      </c>
      <c r="D131" s="42">
        <f>TRUNC(33303,-1)</f>
        <v>33300</v>
      </c>
      <c r="E131" s="63">
        <f t="shared" si="4"/>
        <v>110080</v>
      </c>
    </row>
    <row r="132" spans="1:7" ht="18" thickBot="1" x14ac:dyDescent="0.35">
      <c r="A132" s="2">
        <v>11</v>
      </c>
      <c r="C132" s="38" t="s">
        <v>47</v>
      </c>
      <c r="D132" s="43">
        <f>TRUNC(2834+130,-1)</f>
        <v>2960</v>
      </c>
      <c r="E132" s="64">
        <f t="shared" si="4"/>
        <v>9780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67780</v>
      </c>
      <c r="E133" s="39">
        <f>SUM(E122:E132)</f>
        <v>224010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TRUNC(3442+8814,-1)</f>
        <v>12250</v>
      </c>
      <c r="E137" s="63">
        <f t="shared" si="5"/>
        <v>40490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TRUNC(3573,-1)</f>
        <v>3570</v>
      </c>
      <c r="E139" s="63">
        <f t="shared" si="5"/>
        <v>11800</v>
      </c>
    </row>
    <row r="140" spans="1:7" x14ac:dyDescent="0.3">
      <c r="A140" s="2">
        <v>5</v>
      </c>
      <c r="C140" s="38" t="s">
        <v>57</v>
      </c>
      <c r="D140" s="42">
        <f>TRUNC(13362,-1)</f>
        <v>13360</v>
      </c>
      <c r="E140" s="63">
        <f t="shared" si="5"/>
        <v>44160</v>
      </c>
    </row>
    <row r="141" spans="1:7" x14ac:dyDescent="0.3">
      <c r="A141" s="2">
        <v>6</v>
      </c>
      <c r="C141" s="38" t="s">
        <v>59</v>
      </c>
      <c r="D141" s="42">
        <f>TRUNC(14887,-1)</f>
        <v>14880</v>
      </c>
      <c r="E141" s="63">
        <f t="shared" si="5"/>
        <v>49190</v>
      </c>
    </row>
    <row r="142" spans="1:7" x14ac:dyDescent="0.3">
      <c r="A142" s="2">
        <v>7</v>
      </c>
      <c r="C142" s="38" t="s">
        <v>58</v>
      </c>
      <c r="D142" s="42">
        <f>TRUNC(4461,-1)</f>
        <v>4460</v>
      </c>
      <c r="E142" s="63">
        <f t="shared" si="5"/>
        <v>14740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f>TRUNC(5074,-1)</f>
        <v>5070</v>
      </c>
      <c r="E145" s="64">
        <f t="shared" si="5"/>
        <v>16760</v>
      </c>
    </row>
    <row r="146" spans="1:7" x14ac:dyDescent="0.3">
      <c r="A146" s="2">
        <v>11</v>
      </c>
      <c r="C146" s="27" t="s">
        <v>112</v>
      </c>
      <c r="D146" s="39">
        <f>SUM(D136:D145)</f>
        <v>53590</v>
      </c>
      <c r="E146" s="39">
        <f>SUM(E136:E145)</f>
        <v>177140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TRUNC(1533+215,-1)</f>
        <v>1740</v>
      </c>
      <c r="E149" s="62">
        <f>TRUNC(+D149*3.3058,-1)</f>
        <v>5750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TRUNC(3930,-1)</f>
        <v>3930</v>
      </c>
      <c r="E150" s="63">
        <f>TRUNC(+D150*3.3058,-1)</f>
        <v>12990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TRUNC(6037+349,-1)</f>
        <v>6380</v>
      </c>
      <c r="E152" s="63">
        <f>TRUNC(+D152*3.3058,-1)</f>
        <v>21090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TRUNC(11309,-1)</f>
        <v>11300</v>
      </c>
      <c r="E153" s="64">
        <f>TRUNC(+D153*3.3058,-1)</f>
        <v>37350</v>
      </c>
    </row>
    <row r="154" spans="1:7" x14ac:dyDescent="0.3">
      <c r="A154" s="2">
        <v>6</v>
      </c>
      <c r="C154" s="27" t="s">
        <v>112</v>
      </c>
      <c r="D154" s="39">
        <f>SUM(D149:D153)</f>
        <v>23350</v>
      </c>
      <c r="E154" s="39">
        <f>SUM(E149:E153)</f>
        <v>77180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TRUNC(20247,-1)</f>
        <v>20240</v>
      </c>
      <c r="E157" s="62">
        <f>TRUNC(+D157*3.3058,-1)</f>
        <v>66900</v>
      </c>
    </row>
    <row r="158" spans="1:7" x14ac:dyDescent="0.3">
      <c r="A158" s="2">
        <v>2</v>
      </c>
      <c r="C158" s="38" t="s">
        <v>52</v>
      </c>
      <c r="D158" s="42">
        <f>TRUNC(754,-1)</f>
        <v>750</v>
      </c>
      <c r="E158" s="63">
        <f>TRUNC(+D158*3.3058,-1)</f>
        <v>2470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TRUNC(10738+844,-1)</f>
        <v>11580</v>
      </c>
      <c r="E159" s="63">
        <f>TRUNC(+D159*3.3058,-1)</f>
        <v>38280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f>TRUNC(8898,-1)</f>
        <v>8890</v>
      </c>
      <c r="E160" s="64">
        <f>TRUNC(+D160*3.3058,-1)</f>
        <v>29380</v>
      </c>
    </row>
    <row r="161" spans="1:5" x14ac:dyDescent="0.3">
      <c r="A161" s="2">
        <v>5</v>
      </c>
      <c r="C161" s="27" t="s">
        <v>112</v>
      </c>
      <c r="D161" s="39">
        <f>SUM(D157:D160)</f>
        <v>41460</v>
      </c>
      <c r="E161" s="39">
        <f>SUM(E157:E160)</f>
        <v>137030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2020-12-08T04:47:16Z</dcterms:modified>
</cp:coreProperties>
</file>