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52" i="4"/>
  <c r="D150" i="4"/>
  <c r="D149" i="4"/>
  <c r="D137" i="4"/>
  <c r="D144" i="4"/>
  <c r="D143" i="4"/>
  <c r="D139" i="4"/>
  <c r="D141" i="4"/>
  <c r="D142" i="4"/>
  <c r="D140" i="4"/>
  <c r="D125" i="4"/>
  <c r="D130" i="4"/>
  <c r="D118" i="4"/>
  <c r="D105" i="4"/>
  <c r="D103" i="4"/>
  <c r="D102" i="4"/>
  <c r="D100" i="4"/>
  <c r="D99" i="4"/>
  <c r="D114" i="4"/>
  <c r="D98" i="4"/>
  <c r="D94" i="4"/>
  <c r="D75" i="4"/>
  <c r="D92" i="4"/>
  <c r="D91" i="4"/>
  <c r="D90" i="4"/>
  <c r="D89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133" i="4"/>
  <c r="E154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<sst xmlns="http://schemas.openxmlformats.org/spreadsheetml/2006/main" count="390" uniqueCount="263">
  <si>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</si>
  <si>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</si>
  <si>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</si>
  <si>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</si>
  <si>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</si>
  <si>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</si>
  <si>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</si>
  <si>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</si>
  <si>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</si>
  <si>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</si>
  <si>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</si>
  <si>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</si>
  <si>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</si>
  <si>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</si>
  <si>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</si>
  <si>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</si>
  <si>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</si>
  <si>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</si>
  <si>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</si>
  <si>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</si>
  <si>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</si>
  <si>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</si>
  <si>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</si>
  <si>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</si>
  <si>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</si>
  <si>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</si>
  <si>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</si>
  <si>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</si>
  <si>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</si>
  <si>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</si>
  <si>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</si>
  <si>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</si>
  <si>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</si>
  <si>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</si>
  <si>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</si>
  <si>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</si>
  <si>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</si>
  <si>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</si>
  <si>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</si>
  <si>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</si>
  <si>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</si>
  <si>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</si>
  <si>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</si>
  <si>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</si>
  <si>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</si>
  <si>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</si>
  <si>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</si>
  <si>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</si>
  <si>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</si>
  <si>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</si>
  <si>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</si>
  <si>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</si>
  <si>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</si>
  <si>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</si>
  <si>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</si>
  <si>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</si>
  <si>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</si>
  <si>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</si>
  <si>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</si>
  <si>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</si>
  <si>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</si>
  <si>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</si>
  <si>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</si>
  <si>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</si>
  <si>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</si>
  <si>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</si>
  <si>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</si>
  <si>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</si>
  <si>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</si>
  <si>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</si>
  <si>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</si>
  <si>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</si>
  <si>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</si>
  <si>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</si>
  <si>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</si>
  <si>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</si>
  <si>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</si>
  <si>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</si>
  <si>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</si>
  <si>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</si>
  <si>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</si>
  <si>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</si>
  <si>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</si>
  <si>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</si>
  <si>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</si>
  <si>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</si>
  <si>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</si>
  <si>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</si>
  <si>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</si>
  <si>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</si>
  <si>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</si>
  <si>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</si>
  <si>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</si>
  <si>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</si>
  <si>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</si>
  <si>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</si>
  <si>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</si>
  <si>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</si>
  <si>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</si>
  <si>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</si>
  <si>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</si>
  <si>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</si>
  <si>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</si>
  <si>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</si>
  <si>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</si>
  <si>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</si>
  <si>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</si>
  <si>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</si>
  <si>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</si>
  <si>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</si>
  <si>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</si>
  <si>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</si>
  <si>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</si>
  <si>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</si>
  <si>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</si>
  <si>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</si>
  <si>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</si>
  <si>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</si>
  <si>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</si>
  <si>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</si>
  <si>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</si>
  <si>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</si>
  <si>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</si>
  <si>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</si>
  <si>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</si>
  <si>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</si>
  <si>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</si>
  <si>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</si>
  <si>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</si>
  <si>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</si>
  <si>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</si>
  <si>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</si>
  <si>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</si>
  <si>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</si>
  <si>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</si>
  <si>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</si>
  <si>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</si>
  <si>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</si>
  <si>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</si>
  <si>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</si>
  <si>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</si>
  <si>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</si>
  <si>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</si>
  <si>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</si>
  <si>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</si>
  <si>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</si>
  <si>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</si>
  <si>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</si>
  <si>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</si>
  <si>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</si>
  <si>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</si>
  <si>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</si>
  <si>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</si>
  <si>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</si>
  <si>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</si>
  <si>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</si>
  <si>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</si>
  <si>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</si>
  <si>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</si>
  <si>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</si>
  <si>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</si>
  <si>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</si>
  <si>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</si>
  <si>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</si>
  <si>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</si>
  <si>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</si>
  <si>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</si>
  <si>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</si>
  <si>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</si>
  <si>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</si>
  <si>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</si>
  <si>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</si>
  <si>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</si>
  <si>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</si>
  <si>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</si>
  <si>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</si>
  <si>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</si>
  <si>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</si>
  <si>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</si>
  <si>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</si>
  <si>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</si>
  <si>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</si>
  <si>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</si>
  <si>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</si>
  <si>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</si>
  <si>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</si>
  <si>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</si>
  <si>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</si>
  <si>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</si>
  <si>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</si>
  <si>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</si>
  <si>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</si>
  <si>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</si>
  <si>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</si>
  <si>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</si>
  <si>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</si>
  <si>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</si>
  <si>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</si>
  <si>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</si>
  <si>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</si>
  <si>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</si>
  <si>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</si>
  <si>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</si>
  <si>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</si>
  <si>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</si>
  <si>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</si>
  <si>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</si>
  <si>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</si>
  <si>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</si>
  <si>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</si>
  <si>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</si>
  <si>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</si>
  <si>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</si>
  <si>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</si>
  <si>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</si>
  <si>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</si>
  <si>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</si>
  <si>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</si>
  <si>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</si>
  <si>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</si>
  <si>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</si>
  <si>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</si>
  <si>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</si>
  <si>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</si>
  <si>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</si>
  <si>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</si>
  <si>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</si>
  <si>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</si>
  <si>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</si>
  <si>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</si>
  <si>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</si>
  <si>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</si>
  <si>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</si>
  <si>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</si>
  <si>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</si>
  <si>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</si>
  <si>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</si>
  <si>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</si>
  <si>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</si>
  <si>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</si>
  <si>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</si>
  <si>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</si>
  <si>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</si>
  <si>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</si>
  <si>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</si>
  <si>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</si>
  <si>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</si>
  <si>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</si>
  <si>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광주광역시 거점형 공공직장어린이집 신축공사(건축)</t>
    <phoneticPr fontId="2" type="noConversion"/>
  </si>
  <si>
    <t>기타</t>
  </si>
  <si>
    <t>광주시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</si>
  <si>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</si>
  <si>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</si>
  <si>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</si>
  <si>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</si>
  <si>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난방배관공사,기타공사</t>
    <phoneticPr fontId="2" type="noConversion"/>
  </si>
  <si>
    <t>기타공사</t>
    <phoneticPr fontId="2" type="noConversion"/>
  </si>
  <si>
    <t>펌프실배관공사</t>
    <phoneticPr fontId="2" type="noConversion"/>
  </si>
  <si>
    <t>우수공사,오수공사</t>
    <phoneticPr fontId="2" type="noConversion"/>
  </si>
  <si>
    <t>상수도공사,운반비,기타공사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</si>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</sst>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2748.98</v>
      </c>
      <c r="D7" s="36">
        <f>+C7/3.3058</f>
        <v>831.56270796781416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841980</v>
      </c>
      <c r="E25" s="59">
        <f t="shared" si="0"/>
        <v>2783410</v>
      </c>
    </row>
    <row r="26" spans="1:5" x14ac:dyDescent="0.3">
      <c r="B26" s="2">
        <v>3</v>
      </c>
      <c r="C26" s="35" t="s">
        <v>95</v>
      </c>
      <c r="D26" s="45">
        <f>+D66</f>
        <v>47030</v>
      </c>
      <c r="E26" s="59">
        <f t="shared" si="0"/>
        <v>155470</v>
      </c>
    </row>
    <row r="27" spans="1:5" x14ac:dyDescent="0.3">
      <c r="B27" s="2">
        <v>4</v>
      </c>
      <c r="C27" s="35" t="s">
        <v>96</v>
      </c>
      <c r="D27" s="45">
        <f>+D95</f>
        <v>173700</v>
      </c>
      <c r="E27" s="59">
        <f t="shared" si="0"/>
        <v>574210</v>
      </c>
    </row>
    <row r="28" spans="1:5" x14ac:dyDescent="0.3">
      <c r="B28" s="2">
        <v>5</v>
      </c>
      <c r="C28" s="35" t="s">
        <v>97</v>
      </c>
      <c r="D28" s="45">
        <f>+D119</f>
        <v>153850</v>
      </c>
      <c r="E28" s="59">
        <f t="shared" si="0"/>
        <v>508590</v>
      </c>
    </row>
    <row r="29" spans="1:5" x14ac:dyDescent="0.3">
      <c r="B29" s="2">
        <v>6</v>
      </c>
      <c r="C29" s="35" t="s">
        <v>98</v>
      </c>
      <c r="D29" s="45">
        <f>+D133</f>
        <v>29780</v>
      </c>
      <c r="E29" s="59">
        <f t="shared" si="0"/>
        <v>98440</v>
      </c>
    </row>
    <row r="30" spans="1:5" x14ac:dyDescent="0.3">
      <c r="B30" s="2">
        <v>7</v>
      </c>
      <c r="C30" s="35" t="s">
        <v>99</v>
      </c>
      <c r="D30" s="45">
        <f>+D146</f>
        <v>75930</v>
      </c>
      <c r="E30" s="59">
        <f t="shared" si="0"/>
        <v>251000</v>
      </c>
    </row>
    <row r="31" spans="1:5" x14ac:dyDescent="0.3">
      <c r="B31" s="2">
        <v>8</v>
      </c>
      <c r="C31" s="35" t="s">
        <v>100</v>
      </c>
      <c r="D31" s="45">
        <f>+D154</f>
        <v>25230</v>
      </c>
      <c r="E31" s="59">
        <f t="shared" si="0"/>
        <v>83400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370560</v>
      </c>
      <c r="E33" s="60">
        <f t="shared" si="0"/>
        <v>1224990</v>
      </c>
    </row>
    <row r="34" spans="1:7" x14ac:dyDescent="0.3">
      <c r="C34" s="35" t="s">
        <v>112</v>
      </c>
      <c r="D34" s="44">
        <f>SUM(D24:D33)</f>
        <v>1718060</v>
      </c>
      <c r="E34" s="44">
        <f>SUM(E24:E33)</f>
        <v>5679510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TRUNC(52602,-1)</f>
        <v>52600</v>
      </c>
      <c r="E40" s="62">
        <f t="shared" ref="E40:E59" si="1">TRUNC(+D40*3.3058,-1)</f>
        <v>173880</v>
      </c>
    </row>
    <row r="41" spans="1:7" x14ac:dyDescent="0.3">
      <c r="A41" s="2">
        <v>2</v>
      </c>
      <c r="C41" s="38" t="s">
        <v>13</v>
      </c>
      <c r="D41" s="42">
        <f>TRUNC(170871,-1)</f>
        <v>170870</v>
      </c>
      <c r="E41" s="63">
        <f t="shared" si="1"/>
        <v>564860</v>
      </c>
    </row>
    <row r="42" spans="1:7" x14ac:dyDescent="0.3">
      <c r="A42" s="2">
        <v>3</v>
      </c>
      <c r="C42" s="38" t="s">
        <v>14</v>
      </c>
      <c r="D42" s="42">
        <f>TRUNC(602,-1)</f>
        <v>600</v>
      </c>
      <c r="E42" s="63">
        <f t="shared" si="1"/>
        <v>1980</v>
      </c>
    </row>
    <row r="43" spans="1:7" x14ac:dyDescent="0.3">
      <c r="A43" s="2">
        <v>4</v>
      </c>
      <c r="C43" s="38" t="s">
        <v>16</v>
      </c>
      <c r="D43" s="42">
        <f>TRUNC(17783,-1)</f>
        <v>17780</v>
      </c>
      <c r="E43" s="63">
        <f t="shared" si="1"/>
        <v>58770</v>
      </c>
    </row>
    <row r="44" spans="1:7" x14ac:dyDescent="0.3">
      <c r="A44" s="2">
        <v>5</v>
      </c>
      <c r="C44" s="38" t="s">
        <v>17</v>
      </c>
      <c r="D44" s="42">
        <f>TRUNC(44666,-1)</f>
        <v>44660</v>
      </c>
      <c r="E44" s="63">
        <f t="shared" si="1"/>
        <v>147630</v>
      </c>
    </row>
    <row r="45" spans="1:7" x14ac:dyDescent="0.3">
      <c r="A45" s="2">
        <v>6</v>
      </c>
      <c r="C45" s="38" t="s">
        <v>18</v>
      </c>
      <c r="D45" s="42">
        <f>TRUNC(10757,-1)</f>
        <v>10750</v>
      </c>
      <c r="E45" s="63">
        <f t="shared" si="1"/>
        <v>35530</v>
      </c>
    </row>
    <row r="46" spans="1:7" x14ac:dyDescent="0.3">
      <c r="A46" s="2">
        <v>7</v>
      </c>
      <c r="C46" s="38" t="s">
        <v>19</v>
      </c>
      <c r="D46" s="42">
        <f>TRUNC(8154,-1)</f>
        <v>8150</v>
      </c>
      <c r="E46" s="63">
        <f t="shared" si="1"/>
        <v>26940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TRUNC(51380,-1)</f>
        <v>51380</v>
      </c>
      <c r="E48" s="63">
        <f t="shared" si="1"/>
        <v>169850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TRUNC(29174,-1)</f>
        <v>29170</v>
      </c>
      <c r="E49" s="63">
        <f t="shared" si="1"/>
        <v>96430</v>
      </c>
    </row>
    <row r="50" spans="1:7" x14ac:dyDescent="0.3">
      <c r="A50" s="2">
        <v>11</v>
      </c>
      <c r="C50" s="38" t="s">
        <v>155</v>
      </c>
      <c r="D50" s="42">
        <f>TRUNC(45451,-1)</f>
        <v>45450</v>
      </c>
      <c r="E50" s="63">
        <f t="shared" si="1"/>
        <v>150240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TRUNC(18319,-1)</f>
        <v>18310</v>
      </c>
      <c r="E52" s="63">
        <f t="shared" si="1"/>
        <v>60520</v>
      </c>
    </row>
    <row r="53" spans="1:7" x14ac:dyDescent="0.3">
      <c r="A53" s="2">
        <v>14</v>
      </c>
      <c r="C53" s="38" t="s">
        <v>25</v>
      </c>
      <c r="D53" s="42">
        <f>TRUNC(103860,-1)</f>
        <v>103860</v>
      </c>
      <c r="E53" s="63">
        <f t="shared" si="1"/>
        <v>343340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TRUNC(1379+10493-687+884+41898,-1)</f>
        <v>53960</v>
      </c>
      <c r="E58" s="63">
        <f t="shared" si="1"/>
        <v>178380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TRUNC(234440,-1)</f>
        <v>234440</v>
      </c>
      <c r="E59" s="64">
        <f t="shared" si="1"/>
        <v>775010</v>
      </c>
    </row>
    <row r="60" spans="1:7" x14ac:dyDescent="0.3">
      <c r="A60" s="2">
        <v>21</v>
      </c>
      <c r="C60" s="27" t="s">
        <v>112</v>
      </c>
      <c r="D60" s="39">
        <f>SUM(D40:D59)</f>
        <v>841980</v>
      </c>
      <c r="E60" s="39">
        <f>SUM(E40:E59)</f>
        <v>2783360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TRUNC(4679,-1)</f>
        <v>4670</v>
      </c>
      <c r="E63" s="62">
        <f>TRUNC(+D63*3.3058,-1)</f>
        <v>15430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TRUNC(42365,-1)</f>
        <v>42360</v>
      </c>
      <c r="E65" s="64">
        <f>TRUNC(+D65*3.3058,-1)</f>
        <v>140030</v>
      </c>
    </row>
    <row r="66" spans="1:7" x14ac:dyDescent="0.3">
      <c r="A66" s="2">
        <v>4</v>
      </c>
      <c r="C66" s="27" t="s">
        <v>112</v>
      </c>
      <c r="D66" s="39">
        <f>SUM(D63:D65)</f>
        <v>47030</v>
      </c>
      <c r="E66" s="65">
        <f>SUM(E63:E65)</f>
        <v>155460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TRUNC(10809,-1)</f>
        <v>10800</v>
      </c>
      <c r="E69" s="62">
        <f t="shared" ref="E69:E94" si="2">TRUNC(+D69*3.3058,-1)</f>
        <v>35700</v>
      </c>
    </row>
    <row r="70" spans="1:7" ht="16.5" customHeight="1" x14ac:dyDescent="0.3">
      <c r="A70" s="2">
        <v>2</v>
      </c>
      <c r="C70" s="38" t="s">
        <v>31</v>
      </c>
      <c r="D70" s="42">
        <f>TRUNC(833,-1)</f>
        <v>830</v>
      </c>
      <c r="E70" s="63">
        <f t="shared" si="2"/>
        <v>2740</v>
      </c>
    </row>
    <row r="71" spans="1:7" x14ac:dyDescent="0.3">
      <c r="A71" s="2">
        <v>3</v>
      </c>
      <c r="C71" s="38" t="s">
        <v>32</v>
      </c>
      <c r="D71" s="42">
        <f>TRUNC(10983,-1)</f>
        <v>10980</v>
      </c>
      <c r="E71" s="63">
        <f t="shared" si="2"/>
        <v>36290</v>
      </c>
    </row>
    <row r="72" spans="1:7" x14ac:dyDescent="0.3">
      <c r="A72" s="2">
        <v>4</v>
      </c>
      <c r="C72" s="38" t="s">
        <v>33</v>
      </c>
      <c r="D72" s="42">
        <f>TRUNC(11766,-1)</f>
        <v>11760</v>
      </c>
      <c r="E72" s="63">
        <f t="shared" si="2"/>
        <v>38870</v>
      </c>
    </row>
    <row r="73" spans="1:7" x14ac:dyDescent="0.3">
      <c r="A73" s="2">
        <v>5</v>
      </c>
      <c r="C73" s="38" t="s">
        <v>34</v>
      </c>
      <c r="D73" s="42">
        <f>TRUNC(10669,-1)</f>
        <v>10660</v>
      </c>
      <c r="E73" s="63">
        <f t="shared" si="2"/>
        <v>35230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TRUNC(274,-1)</f>
        <v>270</v>
      </c>
      <c r="E75" s="63">
        <f t="shared" si="2"/>
        <v>890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TRUNC(11435,-1)</f>
        <v>11430</v>
      </c>
      <c r="E89" s="63">
        <f t="shared" si="2"/>
        <v>37780</v>
      </c>
    </row>
    <row r="90" spans="1:7" x14ac:dyDescent="0.3">
      <c r="A90" s="2">
        <v>22</v>
      </c>
      <c r="C90" s="38" t="s">
        <v>36</v>
      </c>
      <c r="D90" s="42">
        <f>TRUNC(3312,-1)</f>
        <v>3310</v>
      </c>
      <c r="E90" s="63">
        <f t="shared" si="2"/>
        <v>10940</v>
      </c>
    </row>
    <row r="91" spans="1:7" x14ac:dyDescent="0.3">
      <c r="A91" s="2">
        <v>23</v>
      </c>
      <c r="C91" s="38" t="s">
        <v>37</v>
      </c>
      <c r="D91" s="42">
        <f>TRUNC(5019,-1)</f>
        <v>5010</v>
      </c>
      <c r="E91" s="63">
        <f t="shared" si="2"/>
        <v>16560</v>
      </c>
    </row>
    <row r="92" spans="1:7" x14ac:dyDescent="0.3">
      <c r="A92" s="2">
        <v>24</v>
      </c>
      <c r="C92" s="38" t="s">
        <v>38</v>
      </c>
      <c r="D92" s="42">
        <f>TRUNC(5335,-1)</f>
        <v>5330</v>
      </c>
      <c r="E92" s="63">
        <f t="shared" si="2"/>
        <v>17610</v>
      </c>
    </row>
    <row r="93" spans="1:7" x14ac:dyDescent="0.3">
      <c r="A93" s="2">
        <v>25</v>
      </c>
      <c r="C93" s="38" t="s">
        <v>148</v>
      </c>
      <c r="D93" s="42">
        <f>TRUNC(72089,-1)</f>
        <v>72080</v>
      </c>
      <c r="E93" s="63">
        <f t="shared" si="2"/>
        <v>238280</v>
      </c>
    </row>
    <row r="94" spans="1:7" ht="17.25" thickBot="1" x14ac:dyDescent="0.35">
      <c r="A94" s="2">
        <v>26</v>
      </c>
      <c r="C94" s="38" t="s">
        <v>47</v>
      </c>
      <c r="D94" s="43">
        <f>TRUNC(26707+4535,-1)</f>
        <v>31240</v>
      </c>
      <c r="E94" s="64">
        <f t="shared" si="2"/>
        <v>103270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173700</v>
      </c>
      <c r="E95" s="39">
        <f>SUM(E69:E94)</f>
        <v>574160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TRUNC(14562,-1)</f>
        <v>14560</v>
      </c>
      <c r="E98" s="62">
        <f t="shared" ref="E98:E118" si="3">TRUNC(+D98*3.3058,-1)</f>
        <v>48130</v>
      </c>
    </row>
    <row r="99" spans="1:7" x14ac:dyDescent="0.3">
      <c r="A99" s="2">
        <v>2</v>
      </c>
      <c r="C99" s="38" t="s">
        <v>40</v>
      </c>
      <c r="D99" s="42">
        <f>TRUNC(4747,-1)</f>
        <v>4740</v>
      </c>
      <c r="E99" s="63">
        <f t="shared" si="3"/>
        <v>15660</v>
      </c>
    </row>
    <row r="100" spans="1:7" x14ac:dyDescent="0.3">
      <c r="A100" s="2">
        <v>3</v>
      </c>
      <c r="C100" s="38" t="s">
        <v>41</v>
      </c>
      <c r="D100" s="42">
        <f>TRUNC(38151,-1)</f>
        <v>38150</v>
      </c>
      <c r="E100" s="63">
        <f t="shared" si="3"/>
        <v>126110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TRUNC(12615,-1)</f>
        <v>12610</v>
      </c>
      <c r="E102" s="63">
        <f t="shared" si="3"/>
        <v>41680</v>
      </c>
    </row>
    <row r="103" spans="1:7" x14ac:dyDescent="0.3">
      <c r="A103" s="2">
        <v>6</v>
      </c>
      <c r="C103" s="38" t="s">
        <v>44</v>
      </c>
      <c r="D103" s="42">
        <f>TRUNC(5726,-1)</f>
        <v>5720</v>
      </c>
      <c r="E103" s="63">
        <f t="shared" si="3"/>
        <v>18900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TRUNC(3394,-1)</f>
        <v>3390</v>
      </c>
      <c r="E105" s="63">
        <f t="shared" si="3"/>
        <v>11200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TRUNC(2545,-1)</f>
        <v>2540</v>
      </c>
      <c r="E114" s="63">
        <f t="shared" si="3"/>
        <v>8390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TRUNC(70904,-1)</f>
        <v>70900</v>
      </c>
      <c r="E117" s="63">
        <f t="shared" si="3"/>
        <v>234380</v>
      </c>
    </row>
    <row r="118" spans="1:7" ht="17.25" thickBot="1" x14ac:dyDescent="0.35">
      <c r="A118" s="2">
        <v>21</v>
      </c>
      <c r="C118" s="38" t="s">
        <v>47</v>
      </c>
      <c r="D118" s="43">
        <f>TRUNC(1242,-1)</f>
        <v>1240</v>
      </c>
      <c r="E118" s="64">
        <f t="shared" si="3"/>
        <v>4090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153850</v>
      </c>
      <c r="E119" s="39">
        <f>SUM(E98:E118)</f>
        <v>508540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TRUNC(5488,-1)</f>
        <v>5480</v>
      </c>
      <c r="E125" s="63">
        <f t="shared" si="4"/>
        <v>18110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TRUNC(14246,-1)</f>
        <v>14240</v>
      </c>
      <c r="E130" s="63">
        <f t="shared" si="4"/>
        <v>47070</v>
      </c>
    </row>
    <row r="131" spans="1:7" x14ac:dyDescent="0.3">
      <c r="A131" s="2">
        <v>10</v>
      </c>
      <c r="C131" s="38" t="s">
        <v>148</v>
      </c>
      <c r="D131" s="42">
        <f>TRUNC(10067,-1)</f>
        <v>10060</v>
      </c>
      <c r="E131" s="63">
        <f t="shared" si="4"/>
        <v>33250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29780</v>
      </c>
      <c r="E133" s="39">
        <f>SUM(E122:E132)</f>
        <v>98430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TRUNC(8839,-1)</f>
        <v>8830</v>
      </c>
      <c r="E137" s="63">
        <f t="shared" si="5"/>
        <v>29190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TRUNC(1929,-1)</f>
        <v>1920</v>
      </c>
      <c r="E139" s="63">
        <f t="shared" si="5"/>
        <v>6340</v>
      </c>
    </row>
    <row r="140" spans="1:7" x14ac:dyDescent="0.3">
      <c r="A140" s="2">
        <v>5</v>
      </c>
      <c r="C140" s="38" t="s">
        <v>57</v>
      </c>
      <c r="D140" s="42">
        <f>TRUNC(5164,-1)</f>
        <v>5160</v>
      </c>
      <c r="E140" s="63">
        <f t="shared" si="5"/>
        <v>17050</v>
      </c>
    </row>
    <row r="141" spans="1:7" x14ac:dyDescent="0.3">
      <c r="A141" s="2">
        <v>6</v>
      </c>
      <c r="C141" s="38" t="s">
        <v>59</v>
      </c>
      <c r="D141" s="42">
        <f>TRUNC(26232,-1)</f>
        <v>26230</v>
      </c>
      <c r="E141" s="63">
        <f t="shared" si="5"/>
        <v>86710</v>
      </c>
    </row>
    <row r="142" spans="1:7" x14ac:dyDescent="0.3">
      <c r="A142" s="2">
        <v>7</v>
      </c>
      <c r="C142" s="38" t="s">
        <v>58</v>
      </c>
      <c r="D142" s="42">
        <f>TRUNC(6487,-1)</f>
        <v>6480</v>
      </c>
      <c r="E142" s="63">
        <f t="shared" si="5"/>
        <v>21420</v>
      </c>
    </row>
    <row r="143" spans="1:7" x14ac:dyDescent="0.3">
      <c r="A143" s="2">
        <v>8</v>
      </c>
      <c r="C143" s="38" t="s">
        <v>62</v>
      </c>
      <c r="D143" s="42">
        <f>TRUNC(7636,-1)</f>
        <v>7630</v>
      </c>
      <c r="E143" s="63">
        <f t="shared" si="5"/>
        <v>25220</v>
      </c>
    </row>
    <row r="144" spans="1:7" x14ac:dyDescent="0.3">
      <c r="A144" s="2">
        <v>9</v>
      </c>
      <c r="C144" s="38" t="s">
        <v>63</v>
      </c>
      <c r="D144" s="42">
        <f>TRUNC(19687,-1)</f>
        <v>19680</v>
      </c>
      <c r="E144" s="63">
        <f t="shared" si="5"/>
        <v>65050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75930</v>
      </c>
      <c r="E146" s="39">
        <f>SUM(E136:E145)</f>
        <v>250980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TRUNC(8117+2580,-1)</f>
        <v>10690</v>
      </c>
      <c r="E149" s="62">
        <f>TRUNC(+D149*3.3058,-1)</f>
        <v>35330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TRUNC(900,-1)</f>
        <v>900</v>
      </c>
      <c r="E150" s="63">
        <f>TRUNC(+D150*3.3058,-1)</f>
        <v>2970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TRUNC(342+1081+2666,-1)</f>
        <v>4080</v>
      </c>
      <c r="E152" s="63">
        <f>TRUNC(+D152*3.3058,-1)</f>
        <v>13480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TRUNC(9564,-1)</f>
        <v>9560</v>
      </c>
      <c r="E153" s="64">
        <f>TRUNC(+D153*3.3058,-1)</f>
        <v>31600</v>
      </c>
    </row>
    <row r="154" spans="1:7" x14ac:dyDescent="0.3">
      <c r="A154" s="2">
        <v>6</v>
      </c>
      <c r="C154" s="27" t="s">
        <v>112</v>
      </c>
      <c r="D154" s="39">
        <f>SUM(D149:D153)</f>
        <v>25230</v>
      </c>
      <c r="E154" s="39">
        <f>SUM(E149:E153)</f>
        <v>83380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2020-12-08T04:29:10Z</dcterms:modified>
</cp:coreProperties>
</file>