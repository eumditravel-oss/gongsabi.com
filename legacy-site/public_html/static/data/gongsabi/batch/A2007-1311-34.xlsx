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5" i="4" l="1"/>
  <c r="D122" i="4" l="1"/>
  <c r="D123" i="4"/>
  <c r="D102" i="4"/>
  <c r="D100" i="4"/>
  <c r="D98" i="4"/>
  <c r="D92" i="4"/>
  <c r="D94" i="4"/>
  <c r="D69" i="4"/>
  <c r="D53" i="4"/>
  <c r="D52" i="4"/>
  <c r="D51" i="4"/>
  <c r="D50" i="4"/>
  <c r="D49" i="4"/>
  <c r="D48" i="4"/>
  <c r="D44" i="4"/>
  <c r="D45" i="4"/>
  <c r="D46" i="4"/>
  <c r="D43" i="4"/>
  <c r="D41" i="4"/>
  <c r="D40" i="4"/>
  <c r="D37" i="4"/>
  <c r="D58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46" i="4" l="1"/>
  <c r="E154" i="4"/>
  <c r="E133" i="4"/>
  <c r="E119" i="4"/>
  <c r="E95" i="4"/>
  <c r="E60" i="4"/>
  <c r="D161" i="4"/>
  <c r="D154" i="4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1" i="4"/>
  <c r="E31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<sst xmlns="http://schemas.openxmlformats.org/spreadsheetml/2006/main" count="385" uniqueCount="260">
  <si>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</si>
  <si>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</si>
  <si>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</si>
  <si>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</si>
  <si>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</si>
  <si>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</si>
  <si>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</si>
  <si>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</si>
  <si>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</si>
  <si>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</si>
  <si>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</si>
  <si>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</si>
  <si>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</si>
  <si>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</si>
  <si>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</si>
  <si>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</si>
  <si>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</si>
  <si>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</si>
  <si>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</si>
  <si>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</si>
  <si>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</si>
  <si>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</si>
  <si>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</si>
  <si>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</si>
  <si>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</si>
  <si>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</si>
  <si>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</si>
  <si>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</si>
  <si>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</si>
  <si>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</si>
  <si>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</si>
  <si>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</si>
  <si>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</si>
  <si>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</si>
  <si>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</si>
  <si>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</si>
  <si>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</si>
  <si>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</si>
  <si>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</si>
  <si>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</si>
  <si>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</si>
  <si>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</si>
  <si>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</si>
  <si>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</si>
  <si>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</si>
  <si>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</si>
  <si>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</si>
  <si>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</si>
  <si>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</si>
  <si>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</si>
  <si>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</si>
  <si>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</si>
  <si>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</si>
  <si>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</si>
  <si>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</si>
  <si>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</si>
  <si>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</si>
  <si>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</si>
  <si>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</si>
  <si>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</si>
  <si>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</si>
  <si>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</si>
  <si>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</si>
  <si>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</si>
  <si>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</si>
  <si>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</si>
  <si>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</si>
  <si>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</si>
  <si>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</si>
  <si>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</si>
  <si>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</si>
  <si>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</si>
  <si>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</si>
  <si>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</si>
  <si>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</si>
  <si>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</si>
  <si>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</si>
  <si>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</si>
  <si>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</si>
  <si>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</si>
  <si>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</si>
  <si>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</si>
  <si>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</si>
  <si>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</si>
  <si>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</si>
  <si>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</si>
  <si>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</si>
  <si>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</si>
  <si>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</si>
  <si>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</si>
  <si>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</si>
  <si>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</si>
  <si>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</si>
  <si>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</si>
  <si>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</si>
  <si>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</si>
  <si>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</si>
  <si>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</si>
  <si>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</si>
  <si>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</si>
  <si>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</si>
  <si>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</si>
  <si>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</si>
  <si>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</si>
  <si>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</si>
  <si>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</si>
  <si>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</si>
  <si>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</si>
  <si>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</si>
  <si>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</si>
  <si>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</si>
  <si>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</si>
  <si>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</si>
  <si>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</si>
  <si>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</si>
  <si>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</si>
  <si>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</si>
  <si>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</si>
  <si>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</si>
  <si>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</si>
  <si>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</si>
  <si>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</si>
  <si>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</si>
  <si>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</si>
  <si>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</si>
  <si>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</si>
  <si>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</si>
  <si>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</si>
  <si>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</si>
  <si>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</si>
  <si>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</si>
  <si>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</si>
  <si>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</si>
  <si>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</si>
  <si>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</si>
  <si>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</si>
  <si>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</si>
  <si>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</si>
  <si>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</si>
  <si>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</si>
  <si>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</si>
  <si>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</si>
  <si>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</si>
  <si>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</si>
  <si>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</si>
  <si>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</si>
  <si>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</si>
  <si>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</si>
  <si>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</si>
  <si>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</si>
  <si>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</si>
  <si>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</si>
  <si>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</si>
  <si>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</si>
  <si>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</si>
  <si>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</si>
  <si>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</si>
  <si>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</si>
  <si>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</si>
  <si>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</si>
  <si>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</si>
  <si>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</si>
  <si>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</si>
  <si>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</si>
  <si>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</si>
  <si>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</si>
  <si>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</si>
  <si>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</si>
  <si>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</si>
  <si>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</si>
  <si>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</si>
  <si>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</si>
  <si>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</si>
  <si>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</si>
  <si>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</si>
  <si>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</si>
  <si>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</si>
  <si>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</si>
  <si>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</si>
  <si>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</si>
  <si>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</si>
  <si>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</si>
  <si>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</si>
  <si>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</si>
  <si>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</si>
  <si>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</si>
  <si>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</si>
  <si>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</si>
  <si>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</si>
  <si>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</si>
  <si>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</si>
  <si>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</si>
  <si>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</si>
  <si>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</si>
  <si>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</si>
  <si>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</si>
  <si>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</si>
  <si>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</si>
  <si>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</si>
  <si>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</si>
  <si>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</si>
  <si>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</si>
  <si>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</si>
  <si>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</si>
  <si>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</si>
  <si>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</si>
  <si>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</si>
  <si>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</si>
  <si>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</si>
  <si>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</si>
  <si>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</si>
  <si>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</si>
  <si>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</si>
  <si>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</si>
  <si>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</si>
  <si>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</si>
  <si>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</si>
  <si>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</si>
  <si>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</si>
  <si>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</si>
  <si>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</si>
  <si>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</si>
  <si>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</si>
  <si>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</si>
  <si>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</si>
  <si>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</si>
  <si>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</si>
  <si>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</si>
  <si>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</si>
  <si>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</si>
  <si>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</si>
  <si>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</si>
  <si>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</si>
  <si>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</si>
  <si>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</si>
  <si>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</si>
  <si>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</si>
  <si>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</si>
  <si>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</si>
  <si>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</si>
  <si>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</si>
  <si>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</si>
  <si>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</si>
  <si>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</si>
  <si>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</si>
  <si>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</si>
  <si>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</si>
  <si>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</si>
  <si>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토및지정공사,부대공사,조경공사,골재비,작업부산물,운반비,정화조</t>
    <phoneticPr fontId="2" type="noConversion"/>
  </si>
  <si>
    <t>위생기구설치,위생설비공사</t>
    <phoneticPr fontId="2" type="noConversion"/>
  </si>
  <si>
    <t>난방배관공사</t>
    <phoneticPr fontId="2" type="noConversion"/>
  </si>
  <si>
    <t>전화설비공사</t>
  </si>
  <si>
    <t>00지구대 개축공사</t>
    <phoneticPr fontId="2" type="noConversion"/>
  </si>
  <si>
    <t>업무</t>
  </si>
  <si>
    <t>서울</t>
  </si>
  <si>
    <t>건축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</si>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</sst>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252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253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379</v>
      </c>
      <c r="D7" s="36">
        <f>+C7/3.3058</f>
        <v>114.6469840885716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186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258</v>
      </c>
    </row>
    <row r="19" spans="1:5" x14ac:dyDescent="0.3">
      <c r="A19" s="2">
        <v>9</v>
      </c>
      <c r="B19" s="2" t="s">
        <v>259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18750</v>
      </c>
      <c r="E24" s="58">
        <f t="shared" ref="E24:E33" si="0">TRUNC(+D24*3.3058,-1)</f>
        <v>61980</v>
      </c>
    </row>
    <row r="25" spans="1:5" x14ac:dyDescent="0.3">
      <c r="B25" s="2">
        <v>2</v>
      </c>
      <c r="C25" s="35" t="s">
        <v>111</v>
      </c>
      <c r="D25" s="45">
        <f>+D60</f>
        <v>593550</v>
      </c>
      <c r="E25" s="59">
        <f t="shared" si="0"/>
        <v>1962150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81390</v>
      </c>
      <c r="E27" s="59">
        <f t="shared" si="0"/>
        <v>269050</v>
      </c>
    </row>
    <row r="28" spans="1:5" x14ac:dyDescent="0.3">
      <c r="B28" s="2">
        <v>5</v>
      </c>
      <c r="C28" s="35" t="s">
        <v>97</v>
      </c>
      <c r="D28" s="45">
        <f>+D119</f>
        <v>43410</v>
      </c>
      <c r="E28" s="59">
        <f t="shared" si="0"/>
        <v>143500</v>
      </c>
    </row>
    <row r="29" spans="1:5" x14ac:dyDescent="0.3">
      <c r="B29" s="2">
        <v>6</v>
      </c>
      <c r="C29" s="35" t="s">
        <v>98</v>
      </c>
      <c r="D29" s="45">
        <f>+D133</f>
        <v>29900</v>
      </c>
      <c r="E29" s="59">
        <f t="shared" si="0"/>
        <v>98840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59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210920</v>
      </c>
      <c r="E33" s="60">
        <f t="shared" si="0"/>
        <v>697250</v>
      </c>
    </row>
    <row r="34" spans="1:7" x14ac:dyDescent="0.3">
      <c r="C34" s="35" t="s">
        <v>112</v>
      </c>
      <c r="D34" s="44">
        <f>SUM(D24:D33)</f>
        <v>977920</v>
      </c>
      <c r="E34" s="44">
        <f>SUM(E24:E33)</f>
        <v>3232770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TRUNC(18755.5420605164,-1)</f>
        <v>18750</v>
      </c>
      <c r="E37" s="61">
        <f>TRUNC(+D37*3.3058,-1)</f>
        <v>61980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255</v>
      </c>
      <c r="C39" s="56" t="s">
        <v>238</v>
      </c>
      <c r="D39" s="57" t="s">
        <v>237</v>
      </c>
      <c r="E39" s="57" t="s">
        <v>256</v>
      </c>
      <c r="G39" s="55"/>
    </row>
    <row r="40" spans="1:7" x14ac:dyDescent="0.3">
      <c r="A40" s="2">
        <v>1</v>
      </c>
      <c r="C40" s="38" t="s">
        <v>15</v>
      </c>
      <c r="D40" s="40">
        <f>TRUNC(39798.3524317474,-1)</f>
        <v>39790</v>
      </c>
      <c r="E40" s="62">
        <f t="shared" ref="E40:E59" si="1">TRUNC(+D40*3.3058,-1)</f>
        <v>131530</v>
      </c>
    </row>
    <row r="41" spans="1:7" x14ac:dyDescent="0.3">
      <c r="A41" s="2">
        <v>2</v>
      </c>
      <c r="C41" s="38" t="s">
        <v>13</v>
      </c>
      <c r="D41" s="42">
        <f>TRUNC(272243.317315309,-1)</f>
        <v>272240</v>
      </c>
      <c r="E41" s="63">
        <f t="shared" si="1"/>
        <v>899970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TRUNC(2182.11437925754,-1)</f>
        <v>2180</v>
      </c>
      <c r="E43" s="63">
        <f t="shared" si="1"/>
        <v>7200</v>
      </c>
    </row>
    <row r="44" spans="1:7" x14ac:dyDescent="0.3">
      <c r="A44" s="2">
        <v>5</v>
      </c>
      <c r="C44" s="38" t="s">
        <v>17</v>
      </c>
      <c r="D44" s="42">
        <f>TRUNC(18399.7993346359,-1)</f>
        <v>18390</v>
      </c>
      <c r="E44" s="63">
        <f t="shared" si="1"/>
        <v>60790</v>
      </c>
    </row>
    <row r="45" spans="1:7" x14ac:dyDescent="0.3">
      <c r="A45" s="2">
        <v>6</v>
      </c>
      <c r="C45" s="38" t="s">
        <v>18</v>
      </c>
      <c r="D45" s="42">
        <f>TRUNC(13301.4944288958,-1)</f>
        <v>13300</v>
      </c>
      <c r="E45" s="63">
        <f t="shared" si="1"/>
        <v>43960</v>
      </c>
    </row>
    <row r="46" spans="1:7" x14ac:dyDescent="0.3">
      <c r="A46" s="2">
        <v>7</v>
      </c>
      <c r="C46" s="38" t="s">
        <v>19</v>
      </c>
      <c r="D46" s="42">
        <f>TRUNC(35624.7716111316,-1)</f>
        <v>35620</v>
      </c>
      <c r="E46" s="63">
        <f t="shared" si="1"/>
        <v>117750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TRUNC(31740.9647779479,-1)</f>
        <v>31740</v>
      </c>
      <c r="E48" s="63">
        <f t="shared" si="1"/>
        <v>104920</v>
      </c>
    </row>
    <row r="49" spans="1:7" x14ac:dyDescent="0.3">
      <c r="A49" s="2">
        <v>10</v>
      </c>
      <c r="C49" s="38" t="s">
        <v>22</v>
      </c>
      <c r="D49" s="42">
        <f>TRUNC(17976.4587843903,-1)</f>
        <v>17970</v>
      </c>
      <c r="E49" s="63">
        <f t="shared" si="1"/>
        <v>59400</v>
      </c>
    </row>
    <row r="50" spans="1:7" x14ac:dyDescent="0.3">
      <c r="A50" s="2">
        <v>11</v>
      </c>
      <c r="C50" s="38" t="s">
        <v>155</v>
      </c>
      <c r="D50" s="42">
        <f>TRUNC(42853.7571949094,-1)</f>
        <v>42850</v>
      </c>
      <c r="E50" s="63">
        <f t="shared" si="1"/>
        <v>141650</v>
      </c>
    </row>
    <row r="51" spans="1:7" x14ac:dyDescent="0.3">
      <c r="A51" s="2">
        <v>12</v>
      </c>
      <c r="C51" s="38" t="s">
        <v>23</v>
      </c>
      <c r="D51" s="42">
        <f>TRUNC(7908.09790357501,-1)</f>
        <v>7900</v>
      </c>
      <c r="E51" s="63">
        <f t="shared" si="1"/>
        <v>26110</v>
      </c>
    </row>
    <row r="52" spans="1:7" x14ac:dyDescent="0.3">
      <c r="A52" s="2">
        <v>13</v>
      </c>
      <c r="C52" s="38" t="s">
        <v>24</v>
      </c>
      <c r="D52" s="42">
        <f>TRUNC(6032.63188467022,-1)</f>
        <v>6030</v>
      </c>
      <c r="E52" s="63">
        <f t="shared" si="1"/>
        <v>19930</v>
      </c>
    </row>
    <row r="53" spans="1:7" x14ac:dyDescent="0.3">
      <c r="A53" s="2">
        <v>14</v>
      </c>
      <c r="C53" s="38" t="s">
        <v>25</v>
      </c>
      <c r="D53" s="42">
        <f>TRUNC(63117.3390716587,-1)</f>
        <v>63110</v>
      </c>
      <c r="E53" s="63">
        <f t="shared" si="1"/>
        <v>208620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TRUNC(2949.26862755452,-1)</f>
        <v>2940</v>
      </c>
      <c r="E55" s="63">
        <f t="shared" si="1"/>
        <v>9710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TRUNC(11003.6832655648+5534.9395363574+669.607118339758+9636.90130432487-844.378729471405+2897.42831493901+10601.5287532344,-1)</f>
        <v>39490</v>
      </c>
      <c r="E58" s="63">
        <f t="shared" si="1"/>
        <v>130540</v>
      </c>
      <c r="F58" s="2" t="s">
        <v>248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593550</v>
      </c>
      <c r="E60" s="39">
        <f>SUM(E40:E59)</f>
        <v>1962080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TRUNC(17403.5116438718,-1)</f>
        <v>17400</v>
      </c>
      <c r="E69" s="62">
        <f t="shared" ref="E69:E94" si="2">TRUNC(+D69*3.3058,-1)</f>
        <v>57520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TRUNC(14679.4634841844+36193.6948830332,-1)</f>
        <v>50870</v>
      </c>
      <c r="E92" s="63">
        <f t="shared" si="2"/>
        <v>168160</v>
      </c>
      <c r="F92" s="2" t="s">
        <v>249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TRUNC(13122.458678777,-1)</f>
        <v>13120</v>
      </c>
      <c r="E94" s="64">
        <f t="shared" si="2"/>
        <v>43370</v>
      </c>
      <c r="F94" s="2" t="s">
        <v>250</v>
      </c>
    </row>
    <row r="95" spans="1:7" x14ac:dyDescent="0.3">
      <c r="A95" s="2">
        <v>27</v>
      </c>
      <c r="C95" s="27" t="s">
        <v>112</v>
      </c>
      <c r="D95" s="39">
        <f>SUM(D69:D94)</f>
        <v>81390</v>
      </c>
      <c r="E95" s="39">
        <f>SUM(E69:E94)</f>
        <v>269050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TRUNC(12367.3232296562,-1)</f>
        <v>12360</v>
      </c>
      <c r="E98" s="62">
        <f t="shared" ref="E98:E118" si="3">TRUNC(+D98*3.3058,-1)</f>
        <v>40850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TRUNC(22052.067381317,-1)</f>
        <v>22050</v>
      </c>
      <c r="E100" s="63">
        <f t="shared" si="3"/>
        <v>72890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TRUNC(9008.81871468554,-1)</f>
        <v>9000</v>
      </c>
      <c r="E102" s="63">
        <f t="shared" si="3"/>
        <v>29750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43410</v>
      </c>
      <c r="E119" s="39">
        <f>SUM(E98:E118)</f>
        <v>143490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TRUNC(9278.13275598036,-1)</f>
        <v>9270</v>
      </c>
      <c r="E122" s="62">
        <f t="shared" ref="E122:E132" si="4">TRUNC(+D122*3.3058,-1)</f>
        <v>30640</v>
      </c>
    </row>
    <row r="123" spans="1:7" x14ac:dyDescent="0.3">
      <c r="A123" s="2">
        <v>2</v>
      </c>
      <c r="C123" s="38" t="s">
        <v>124</v>
      </c>
      <c r="D123" s="42">
        <f>TRUNC(20639.4888313882,-1)</f>
        <v>20630</v>
      </c>
      <c r="E123" s="63">
        <f t="shared" si="4"/>
        <v>68190</v>
      </c>
      <c r="F123" s="2" t="s">
        <v>251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v>0</v>
      </c>
      <c r="E132" s="64">
        <f t="shared" si="4"/>
        <v>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29900</v>
      </c>
      <c r="E133" s="39">
        <f>SUM(E122:E132)</f>
        <v>98830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2020-12-07T09:18:57Z</dcterms:modified>
</cp:coreProperties>
</file>