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9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3" i="4"/>
  <c r="D152" i="4"/>
  <c r="D151" i="4"/>
  <c r="D150" i="4"/>
  <c r="D149" i="4"/>
  <c r="D144" i="4"/>
  <c r="D143" i="4"/>
  <c r="D142" i="4"/>
  <c r="D141" i="4"/>
  <c r="D140" i="4"/>
  <c r="D139" i="4"/>
  <c r="D137" i="4"/>
  <c r="D131" i="4"/>
  <c r="D130" i="4"/>
  <c r="D128" i="4"/>
  <c r="D125" i="4"/>
  <c r="D118" i="4"/>
  <c r="D117" i="4"/>
  <c r="D116" i="4"/>
  <c r="D114" i="4"/>
  <c r="D105" i="4"/>
  <c r="D104" i="4"/>
  <c r="D102" i="4"/>
  <c r="D100" i="4"/>
  <c r="D99" i="4"/>
  <c r="D98" i="4"/>
  <c r="D94" i="4"/>
  <c r="D93" i="4"/>
  <c r="D92" i="4"/>
  <c r="D89" i="4"/>
  <c r="D84" i="4"/>
  <c r="D73" i="4"/>
  <c r="D71" i="4"/>
  <c r="D70" i="4"/>
  <c r="D69" i="4"/>
  <c r="D65" i="4"/>
  <c r="D63" i="4"/>
  <c r="D59" i="4"/>
  <c r="D58" i="4"/>
  <c r="D53" i="4"/>
  <c r="D52" i="4"/>
  <c r="D50" i="4"/>
  <c r="D49" i="4"/>
  <c r="D48" i="4"/>
  <c r="D46" i="4"/>
  <c r="D45" i="4"/>
  <c r="D44" i="4"/>
  <c r="D41" i="4"/>
  <c r="D40" i="4"/>
  <c r="D132" i="4" l="1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6" i="4"/>
  <c r="E60" i="4"/>
  <c r="D161" i="4"/>
  <c r="D32" i="4" s="1"/>
  <c r="E32" i="4" s="1"/>
  <c r="D154" i="4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31" i="4"/>
  <c r="E31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l="1"/>
  <c r="D34" i="4"/>
</calcChain>
</file>

<file path=xl/sharedStrings.xml><?xml version="1.0" encoding="utf-8"?>
<sst xmlns="http://schemas.openxmlformats.org/spreadsheetml/2006/main" count="395" uniqueCount="270">
  <si>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</si>
  <si>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</si>
  <si>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</si>
  <si>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</si>
  <si>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</si>
  <si>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</si>
  <si>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</si>
  <si>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</si>
  <si>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</si>
  <si>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</si>
  <si>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</si>
  <si>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</si>
  <si>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</si>
  <si>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</si>
  <si>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</si>
  <si>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</si>
  <si>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</si>
  <si>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</si>
  <si>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</si>
  <si>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</si>
  <si>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</si>
  <si>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</si>
  <si>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</si>
  <si>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</si>
  <si>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</si>
  <si>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</si>
  <si>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</si>
  <si>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</si>
  <si>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</si>
  <si>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</si>
  <si>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</si>
  <si>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</si>
  <si>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</si>
  <si>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</si>
  <si>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</si>
  <si>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</si>
  <si>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</si>
  <si>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</si>
  <si>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</si>
  <si>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</si>
  <si>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</si>
  <si>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</si>
  <si>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</si>
  <si>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</si>
  <si>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</si>
  <si>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</si>
  <si>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</si>
  <si>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</si>
  <si>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</si>
  <si>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</si>
  <si>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</si>
  <si>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</si>
  <si>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</si>
  <si>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</si>
  <si>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</si>
  <si>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</si>
  <si>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</si>
  <si>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</si>
  <si>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</si>
  <si>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</si>
  <si>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</si>
  <si>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</si>
  <si>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</si>
  <si>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</si>
  <si>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</si>
  <si>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</si>
  <si>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</si>
  <si>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</si>
  <si>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</si>
  <si>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</si>
  <si>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</si>
  <si>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</si>
  <si>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</si>
  <si>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</si>
  <si>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</si>
  <si>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</si>
  <si>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</si>
  <si>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</si>
  <si>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</si>
  <si>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</si>
  <si>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</si>
  <si>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</si>
  <si>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</si>
  <si>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</si>
  <si>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</si>
  <si>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</si>
  <si>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</si>
  <si>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</si>
  <si>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</si>
  <si>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</si>
  <si>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</si>
  <si>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</si>
  <si>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</si>
  <si>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</si>
  <si>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</si>
  <si>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</si>
  <si>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</si>
  <si>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</si>
  <si>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</si>
  <si>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</si>
  <si>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</si>
  <si>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</si>
  <si>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</si>
  <si>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</si>
  <si>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</si>
  <si>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</si>
  <si>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</si>
  <si>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</si>
  <si>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</si>
  <si>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</si>
  <si>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</si>
  <si>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</si>
  <si>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</si>
  <si>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</si>
  <si>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</si>
  <si>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</si>
  <si>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</si>
  <si>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</si>
  <si>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</si>
  <si>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</si>
  <si>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</si>
  <si>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</si>
  <si>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</si>
  <si>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</si>
  <si>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</si>
  <si>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</si>
  <si>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</si>
  <si>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</si>
  <si>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</si>
  <si>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</si>
  <si>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</si>
  <si>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</si>
  <si>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</si>
  <si>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</si>
  <si>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</si>
  <si>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</si>
  <si>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</si>
  <si>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</si>
  <si>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</si>
  <si>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</si>
  <si>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</si>
  <si>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</si>
  <si>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</si>
  <si>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</si>
  <si>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</si>
  <si>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</si>
  <si>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</si>
  <si>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</si>
  <si>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</si>
  <si>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</si>
  <si>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</si>
  <si>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</si>
  <si>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</si>
  <si>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</si>
  <si>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</si>
  <si>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</si>
  <si>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</si>
  <si>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</si>
  <si>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</si>
  <si>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</si>
  <si>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</si>
  <si>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</si>
  <si>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</si>
  <si>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</si>
  <si>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</si>
  <si>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</si>
  <si>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</si>
  <si>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</si>
  <si>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</si>
  <si>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</si>
  <si>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</si>
  <si>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</si>
  <si>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</si>
  <si>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</si>
  <si>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</si>
  <si>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</si>
  <si>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</si>
  <si>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</si>
  <si>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</si>
  <si>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</si>
  <si>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</si>
  <si>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</si>
  <si>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</si>
  <si>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</si>
  <si>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</si>
  <si>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</si>
  <si>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</si>
  <si>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</si>
  <si>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</si>
  <si>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</si>
  <si>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</si>
  <si>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</si>
  <si>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</si>
  <si>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</si>
  <si>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</si>
  <si>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</si>
  <si>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</si>
  <si>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</si>
  <si>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</si>
  <si>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</si>
  <si>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</si>
  <si>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</si>
  <si>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</si>
  <si>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</si>
  <si>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</si>
  <si>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</si>
  <si>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</si>
  <si>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</si>
  <si>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</si>
  <si>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</si>
  <si>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</si>
  <si>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</si>
  <si>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</si>
  <si>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</si>
  <si>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</si>
  <si>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</si>
  <si>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</si>
  <si>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</si>
  <si>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</si>
  <si>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</si>
  <si>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</si>
  <si>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</si>
  <si>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</si>
  <si>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</si>
  <si>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</si>
  <si>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</si>
  <si>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</si>
  <si>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</si>
  <si>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</si>
  <si>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</si>
  <si>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</si>
  <si>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</si>
  <si>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</si>
  <si>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</si>
  <si>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</si>
  <si>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경기도</t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</si>
  <si>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</si>
  <si>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</si>
  <si>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</si>
  <si>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</si>
  <si>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</si>
  <si>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</si>
  <si>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</si>
  <si>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</si>
  <si>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</si>
  <si>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</si>
  <si>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</si>
  <si>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</si>
  <si>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</si>
  <si>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선부동 공공임대주택 건설사업 건설사업 건축공사</t>
    <phoneticPr fontId="2" type="noConversion"/>
  </si>
  <si>
    <t>아파트</t>
  </si>
  <si>
    <t>(지붕및홈통공사 포함)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</si>
  <si>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</si>
  <si>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</si>
  <si>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기초공사,해체및철거공사,골재비및운반비,작업부산물,품질시험비,기타공사</t>
    <phoneticPr fontId="2" type="noConversion"/>
  </si>
  <si>
    <t>공조배관공사,난방배관공사,기타공사</t>
    <phoneticPr fontId="2" type="noConversion"/>
  </si>
  <si>
    <t>바닥난방공사</t>
    <phoneticPr fontId="2" type="noConversion"/>
  </si>
  <si>
    <t>전기인입 및 수변전 설비공사</t>
    <phoneticPr fontId="2" type="noConversion"/>
  </si>
  <si>
    <t xml:space="preserve">기타공사 </t>
    <phoneticPr fontId="2" type="noConversion"/>
  </si>
  <si>
    <t>CCTV설비공사,기타공사</t>
    <phoneticPr fontId="2" type="noConversion"/>
  </si>
  <si>
    <t>옥외소화배관공사,펌프실배관공사,무선통신보조설비공사,기타공사</t>
    <phoneticPr fontId="2" type="noConversion"/>
  </si>
  <si>
    <t>우수공사,오수공사</t>
    <phoneticPr fontId="2" type="noConversion"/>
  </si>
  <si>
    <t>상수도공사,사급자재비,운반비,기타공사</t>
    <phoneticPr fontId="2" type="noConversion"/>
  </si>
  <si>
    <t>포장공사</t>
    <phoneticPr fontId="2" type="noConversion"/>
  </si>
  <si>
    <t>조경시설물</t>
    <phoneticPr fontId="2" type="noConversion"/>
  </si>
  <si>
    <t>항 목</t>
    <phoneticPr fontId="2" type="noConversion"/>
  </si>
  <si>
    <t>원/ m2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</si>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</sst>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267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249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250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237</v>
      </c>
    </row>
    <row r="7" spans="1:4" ht="17.25" thickBot="1" x14ac:dyDescent="0.35">
      <c r="C7" s="37">
        <v>13887.35</v>
      </c>
      <c r="D7" s="36">
        <f>+C7/3.3058</f>
        <v>4200.9044709298805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235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209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268</v>
      </c>
    </row>
    <row r="19" spans="1:5" x14ac:dyDescent="0.3">
      <c r="A19" s="2">
        <v>9</v>
      </c>
      <c r="B19" s="2" t="s">
        <v>269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719170</v>
      </c>
      <c r="E25" s="59">
        <f t="shared" si="0"/>
        <v>2377430</v>
      </c>
    </row>
    <row r="26" spans="1:5" x14ac:dyDescent="0.3">
      <c r="B26" s="2">
        <v>3</v>
      </c>
      <c r="C26" s="35" t="s">
        <v>95</v>
      </c>
      <c r="D26" s="45">
        <f>+D66</f>
        <v>35050</v>
      </c>
      <c r="E26" s="59">
        <f t="shared" si="0"/>
        <v>115860</v>
      </c>
    </row>
    <row r="27" spans="1:5" x14ac:dyDescent="0.3">
      <c r="B27" s="2">
        <v>4</v>
      </c>
      <c r="C27" s="35" t="s">
        <v>96</v>
      </c>
      <c r="D27" s="45">
        <f>+D95</f>
        <v>178330</v>
      </c>
      <c r="E27" s="59">
        <f t="shared" si="0"/>
        <v>589520</v>
      </c>
    </row>
    <row r="28" spans="1:5" x14ac:dyDescent="0.3">
      <c r="B28" s="2">
        <v>5</v>
      </c>
      <c r="C28" s="35" t="s">
        <v>97</v>
      </c>
      <c r="D28" s="45">
        <f>+D119</f>
        <v>140840</v>
      </c>
      <c r="E28" s="59">
        <f t="shared" si="0"/>
        <v>465580</v>
      </c>
    </row>
    <row r="29" spans="1:5" x14ac:dyDescent="0.3">
      <c r="B29" s="2">
        <v>6</v>
      </c>
      <c r="C29" s="35" t="s">
        <v>98</v>
      </c>
      <c r="D29" s="45">
        <f>+D133</f>
        <v>104400</v>
      </c>
      <c r="E29" s="59">
        <f t="shared" si="0"/>
        <v>345120</v>
      </c>
    </row>
    <row r="30" spans="1:5" x14ac:dyDescent="0.3">
      <c r="B30" s="2">
        <v>7</v>
      </c>
      <c r="C30" s="35" t="s">
        <v>99</v>
      </c>
      <c r="D30" s="45">
        <f>+D146</f>
        <v>93370</v>
      </c>
      <c r="E30" s="59">
        <f t="shared" si="0"/>
        <v>308660</v>
      </c>
    </row>
    <row r="31" spans="1:5" x14ac:dyDescent="0.3">
      <c r="B31" s="2">
        <v>8</v>
      </c>
      <c r="C31" s="35" t="s">
        <v>100</v>
      </c>
      <c r="D31" s="45">
        <f>+D154</f>
        <v>25590</v>
      </c>
      <c r="E31" s="59">
        <f t="shared" si="0"/>
        <v>84590</v>
      </c>
    </row>
    <row r="32" spans="1:5" x14ac:dyDescent="0.3">
      <c r="B32" s="2">
        <v>9</v>
      </c>
      <c r="C32" s="35" t="s">
        <v>101</v>
      </c>
      <c r="D32" s="45">
        <f>+D161</f>
        <v>14590</v>
      </c>
      <c r="E32" s="59">
        <f t="shared" si="0"/>
        <v>48230</v>
      </c>
    </row>
    <row r="33" spans="1:7" x14ac:dyDescent="0.3">
      <c r="B33" s="2">
        <v>10</v>
      </c>
      <c r="C33" s="35" t="s">
        <v>154</v>
      </c>
      <c r="D33" s="53">
        <f>TRUNC(SUM(D24:D32)*0.275,-1)</f>
        <v>360610</v>
      </c>
      <c r="E33" s="60">
        <f t="shared" si="0"/>
        <v>1192100</v>
      </c>
    </row>
    <row r="34" spans="1:7" x14ac:dyDescent="0.3">
      <c r="C34" s="35" t="s">
        <v>112</v>
      </c>
      <c r="D34" s="44">
        <f>SUM(D24:D33)</f>
        <v>1671950</v>
      </c>
      <c r="E34" s="44">
        <f>SUM(E24:E33)</f>
        <v>5527090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265</v>
      </c>
      <c r="D39" s="57" t="s">
        <v>266</v>
      </c>
      <c r="E39" s="57" t="s">
        <v>153</v>
      </c>
      <c r="G39" s="55"/>
    </row>
    <row r="40" spans="1:7" x14ac:dyDescent="0.3">
      <c r="A40" s="2">
        <v>1</v>
      </c>
      <c r="C40" s="38" t="s">
        <v>15</v>
      </c>
      <c r="D40" s="40">
        <f>TRUNC(48433,-1)</f>
        <v>48430</v>
      </c>
      <c r="E40" s="62">
        <f t="shared" ref="E40:E59" si="1">TRUNC(+D40*3.3058,-1)</f>
        <v>160090</v>
      </c>
    </row>
    <row r="41" spans="1:7" x14ac:dyDescent="0.3">
      <c r="A41" s="2">
        <v>2</v>
      </c>
      <c r="C41" s="38" t="s">
        <v>13</v>
      </c>
      <c r="D41" s="42">
        <f>TRUNC(139347,-1)</f>
        <v>139340</v>
      </c>
      <c r="E41" s="63">
        <f t="shared" si="1"/>
        <v>460630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v>14320</v>
      </c>
      <c r="E43" s="63">
        <f t="shared" si="1"/>
        <v>47330</v>
      </c>
    </row>
    <row r="44" spans="1:7" x14ac:dyDescent="0.3">
      <c r="A44" s="2">
        <v>5</v>
      </c>
      <c r="C44" s="38" t="s">
        <v>17</v>
      </c>
      <c r="D44" s="42">
        <f>TRUNC(25136,-1)</f>
        <v>25130</v>
      </c>
      <c r="E44" s="63">
        <f t="shared" si="1"/>
        <v>83070</v>
      </c>
    </row>
    <row r="45" spans="1:7" x14ac:dyDescent="0.3">
      <c r="A45" s="2">
        <v>6</v>
      </c>
      <c r="C45" s="38" t="s">
        <v>18</v>
      </c>
      <c r="D45" s="42">
        <f>TRUNC(6433,-1)</f>
        <v>6430</v>
      </c>
      <c r="E45" s="63">
        <f t="shared" si="1"/>
        <v>21250</v>
      </c>
    </row>
    <row r="46" spans="1:7" x14ac:dyDescent="0.3">
      <c r="A46" s="2">
        <v>7</v>
      </c>
      <c r="C46" s="38" t="s">
        <v>19</v>
      </c>
      <c r="D46" s="42">
        <f>TRUNC(11073,-1)</f>
        <v>11070</v>
      </c>
      <c r="E46" s="63">
        <f t="shared" si="1"/>
        <v>36590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TRUNC(29838,-1)</f>
        <v>29830</v>
      </c>
      <c r="E48" s="63">
        <f t="shared" si="1"/>
        <v>98610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TRUNC(19234,-1)</f>
        <v>19230</v>
      </c>
      <c r="E49" s="63">
        <f t="shared" si="1"/>
        <v>63570</v>
      </c>
    </row>
    <row r="50" spans="1:7" x14ac:dyDescent="0.3">
      <c r="A50" s="2">
        <v>11</v>
      </c>
      <c r="C50" s="38" t="s">
        <v>155</v>
      </c>
      <c r="D50" s="42">
        <f>TRUNC(37374,-1)</f>
        <v>37370</v>
      </c>
      <c r="E50" s="63">
        <f t="shared" si="1"/>
        <v>123530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TRUNC(20989,-1)</f>
        <v>20980</v>
      </c>
      <c r="E52" s="63">
        <f t="shared" si="1"/>
        <v>69350</v>
      </c>
    </row>
    <row r="53" spans="1:7" x14ac:dyDescent="0.3">
      <c r="A53" s="2">
        <v>14</v>
      </c>
      <c r="C53" s="38" t="s">
        <v>25</v>
      </c>
      <c r="D53" s="42">
        <f>TRUNC(44536,-1)</f>
        <v>44530</v>
      </c>
      <c r="E53" s="63">
        <f t="shared" si="1"/>
        <v>147200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TRUNC(1227+1238+6450-583+1290+13937,-1)</f>
        <v>23550</v>
      </c>
      <c r="E58" s="63">
        <f t="shared" si="1"/>
        <v>77850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f>TRUNC(298963,-1)</f>
        <v>298960</v>
      </c>
      <c r="E59" s="64">
        <f t="shared" si="1"/>
        <v>988300</v>
      </c>
    </row>
    <row r="60" spans="1:7" x14ac:dyDescent="0.3">
      <c r="A60" s="2">
        <v>21</v>
      </c>
      <c r="C60" s="27" t="s">
        <v>112</v>
      </c>
      <c r="D60" s="39">
        <f>SUM(D40:D59)</f>
        <v>719170</v>
      </c>
      <c r="E60" s="39">
        <f>SUM(E40:E59)</f>
        <v>2377370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TRUNC(27942,-1)</f>
        <v>27940</v>
      </c>
      <c r="E63" s="62">
        <f>TRUNC(+D63*3.3058,-1)</f>
        <v>92360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TRUNC(7114,-1)</f>
        <v>7110</v>
      </c>
      <c r="E65" s="64">
        <f>TRUNC(+D65*3.3058,-1)</f>
        <v>23500</v>
      </c>
    </row>
    <row r="66" spans="1:7" x14ac:dyDescent="0.3">
      <c r="A66" s="2">
        <v>4</v>
      </c>
      <c r="C66" s="27" t="s">
        <v>112</v>
      </c>
      <c r="D66" s="39">
        <f>SUM(D63:D65)</f>
        <v>35050</v>
      </c>
      <c r="E66" s="65">
        <f>SUM(E63:E65)</f>
        <v>115860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TRUNC(7834,-1)</f>
        <v>7830</v>
      </c>
      <c r="E69" s="62">
        <f t="shared" ref="E69:E94" si="2">TRUNC(+D69*3.3058,-1)</f>
        <v>25880</v>
      </c>
    </row>
    <row r="70" spans="1:7" ht="16.5" customHeight="1" x14ac:dyDescent="0.3">
      <c r="A70" s="2">
        <v>2</v>
      </c>
      <c r="C70" s="38" t="s">
        <v>31</v>
      </c>
      <c r="D70" s="42">
        <f>TRUNC(1711,-1)</f>
        <v>1710</v>
      </c>
      <c r="E70" s="63">
        <f t="shared" si="2"/>
        <v>5650</v>
      </c>
    </row>
    <row r="71" spans="1:7" x14ac:dyDescent="0.3">
      <c r="A71" s="2">
        <v>3</v>
      </c>
      <c r="C71" s="38" t="s">
        <v>32</v>
      </c>
      <c r="D71" s="42">
        <f>TRUNC(3883,-1)</f>
        <v>3880</v>
      </c>
      <c r="E71" s="63">
        <f t="shared" si="2"/>
        <v>12820</v>
      </c>
    </row>
    <row r="72" spans="1:7" x14ac:dyDescent="0.3">
      <c r="A72" s="2">
        <v>4</v>
      </c>
      <c r="C72" s="38" t="s">
        <v>33</v>
      </c>
      <c r="D72" s="42">
        <v>15630</v>
      </c>
      <c r="E72" s="63">
        <f t="shared" si="2"/>
        <v>51660</v>
      </c>
    </row>
    <row r="73" spans="1:7" x14ac:dyDescent="0.3">
      <c r="A73" s="2">
        <v>5</v>
      </c>
      <c r="C73" s="38" t="s">
        <v>34</v>
      </c>
      <c r="D73" s="42">
        <f>TRUNC(37597,-1)</f>
        <v>37590</v>
      </c>
      <c r="E73" s="63">
        <f t="shared" si="2"/>
        <v>124260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f>TRUNC(485,-1)</f>
        <v>480</v>
      </c>
      <c r="E84" s="63">
        <f t="shared" si="2"/>
        <v>1580</v>
      </c>
      <c r="F84" s="2" t="s">
        <v>256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TRUNC(51715,-1)</f>
        <v>51710</v>
      </c>
      <c r="E89" s="63">
        <f t="shared" si="2"/>
        <v>170940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f>TRUNC(4591,-1)</f>
        <v>4590</v>
      </c>
      <c r="E92" s="63">
        <f t="shared" si="2"/>
        <v>15170</v>
      </c>
    </row>
    <row r="93" spans="1:7" x14ac:dyDescent="0.3">
      <c r="A93" s="2">
        <v>25</v>
      </c>
      <c r="C93" s="38" t="s">
        <v>148</v>
      </c>
      <c r="D93" s="42">
        <f>TRUNC(12021,-1)</f>
        <v>12020</v>
      </c>
      <c r="E93" s="63">
        <f t="shared" si="2"/>
        <v>39730</v>
      </c>
    </row>
    <row r="94" spans="1:7" ht="17.25" thickBot="1" x14ac:dyDescent="0.35">
      <c r="A94" s="2">
        <v>26</v>
      </c>
      <c r="C94" s="38" t="s">
        <v>47</v>
      </c>
      <c r="D94" s="43">
        <f>TRUNC(308+28155+14430,-1)</f>
        <v>42890</v>
      </c>
      <c r="E94" s="64">
        <f t="shared" si="2"/>
        <v>141780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178330</v>
      </c>
      <c r="E95" s="39">
        <f>SUM(E69:E94)</f>
        <v>589470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TRUNC(78105,-1)</f>
        <v>78100</v>
      </c>
      <c r="E98" s="62">
        <f t="shared" ref="E98:E118" si="3">TRUNC(+D98*3.3058,-1)</f>
        <v>258180</v>
      </c>
    </row>
    <row r="99" spans="1:7" x14ac:dyDescent="0.3">
      <c r="A99" s="2">
        <v>2</v>
      </c>
      <c r="C99" s="38" t="s">
        <v>40</v>
      </c>
      <c r="D99" s="42">
        <f>TRUNC(1363,-1)</f>
        <v>1360</v>
      </c>
      <c r="E99" s="63">
        <f t="shared" si="3"/>
        <v>4490</v>
      </c>
    </row>
    <row r="100" spans="1:7" x14ac:dyDescent="0.3">
      <c r="A100" s="2">
        <v>3</v>
      </c>
      <c r="C100" s="38" t="s">
        <v>41</v>
      </c>
      <c r="D100" s="42">
        <f>TRUNC(7141,-1)</f>
        <v>7140</v>
      </c>
      <c r="E100" s="63">
        <f t="shared" si="3"/>
        <v>23600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TRUNC(1383,-1)</f>
        <v>1380</v>
      </c>
      <c r="E102" s="63">
        <f t="shared" si="3"/>
        <v>4560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TRUNC(1485,-1)</f>
        <v>1480</v>
      </c>
      <c r="E104" s="63">
        <f t="shared" si="3"/>
        <v>4890</v>
      </c>
    </row>
    <row r="105" spans="1:7" x14ac:dyDescent="0.3">
      <c r="A105" s="2">
        <v>8</v>
      </c>
      <c r="C105" s="38" t="s">
        <v>46</v>
      </c>
      <c r="D105" s="42">
        <f>TRUNC(1863,-1)</f>
        <v>1860</v>
      </c>
      <c r="E105" s="63">
        <f t="shared" si="3"/>
        <v>6140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TRUNC(1113,-1)</f>
        <v>1110</v>
      </c>
      <c r="E114" s="63">
        <f t="shared" si="3"/>
        <v>3660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TRUNC(1634,-1)</f>
        <v>1630</v>
      </c>
      <c r="E116" s="63">
        <f t="shared" si="3"/>
        <v>5380</v>
      </c>
      <c r="F116" s="2" t="s">
        <v>257</v>
      </c>
    </row>
    <row r="117" spans="1:7" x14ac:dyDescent="0.3">
      <c r="A117" s="2">
        <v>20</v>
      </c>
      <c r="C117" s="38" t="s">
        <v>148</v>
      </c>
      <c r="D117" s="42">
        <f>TRUNC(45582,-1)</f>
        <v>45580</v>
      </c>
      <c r="E117" s="63">
        <f t="shared" si="3"/>
        <v>150670</v>
      </c>
    </row>
    <row r="118" spans="1:7" ht="17.25" thickBot="1" x14ac:dyDescent="0.35">
      <c r="A118" s="2">
        <v>21</v>
      </c>
      <c r="C118" s="38" t="s">
        <v>47</v>
      </c>
      <c r="D118" s="43">
        <f>TRUNC(1204,-1)</f>
        <v>1200</v>
      </c>
      <c r="E118" s="64">
        <f t="shared" si="3"/>
        <v>3960</v>
      </c>
      <c r="F118" s="2" t="s">
        <v>258</v>
      </c>
    </row>
    <row r="119" spans="1:7" x14ac:dyDescent="0.3">
      <c r="A119" s="2">
        <v>22</v>
      </c>
      <c r="C119" s="27" t="s">
        <v>112</v>
      </c>
      <c r="D119" s="39">
        <f>SUM(D98:D118)</f>
        <v>140840</v>
      </c>
      <c r="E119" s="39">
        <f>SUM(E98:E118)</f>
        <v>465530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4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TRUNC(4885,-1)</f>
        <v>4880</v>
      </c>
      <c r="E125" s="63">
        <f t="shared" si="4"/>
        <v>16130</v>
      </c>
    </row>
    <row r="126" spans="1:7" x14ac:dyDescent="0.3">
      <c r="A126" s="2">
        <v>5</v>
      </c>
      <c r="C126" s="38" t="s">
        <v>53</v>
      </c>
      <c r="D126" s="42">
        <v>1150</v>
      </c>
      <c r="E126" s="63">
        <f t="shared" si="4"/>
        <v>3800</v>
      </c>
    </row>
    <row r="127" spans="1:7" x14ac:dyDescent="0.3">
      <c r="A127" s="2">
        <v>6</v>
      </c>
      <c r="C127" s="38" t="s">
        <v>56</v>
      </c>
      <c r="D127" s="42">
        <v>5680</v>
      </c>
      <c r="E127" s="63">
        <f t="shared" si="4"/>
        <v>18770</v>
      </c>
    </row>
    <row r="128" spans="1:7" x14ac:dyDescent="0.3">
      <c r="A128" s="2">
        <v>7</v>
      </c>
      <c r="C128" s="38" t="s">
        <v>46</v>
      </c>
      <c r="D128" s="42">
        <f>TRUNC(2821,-1)</f>
        <v>2820</v>
      </c>
      <c r="E128" s="63">
        <f t="shared" si="4"/>
        <v>9320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TRUNC(31664,-1)</f>
        <v>31660</v>
      </c>
      <c r="E130" s="63">
        <f t="shared" si="4"/>
        <v>104660</v>
      </c>
    </row>
    <row r="131" spans="1:7" x14ac:dyDescent="0.3">
      <c r="A131" s="2">
        <v>10</v>
      </c>
      <c r="C131" s="38" t="s">
        <v>148</v>
      </c>
      <c r="D131" s="42">
        <f>TRUNC(57121,-1)</f>
        <v>57120</v>
      </c>
      <c r="E131" s="63">
        <f t="shared" si="4"/>
        <v>188820</v>
      </c>
    </row>
    <row r="132" spans="1:7" ht="18" thickBot="1" x14ac:dyDescent="0.35">
      <c r="A132" s="2">
        <v>11</v>
      </c>
      <c r="C132" s="38" t="s">
        <v>47</v>
      </c>
      <c r="D132" s="43">
        <f>815+275</f>
        <v>1090</v>
      </c>
      <c r="E132" s="64">
        <f t="shared" si="4"/>
        <v>3600</v>
      </c>
      <c r="F132" s="54" t="s">
        <v>259</v>
      </c>
    </row>
    <row r="133" spans="1:7" x14ac:dyDescent="0.3">
      <c r="A133" s="2">
        <v>12</v>
      </c>
      <c r="C133" s="27" t="s">
        <v>112</v>
      </c>
      <c r="D133" s="39">
        <f>SUM(D122:D132)</f>
        <v>104400</v>
      </c>
      <c r="E133" s="39">
        <f>SUM(E122:E132)</f>
        <v>345100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TRUNC(139+2617+1095+9538,-1)</f>
        <v>13380</v>
      </c>
      <c r="E137" s="63">
        <f t="shared" si="5"/>
        <v>44230</v>
      </c>
      <c r="F137" s="2" t="s">
        <v>260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TRUNC(1174,-1)</f>
        <v>1170</v>
      </c>
      <c r="E139" s="63">
        <f t="shared" si="5"/>
        <v>3860</v>
      </c>
    </row>
    <row r="140" spans="1:7" x14ac:dyDescent="0.3">
      <c r="A140" s="2">
        <v>5</v>
      </c>
      <c r="C140" s="38" t="s">
        <v>57</v>
      </c>
      <c r="D140" s="42">
        <f>TRUNC(432,-1)</f>
        <v>430</v>
      </c>
      <c r="E140" s="63">
        <f t="shared" si="5"/>
        <v>1420</v>
      </c>
    </row>
    <row r="141" spans="1:7" x14ac:dyDescent="0.3">
      <c r="A141" s="2">
        <v>6</v>
      </c>
      <c r="C141" s="38" t="s">
        <v>59</v>
      </c>
      <c r="D141" s="42">
        <f>TRUNC(7778,-1)</f>
        <v>7770</v>
      </c>
      <c r="E141" s="63">
        <f t="shared" si="5"/>
        <v>25680</v>
      </c>
    </row>
    <row r="142" spans="1:7" x14ac:dyDescent="0.3">
      <c r="A142" s="2">
        <v>7</v>
      </c>
      <c r="C142" s="38" t="s">
        <v>58</v>
      </c>
      <c r="D142" s="42">
        <f>TRUNC(34966,-1)</f>
        <v>34960</v>
      </c>
      <c r="E142" s="63">
        <f t="shared" si="5"/>
        <v>115570</v>
      </c>
    </row>
    <row r="143" spans="1:7" x14ac:dyDescent="0.3">
      <c r="A143" s="2">
        <v>8</v>
      </c>
      <c r="C143" s="38" t="s">
        <v>62</v>
      </c>
      <c r="D143" s="42">
        <f>TRUNC(2773,-1)</f>
        <v>2770</v>
      </c>
      <c r="E143" s="63">
        <f t="shared" si="5"/>
        <v>9150</v>
      </c>
    </row>
    <row r="144" spans="1:7" x14ac:dyDescent="0.3">
      <c r="A144" s="2">
        <v>9</v>
      </c>
      <c r="C144" s="38" t="s">
        <v>63</v>
      </c>
      <c r="D144" s="42">
        <f>TRUNC(26414,-1)</f>
        <v>26410</v>
      </c>
      <c r="E144" s="63">
        <f t="shared" si="5"/>
        <v>87300</v>
      </c>
    </row>
    <row r="145" spans="1:7" ht="17.25" thickBot="1" x14ac:dyDescent="0.35">
      <c r="A145" s="2">
        <v>10</v>
      </c>
      <c r="C145" s="38" t="s">
        <v>148</v>
      </c>
      <c r="D145" s="43">
        <v>6480</v>
      </c>
      <c r="E145" s="64">
        <f t="shared" si="5"/>
        <v>21420</v>
      </c>
    </row>
    <row r="146" spans="1:7" x14ac:dyDescent="0.3">
      <c r="A146" s="2">
        <v>11</v>
      </c>
      <c r="C146" s="27" t="s">
        <v>112</v>
      </c>
      <c r="D146" s="39">
        <f>SUM(D136:D145)</f>
        <v>93370</v>
      </c>
      <c r="E146" s="39">
        <f>SUM(E136:E145)</f>
        <v>308630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TRUNC(5222+873,-1)</f>
        <v>6090</v>
      </c>
      <c r="E149" s="62">
        <f>TRUNC(+D149*3.3058,-1)</f>
        <v>20130</v>
      </c>
      <c r="F149" s="2" t="s">
        <v>261</v>
      </c>
    </row>
    <row r="150" spans="1:7" x14ac:dyDescent="0.3">
      <c r="A150" s="2">
        <v>2</v>
      </c>
      <c r="C150" s="38" t="s">
        <v>49</v>
      </c>
      <c r="D150" s="42">
        <f>TRUNC(2081,-1)</f>
        <v>2080</v>
      </c>
      <c r="E150" s="63">
        <f>TRUNC(+D150*3.3058,-1)</f>
        <v>6870</v>
      </c>
    </row>
    <row r="151" spans="1:7" x14ac:dyDescent="0.3">
      <c r="A151" s="2">
        <v>3</v>
      </c>
      <c r="C151" s="38" t="s">
        <v>50</v>
      </c>
      <c r="D151" s="42">
        <f>TRUNC(4139,-1)</f>
        <v>4130</v>
      </c>
      <c r="E151" s="63">
        <f>TRUNC(+D151*3.3058,-1)</f>
        <v>13650</v>
      </c>
    </row>
    <row r="152" spans="1:7" x14ac:dyDescent="0.3">
      <c r="A152" s="2">
        <v>4</v>
      </c>
      <c r="C152" s="38" t="s">
        <v>47</v>
      </c>
      <c r="D152" s="42">
        <f>TRUNC(259+6716+118+745,-1)</f>
        <v>7830</v>
      </c>
      <c r="E152" s="63">
        <f>TRUNC(+D152*3.3058,-1)</f>
        <v>25880</v>
      </c>
      <c r="F152" s="2" t="s">
        <v>262</v>
      </c>
    </row>
    <row r="153" spans="1:7" ht="17.25" thickBot="1" x14ac:dyDescent="0.35">
      <c r="A153" s="2">
        <v>5</v>
      </c>
      <c r="C153" s="38" t="s">
        <v>148</v>
      </c>
      <c r="D153" s="43">
        <f>TRUNC(5467,-1)</f>
        <v>5460</v>
      </c>
      <c r="E153" s="64">
        <f>TRUNC(+D153*3.3058,-1)</f>
        <v>18040</v>
      </c>
    </row>
    <row r="154" spans="1:7" x14ac:dyDescent="0.3">
      <c r="A154" s="2">
        <v>6</v>
      </c>
      <c r="C154" s="27" t="s">
        <v>112</v>
      </c>
      <c r="D154" s="39">
        <f>SUM(D149:D153)</f>
        <v>25590</v>
      </c>
      <c r="E154" s="39">
        <f>SUM(E149:E153)</f>
        <v>84570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6970</v>
      </c>
      <c r="E157" s="62">
        <f>TRUNC(+D157*3.3058,-1)</f>
        <v>23040</v>
      </c>
    </row>
    <row r="158" spans="1:7" x14ac:dyDescent="0.3">
      <c r="A158" s="2">
        <v>2</v>
      </c>
      <c r="C158" s="38" t="s">
        <v>52</v>
      </c>
      <c r="D158" s="42">
        <f>TRUNC(5917,-1)</f>
        <v>5910</v>
      </c>
      <c r="E158" s="63">
        <f>TRUNC(+D158*3.3058,-1)</f>
        <v>19530</v>
      </c>
      <c r="F158" s="2" t="s">
        <v>264</v>
      </c>
    </row>
    <row r="159" spans="1:7" x14ac:dyDescent="0.3">
      <c r="A159" s="2">
        <v>3</v>
      </c>
      <c r="C159" s="38" t="s">
        <v>47</v>
      </c>
      <c r="D159" s="42">
        <f>TRUNC(1712,-1)</f>
        <v>1710</v>
      </c>
      <c r="E159" s="63">
        <f>TRUNC(+D159*3.3058,-1)</f>
        <v>5650</v>
      </c>
      <c r="F159" s="2" t="s">
        <v>263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14590</v>
      </c>
      <c r="E161" s="39">
        <f>SUM(E157:E160)</f>
        <v>48220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2020-12-08T04:24:38Z</dcterms:modified>
</cp:coreProperties>
</file>