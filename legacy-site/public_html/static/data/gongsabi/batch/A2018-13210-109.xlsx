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39" i="4"/>
  <c r="D137" i="4"/>
  <c r="D142" i="4"/>
  <c r="D140" i="4"/>
  <c r="D132" i="4"/>
  <c r="D128" i="4"/>
  <c r="D124" i="4"/>
  <c r="D125" i="4"/>
  <c r="D122" i="4"/>
  <c r="D130" i="4"/>
  <c r="D118" i="4"/>
  <c r="D105" i="4"/>
  <c r="D104" i="4"/>
  <c r="D102" i="4"/>
  <c r="D100" i="4"/>
  <c r="D99" i="4"/>
  <c r="D114" i="4"/>
  <c r="D98" i="4"/>
  <c r="D94" i="4"/>
  <c r="D92" i="4"/>
  <c r="D91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<sst xmlns="http://schemas.openxmlformats.org/spreadsheetml/2006/main" count="394" uniqueCount="269">
  <si>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</si>
  <si>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</si>
  <si>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</si>
  <si>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</si>
  <si>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</si>
  <si>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</si>
  <si>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</si>
  <si>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</si>
  <si>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</si>
  <si>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</si>
  <si>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</si>
  <si>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</si>
  <si>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</si>
  <si>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</si>
  <si>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</si>
  <si>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</si>
  <si>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</si>
  <si>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</si>
  <si>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</si>
  <si>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</si>
  <si>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</si>
  <si>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</si>
  <si>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</si>
  <si>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</si>
  <si>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</si>
  <si>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</si>
  <si>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</si>
  <si>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</si>
  <si>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</si>
  <si>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</si>
  <si>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</si>
  <si>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</si>
  <si>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</si>
  <si>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</si>
  <si>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</si>
  <si>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</si>
  <si>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</si>
  <si>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</si>
  <si>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</si>
  <si>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</si>
  <si>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</si>
  <si>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</si>
  <si>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</si>
  <si>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</si>
  <si>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</si>
  <si>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</si>
  <si>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</si>
  <si>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</si>
  <si>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</si>
  <si>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</si>
  <si>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</si>
  <si>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</si>
  <si>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</si>
  <si>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</si>
  <si>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</si>
  <si>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</si>
  <si>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</si>
  <si>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</si>
  <si>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</si>
  <si>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</si>
  <si>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</si>
  <si>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</si>
  <si>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</si>
  <si>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</si>
  <si>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</si>
  <si>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</si>
  <si>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</si>
  <si>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</si>
  <si>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</si>
  <si>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</si>
  <si>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</si>
  <si>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</si>
  <si>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</si>
  <si>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</si>
  <si>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</si>
  <si>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</si>
  <si>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</si>
  <si>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</si>
  <si>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</si>
  <si>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</si>
  <si>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</si>
  <si>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</si>
  <si>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</si>
  <si>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</si>
  <si>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</si>
  <si>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</si>
  <si>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</si>
  <si>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</si>
  <si>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</si>
  <si>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</si>
  <si>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</si>
  <si>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</si>
  <si>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</si>
  <si>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</si>
  <si>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</si>
  <si>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</si>
  <si>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</si>
  <si>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</si>
  <si>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</si>
  <si>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</si>
  <si>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</si>
  <si>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</si>
  <si>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</si>
  <si>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</si>
  <si>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</si>
  <si>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</si>
  <si>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</si>
  <si>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</si>
  <si>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</si>
  <si>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</si>
  <si>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</si>
  <si>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</si>
  <si>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</si>
  <si>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</si>
  <si>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</si>
  <si>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</si>
  <si>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</si>
  <si>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</si>
  <si>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</si>
  <si>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</si>
  <si>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</si>
  <si>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</si>
  <si>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</si>
  <si>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</si>
  <si>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</si>
  <si>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</si>
  <si>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</si>
  <si>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</si>
  <si>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</si>
  <si>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</si>
  <si>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</si>
  <si>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</si>
  <si>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</si>
  <si>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</si>
  <si>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</si>
  <si>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</si>
  <si>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</si>
  <si>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</si>
  <si>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</si>
  <si>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</si>
  <si>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</si>
  <si>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</si>
  <si>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</si>
  <si>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</si>
  <si>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</si>
  <si>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</si>
  <si>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</si>
  <si>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</si>
  <si>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</si>
  <si>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</si>
  <si>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</si>
  <si>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</si>
  <si>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</si>
  <si>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</si>
  <si>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</si>
  <si>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</si>
  <si>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</si>
  <si>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</si>
  <si>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</si>
  <si>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</si>
  <si>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</si>
  <si>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</si>
  <si>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</si>
  <si>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</si>
  <si>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</si>
  <si>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</si>
  <si>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</si>
  <si>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</si>
  <si>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</si>
  <si>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</si>
  <si>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</si>
  <si>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</si>
  <si>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</si>
  <si>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</si>
  <si>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</si>
  <si>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</si>
  <si>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</si>
  <si>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</si>
  <si>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</si>
  <si>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</si>
  <si>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</si>
  <si>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</si>
  <si>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</si>
  <si>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</si>
  <si>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</si>
  <si>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</si>
  <si>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</si>
  <si>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</si>
  <si>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</si>
  <si>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</si>
  <si>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</si>
  <si>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</si>
  <si>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</si>
  <si>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</si>
  <si>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</si>
  <si>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</si>
  <si>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</si>
  <si>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</si>
  <si>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</si>
  <si>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</si>
  <si>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</si>
  <si>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</si>
  <si>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</si>
  <si>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</si>
  <si>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</si>
  <si>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</si>
  <si>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</si>
  <si>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</si>
  <si>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</si>
  <si>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</si>
  <si>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</si>
  <si>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</si>
  <si>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</si>
  <si>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</si>
  <si>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</si>
  <si>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</si>
  <si>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</si>
  <si>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</si>
  <si>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</si>
  <si>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</si>
  <si>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</si>
  <si>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</si>
  <si>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</si>
  <si>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</si>
  <si>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</si>
  <si>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</si>
  <si>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</si>
  <si>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</si>
  <si>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</si>
  <si>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</si>
  <si>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</si>
  <si>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</si>
  <si>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</si>
  <si>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</si>
  <si>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</si>
  <si>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</si>
  <si>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</si>
  <si>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</si>
  <si>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</si>
  <si>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</si>
  <si>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</si>
  <si>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</si>
  <si>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</si>
  <si>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</si>
  <si>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</si>
  <si>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</si>
  <si>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</si>
  <si>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</si>
  <si>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국민건강보험공단 삼척지사 사옥 신축공사</t>
    <phoneticPr fontId="2" type="noConversion"/>
  </si>
  <si>
    <t>업무</t>
  </si>
  <si>
    <t>강원도</t>
  </si>
  <si>
    <t>기초공사,폐기물처리비,골재비및운반비,작업부산물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</si>
  <si>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</si>
  <si>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</si>
  <si>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</si>
  <si>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</si>
  <si>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</si>
  <si>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</si>
  <si>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</si>
  <si>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</si>
  <si>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</si>
  <si>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운반비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</si>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</sst>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1894.09</v>
      </c>
      <c r="D7" s="36">
        <f>+C7/3.3058</f>
        <v>572.9596466815899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1224270</v>
      </c>
      <c r="E25" s="59">
        <f t="shared" si="0"/>
        <v>4047190</v>
      </c>
    </row>
    <row r="26" spans="1:5" x14ac:dyDescent="0.3">
      <c r="B26" s="2">
        <v>3</v>
      </c>
      <c r="C26" s="35" t="s">
        <v>95</v>
      </c>
      <c r="D26" s="45">
        <f>+D66</f>
        <v>39710</v>
      </c>
      <c r="E26" s="59">
        <f t="shared" si="0"/>
        <v>131270</v>
      </c>
    </row>
    <row r="27" spans="1:5" x14ac:dyDescent="0.3">
      <c r="B27" s="2">
        <v>4</v>
      </c>
      <c r="C27" s="35" t="s">
        <v>96</v>
      </c>
      <c r="D27" s="45">
        <f>+D95</f>
        <v>93500</v>
      </c>
      <c r="E27" s="59">
        <f t="shared" si="0"/>
        <v>309090</v>
      </c>
    </row>
    <row r="28" spans="1:5" x14ac:dyDescent="0.3">
      <c r="B28" s="2">
        <v>5</v>
      </c>
      <c r="C28" s="35" t="s">
        <v>97</v>
      </c>
      <c r="D28" s="45">
        <f>+D119</f>
        <v>165170</v>
      </c>
      <c r="E28" s="59">
        <f t="shared" si="0"/>
        <v>546010</v>
      </c>
    </row>
    <row r="29" spans="1:5" x14ac:dyDescent="0.3">
      <c r="B29" s="2">
        <v>6</v>
      </c>
      <c r="C29" s="35" t="s">
        <v>98</v>
      </c>
      <c r="D29" s="45">
        <f>+D133</f>
        <v>98540</v>
      </c>
      <c r="E29" s="59">
        <f t="shared" si="0"/>
        <v>325750</v>
      </c>
    </row>
    <row r="30" spans="1:5" x14ac:dyDescent="0.3">
      <c r="B30" s="2">
        <v>7</v>
      </c>
      <c r="C30" s="35" t="s">
        <v>99</v>
      </c>
      <c r="D30" s="45">
        <f>+D146</f>
        <v>55500</v>
      </c>
      <c r="E30" s="59">
        <f t="shared" si="0"/>
        <v>183470</v>
      </c>
    </row>
    <row r="31" spans="1:5" x14ac:dyDescent="0.3">
      <c r="B31" s="2">
        <v>8</v>
      </c>
      <c r="C31" s="35" t="s">
        <v>100</v>
      </c>
      <c r="D31" s="45">
        <f>+D154</f>
        <v>21450</v>
      </c>
      <c r="E31" s="59">
        <f t="shared" si="0"/>
        <v>70900</v>
      </c>
    </row>
    <row r="32" spans="1:5" x14ac:dyDescent="0.3">
      <c r="B32" s="2">
        <v>9</v>
      </c>
      <c r="C32" s="35" t="s">
        <v>101</v>
      </c>
      <c r="D32" s="45">
        <f>+D161</f>
        <v>36610</v>
      </c>
      <c r="E32" s="59">
        <f t="shared" si="0"/>
        <v>121020</v>
      </c>
    </row>
    <row r="33" spans="1:7" x14ac:dyDescent="0.3">
      <c r="B33" s="2">
        <v>10</v>
      </c>
      <c r="C33" s="35" t="s">
        <v>154</v>
      </c>
      <c r="D33" s="53">
        <f>TRUNC(SUM(D24:D32)*0.275,-1)</f>
        <v>477050</v>
      </c>
      <c r="E33" s="60">
        <f t="shared" si="0"/>
        <v>1577030</v>
      </c>
    </row>
    <row r="34" spans="1:7" x14ac:dyDescent="0.3">
      <c r="C34" s="35" t="s">
        <v>112</v>
      </c>
      <c r="D34" s="44">
        <f>SUM(D24:D33)</f>
        <v>2211800</v>
      </c>
      <c r="E34" s="44">
        <f>SUM(E24:E33)</f>
        <v>7311730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TRUNC(83920,-1)</f>
        <v>83920</v>
      </c>
      <c r="E40" s="62">
        <f t="shared" ref="E40:E59" si="1">TRUNC(+D40*3.3058,-1)</f>
        <v>277420</v>
      </c>
    </row>
    <row r="41" spans="1:7" x14ac:dyDescent="0.3">
      <c r="A41" s="2">
        <v>2</v>
      </c>
      <c r="C41" s="38" t="s">
        <v>13</v>
      </c>
      <c r="D41" s="42">
        <f>TRUNC(215527,-1)</f>
        <v>215520</v>
      </c>
      <c r="E41" s="63">
        <f t="shared" si="1"/>
        <v>712460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TRUNC(24838,-1)</f>
        <v>24830</v>
      </c>
      <c r="E43" s="63">
        <f t="shared" si="1"/>
        <v>82080</v>
      </c>
    </row>
    <row r="44" spans="1:7" x14ac:dyDescent="0.3">
      <c r="A44" s="2">
        <v>5</v>
      </c>
      <c r="C44" s="38" t="s">
        <v>17</v>
      </c>
      <c r="D44" s="42">
        <f>TRUNC(34993,-1)</f>
        <v>34990</v>
      </c>
      <c r="E44" s="63">
        <f t="shared" si="1"/>
        <v>115660</v>
      </c>
    </row>
    <row r="45" spans="1:7" x14ac:dyDescent="0.3">
      <c r="A45" s="2">
        <v>6</v>
      </c>
      <c r="C45" s="38" t="s">
        <v>18</v>
      </c>
      <c r="D45" s="42">
        <f>TRUNC(27955,-1)</f>
        <v>27950</v>
      </c>
      <c r="E45" s="63">
        <f t="shared" si="1"/>
        <v>92390</v>
      </c>
    </row>
    <row r="46" spans="1:7" x14ac:dyDescent="0.3">
      <c r="A46" s="2">
        <v>7</v>
      </c>
      <c r="C46" s="38" t="s">
        <v>19</v>
      </c>
      <c r="D46" s="42">
        <f>TRUNC(45432,-1)</f>
        <v>45430</v>
      </c>
      <c r="E46" s="63">
        <f t="shared" si="1"/>
        <v>150180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TRUNC(58736,-1)</f>
        <v>58730</v>
      </c>
      <c r="E48" s="63">
        <f t="shared" si="1"/>
        <v>194140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TRUNC(30567,-1)</f>
        <v>30560</v>
      </c>
      <c r="E49" s="63">
        <f t="shared" si="1"/>
        <v>101020</v>
      </c>
    </row>
    <row r="50" spans="1:7" x14ac:dyDescent="0.3">
      <c r="A50" s="2">
        <v>11</v>
      </c>
      <c r="C50" s="38" t="s">
        <v>155</v>
      </c>
      <c r="D50" s="42">
        <f>TRUNC(110649,-1)</f>
        <v>110640</v>
      </c>
      <c r="E50" s="63">
        <f t="shared" si="1"/>
        <v>365750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TRUNC(20116,-1)</f>
        <v>20110</v>
      </c>
      <c r="E52" s="63">
        <f t="shared" si="1"/>
        <v>66470</v>
      </c>
    </row>
    <row r="53" spans="1:7" x14ac:dyDescent="0.3">
      <c r="A53" s="2">
        <v>14</v>
      </c>
      <c r="C53" s="38" t="s">
        <v>25</v>
      </c>
      <c r="D53" s="42">
        <f>TRUNC(131645,-1)</f>
        <v>131640</v>
      </c>
      <c r="E53" s="63">
        <f t="shared" si="1"/>
        <v>435170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TRUNC(49514+1998+7577-540,-1)</f>
        <v>58540</v>
      </c>
      <c r="E58" s="63">
        <f t="shared" si="1"/>
        <v>193520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TRUNC(381411,-1)</f>
        <v>381410</v>
      </c>
      <c r="E59" s="64">
        <f t="shared" si="1"/>
        <v>1260860</v>
      </c>
    </row>
    <row r="60" spans="1:7" x14ac:dyDescent="0.3">
      <c r="A60" s="2">
        <v>21</v>
      </c>
      <c r="C60" s="27" t="s">
        <v>112</v>
      </c>
      <c r="D60" s="39">
        <f>SUM(D40:D59)</f>
        <v>1224270</v>
      </c>
      <c r="E60" s="39">
        <f>SUM(E40:E59)</f>
        <v>4047120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TRUNC(22296,-1)</f>
        <v>22290</v>
      </c>
      <c r="E63" s="62">
        <f>TRUNC(+D63*3.3058,-1)</f>
        <v>73680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TRUNC(17428,-1)</f>
        <v>17420</v>
      </c>
      <c r="E65" s="64">
        <f>TRUNC(+D65*3.3058,-1)</f>
        <v>57580</v>
      </c>
    </row>
    <row r="66" spans="1:7" x14ac:dyDescent="0.3">
      <c r="A66" s="2">
        <v>4</v>
      </c>
      <c r="C66" s="27" t="s">
        <v>112</v>
      </c>
      <c r="D66" s="39">
        <f>SUM(D63:D65)</f>
        <v>39710</v>
      </c>
      <c r="E66" s="65">
        <f>SUM(E63:E65)</f>
        <v>131260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TRUNC(13816,-1)</f>
        <v>13810</v>
      </c>
      <c r="E69" s="62">
        <f t="shared" ref="E69:E94" si="2">TRUNC(+D69*3.3058,-1)</f>
        <v>45650</v>
      </c>
    </row>
    <row r="70" spans="1:7" ht="16.5" customHeight="1" x14ac:dyDescent="0.3">
      <c r="A70" s="2">
        <v>2</v>
      </c>
      <c r="C70" s="38" t="s">
        <v>31</v>
      </c>
      <c r="D70" s="42">
        <f>TRUNC(2537,-1)</f>
        <v>2530</v>
      </c>
      <c r="E70" s="63">
        <f t="shared" si="2"/>
        <v>8360</v>
      </c>
    </row>
    <row r="71" spans="1:7" x14ac:dyDescent="0.3">
      <c r="A71" s="2">
        <v>3</v>
      </c>
      <c r="C71" s="38" t="s">
        <v>32</v>
      </c>
      <c r="D71" s="42">
        <f>TRUNC(11296,-1)</f>
        <v>11290</v>
      </c>
      <c r="E71" s="63">
        <f t="shared" si="2"/>
        <v>37320</v>
      </c>
    </row>
    <row r="72" spans="1:7" x14ac:dyDescent="0.3">
      <c r="A72" s="2">
        <v>4</v>
      </c>
      <c r="C72" s="38" t="s">
        <v>33</v>
      </c>
      <c r="D72" s="42">
        <f>TRUNC(3738,-1)</f>
        <v>3730</v>
      </c>
      <c r="E72" s="63">
        <f t="shared" si="2"/>
        <v>12330</v>
      </c>
    </row>
    <row r="73" spans="1:7" x14ac:dyDescent="0.3">
      <c r="A73" s="2">
        <v>5</v>
      </c>
      <c r="C73" s="38" t="s">
        <v>34</v>
      </c>
      <c r="D73" s="42">
        <f>TRUNC(26623,-1)</f>
        <v>26620</v>
      </c>
      <c r="E73" s="63">
        <f t="shared" si="2"/>
        <v>88000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TRUNC(13419,-1)</f>
        <v>13410</v>
      </c>
      <c r="E89" s="63">
        <f t="shared" si="2"/>
        <v>44330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TRUNC(7632,-1)</f>
        <v>7630</v>
      </c>
      <c r="E91" s="63">
        <f t="shared" si="2"/>
        <v>25220</v>
      </c>
    </row>
    <row r="92" spans="1:7" x14ac:dyDescent="0.3">
      <c r="A92" s="2">
        <v>24</v>
      </c>
      <c r="C92" s="38" t="s">
        <v>38</v>
      </c>
      <c r="D92" s="42">
        <f>TRUNC(12798,-1)</f>
        <v>12790</v>
      </c>
      <c r="E92" s="63">
        <f t="shared" si="2"/>
        <v>42280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TRUNC(1699,-1)</f>
        <v>1690</v>
      </c>
      <c r="E94" s="64">
        <f t="shared" si="2"/>
        <v>5580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93500</v>
      </c>
      <c r="E95" s="39">
        <f>SUM(E69:E94)</f>
        <v>309070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TRUNC(21547,-1)</f>
        <v>21540</v>
      </c>
      <c r="E98" s="62">
        <f t="shared" ref="E98:E118" si="3">TRUNC(+D98*3.3058,-1)</f>
        <v>71200</v>
      </c>
    </row>
    <row r="99" spans="1:7" x14ac:dyDescent="0.3">
      <c r="A99" s="2">
        <v>2</v>
      </c>
      <c r="C99" s="38" t="s">
        <v>40</v>
      </c>
      <c r="D99" s="42">
        <f>TRUNC(9181,-1)</f>
        <v>9180</v>
      </c>
      <c r="E99" s="63">
        <f t="shared" si="3"/>
        <v>30340</v>
      </c>
    </row>
    <row r="100" spans="1:7" x14ac:dyDescent="0.3">
      <c r="A100" s="2">
        <v>3</v>
      </c>
      <c r="C100" s="38" t="s">
        <v>41</v>
      </c>
      <c r="D100" s="42">
        <f>TRUNC(38300,-1)</f>
        <v>38300</v>
      </c>
      <c r="E100" s="63">
        <f t="shared" si="3"/>
        <v>126610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TRUNC(19791,-1)</f>
        <v>19790</v>
      </c>
      <c r="E102" s="63">
        <f t="shared" si="3"/>
        <v>65420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TRUNC(7169,-1)</f>
        <v>7160</v>
      </c>
      <c r="E104" s="63">
        <f t="shared" si="3"/>
        <v>23660</v>
      </c>
    </row>
    <row r="105" spans="1:7" x14ac:dyDescent="0.3">
      <c r="A105" s="2">
        <v>8</v>
      </c>
      <c r="C105" s="38" t="s">
        <v>46</v>
      </c>
      <c r="D105" s="42">
        <f>TRUNC(2842,-1)</f>
        <v>2840</v>
      </c>
      <c r="E105" s="63">
        <f t="shared" si="3"/>
        <v>9380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TRUNC(4301,-1)</f>
        <v>4300</v>
      </c>
      <c r="E114" s="63">
        <f t="shared" si="3"/>
        <v>14210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TRUNC(57519,-1)</f>
        <v>57510</v>
      </c>
      <c r="E117" s="63">
        <f t="shared" si="3"/>
        <v>190110</v>
      </c>
    </row>
    <row r="118" spans="1:7" ht="17.25" thickBot="1" x14ac:dyDescent="0.35">
      <c r="A118" s="2">
        <v>21</v>
      </c>
      <c r="C118" s="38" t="s">
        <v>47</v>
      </c>
      <c r="D118" s="43">
        <f>TRUNC(4558,-1)</f>
        <v>4550</v>
      </c>
      <c r="E118" s="64">
        <f t="shared" si="3"/>
        <v>15040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165170</v>
      </c>
      <c r="E119" s="39">
        <f>SUM(E98:E118)</f>
        <v>545970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TRUNC(9644,-1)</f>
        <v>9640</v>
      </c>
      <c r="E122" s="62">
        <f t="shared" ref="E122:E132" si="4">TRUNC(+D122*3.3058,-1)</f>
        <v>31860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TRUNC(1454,-1)</f>
        <v>1450</v>
      </c>
      <c r="E124" s="63">
        <f t="shared" si="4"/>
        <v>4790</v>
      </c>
    </row>
    <row r="125" spans="1:7" x14ac:dyDescent="0.3">
      <c r="A125" s="2">
        <v>4</v>
      </c>
      <c r="C125" s="38" t="s">
        <v>138</v>
      </c>
      <c r="D125" s="42">
        <f>TRUNC(7672,-1)</f>
        <v>7670</v>
      </c>
      <c r="E125" s="63">
        <f t="shared" si="4"/>
        <v>25350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TRUNC(3255,-1)</f>
        <v>3250</v>
      </c>
      <c r="E128" s="63">
        <f t="shared" si="4"/>
        <v>10740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TRUNC(23755,-1)</f>
        <v>23750</v>
      </c>
      <c r="E130" s="63">
        <f t="shared" si="4"/>
        <v>78510</v>
      </c>
    </row>
    <row r="131" spans="1:7" x14ac:dyDescent="0.3">
      <c r="A131" s="2">
        <v>10</v>
      </c>
      <c r="C131" s="38" t="s">
        <v>148</v>
      </c>
      <c r="D131" s="42">
        <f>TRUNC(49228,-1)</f>
        <v>49220</v>
      </c>
      <c r="E131" s="63">
        <f t="shared" si="4"/>
        <v>162710</v>
      </c>
    </row>
    <row r="132" spans="1:7" ht="18" thickBot="1" x14ac:dyDescent="0.35">
      <c r="A132" s="2">
        <v>11</v>
      </c>
      <c r="C132" s="38" t="s">
        <v>47</v>
      </c>
      <c r="D132" s="43">
        <f>TRUNC(3290+271,-1)</f>
        <v>3560</v>
      </c>
      <c r="E132" s="64">
        <f t="shared" si="4"/>
        <v>11760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98540</v>
      </c>
      <c r="E133" s="39">
        <f>SUM(E122:E132)</f>
        <v>325720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TRUNC(7701+1520,-1)</f>
        <v>9220</v>
      </c>
      <c r="E137" s="63">
        <f t="shared" si="5"/>
        <v>30470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TRUNC(3243,-1)</f>
        <v>3240</v>
      </c>
      <c r="E139" s="63">
        <f t="shared" si="5"/>
        <v>10710</v>
      </c>
    </row>
    <row r="140" spans="1:7" x14ac:dyDescent="0.3">
      <c r="A140" s="2">
        <v>5</v>
      </c>
      <c r="C140" s="38" t="s">
        <v>57</v>
      </c>
      <c r="D140" s="42">
        <f>TRUNC(5195,-1)</f>
        <v>5190</v>
      </c>
      <c r="E140" s="63">
        <f t="shared" si="5"/>
        <v>17150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TRUNC(7434,-1)</f>
        <v>7430</v>
      </c>
      <c r="E142" s="63">
        <f t="shared" si="5"/>
        <v>24560</v>
      </c>
    </row>
    <row r="143" spans="1:7" x14ac:dyDescent="0.3">
      <c r="A143" s="2">
        <v>8</v>
      </c>
      <c r="C143" s="38" t="s">
        <v>62</v>
      </c>
      <c r="D143" s="42">
        <f>TRUNC(5752,-1)</f>
        <v>5750</v>
      </c>
      <c r="E143" s="63">
        <f t="shared" si="5"/>
        <v>19000</v>
      </c>
    </row>
    <row r="144" spans="1:7" x14ac:dyDescent="0.3">
      <c r="A144" s="2">
        <v>9</v>
      </c>
      <c r="C144" s="38" t="s">
        <v>63</v>
      </c>
      <c r="D144" s="42">
        <f>TRUNC(24675,-1)</f>
        <v>24670</v>
      </c>
      <c r="E144" s="63">
        <f t="shared" si="5"/>
        <v>81550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55500</v>
      </c>
      <c r="E146" s="39">
        <f>SUM(E136:E145)</f>
        <v>183440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TRUNC(8328+4097,-1)</f>
        <v>12420</v>
      </c>
      <c r="E149" s="62">
        <f>TRUNC(+D149*3.3058,-1)</f>
        <v>41050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TRUNC(7664,-1)</f>
        <v>7660</v>
      </c>
      <c r="E150" s="63">
        <f>TRUNC(+D150*3.3058,-1)</f>
        <v>25320</v>
      </c>
    </row>
    <row r="151" spans="1:7" x14ac:dyDescent="0.3">
      <c r="A151" s="2">
        <v>3</v>
      </c>
      <c r="C151" s="38" t="s">
        <v>50</v>
      </c>
      <c r="D151" s="42">
        <f>TRUNC(1281,-1)</f>
        <v>1280</v>
      </c>
      <c r="E151" s="63">
        <f>TRUNC(+D151*3.3058,-1)</f>
        <v>4230</v>
      </c>
    </row>
    <row r="152" spans="1:7" x14ac:dyDescent="0.3">
      <c r="A152" s="2">
        <v>4</v>
      </c>
      <c r="C152" s="38" t="s">
        <v>47</v>
      </c>
      <c r="D152" s="42">
        <f>TRUNC(95,-1)</f>
        <v>90</v>
      </c>
      <c r="E152" s="63">
        <f>TRUNC(+D152*3.3058,-1)</f>
        <v>290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21450</v>
      </c>
      <c r="E154" s="39">
        <f>SUM(E149:E153)</f>
        <v>70890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TRUNC(20283,-1)</f>
        <v>20280</v>
      </c>
      <c r="E157" s="62">
        <f>TRUNC(+D157*3.3058,-1)</f>
        <v>67040</v>
      </c>
    </row>
    <row r="158" spans="1:7" x14ac:dyDescent="0.3">
      <c r="A158" s="2">
        <v>2</v>
      </c>
      <c r="C158" s="38" t="s">
        <v>52</v>
      </c>
      <c r="D158" s="42">
        <f>TRUNC(5753,-1)</f>
        <v>5750</v>
      </c>
      <c r="E158" s="63">
        <f>TRUNC(+D158*3.3058,-1)</f>
        <v>19000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TRUNC(10582,-1)</f>
        <v>10580</v>
      </c>
      <c r="E159" s="63">
        <f>TRUNC(+D159*3.3058,-1)</f>
        <v>34970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36610</v>
      </c>
      <c r="E161" s="39">
        <f>SUM(E157:E160)</f>
        <v>121010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2020-12-08T04:02:52Z</dcterms:modified>
</cp:coreProperties>
</file>