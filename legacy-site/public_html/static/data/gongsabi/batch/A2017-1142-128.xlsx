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1" i="4"/>
  <c r="D150" i="4"/>
  <c r="D144" i="4"/>
  <c r="D143" i="4"/>
  <c r="D142" i="4"/>
  <c r="D140" i="4"/>
  <c r="D139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3" i="4"/>
  <c r="D100" i="4"/>
  <c r="D99" i="4"/>
  <c r="D98" i="4"/>
  <c r="D94" i="4"/>
  <c r="D92" i="4"/>
  <c r="D91" i="4"/>
  <c r="D89" i="4"/>
  <c r="D73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4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<sst xmlns="http://schemas.openxmlformats.org/spreadsheetml/2006/main" count="393" uniqueCount="268">
  <si>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</si>
  <si>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</si>
  <si>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</si>
  <si>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</si>
  <si>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</si>
  <si>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</si>
  <si>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</si>
  <si>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</si>
  <si>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</si>
  <si>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</si>
  <si>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</si>
  <si>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</si>
  <si>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</si>
  <si>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</si>
  <si>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</si>
  <si>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</si>
  <si>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</si>
  <si>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</si>
  <si>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</si>
  <si>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</si>
  <si>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</si>
  <si>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</si>
  <si>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</si>
  <si>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</si>
  <si>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</si>
  <si>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</si>
  <si>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</si>
  <si>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</si>
  <si>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</si>
  <si>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</si>
  <si>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</si>
  <si>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</si>
  <si>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</si>
  <si>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</si>
  <si>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</si>
  <si>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</si>
  <si>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</si>
  <si>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</si>
  <si>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</si>
  <si>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</si>
  <si>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</si>
  <si>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</si>
  <si>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</si>
  <si>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</si>
  <si>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</si>
  <si>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</si>
  <si>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</si>
  <si>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</si>
  <si>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</si>
  <si>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</si>
  <si>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</si>
  <si>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</si>
  <si>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</si>
  <si>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</si>
  <si>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</si>
  <si>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</si>
  <si>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</si>
  <si>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</si>
  <si>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</si>
  <si>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</si>
  <si>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</si>
  <si>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</si>
  <si>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</si>
  <si>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</si>
  <si>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</si>
  <si>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</si>
  <si>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</si>
  <si>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</si>
  <si>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</si>
  <si>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</si>
  <si>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</si>
  <si>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</si>
  <si>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</si>
  <si>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</si>
  <si>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</si>
  <si>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</si>
  <si>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</si>
  <si>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</si>
  <si>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</si>
  <si>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</si>
  <si>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</si>
  <si>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</si>
  <si>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</si>
  <si>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</si>
  <si>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</si>
  <si>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</si>
  <si>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</si>
  <si>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</si>
  <si>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</si>
  <si>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</si>
  <si>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</si>
  <si>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</si>
  <si>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</si>
  <si>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</si>
  <si>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</si>
  <si>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</si>
  <si>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</si>
  <si>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</si>
  <si>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</si>
  <si>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</si>
  <si>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</si>
  <si>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</si>
  <si>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</si>
  <si>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</si>
  <si>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</si>
  <si>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</si>
  <si>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</si>
  <si>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</si>
  <si>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</si>
  <si>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</si>
  <si>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</si>
  <si>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</si>
  <si>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</si>
  <si>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</si>
  <si>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</si>
  <si>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</si>
  <si>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</si>
  <si>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</si>
  <si>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</si>
  <si>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</si>
  <si>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</si>
  <si>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</si>
  <si>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</si>
  <si>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</si>
  <si>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</si>
  <si>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</si>
  <si>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</si>
  <si>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</si>
  <si>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</si>
  <si>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</si>
  <si>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</si>
  <si>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</si>
  <si>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</si>
  <si>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</si>
  <si>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</si>
  <si>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</si>
  <si>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</si>
  <si>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</si>
  <si>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</si>
  <si>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</si>
  <si>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</si>
  <si>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</si>
  <si>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</si>
  <si>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</si>
  <si>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</si>
  <si>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</si>
  <si>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</si>
  <si>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</si>
  <si>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</si>
  <si>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</si>
  <si>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</si>
  <si>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</si>
  <si>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</si>
  <si>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</si>
  <si>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</si>
  <si>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</si>
  <si>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</si>
  <si>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</si>
  <si>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</si>
  <si>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</si>
  <si>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</si>
  <si>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</si>
  <si>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</si>
  <si>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</si>
  <si>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</si>
  <si>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</si>
  <si>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</si>
  <si>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</si>
  <si>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</si>
  <si>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</si>
  <si>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</si>
  <si>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</si>
  <si>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</si>
  <si>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</si>
  <si>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</si>
  <si>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</si>
  <si>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</si>
  <si>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</si>
  <si>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</si>
  <si>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</si>
  <si>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</si>
  <si>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</si>
  <si>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</si>
  <si>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</si>
  <si>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</si>
  <si>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</si>
  <si>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</si>
  <si>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</si>
  <si>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</si>
  <si>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</si>
  <si>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</si>
  <si>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</si>
  <si>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</si>
  <si>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</si>
  <si>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</si>
  <si>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</si>
  <si>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</si>
  <si>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</si>
  <si>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</si>
  <si>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</si>
  <si>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</si>
  <si>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</si>
  <si>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</si>
  <si>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</si>
  <si>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</si>
  <si>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</si>
  <si>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</si>
  <si>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</si>
  <si>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</si>
  <si>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</si>
  <si>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</si>
  <si>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</si>
  <si>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</si>
  <si>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</si>
  <si>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</si>
  <si>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</si>
  <si>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</si>
  <si>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</si>
  <si>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</si>
  <si>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</si>
  <si>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</si>
  <si>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</si>
  <si>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</si>
  <si>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</si>
  <si>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</si>
  <si>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</si>
  <si>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</si>
  <si>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</si>
  <si>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</si>
  <si>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</si>
  <si>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</si>
  <si>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</si>
  <si>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</si>
  <si>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</si>
  <si>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</si>
  <si>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</si>
  <si>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</si>
  <si>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</si>
  <si>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</si>
  <si>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</si>
  <si>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</si>
  <si>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</si>
  <si>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</si>
  <si>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</si>
  <si>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</si>
  <si>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</si>
  <si>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</si>
  <si>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</si>
  <si>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</si>
  <si>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</si>
  <si>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</si>
  <si>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</si>
  <si>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</si>
  <si>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</si>
  <si>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</si>
  <si>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</si>
  <si>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원/ m2</t>
    <phoneticPr fontId="2" type="noConversion"/>
  </si>
  <si>
    <t>원 /평</t>
    <phoneticPr fontId="2" type="noConversion"/>
  </si>
  <si>
    <t>기흥역세권 (가칭)기흥2초등학교 신축공사</t>
    <phoneticPr fontId="2" type="noConversion"/>
  </si>
  <si>
    <t>경기도</t>
  </si>
  <si>
    <t>기초공사, 골재비및운반비, 작업부산물, 기타공사</t>
    <phoneticPr fontId="2" type="noConversion"/>
  </si>
  <si>
    <t>난방배관공사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</si>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</sst>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14587.41</v>
      </c>
      <c r="D7" s="36">
        <f>+C7/3.3058</f>
        <v>4412.6716679774936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734140</v>
      </c>
      <c r="E25" s="59">
        <f t="shared" si="0"/>
        <v>2426920</v>
      </c>
    </row>
    <row r="26" spans="1:5" x14ac:dyDescent="0.3">
      <c r="B26" s="2">
        <v>3</v>
      </c>
      <c r="C26" s="35" t="s">
        <v>95</v>
      </c>
      <c r="D26" s="45">
        <f>+D66</f>
        <v>4220</v>
      </c>
      <c r="E26" s="59">
        <f t="shared" si="0"/>
        <v>13950</v>
      </c>
    </row>
    <row r="27" spans="1:5" x14ac:dyDescent="0.3">
      <c r="B27" s="2">
        <v>4</v>
      </c>
      <c r="C27" s="35" t="s">
        <v>96</v>
      </c>
      <c r="D27" s="45">
        <f>+D95</f>
        <v>48920</v>
      </c>
      <c r="E27" s="59">
        <f t="shared" si="0"/>
        <v>161710</v>
      </c>
    </row>
    <row r="28" spans="1:5" x14ac:dyDescent="0.3">
      <c r="B28" s="2">
        <v>5</v>
      </c>
      <c r="C28" s="35" t="s">
        <v>97</v>
      </c>
      <c r="D28" s="45">
        <f>+D119</f>
        <v>189170</v>
      </c>
      <c r="E28" s="59">
        <f t="shared" si="0"/>
        <v>625350</v>
      </c>
    </row>
    <row r="29" spans="1:5" x14ac:dyDescent="0.3">
      <c r="B29" s="2">
        <v>6</v>
      </c>
      <c r="C29" s="35" t="s">
        <v>98</v>
      </c>
      <c r="D29" s="45">
        <f>+D133</f>
        <v>55770</v>
      </c>
      <c r="E29" s="59">
        <f t="shared" si="0"/>
        <v>184360</v>
      </c>
    </row>
    <row r="30" spans="1:5" x14ac:dyDescent="0.3">
      <c r="B30" s="2">
        <v>7</v>
      </c>
      <c r="C30" s="35" t="s">
        <v>99</v>
      </c>
      <c r="D30" s="45">
        <f>+D146</f>
        <v>35640</v>
      </c>
      <c r="E30" s="59">
        <f t="shared" si="0"/>
        <v>117810</v>
      </c>
    </row>
    <row r="31" spans="1:5" x14ac:dyDescent="0.3">
      <c r="B31" s="2">
        <v>8</v>
      </c>
      <c r="C31" s="35" t="s">
        <v>100</v>
      </c>
      <c r="D31" s="45">
        <f>+D154</f>
        <v>22500</v>
      </c>
      <c r="E31" s="59">
        <f t="shared" si="0"/>
        <v>74380</v>
      </c>
    </row>
    <row r="32" spans="1:5" x14ac:dyDescent="0.3">
      <c r="B32" s="2">
        <v>9</v>
      </c>
      <c r="C32" s="35" t="s">
        <v>101</v>
      </c>
      <c r="D32" s="45">
        <f>+D161</f>
        <v>20470</v>
      </c>
      <c r="E32" s="59">
        <f t="shared" si="0"/>
        <v>67660</v>
      </c>
    </row>
    <row r="33" spans="1:7" x14ac:dyDescent="0.3">
      <c r="B33" s="2">
        <v>10</v>
      </c>
      <c r="C33" s="35" t="s">
        <v>154</v>
      </c>
      <c r="D33" s="53">
        <f>TRUNC(SUM(D24:D32)*0.275,-1)</f>
        <v>305470</v>
      </c>
      <c r="E33" s="60">
        <f t="shared" si="0"/>
        <v>1009820</v>
      </c>
    </row>
    <row r="34" spans="1:7" x14ac:dyDescent="0.3">
      <c r="C34" s="35" t="s">
        <v>112</v>
      </c>
      <c r="D34" s="44">
        <f>SUM(D24:D33)</f>
        <v>1416300</v>
      </c>
      <c r="E34" s="44">
        <f>SUM(E24:E33)</f>
        <v>4681960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238</v>
      </c>
      <c r="D39" s="57" t="s">
        <v>256</v>
      </c>
      <c r="E39" s="57" t="s">
        <v>257</v>
      </c>
      <c r="G39" s="55"/>
    </row>
    <row r="40" spans="1:7" x14ac:dyDescent="0.3">
      <c r="A40" s="2">
        <v>1</v>
      </c>
      <c r="C40" s="38" t="s">
        <v>15</v>
      </c>
      <c r="D40" s="40">
        <f>TRUNC(26221,-1)</f>
        <v>26220</v>
      </c>
      <c r="E40" s="62">
        <f t="shared" ref="E40:E59" si="1">TRUNC(+D40*3.3058,-1)</f>
        <v>86670</v>
      </c>
    </row>
    <row r="41" spans="1:7" x14ac:dyDescent="0.3">
      <c r="A41" s="2">
        <v>2</v>
      </c>
      <c r="C41" s="38" t="s">
        <v>13</v>
      </c>
      <c r="D41" s="42">
        <f>TRUNC(100224,-1)</f>
        <v>100220</v>
      </c>
      <c r="E41" s="63">
        <f t="shared" si="1"/>
        <v>331300</v>
      </c>
    </row>
    <row r="42" spans="1:7" x14ac:dyDescent="0.3">
      <c r="A42" s="2">
        <v>3</v>
      </c>
      <c r="C42" s="38" t="s">
        <v>14</v>
      </c>
      <c r="D42" s="42">
        <f>TRUNC(11498,-1)</f>
        <v>11490</v>
      </c>
      <c r="E42" s="63">
        <f t="shared" si="1"/>
        <v>37980</v>
      </c>
    </row>
    <row r="43" spans="1:7" x14ac:dyDescent="0.3">
      <c r="A43" s="2">
        <v>4</v>
      </c>
      <c r="C43" s="38" t="s">
        <v>16</v>
      </c>
      <c r="D43" s="42">
        <f>TRUNC(32333,-1)</f>
        <v>32330</v>
      </c>
      <c r="E43" s="63">
        <f t="shared" si="1"/>
        <v>106870</v>
      </c>
    </row>
    <row r="44" spans="1:7" x14ac:dyDescent="0.3">
      <c r="A44" s="2">
        <v>5</v>
      </c>
      <c r="C44" s="38" t="s">
        <v>17</v>
      </c>
      <c r="D44" s="42">
        <f>TRUNC(10267,-1)</f>
        <v>10260</v>
      </c>
      <c r="E44" s="63">
        <f t="shared" si="1"/>
        <v>33910</v>
      </c>
    </row>
    <row r="45" spans="1:7" x14ac:dyDescent="0.3">
      <c r="A45" s="2">
        <v>6</v>
      </c>
      <c r="C45" s="38" t="s">
        <v>18</v>
      </c>
      <c r="D45" s="42">
        <f>TRUNC(8419,-1)</f>
        <v>8410</v>
      </c>
      <c r="E45" s="63">
        <f t="shared" si="1"/>
        <v>27800</v>
      </c>
    </row>
    <row r="46" spans="1:7" x14ac:dyDescent="0.3">
      <c r="A46" s="2">
        <v>7</v>
      </c>
      <c r="C46" s="38" t="s">
        <v>19</v>
      </c>
      <c r="D46" s="42">
        <f>TRUNC(27359,-1)</f>
        <v>27350</v>
      </c>
      <c r="E46" s="63">
        <f t="shared" si="1"/>
        <v>90410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TRUNC(38845,-1)</f>
        <v>38840</v>
      </c>
      <c r="E48" s="63">
        <f t="shared" si="1"/>
        <v>128390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TRUNC(17068,-1)</f>
        <v>17060</v>
      </c>
      <c r="E49" s="63">
        <f t="shared" si="1"/>
        <v>56390</v>
      </c>
    </row>
    <row r="50" spans="1:7" x14ac:dyDescent="0.3">
      <c r="A50" s="2">
        <v>11</v>
      </c>
      <c r="C50" s="38" t="s">
        <v>155</v>
      </c>
      <c r="D50" s="42">
        <f>TRUNC(35964,-1)</f>
        <v>35960</v>
      </c>
      <c r="E50" s="63">
        <f t="shared" si="1"/>
        <v>118870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TRUNC(6966,-1)</f>
        <v>6960</v>
      </c>
      <c r="E52" s="63">
        <f t="shared" si="1"/>
        <v>23000</v>
      </c>
    </row>
    <row r="53" spans="1:7" x14ac:dyDescent="0.3">
      <c r="A53" s="2">
        <v>14</v>
      </c>
      <c r="C53" s="38" t="s">
        <v>25</v>
      </c>
      <c r="D53" s="42">
        <f>TRUNC(50605,-1)</f>
        <v>50600</v>
      </c>
      <c r="E53" s="63">
        <f t="shared" si="1"/>
        <v>167270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TRUNC(475+4771-609+7477,-1)</f>
        <v>12110</v>
      </c>
      <c r="E58" s="63">
        <f t="shared" si="1"/>
        <v>40030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TRUNC(356339,-1)</f>
        <v>356330</v>
      </c>
      <c r="E59" s="64">
        <f t="shared" si="1"/>
        <v>1177950</v>
      </c>
    </row>
    <row r="60" spans="1:7" x14ac:dyDescent="0.3">
      <c r="A60" s="2">
        <v>21</v>
      </c>
      <c r="C60" s="27" t="s">
        <v>112</v>
      </c>
      <c r="D60" s="39">
        <f>SUM(D40:D59)</f>
        <v>734140</v>
      </c>
      <c r="E60" s="39">
        <f>SUM(E40:E59)</f>
        <v>2426840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TRUNC(4222,-1)</f>
        <v>4220</v>
      </c>
      <c r="E63" s="62">
        <f>TRUNC(+D63*3.3058,-1)</f>
        <v>13950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4220</v>
      </c>
      <c r="E66" s="65">
        <f>SUM(E63:E65)</f>
        <v>13950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TRUNC(4832,-1)</f>
        <v>4830</v>
      </c>
      <c r="E69" s="62">
        <f t="shared" ref="E69:E94" si="2">TRUNC(+D69*3.3058,-1)</f>
        <v>15960</v>
      </c>
    </row>
    <row r="70" spans="1:7" ht="16.5" customHeight="1" x14ac:dyDescent="0.3">
      <c r="A70" s="2">
        <v>2</v>
      </c>
      <c r="C70" s="38" t="s">
        <v>31</v>
      </c>
      <c r="D70" s="42">
        <f>TRUNC(811,-1)</f>
        <v>810</v>
      </c>
      <c r="E70" s="63">
        <f t="shared" si="2"/>
        <v>2670</v>
      </c>
    </row>
    <row r="71" spans="1:7" x14ac:dyDescent="0.3">
      <c r="A71" s="2">
        <v>3</v>
      </c>
      <c r="C71" s="38" t="s">
        <v>32</v>
      </c>
      <c r="D71" s="42">
        <f>TRUNC(2812,-1)</f>
        <v>2810</v>
      </c>
      <c r="E71" s="63">
        <f t="shared" si="2"/>
        <v>9280</v>
      </c>
    </row>
    <row r="72" spans="1:7" x14ac:dyDescent="0.3">
      <c r="A72" s="2">
        <v>4</v>
      </c>
      <c r="C72" s="38" t="s">
        <v>33</v>
      </c>
      <c r="D72" s="42">
        <v>5770</v>
      </c>
      <c r="E72" s="63">
        <f t="shared" si="2"/>
        <v>19070</v>
      </c>
    </row>
    <row r="73" spans="1:7" x14ac:dyDescent="0.3">
      <c r="A73" s="2">
        <v>5</v>
      </c>
      <c r="C73" s="38" t="s">
        <v>34</v>
      </c>
      <c r="D73" s="42">
        <f>TRUNC(10706,-1)</f>
        <v>10700</v>
      </c>
      <c r="E73" s="63">
        <f t="shared" si="2"/>
        <v>35370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TRUNC(8792,-1)</f>
        <v>8790</v>
      </c>
      <c r="E89" s="63">
        <f t="shared" si="2"/>
        <v>29050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TRUNC(5221,-1)</f>
        <v>5220</v>
      </c>
      <c r="E91" s="63">
        <f t="shared" si="2"/>
        <v>17250</v>
      </c>
    </row>
    <row r="92" spans="1:7" x14ac:dyDescent="0.3">
      <c r="A92" s="2">
        <v>24</v>
      </c>
      <c r="C92" s="38" t="s">
        <v>38</v>
      </c>
      <c r="D92" s="42">
        <f>TRUNC(7362,-1)</f>
        <v>7360</v>
      </c>
      <c r="E92" s="63">
        <f t="shared" si="2"/>
        <v>24330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TRUNC(2635,-1)</f>
        <v>2630</v>
      </c>
      <c r="E94" s="64">
        <f t="shared" si="2"/>
        <v>8690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48920</v>
      </c>
      <c r="E95" s="39">
        <f>SUM(E69:E94)</f>
        <v>161670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TRUNC(12827,-1)</f>
        <v>12820</v>
      </c>
      <c r="E98" s="62">
        <f t="shared" ref="E98:E118" si="3">TRUNC(+D98*3.3058,-1)</f>
        <v>42380</v>
      </c>
    </row>
    <row r="99" spans="1:7" x14ac:dyDescent="0.3">
      <c r="A99" s="2">
        <v>2</v>
      </c>
      <c r="C99" s="38" t="s">
        <v>40</v>
      </c>
      <c r="D99" s="42">
        <f>TRUNC(2692,-1)</f>
        <v>2690</v>
      </c>
      <c r="E99" s="63">
        <f t="shared" si="3"/>
        <v>8890</v>
      </c>
    </row>
    <row r="100" spans="1:7" x14ac:dyDescent="0.3">
      <c r="A100" s="2">
        <v>3</v>
      </c>
      <c r="C100" s="38" t="s">
        <v>41</v>
      </c>
      <c r="D100" s="42">
        <f>TRUNC(1022,-1)</f>
        <v>1020</v>
      </c>
      <c r="E100" s="63">
        <f t="shared" si="3"/>
        <v>3370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8430</v>
      </c>
      <c r="E102" s="63">
        <f t="shared" si="3"/>
        <v>27860</v>
      </c>
    </row>
    <row r="103" spans="1:7" x14ac:dyDescent="0.3">
      <c r="A103" s="2">
        <v>6</v>
      </c>
      <c r="C103" s="38" t="s">
        <v>44</v>
      </c>
      <c r="D103" s="42">
        <f>TRUNC(5196,-1)</f>
        <v>5190</v>
      </c>
      <c r="E103" s="63">
        <f t="shared" si="3"/>
        <v>17150</v>
      </c>
    </row>
    <row r="104" spans="1:7" x14ac:dyDescent="0.3">
      <c r="A104" s="2">
        <v>7</v>
      </c>
      <c r="C104" s="38" t="s">
        <v>45</v>
      </c>
      <c r="D104" s="42">
        <f>TRUNC(2615,-1)</f>
        <v>2610</v>
      </c>
      <c r="E104" s="63">
        <f t="shared" si="3"/>
        <v>8620</v>
      </c>
    </row>
    <row r="105" spans="1:7" x14ac:dyDescent="0.3">
      <c r="A105" s="2">
        <v>8</v>
      </c>
      <c r="C105" s="38" t="s">
        <v>46</v>
      </c>
      <c r="D105" s="42">
        <f>TRUNC(5151,-1)</f>
        <v>5150</v>
      </c>
      <c r="E105" s="63">
        <f t="shared" si="3"/>
        <v>17020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TRUNC(25762,-1)</f>
        <v>25760</v>
      </c>
      <c r="E114" s="63">
        <f t="shared" si="3"/>
        <v>85150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TRUNC(1584,-1)</f>
        <v>1580</v>
      </c>
      <c r="E116" s="63">
        <f t="shared" si="3"/>
        <v>5220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TRUNC(118151,-1)</f>
        <v>118150</v>
      </c>
      <c r="E117" s="63">
        <f t="shared" si="3"/>
        <v>390580</v>
      </c>
    </row>
    <row r="118" spans="1:7" ht="17.25" thickBot="1" x14ac:dyDescent="0.35">
      <c r="A118" s="2">
        <v>21</v>
      </c>
      <c r="C118" s="38" t="s">
        <v>47</v>
      </c>
      <c r="D118" s="43">
        <f>TRUNC(5774,-1)</f>
        <v>5770</v>
      </c>
      <c r="E118" s="64">
        <f t="shared" si="3"/>
        <v>19070</v>
      </c>
    </row>
    <row r="119" spans="1:7" x14ac:dyDescent="0.3">
      <c r="A119" s="2">
        <v>22</v>
      </c>
      <c r="C119" s="27" t="s">
        <v>112</v>
      </c>
      <c r="D119" s="39">
        <f>SUM(D98:D118)</f>
        <v>189170</v>
      </c>
      <c r="E119" s="39">
        <f>SUM(E98:E118)</f>
        <v>625310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TRUNC(4051,-1)</f>
        <v>4050</v>
      </c>
      <c r="E122" s="62">
        <f t="shared" ref="E122:E132" si="4">TRUNC(+D122*3.3058,-1)</f>
        <v>13380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TRUNC(2092,-1)</f>
        <v>2090</v>
      </c>
      <c r="E124" s="63">
        <f t="shared" si="4"/>
        <v>6900</v>
      </c>
    </row>
    <row r="125" spans="1:7" x14ac:dyDescent="0.3">
      <c r="A125" s="2">
        <v>4</v>
      </c>
      <c r="C125" s="38" t="s">
        <v>138</v>
      </c>
      <c r="D125" s="42">
        <f>TRUNC(7501,-1)</f>
        <v>7500</v>
      </c>
      <c r="E125" s="63">
        <f t="shared" si="4"/>
        <v>24790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TRUNC(3418,-1)</f>
        <v>3410</v>
      </c>
      <c r="E128" s="63">
        <f t="shared" si="4"/>
        <v>11270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TRUNC(8363,-1)</f>
        <v>8360</v>
      </c>
      <c r="E130" s="63">
        <f t="shared" si="4"/>
        <v>27630</v>
      </c>
    </row>
    <row r="131" spans="1:7" x14ac:dyDescent="0.3">
      <c r="A131" s="2">
        <v>10</v>
      </c>
      <c r="C131" s="38" t="s">
        <v>148</v>
      </c>
      <c r="D131" s="42">
        <f>TRUNC(26536,-1)</f>
        <v>26530</v>
      </c>
      <c r="E131" s="63">
        <f t="shared" si="4"/>
        <v>87700</v>
      </c>
    </row>
    <row r="132" spans="1:7" ht="18" thickBot="1" x14ac:dyDescent="0.35">
      <c r="A132" s="2">
        <v>11</v>
      </c>
      <c r="C132" s="38" t="s">
        <v>47</v>
      </c>
      <c r="D132" s="43">
        <f>TRUNC(2614+1223,-1)</f>
        <v>3830</v>
      </c>
      <c r="E132" s="64">
        <f t="shared" si="4"/>
        <v>12660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55770</v>
      </c>
      <c r="E133" s="39">
        <f>SUM(E122:E132)</f>
        <v>184330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TRUNC(428+2161,-1)</f>
        <v>2580</v>
      </c>
      <c r="E137" s="63">
        <f t="shared" si="5"/>
        <v>8520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TRUNC(2376,-1)</f>
        <v>2370</v>
      </c>
      <c r="E139" s="63">
        <f t="shared" si="5"/>
        <v>7830</v>
      </c>
    </row>
    <row r="140" spans="1:7" x14ac:dyDescent="0.3">
      <c r="A140" s="2">
        <v>5</v>
      </c>
      <c r="C140" s="38" t="s">
        <v>57</v>
      </c>
      <c r="D140" s="42">
        <f>TRUNC(1054,-1)</f>
        <v>1050</v>
      </c>
      <c r="E140" s="63">
        <f t="shared" si="5"/>
        <v>3470</v>
      </c>
    </row>
    <row r="141" spans="1:7" x14ac:dyDescent="0.3">
      <c r="A141" s="2">
        <v>6</v>
      </c>
      <c r="C141" s="38" t="s">
        <v>59</v>
      </c>
      <c r="D141" s="42">
        <v>7270</v>
      </c>
      <c r="E141" s="63">
        <f t="shared" si="5"/>
        <v>24030</v>
      </c>
    </row>
    <row r="142" spans="1:7" x14ac:dyDescent="0.3">
      <c r="A142" s="2">
        <v>7</v>
      </c>
      <c r="C142" s="38" t="s">
        <v>58</v>
      </c>
      <c r="D142" s="42">
        <f>TRUNC(5037,-1)</f>
        <v>5030</v>
      </c>
      <c r="E142" s="63">
        <f t="shared" si="5"/>
        <v>16620</v>
      </c>
    </row>
    <row r="143" spans="1:7" x14ac:dyDescent="0.3">
      <c r="A143" s="2">
        <v>8</v>
      </c>
      <c r="C143" s="38" t="s">
        <v>62</v>
      </c>
      <c r="D143" s="42">
        <f>TRUNC(3173,-1)</f>
        <v>3170</v>
      </c>
      <c r="E143" s="63">
        <f t="shared" si="5"/>
        <v>10470</v>
      </c>
    </row>
    <row r="144" spans="1:7" x14ac:dyDescent="0.3">
      <c r="A144" s="2">
        <v>9</v>
      </c>
      <c r="C144" s="38" t="s">
        <v>63</v>
      </c>
      <c r="D144" s="42">
        <f>TRUNC(14175,-1)</f>
        <v>14170</v>
      </c>
      <c r="E144" s="63">
        <f t="shared" si="5"/>
        <v>46840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35640</v>
      </c>
      <c r="E146" s="39">
        <f>SUM(E136:E145)</f>
        <v>117780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9926+2134</f>
        <v>12060</v>
      </c>
      <c r="E149" s="62">
        <f>TRUNC(+D149*3.3058,-1)</f>
        <v>39860</v>
      </c>
    </row>
    <row r="150" spans="1:7" x14ac:dyDescent="0.3">
      <c r="A150" s="2">
        <v>2</v>
      </c>
      <c r="C150" s="38" t="s">
        <v>49</v>
      </c>
      <c r="D150" s="42">
        <f>TRUNC(7313,-1)</f>
        <v>7310</v>
      </c>
      <c r="E150" s="63">
        <f>TRUNC(+D150*3.3058,-1)</f>
        <v>24160</v>
      </c>
    </row>
    <row r="151" spans="1:7" x14ac:dyDescent="0.3">
      <c r="A151" s="2">
        <v>3</v>
      </c>
      <c r="C151" s="38" t="s">
        <v>50</v>
      </c>
      <c r="D151" s="42">
        <f>TRUNC(2991,-1)</f>
        <v>2990</v>
      </c>
      <c r="E151" s="63">
        <f>TRUNC(+D151*3.3058,-1)</f>
        <v>9880</v>
      </c>
    </row>
    <row r="152" spans="1:7" x14ac:dyDescent="0.3">
      <c r="A152" s="2">
        <v>4</v>
      </c>
      <c r="C152" s="38" t="s">
        <v>47</v>
      </c>
      <c r="D152" s="42">
        <f>TRUNC(150-7,-1)</f>
        <v>140</v>
      </c>
      <c r="E152" s="63">
        <f>TRUNC(+D152*3.3058,-1)</f>
        <v>460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22500</v>
      </c>
      <c r="E154" s="39">
        <f>SUM(E149:E153)</f>
        <v>74360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TRUNC(14333,-1)</f>
        <v>14330</v>
      </c>
      <c r="E157" s="62">
        <f>TRUNC(+D157*3.3058,-1)</f>
        <v>47370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TRUNC(1075+5074,-1)</f>
        <v>6140</v>
      </c>
      <c r="E159" s="63">
        <f>TRUNC(+D159*3.3058,-1)</f>
        <v>20290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20470</v>
      </c>
      <c r="E161" s="39">
        <f>SUM(E157:E160)</f>
        <v>67660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2020-12-08T01:38:05Z</dcterms:modified>
</cp:coreProperties>
</file>