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7" i="4"/>
  <c r="D125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1" i="4"/>
  <c r="D90" i="4"/>
  <c r="D73" i="4"/>
  <c r="D72" i="4"/>
  <c r="D71" i="4"/>
  <c r="D70" i="4"/>
  <c r="D69" i="4"/>
  <c r="D63" i="4"/>
  <c r="D59" i="4"/>
  <c r="D58" i="4"/>
  <c r="D52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<sst xmlns="http://schemas.openxmlformats.org/spreadsheetml/2006/main" count="394" uniqueCount="271">
  <si>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</si>
  <si>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</si>
  <si>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</si>
  <si>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</si>
  <si>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</si>
  <si>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</si>
  <si>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</si>
  <si>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</si>
  <si>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</si>
  <si>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</si>
  <si>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</si>
  <si>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</si>
  <si>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</si>
  <si>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</si>
  <si>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</si>
  <si>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</si>
  <si>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</si>
  <si>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</si>
  <si>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</si>
  <si>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</si>
  <si>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</si>
  <si>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</si>
  <si>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</si>
  <si>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</si>
  <si>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</si>
  <si>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</si>
  <si>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</si>
  <si>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</si>
  <si>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</si>
  <si>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</si>
  <si>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</si>
  <si>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</si>
  <si>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</si>
  <si>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</si>
  <si>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</si>
  <si>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</si>
  <si>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</si>
  <si>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</si>
  <si>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</si>
  <si>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</si>
  <si>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</si>
  <si>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</si>
  <si>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</si>
  <si>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</si>
  <si>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</si>
  <si>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</si>
  <si>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</si>
  <si>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</si>
  <si>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</si>
  <si>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</si>
  <si>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</si>
  <si>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</si>
  <si>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</si>
  <si>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</si>
  <si>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</si>
  <si>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</si>
  <si>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</si>
  <si>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</si>
  <si>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</si>
  <si>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</si>
  <si>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</si>
  <si>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</si>
  <si>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</si>
  <si>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</si>
  <si>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</si>
  <si>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</si>
  <si>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</si>
  <si>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</si>
  <si>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</si>
  <si>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</si>
  <si>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</si>
  <si>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</si>
  <si>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</si>
  <si>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</si>
  <si>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</si>
  <si>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</si>
  <si>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</si>
  <si>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</si>
  <si>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</si>
  <si>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</si>
  <si>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</si>
  <si>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</si>
  <si>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</si>
  <si>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</si>
  <si>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</si>
  <si>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</si>
  <si>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</si>
  <si>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</si>
  <si>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</si>
  <si>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</si>
  <si>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</si>
  <si>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</si>
  <si>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</si>
  <si>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</si>
  <si>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</si>
  <si>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</si>
  <si>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</si>
  <si>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</si>
  <si>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</si>
  <si>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</si>
  <si>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</si>
  <si>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</si>
  <si>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</si>
  <si>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</si>
  <si>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</si>
  <si>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</si>
  <si>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</si>
  <si>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</si>
  <si>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</si>
  <si>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</si>
  <si>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</si>
  <si>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</si>
  <si>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</si>
  <si>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</si>
  <si>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</si>
  <si>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</si>
  <si>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</si>
  <si>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</si>
  <si>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</si>
  <si>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</si>
  <si>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</si>
  <si>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</si>
  <si>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</si>
  <si>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</si>
  <si>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</si>
  <si>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</si>
  <si>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</si>
  <si>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</si>
  <si>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</si>
  <si>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</si>
  <si>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</si>
  <si>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</si>
  <si>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</si>
  <si>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</si>
  <si>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</si>
  <si>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</si>
  <si>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</si>
  <si>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</si>
  <si>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</si>
  <si>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</si>
  <si>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</si>
  <si>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</si>
  <si>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</si>
  <si>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</si>
  <si>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</si>
  <si>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</si>
  <si>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</si>
  <si>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</si>
  <si>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</si>
  <si>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</si>
  <si>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</si>
  <si>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</si>
  <si>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</si>
  <si>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</si>
  <si>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</si>
  <si>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</si>
  <si>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</si>
  <si>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</si>
  <si>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</si>
  <si>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</si>
  <si>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</si>
  <si>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</si>
  <si>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</si>
  <si>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</si>
  <si>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</si>
  <si>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</si>
  <si>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</si>
  <si>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</si>
  <si>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</si>
  <si>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</si>
  <si>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</si>
  <si>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</si>
  <si>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</si>
  <si>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</si>
  <si>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</si>
  <si>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</si>
  <si>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</si>
  <si>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</si>
  <si>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</si>
  <si>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</si>
  <si>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</si>
  <si>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</si>
  <si>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</si>
  <si>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</si>
  <si>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</si>
  <si>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</si>
  <si>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</si>
  <si>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</si>
  <si>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</si>
  <si>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</si>
  <si>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</si>
  <si>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</si>
  <si>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</si>
  <si>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</si>
  <si>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</si>
  <si>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</si>
  <si>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</si>
  <si>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</si>
  <si>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</si>
  <si>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</si>
  <si>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</si>
  <si>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</si>
  <si>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</si>
  <si>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</si>
  <si>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</si>
  <si>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</si>
  <si>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</si>
  <si>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</si>
  <si>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</si>
  <si>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</si>
  <si>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</si>
  <si>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</si>
  <si>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</si>
  <si>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</si>
  <si>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</si>
  <si>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</si>
  <si>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</si>
  <si>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</si>
  <si>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</si>
  <si>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</si>
  <si>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</si>
  <si>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</si>
  <si>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</si>
  <si>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</si>
  <si>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</si>
  <si>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</si>
  <si>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</si>
  <si>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</si>
  <si>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</si>
  <si>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</si>
  <si>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</si>
  <si>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</si>
  <si>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</si>
  <si>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</si>
  <si>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</si>
  <si>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</si>
  <si>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</si>
  <si>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</si>
  <si>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</si>
  <si>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</si>
  <si>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</si>
  <si>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</si>
  <si>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</si>
  <si>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</si>
  <si>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</si>
  <si>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</si>
  <si>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</si>
  <si>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</si>
  <si>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</si>
  <si>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</si>
  <si>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</si>
  <si>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</si>
  <si>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</si>
  <si>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</si>
  <si>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</si>
  <si>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</si>
  <si>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포장공사, 기타공사</t>
    <phoneticPr fontId="2" type="noConversion"/>
  </si>
  <si>
    <t>업무</t>
  </si>
  <si>
    <t>화성동탄경찰서 청사 신축공사</t>
    <phoneticPr fontId="2" type="noConversion"/>
  </si>
  <si>
    <t>경기도</t>
  </si>
  <si>
    <t>기초공사, 골재비및운반비, 작업부산물, 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</si>
  <si>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</si>
  <si>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</si>
  <si>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상수도공사, 사급자재비, 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</si>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</sst>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10192</v>
      </c>
      <c r="D7" s="36">
        <f>+C7/3.3058</f>
        <v>3083.0661262024319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830670</v>
      </c>
      <c r="E25" s="59">
        <f t="shared" si="0"/>
        <v>2746020</v>
      </c>
    </row>
    <row r="26" spans="1:5" x14ac:dyDescent="0.3">
      <c r="B26" s="2">
        <v>3</v>
      </c>
      <c r="C26" s="35" t="s">
        <v>95</v>
      </c>
      <c r="D26" s="45">
        <f>+D66</f>
        <v>9140</v>
      </c>
      <c r="E26" s="59">
        <f t="shared" si="0"/>
        <v>30210</v>
      </c>
    </row>
    <row r="27" spans="1:5" x14ac:dyDescent="0.3">
      <c r="B27" s="2">
        <v>4</v>
      </c>
      <c r="C27" s="35" t="s">
        <v>96</v>
      </c>
      <c r="D27" s="45">
        <f>+D95</f>
        <v>374390</v>
      </c>
      <c r="E27" s="59">
        <f t="shared" si="0"/>
        <v>1237650</v>
      </c>
    </row>
    <row r="28" spans="1:5" x14ac:dyDescent="0.3">
      <c r="B28" s="2">
        <v>5</v>
      </c>
      <c r="C28" s="35" t="s">
        <v>97</v>
      </c>
      <c r="D28" s="45">
        <f>+D119</f>
        <v>176220</v>
      </c>
      <c r="E28" s="59">
        <f t="shared" si="0"/>
        <v>582540</v>
      </c>
    </row>
    <row r="29" spans="1:5" x14ac:dyDescent="0.3">
      <c r="B29" s="2">
        <v>6</v>
      </c>
      <c r="C29" s="35" t="s">
        <v>98</v>
      </c>
      <c r="D29" s="45">
        <f>+D133</f>
        <v>159280</v>
      </c>
      <c r="E29" s="59">
        <f t="shared" si="0"/>
        <v>526540</v>
      </c>
    </row>
    <row r="30" spans="1:5" x14ac:dyDescent="0.3">
      <c r="B30" s="2">
        <v>7</v>
      </c>
      <c r="C30" s="35" t="s">
        <v>99</v>
      </c>
      <c r="D30" s="45">
        <f>+D146</f>
        <v>41950</v>
      </c>
      <c r="E30" s="59">
        <f t="shared" si="0"/>
        <v>138670</v>
      </c>
    </row>
    <row r="31" spans="1:5" x14ac:dyDescent="0.3">
      <c r="B31" s="2">
        <v>8</v>
      </c>
      <c r="C31" s="35" t="s">
        <v>100</v>
      </c>
      <c r="D31" s="45">
        <f>+D154</f>
        <v>27380</v>
      </c>
      <c r="E31" s="59">
        <f t="shared" si="0"/>
        <v>90510</v>
      </c>
    </row>
    <row r="32" spans="1:5" x14ac:dyDescent="0.3">
      <c r="B32" s="2">
        <v>9</v>
      </c>
      <c r="C32" s="35" t="s">
        <v>101</v>
      </c>
      <c r="D32" s="45">
        <f>+D161</f>
        <v>63170</v>
      </c>
      <c r="E32" s="59">
        <f t="shared" si="0"/>
        <v>208820</v>
      </c>
    </row>
    <row r="33" spans="1:7" x14ac:dyDescent="0.3">
      <c r="B33" s="2">
        <v>10</v>
      </c>
      <c r="C33" s="35" t="s">
        <v>154</v>
      </c>
      <c r="D33" s="53">
        <f>TRUNC(SUM(D24:D32)*0.275,-1)</f>
        <v>462600</v>
      </c>
      <c r="E33" s="60">
        <f t="shared" si="0"/>
        <v>1529260</v>
      </c>
    </row>
    <row r="34" spans="1:7" x14ac:dyDescent="0.3">
      <c r="C34" s="35" t="s">
        <v>112</v>
      </c>
      <c r="D34" s="44">
        <f>SUM(D24:D33)</f>
        <v>2144800</v>
      </c>
      <c r="E34" s="44">
        <f>SUM(E24:E33)</f>
        <v>7090220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TRUNC(52241,-1)</f>
        <v>52240</v>
      </c>
      <c r="E40" s="62">
        <f t="shared" ref="E40:E59" si="1">TRUNC(+D40*3.3058,-1)</f>
        <v>172690</v>
      </c>
    </row>
    <row r="41" spans="1:7" x14ac:dyDescent="0.3">
      <c r="A41" s="2">
        <v>2</v>
      </c>
      <c r="C41" s="38" t="s">
        <v>13</v>
      </c>
      <c r="D41" s="42">
        <v>126320</v>
      </c>
      <c r="E41" s="63">
        <f t="shared" si="1"/>
        <v>417580</v>
      </c>
    </row>
    <row r="42" spans="1:7" x14ac:dyDescent="0.3">
      <c r="A42" s="2">
        <v>3</v>
      </c>
      <c r="C42" s="38" t="s">
        <v>14</v>
      </c>
      <c r="D42" s="42">
        <f>TRUNC(286,-1)</f>
        <v>280</v>
      </c>
      <c r="E42" s="63">
        <f t="shared" si="1"/>
        <v>920</v>
      </c>
    </row>
    <row r="43" spans="1:7" x14ac:dyDescent="0.3">
      <c r="A43" s="2">
        <v>4</v>
      </c>
      <c r="C43" s="38" t="s">
        <v>16</v>
      </c>
      <c r="D43" s="42">
        <f>TRUNC(28718,-1)</f>
        <v>28710</v>
      </c>
      <c r="E43" s="63">
        <f t="shared" si="1"/>
        <v>94900</v>
      </c>
    </row>
    <row r="44" spans="1:7" x14ac:dyDescent="0.3">
      <c r="A44" s="2">
        <v>5</v>
      </c>
      <c r="C44" s="38" t="s">
        <v>17</v>
      </c>
      <c r="D44" s="42">
        <f>TRUNC(25382,-1)</f>
        <v>25380</v>
      </c>
      <c r="E44" s="63">
        <f t="shared" si="1"/>
        <v>83900</v>
      </c>
    </row>
    <row r="45" spans="1:7" x14ac:dyDescent="0.3">
      <c r="A45" s="2">
        <v>6</v>
      </c>
      <c r="C45" s="38" t="s">
        <v>18</v>
      </c>
      <c r="D45" s="42">
        <f>TRUNC(13119,-1)</f>
        <v>13110</v>
      </c>
      <c r="E45" s="63">
        <f t="shared" si="1"/>
        <v>43330</v>
      </c>
    </row>
    <row r="46" spans="1:7" x14ac:dyDescent="0.3">
      <c r="A46" s="2">
        <v>7</v>
      </c>
      <c r="C46" s="38" t="s">
        <v>19</v>
      </c>
      <c r="D46" s="42">
        <f>TRUNC(20775,-1)</f>
        <v>20770</v>
      </c>
      <c r="E46" s="63">
        <f t="shared" si="1"/>
        <v>68660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TRUNC(125287,-1)</f>
        <v>125280</v>
      </c>
      <c r="E48" s="63">
        <f t="shared" si="1"/>
        <v>414150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TRUNC(11735,-1)</f>
        <v>11730</v>
      </c>
      <c r="E49" s="63">
        <f t="shared" si="1"/>
        <v>38770</v>
      </c>
    </row>
    <row r="50" spans="1:7" x14ac:dyDescent="0.3">
      <c r="A50" s="2">
        <v>11</v>
      </c>
      <c r="C50" s="38" t="s">
        <v>155</v>
      </c>
      <c r="D50" s="42">
        <f>TRUNC(64441,-1)</f>
        <v>64440</v>
      </c>
      <c r="E50" s="63">
        <f t="shared" si="1"/>
        <v>213020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TRUNC(14889,-1)</f>
        <v>14880</v>
      </c>
      <c r="E52" s="63">
        <f t="shared" si="1"/>
        <v>49190</v>
      </c>
    </row>
    <row r="53" spans="1:7" x14ac:dyDescent="0.3">
      <c r="A53" s="2">
        <v>14</v>
      </c>
      <c r="C53" s="38" t="s">
        <v>25</v>
      </c>
      <c r="D53" s="42">
        <v>117450</v>
      </c>
      <c r="E53" s="63">
        <f t="shared" si="1"/>
        <v>388260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TRUNC(5331+1620-434+22816,-1)</f>
        <v>29330</v>
      </c>
      <c r="E58" s="63">
        <f t="shared" si="1"/>
        <v>96950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TRUNC(200754,-1)</f>
        <v>200750</v>
      </c>
      <c r="E59" s="64">
        <f t="shared" si="1"/>
        <v>663630</v>
      </c>
    </row>
    <row r="60" spans="1:7" x14ac:dyDescent="0.3">
      <c r="A60" s="2">
        <v>21</v>
      </c>
      <c r="C60" s="27" t="s">
        <v>112</v>
      </c>
      <c r="D60" s="39">
        <f>SUM(D40:D59)</f>
        <v>830670</v>
      </c>
      <c r="E60" s="39">
        <f>SUM(E40:E59)</f>
        <v>2745950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TRUNC(9146,-1)</f>
        <v>9140</v>
      </c>
      <c r="E63" s="62">
        <f>TRUNC(+D63*3.3058,-1)</f>
        <v>30210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9140</v>
      </c>
      <c r="E66" s="65">
        <f>SUM(E63:E65)</f>
        <v>30210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TRUNC(14249,-1)</f>
        <v>14240</v>
      </c>
      <c r="E69" s="62">
        <f t="shared" ref="E69:E94" si="2">TRUNC(+D69*3.3058,-1)</f>
        <v>47070</v>
      </c>
    </row>
    <row r="70" spans="1:7" ht="16.5" customHeight="1" x14ac:dyDescent="0.3">
      <c r="A70" s="2">
        <v>2</v>
      </c>
      <c r="C70" s="38" t="s">
        <v>31</v>
      </c>
      <c r="D70" s="42">
        <f>TRUNC(3181,-1)</f>
        <v>3180</v>
      </c>
      <c r="E70" s="63">
        <f t="shared" si="2"/>
        <v>10510</v>
      </c>
    </row>
    <row r="71" spans="1:7" x14ac:dyDescent="0.3">
      <c r="A71" s="2">
        <v>3</v>
      </c>
      <c r="C71" s="38" t="s">
        <v>32</v>
      </c>
      <c r="D71" s="42">
        <f>TRUNC(13655,-1)</f>
        <v>13650</v>
      </c>
      <c r="E71" s="63">
        <f t="shared" si="2"/>
        <v>45120</v>
      </c>
    </row>
    <row r="72" spans="1:7" x14ac:dyDescent="0.3">
      <c r="A72" s="2">
        <v>4</v>
      </c>
      <c r="C72" s="38" t="s">
        <v>33</v>
      </c>
      <c r="D72" s="42">
        <f>TRUNC(2241,-1)</f>
        <v>2240</v>
      </c>
      <c r="E72" s="63">
        <f t="shared" si="2"/>
        <v>7400</v>
      </c>
    </row>
    <row r="73" spans="1:7" x14ac:dyDescent="0.3">
      <c r="A73" s="2">
        <v>5</v>
      </c>
      <c r="C73" s="38" t="s">
        <v>34</v>
      </c>
      <c r="D73" s="42">
        <f>TRUNC(33511,-1)</f>
        <v>33510</v>
      </c>
      <c r="E73" s="63">
        <f t="shared" si="2"/>
        <v>110770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TRUNC(1912,-1)</f>
        <v>1910</v>
      </c>
      <c r="E90" s="63">
        <f t="shared" si="2"/>
        <v>6310</v>
      </c>
    </row>
    <row r="91" spans="1:7" x14ac:dyDescent="0.3">
      <c r="A91" s="2">
        <v>23</v>
      </c>
      <c r="C91" s="38" t="s">
        <v>37</v>
      </c>
      <c r="D91" s="42">
        <f>TRUNC(12884,-1)</f>
        <v>12880</v>
      </c>
      <c r="E91" s="63">
        <f t="shared" si="2"/>
        <v>42570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TRUNC(238225,-1)</f>
        <v>238220</v>
      </c>
      <c r="E93" s="63">
        <f t="shared" si="2"/>
        <v>787500</v>
      </c>
    </row>
    <row r="94" spans="1:7" ht="17.25" thickBot="1" x14ac:dyDescent="0.35">
      <c r="A94" s="2">
        <v>26</v>
      </c>
      <c r="C94" s="38" t="s">
        <v>47</v>
      </c>
      <c r="D94" s="43">
        <f>TRUNC(40367+267+13933,-1)</f>
        <v>54560</v>
      </c>
      <c r="E94" s="64">
        <f t="shared" si="2"/>
        <v>180360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374390</v>
      </c>
      <c r="E95" s="39">
        <f>SUM(E69:E94)</f>
        <v>1237610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TRUNC(11385,-1)</f>
        <v>11380</v>
      </c>
      <c r="E98" s="62">
        <f t="shared" ref="E98:E118" si="3">TRUNC(+D98*3.3058,-1)</f>
        <v>37620</v>
      </c>
    </row>
    <row r="99" spans="1:7" x14ac:dyDescent="0.3">
      <c r="A99" s="2">
        <v>2</v>
      </c>
      <c r="C99" s="38" t="s">
        <v>40</v>
      </c>
      <c r="D99" s="42">
        <f>TRUNC(15556,-1)</f>
        <v>15550</v>
      </c>
      <c r="E99" s="63">
        <f t="shared" si="3"/>
        <v>51400</v>
      </c>
    </row>
    <row r="100" spans="1:7" x14ac:dyDescent="0.3">
      <c r="A100" s="2">
        <v>3</v>
      </c>
      <c r="C100" s="38" t="s">
        <v>41</v>
      </c>
      <c r="D100" s="42">
        <f>TRUNC(37644,-1)</f>
        <v>37640</v>
      </c>
      <c r="E100" s="63">
        <f t="shared" si="3"/>
        <v>124430</v>
      </c>
    </row>
    <row r="101" spans="1:7" x14ac:dyDescent="0.3">
      <c r="A101" s="2">
        <v>4</v>
      </c>
      <c r="C101" s="38" t="s">
        <v>42</v>
      </c>
      <c r="D101" s="42">
        <f>TRUNC(583,-1)</f>
        <v>580</v>
      </c>
      <c r="E101" s="63">
        <f t="shared" si="3"/>
        <v>1910</v>
      </c>
    </row>
    <row r="102" spans="1:7" x14ac:dyDescent="0.3">
      <c r="A102" s="2">
        <v>5</v>
      </c>
      <c r="C102" s="38" t="s">
        <v>43</v>
      </c>
      <c r="D102" s="42">
        <f>TRUNC(14109,-1)</f>
        <v>14100</v>
      </c>
      <c r="E102" s="63">
        <f t="shared" si="3"/>
        <v>46610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TRUNC(3046,-1)</f>
        <v>3040</v>
      </c>
      <c r="E104" s="63">
        <f t="shared" si="3"/>
        <v>10040</v>
      </c>
    </row>
    <row r="105" spans="1:7" x14ac:dyDescent="0.3">
      <c r="A105" s="2">
        <v>8</v>
      </c>
      <c r="C105" s="38" t="s">
        <v>46</v>
      </c>
      <c r="D105" s="42">
        <f>TRUNC(2068,-1)</f>
        <v>2060</v>
      </c>
      <c r="E105" s="63">
        <f t="shared" si="3"/>
        <v>6800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TRUNC(4626,-1)</f>
        <v>4620</v>
      </c>
      <c r="E114" s="63">
        <f t="shared" si="3"/>
        <v>15270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TRUNC(3967,-1)</f>
        <v>3960</v>
      </c>
      <c r="E116" s="63">
        <f t="shared" si="3"/>
        <v>13090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TRUNC(81622,-1)</f>
        <v>81620</v>
      </c>
      <c r="E117" s="63">
        <f t="shared" si="3"/>
        <v>269810</v>
      </c>
    </row>
    <row r="118" spans="1:7" ht="17.25" thickBot="1" x14ac:dyDescent="0.35">
      <c r="A118" s="2">
        <v>21</v>
      </c>
      <c r="C118" s="38" t="s">
        <v>47</v>
      </c>
      <c r="D118" s="43">
        <f>TRUNC(1553+123,-1)</f>
        <v>1670</v>
      </c>
      <c r="E118" s="64">
        <f t="shared" si="3"/>
        <v>5520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176220</v>
      </c>
      <c r="E119" s="39">
        <f>SUM(E98:E118)</f>
        <v>582500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TRUNC(8479,-1)</f>
        <v>8470</v>
      </c>
      <c r="E122" s="62">
        <f t="shared" ref="E122:E132" si="4">TRUNC(+D122*3.3058,-1)</f>
        <v>28000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1560</v>
      </c>
      <c r="E124" s="63">
        <f t="shared" si="4"/>
        <v>5150</v>
      </c>
    </row>
    <row r="125" spans="1:7" x14ac:dyDescent="0.3">
      <c r="A125" s="2">
        <v>4</v>
      </c>
      <c r="C125" s="38" t="s">
        <v>138</v>
      </c>
      <c r="D125" s="42">
        <f>TRUNC(6352,-1)</f>
        <v>6350</v>
      </c>
      <c r="E125" s="63">
        <f t="shared" si="4"/>
        <v>20990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TRUNC(7076,-1)</f>
        <v>7070</v>
      </c>
      <c r="E127" s="63">
        <f t="shared" si="4"/>
        <v>23370</v>
      </c>
    </row>
    <row r="128" spans="1:7" x14ac:dyDescent="0.3">
      <c r="A128" s="2">
        <v>7</v>
      </c>
      <c r="C128" s="38" t="s">
        <v>46</v>
      </c>
      <c r="D128" s="42">
        <f>TRUNC(2908,-1)</f>
        <v>2900</v>
      </c>
      <c r="E128" s="63">
        <f t="shared" si="4"/>
        <v>9580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TRUNC(30683,-1)</f>
        <v>30680</v>
      </c>
      <c r="E130" s="63">
        <f t="shared" si="4"/>
        <v>101420</v>
      </c>
    </row>
    <row r="131" spans="1:7" x14ac:dyDescent="0.3">
      <c r="A131" s="2">
        <v>10</v>
      </c>
      <c r="C131" s="38" t="s">
        <v>148</v>
      </c>
      <c r="D131" s="42">
        <f>TRUNC(95687,-1)</f>
        <v>95680</v>
      </c>
      <c r="E131" s="63">
        <f t="shared" si="4"/>
        <v>316290</v>
      </c>
    </row>
    <row r="132" spans="1:7" ht="18" thickBot="1" x14ac:dyDescent="0.35">
      <c r="A132" s="2">
        <v>11</v>
      </c>
      <c r="C132" s="38" t="s">
        <v>47</v>
      </c>
      <c r="D132" s="43">
        <f>TRUNC(5136+172+1271,-1)</f>
        <v>6570</v>
      </c>
      <c r="E132" s="64">
        <f t="shared" si="4"/>
        <v>21710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159280</v>
      </c>
      <c r="E133" s="39">
        <f>SUM(E122:E132)</f>
        <v>526510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TRUNC(166+1922+135,-1)</f>
        <v>2220</v>
      </c>
      <c r="E137" s="63">
        <f t="shared" si="5"/>
        <v>7330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TRUNC(1751,-1)</f>
        <v>1750</v>
      </c>
      <c r="E139" s="63">
        <f t="shared" si="5"/>
        <v>5780</v>
      </c>
    </row>
    <row r="140" spans="1:7" x14ac:dyDescent="0.3">
      <c r="A140" s="2">
        <v>5</v>
      </c>
      <c r="C140" s="38" t="s">
        <v>57</v>
      </c>
      <c r="D140" s="42">
        <f>TRUNC(1139,-1)</f>
        <v>1130</v>
      </c>
      <c r="E140" s="63">
        <f t="shared" si="5"/>
        <v>3730</v>
      </c>
    </row>
    <row r="141" spans="1:7" x14ac:dyDescent="0.3">
      <c r="A141" s="2">
        <v>6</v>
      </c>
      <c r="C141" s="38" t="s">
        <v>59</v>
      </c>
      <c r="D141" s="42">
        <f>TRUNC(13858,-1)</f>
        <v>13850</v>
      </c>
      <c r="E141" s="63">
        <f t="shared" si="5"/>
        <v>45780</v>
      </c>
    </row>
    <row r="142" spans="1:7" x14ac:dyDescent="0.3">
      <c r="A142" s="2">
        <v>7</v>
      </c>
      <c r="C142" s="38" t="s">
        <v>58</v>
      </c>
      <c r="D142" s="42">
        <f>TRUNC(5354,-1)</f>
        <v>5350</v>
      </c>
      <c r="E142" s="63">
        <f t="shared" si="5"/>
        <v>17680</v>
      </c>
    </row>
    <row r="143" spans="1:7" x14ac:dyDescent="0.3">
      <c r="A143" s="2">
        <v>8</v>
      </c>
      <c r="C143" s="38" t="s">
        <v>62</v>
      </c>
      <c r="D143" s="42">
        <f>TRUNC(3355,-1)</f>
        <v>3350</v>
      </c>
      <c r="E143" s="63">
        <f t="shared" si="5"/>
        <v>11070</v>
      </c>
    </row>
    <row r="144" spans="1:7" x14ac:dyDescent="0.3">
      <c r="A144" s="2">
        <v>9</v>
      </c>
      <c r="C144" s="38" t="s">
        <v>63</v>
      </c>
      <c r="D144" s="42">
        <f>TRUNC(14303,-1)</f>
        <v>14300</v>
      </c>
      <c r="E144" s="63">
        <f t="shared" si="5"/>
        <v>47270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41950</v>
      </c>
      <c r="E146" s="39">
        <f>SUM(E136:E145)</f>
        <v>138640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TRUNC(8114+1457,-1)</f>
        <v>9570</v>
      </c>
      <c r="E149" s="62">
        <f>TRUNC(+D149*3.3058,-1)</f>
        <v>31630</v>
      </c>
    </row>
    <row r="150" spans="1:7" x14ac:dyDescent="0.3">
      <c r="A150" s="2">
        <v>2</v>
      </c>
      <c r="C150" s="38" t="s">
        <v>49</v>
      </c>
      <c r="D150" s="42">
        <f>TRUNC(3773,-1)</f>
        <v>3770</v>
      </c>
      <c r="E150" s="63">
        <f>TRUNC(+D150*3.3058,-1)</f>
        <v>12460</v>
      </c>
    </row>
    <row r="151" spans="1:7" x14ac:dyDescent="0.3">
      <c r="A151" s="2">
        <v>3</v>
      </c>
      <c r="C151" s="38" t="s">
        <v>50</v>
      </c>
      <c r="D151" s="42">
        <v>3220</v>
      </c>
      <c r="E151" s="63">
        <f>TRUNC(+D151*3.3058,-1)</f>
        <v>10640</v>
      </c>
    </row>
    <row r="152" spans="1:7" x14ac:dyDescent="0.3">
      <c r="A152" s="2">
        <v>4</v>
      </c>
      <c r="C152" s="38" t="s">
        <v>47</v>
      </c>
      <c r="D152" s="42">
        <f>TRUNC(357+9356+236+872,-1)</f>
        <v>10820</v>
      </c>
      <c r="E152" s="63">
        <f>TRUNC(+D152*3.3058,-1)</f>
        <v>35760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27380</v>
      </c>
      <c r="E154" s="39">
        <f>SUM(E149:E153)</f>
        <v>90490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TRUNC(37928,-1)</f>
        <v>37920</v>
      </c>
      <c r="E157" s="62">
        <f>TRUNC(+D157*3.3058,-1)</f>
        <v>125350</v>
      </c>
    </row>
    <row r="158" spans="1:7" x14ac:dyDescent="0.3">
      <c r="A158" s="2">
        <v>2</v>
      </c>
      <c r="C158" s="38" t="s">
        <v>52</v>
      </c>
      <c r="D158" s="42">
        <f>TRUNC(10014,-1)</f>
        <v>10010</v>
      </c>
      <c r="E158" s="63">
        <f>TRUNC(+D158*3.3058,-1)</f>
        <v>33090</v>
      </c>
    </row>
    <row r="159" spans="1:7" x14ac:dyDescent="0.3">
      <c r="A159" s="2">
        <v>3</v>
      </c>
      <c r="C159" s="38" t="s">
        <v>47</v>
      </c>
      <c r="D159" s="42">
        <f>TRUNC(13763+1478,-1)</f>
        <v>15240</v>
      </c>
      <c r="E159" s="63">
        <f>TRUNC(+D159*3.3058,-1)</f>
        <v>50380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63170</v>
      </c>
      <c r="E161" s="39">
        <f>SUM(E156:E160)</f>
        <v>208820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2020-12-08T01:43:01Z</dcterms:modified>
</cp:coreProperties>
</file>