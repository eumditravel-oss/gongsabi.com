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51" i="4" l="1"/>
  <c r="E150" i="4"/>
  <c r="E149" i="4"/>
  <c r="E141" i="4"/>
  <c r="E140" i="4"/>
  <c r="E139" i="4"/>
  <c r="E138" i="4"/>
  <c r="E137" i="4"/>
  <c r="E136" i="4"/>
  <c r="E128" i="4"/>
  <c r="E127" i="4"/>
  <c r="E126" i="4"/>
  <c r="E123" i="4"/>
  <c r="E118" i="4"/>
  <c r="E115" i="4"/>
  <c r="E114" i="4"/>
  <c r="E113" i="4"/>
  <c r="E112" i="4"/>
  <c r="E110" i="4"/>
  <c r="E109" i="4"/>
  <c r="E108" i="4"/>
  <c r="E107" i="4"/>
  <c r="E106" i="4"/>
  <c r="E101" i="4"/>
  <c r="E90" i="4"/>
  <c r="E88" i="4"/>
  <c r="E87" i="4"/>
  <c r="E86" i="4"/>
  <c r="E85" i="4"/>
  <c r="E83" i="4"/>
  <c r="E82" i="4"/>
  <c r="E81" i="4"/>
  <c r="E80" i="4"/>
  <c r="E79" i="4"/>
  <c r="E78" i="4"/>
  <c r="E77" i="4"/>
  <c r="E74" i="4"/>
  <c r="E72" i="4"/>
  <c r="E65" i="4"/>
  <c r="E64" i="4"/>
  <c r="E63" i="4"/>
  <c r="E66" i="4" s="1"/>
  <c r="E57" i="4"/>
  <c r="E56" i="4"/>
  <c r="E55" i="4"/>
  <c r="E54" i="4"/>
  <c r="E50" i="4"/>
  <c r="E47" i="4"/>
  <c r="E42" i="4"/>
  <c r="E37" i="4"/>
  <c r="D160" i="4" l="1"/>
  <c r="E160" i="4" s="1"/>
  <c r="D159" i="4"/>
  <c r="E159" i="4" s="1"/>
  <c r="D158" i="4"/>
  <c r="E158" i="4" s="1"/>
  <c r="D157" i="4"/>
  <c r="D153" i="4"/>
  <c r="D152" i="4"/>
  <c r="E152" i="4" s="1"/>
  <c r="D145" i="4"/>
  <c r="E145" i="4" s="1"/>
  <c r="D144" i="4"/>
  <c r="E144" i="4" s="1"/>
  <c r="D143" i="4"/>
  <c r="E143" i="4" s="1"/>
  <c r="D142" i="4"/>
  <c r="D132" i="4"/>
  <c r="E132" i="4" s="1"/>
  <c r="D131" i="4"/>
  <c r="E131" i="4" s="1"/>
  <c r="D130" i="4"/>
  <c r="E130" i="4" s="1"/>
  <c r="D129" i="4"/>
  <c r="E129" i="4" s="1"/>
  <c r="D125" i="4"/>
  <c r="D124" i="4"/>
  <c r="E124" i="4" s="1"/>
  <c r="D122" i="4"/>
  <c r="E122" i="4" s="1"/>
  <c r="D117" i="4"/>
  <c r="E117" i="4" s="1"/>
  <c r="D116" i="4"/>
  <c r="E116" i="4" s="1"/>
  <c r="D111" i="4"/>
  <c r="E111" i="4" s="1"/>
  <c r="D105" i="4"/>
  <c r="E105" i="4" s="1"/>
  <c r="D104" i="4"/>
  <c r="E104" i="4" s="1"/>
  <c r="D103" i="4"/>
  <c r="E103" i="4" s="1"/>
  <c r="D102" i="4"/>
  <c r="E102" i="4" s="1"/>
  <c r="D100" i="4"/>
  <c r="E100" i="4" s="1"/>
  <c r="D99" i="4"/>
  <c r="D98" i="4"/>
  <c r="E98" i="4" s="1"/>
  <c r="D94" i="4"/>
  <c r="E94" i="4" s="1"/>
  <c r="D93" i="4"/>
  <c r="E93" i="4" s="1"/>
  <c r="D92" i="4"/>
  <c r="E92" i="4" s="1"/>
  <c r="D91" i="4"/>
  <c r="E91" i="4" s="1"/>
  <c r="D89" i="4"/>
  <c r="E89" i="4" s="1"/>
  <c r="D84" i="4"/>
  <c r="E84" i="4" s="1"/>
  <c r="D76" i="4"/>
  <c r="E76" i="4" s="1"/>
  <c r="D75" i="4"/>
  <c r="E75" i="4" s="1"/>
  <c r="D73" i="4"/>
  <c r="E73" i="4" s="1"/>
  <c r="D71" i="4"/>
  <c r="E71" i="4" s="1"/>
  <c r="D70" i="4"/>
  <c r="E70" i="4" s="1"/>
  <c r="D69" i="4"/>
  <c r="D66" i="4"/>
  <c r="D26" i="4" s="1"/>
  <c r="E26" i="4" s="1"/>
  <c r="D59" i="4"/>
  <c r="E59" i="4" s="1"/>
  <c r="D58" i="4"/>
  <c r="E58" i="4" s="1"/>
  <c r="D53" i="4"/>
  <c r="E53" i="4" s="1"/>
  <c r="D52" i="4"/>
  <c r="E52" i="4" s="1"/>
  <c r="D51" i="4"/>
  <c r="E51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1" i="4"/>
  <c r="D40" i="4"/>
  <c r="E40" i="4" s="1"/>
  <c r="D24" i="4"/>
  <c r="E24" i="4" s="1"/>
  <c r="D7" i="4"/>
  <c r="E154" i="4" l="1"/>
  <c r="D119" i="4"/>
  <c r="D28" i="4" s="1"/>
  <c r="E28" i="4" s="1"/>
  <c r="E99" i="4"/>
  <c r="E119" i="4" s="1"/>
  <c r="D146" i="4"/>
  <c r="D30" i="4" s="1"/>
  <c r="E30" i="4" s="1"/>
  <c r="E142" i="4"/>
  <c r="E146" i="4" s="1"/>
  <c r="D154" i="4"/>
  <c r="D31" i="4" s="1"/>
  <c r="E31" i="4" s="1"/>
  <c r="E153" i="4"/>
  <c r="D60" i="4"/>
  <c r="D25" i="4" s="1"/>
  <c r="E25" i="4" s="1"/>
  <c r="E41" i="4"/>
  <c r="E60" i="4" s="1"/>
  <c r="D161" i="4"/>
  <c r="D32" i="4" s="1"/>
  <c r="E32" i="4" s="1"/>
  <c r="E157" i="4"/>
  <c r="E161" i="4" s="1"/>
  <c r="D95" i="4"/>
  <c r="D27" i="4" s="1"/>
  <c r="E27" i="4" s="1"/>
  <c r="E69" i="4"/>
  <c r="E95" i="4" s="1"/>
  <c r="D133" i="4"/>
  <c r="D29" i="4" s="1"/>
  <c r="E29" i="4" s="1"/>
  <c r="E125" i="4"/>
  <c r="E133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l="1"/>
  <c r="E34" i="4" s="1"/>
  <c r="D34" i="4"/>
</calcChain>
</file>

<file path=xl/sharedStrings.xml><?xml version="1.0" encoding="utf-8"?>
<sst xmlns="http://schemas.openxmlformats.org/spreadsheetml/2006/main" count="387" uniqueCount="261">
  <si>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</si>
  <si>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</si>
  <si>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</si>
  <si>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</si>
  <si>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</si>
  <si>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</si>
  <si>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</si>
  <si>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</si>
  <si>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</si>
  <si>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</si>
  <si>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</si>
  <si>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</si>
  <si>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</si>
  <si>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</si>
  <si>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</si>
  <si>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</si>
  <si>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</si>
  <si>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</si>
  <si>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</si>
  <si>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</si>
  <si>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</si>
  <si>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</si>
  <si>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</si>
  <si>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</si>
  <si>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</si>
  <si>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</si>
  <si>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</si>
  <si>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</si>
  <si>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</si>
  <si>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</si>
  <si>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</si>
  <si>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</si>
  <si>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</si>
  <si>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</si>
  <si>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</si>
  <si>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</si>
  <si>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</si>
  <si>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</si>
  <si>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</si>
  <si>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</si>
  <si>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</si>
  <si>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</si>
  <si>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</si>
  <si>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</si>
  <si>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</si>
  <si>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</si>
  <si>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</si>
  <si>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</si>
  <si>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</si>
  <si>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</si>
  <si>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</si>
  <si>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</si>
  <si>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</si>
  <si>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</si>
  <si>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</si>
  <si>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</si>
  <si>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</si>
  <si>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</si>
  <si>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</si>
  <si>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</si>
  <si>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</si>
  <si>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</si>
  <si>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</si>
  <si>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</si>
  <si>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</si>
  <si>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</si>
  <si>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</si>
  <si>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</si>
  <si>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</si>
  <si>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</si>
  <si>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</si>
  <si>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</si>
  <si>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</si>
  <si>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</si>
  <si>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</si>
  <si>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</si>
  <si>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</si>
  <si>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</si>
  <si>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</si>
  <si>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</si>
  <si>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</si>
  <si>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</si>
  <si>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</si>
  <si>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</si>
  <si>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</si>
  <si>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</si>
  <si>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</si>
  <si>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</si>
  <si>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</si>
  <si>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</si>
  <si>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</si>
  <si>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</si>
  <si>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</si>
  <si>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</si>
  <si>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</si>
  <si>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</si>
  <si>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</si>
  <si>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</si>
  <si>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</si>
  <si>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</si>
  <si>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</si>
  <si>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</si>
  <si>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</si>
  <si>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</si>
  <si>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</si>
  <si>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</si>
  <si>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</si>
  <si>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</si>
  <si>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</si>
  <si>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</si>
  <si>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</si>
  <si>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</si>
  <si>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</si>
  <si>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</si>
  <si>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</si>
  <si>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</si>
  <si>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</si>
  <si>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</si>
  <si>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</si>
  <si>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</si>
  <si>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</si>
  <si>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</si>
  <si>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</si>
  <si>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</si>
  <si>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</si>
  <si>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</si>
  <si>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</si>
  <si>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</si>
  <si>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</si>
  <si>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</si>
  <si>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</si>
  <si>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</si>
  <si>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</si>
  <si>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</si>
  <si>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</si>
  <si>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</si>
  <si>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</si>
  <si>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</si>
  <si>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</si>
  <si>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</si>
  <si>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</si>
  <si>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</si>
  <si>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</si>
  <si>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</si>
  <si>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</si>
  <si>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</si>
  <si>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</si>
  <si>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</si>
  <si>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</si>
  <si>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</si>
  <si>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</si>
  <si>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</si>
  <si>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</si>
  <si>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</si>
  <si>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</si>
  <si>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</si>
  <si>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</si>
  <si>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</si>
  <si>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</si>
  <si>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</si>
  <si>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</si>
  <si>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</si>
  <si>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</si>
  <si>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</si>
  <si>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</si>
  <si>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</si>
  <si>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</si>
  <si>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</si>
  <si>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</si>
  <si>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</si>
  <si>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</si>
  <si>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</si>
  <si>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</si>
  <si>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</si>
  <si>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</si>
  <si>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</si>
  <si>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</si>
  <si>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</si>
  <si>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</si>
  <si>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</si>
  <si>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</si>
  <si>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</si>
  <si>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</si>
  <si>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</si>
  <si>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</si>
  <si>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</si>
  <si>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</si>
  <si>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</si>
  <si>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</si>
  <si>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</si>
  <si>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</si>
  <si>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</si>
  <si>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</si>
  <si>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</si>
  <si>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</si>
  <si>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</si>
  <si>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</si>
  <si>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</si>
  <si>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</si>
  <si>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</si>
  <si>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</si>
  <si>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</si>
  <si>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</si>
  <si>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</si>
  <si>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</si>
  <si>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</si>
  <si>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</si>
  <si>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</si>
  <si>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</si>
  <si>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</si>
  <si>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</si>
  <si>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</si>
  <si>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</si>
  <si>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</si>
  <si>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</si>
  <si>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</si>
  <si>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</si>
  <si>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</si>
  <si>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</si>
  <si>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</si>
  <si>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</si>
  <si>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</si>
  <si>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</si>
  <si>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</si>
  <si>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</si>
  <si>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</si>
  <si>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</si>
  <si>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</si>
  <si>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</si>
  <si>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</si>
  <si>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</si>
  <si>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</si>
  <si>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</si>
  <si>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</si>
  <si>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</si>
  <si>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</si>
  <si>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</si>
  <si>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</si>
  <si>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</si>
  <si>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</si>
  <si>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</si>
  <si>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</si>
  <si>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</si>
  <si>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</si>
  <si>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</si>
  <si>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</si>
  <si>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</si>
  <si>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</si>
  <si>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고용노동부창원지청 신청사 신축공사(건축분야)</t>
    <phoneticPr fontId="2" type="noConversion"/>
  </si>
  <si>
    <t>경상도</t>
  </si>
  <si>
    <t>골재비 및 운반비,작업부산물, 품질시험비,기타공사</t>
    <phoneticPr fontId="2" type="noConversion"/>
  </si>
  <si>
    <t>바닥난방공사</t>
    <phoneticPr fontId="2" type="noConversion"/>
  </si>
  <si>
    <t>CCTV설비공사,주차관제설비공사</t>
    <phoneticPr fontId="2" type="noConversion"/>
  </si>
  <si>
    <t>토목 운반비, 토목기타항목</t>
    <phoneticPr fontId="2" type="noConversion"/>
  </si>
  <si>
    <t>토목 관급자재비</t>
    <phoneticPr fontId="2" type="noConversion"/>
  </si>
  <si>
    <t>포장공사, 기타공사</t>
    <phoneticPr fontId="2" type="noConversion"/>
  </si>
  <si>
    <t>원/ m2</t>
    <phoneticPr fontId="2" type="noConversion"/>
  </si>
  <si>
    <t>원/ m2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</si>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</sst>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8" t="s">
        <v>155</v>
      </c>
      <c r="B2" s="71" t="s">
        <v>0</v>
      </c>
      <c r="C2" s="72"/>
      <c r="D2" s="71" t="s">
        <v>1</v>
      </c>
      <c r="E2" s="72"/>
      <c r="F2" s="71" t="s">
        <v>156</v>
      </c>
      <c r="G2" s="72"/>
      <c r="H2" s="71" t="s">
        <v>2</v>
      </c>
      <c r="I2" s="72"/>
      <c r="J2" s="71" t="s">
        <v>3</v>
      </c>
      <c r="K2" s="72"/>
      <c r="L2" s="71" t="s">
        <v>157</v>
      </c>
      <c r="M2" s="72"/>
      <c r="N2" s="71" t="s">
        <v>158</v>
      </c>
      <c r="O2" s="72"/>
      <c r="P2" s="71" t="s">
        <v>5</v>
      </c>
      <c r="Q2" s="72"/>
      <c r="R2" s="65" t="s">
        <v>94</v>
      </c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7"/>
    </row>
    <row r="3" spans="1:33" x14ac:dyDescent="0.3">
      <c r="A3" s="69"/>
      <c r="B3" s="73"/>
      <c r="C3" s="74"/>
      <c r="D3" s="73"/>
      <c r="E3" s="74"/>
      <c r="F3" s="73"/>
      <c r="G3" s="74"/>
      <c r="H3" s="73"/>
      <c r="I3" s="74"/>
      <c r="J3" s="73"/>
      <c r="K3" s="74"/>
      <c r="L3" s="73"/>
      <c r="M3" s="74"/>
      <c r="N3" s="73"/>
      <c r="O3" s="74"/>
      <c r="P3" s="73"/>
      <c r="Q3" s="74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0"/>
      <c r="B4" s="75"/>
      <c r="C4" s="76"/>
      <c r="D4" s="75"/>
      <c r="E4" s="76"/>
      <c r="F4" s="75"/>
      <c r="G4" s="76"/>
      <c r="H4" s="75"/>
      <c r="I4" s="76"/>
      <c r="J4" s="75"/>
      <c r="K4" s="76"/>
      <c r="L4" s="75"/>
      <c r="M4" s="76"/>
      <c r="N4" s="75"/>
      <c r="O4" s="76"/>
      <c r="P4" s="75"/>
      <c r="Q4" s="76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3548.47</v>
      </c>
      <c r="D7" s="36">
        <f>+C7/3.3058</f>
        <v>1073.4073446669488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858800</v>
      </c>
      <c r="E25" s="59">
        <f t="shared" si="0"/>
        <v>2839020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228710</v>
      </c>
      <c r="E27" s="59">
        <f t="shared" si="0"/>
        <v>756060</v>
      </c>
    </row>
    <row r="28" spans="1:5" x14ac:dyDescent="0.3">
      <c r="B28" s="2">
        <v>5</v>
      </c>
      <c r="C28" s="35" t="s">
        <v>97</v>
      </c>
      <c r="D28" s="45">
        <f>+D119</f>
        <v>318450</v>
      </c>
      <c r="E28" s="59">
        <f t="shared" si="0"/>
        <v>1052730</v>
      </c>
    </row>
    <row r="29" spans="1:5" x14ac:dyDescent="0.3">
      <c r="B29" s="2">
        <v>6</v>
      </c>
      <c r="C29" s="35" t="s">
        <v>98</v>
      </c>
      <c r="D29" s="45">
        <f>+D133</f>
        <v>79440</v>
      </c>
      <c r="E29" s="59">
        <f t="shared" si="0"/>
        <v>262610</v>
      </c>
    </row>
    <row r="30" spans="1:5" x14ac:dyDescent="0.3">
      <c r="B30" s="2">
        <v>7</v>
      </c>
      <c r="C30" s="35" t="s">
        <v>99</v>
      </c>
      <c r="D30" s="45">
        <f>+D146</f>
        <v>46130</v>
      </c>
      <c r="E30" s="59">
        <f t="shared" si="0"/>
        <v>152490</v>
      </c>
    </row>
    <row r="31" spans="1:5" x14ac:dyDescent="0.3">
      <c r="B31" s="2">
        <v>8</v>
      </c>
      <c r="C31" s="35" t="s">
        <v>100</v>
      </c>
      <c r="D31" s="45">
        <f>+D154</f>
        <v>108710</v>
      </c>
      <c r="E31" s="59">
        <f t="shared" si="0"/>
        <v>359370</v>
      </c>
    </row>
    <row r="32" spans="1:5" x14ac:dyDescent="0.3">
      <c r="B32" s="2">
        <v>9</v>
      </c>
      <c r="C32" s="35" t="s">
        <v>101</v>
      </c>
      <c r="D32" s="45">
        <f>+D161</f>
        <v>18540</v>
      </c>
      <c r="E32" s="59">
        <f t="shared" si="0"/>
        <v>61280</v>
      </c>
    </row>
    <row r="33" spans="1:7" x14ac:dyDescent="0.3">
      <c r="B33" s="2">
        <v>10</v>
      </c>
      <c r="C33" s="35" t="s">
        <v>153</v>
      </c>
      <c r="D33" s="53">
        <f>TRUNC(SUM(D24:D32)*0.275,-1)</f>
        <v>456160</v>
      </c>
      <c r="E33" s="60">
        <f t="shared" si="0"/>
        <v>1507970</v>
      </c>
    </row>
    <row r="34" spans="1:7" x14ac:dyDescent="0.3">
      <c r="C34" s="35" t="s">
        <v>112</v>
      </c>
      <c r="D34" s="44">
        <f>SUM(D24:D33)</f>
        <v>2114940</v>
      </c>
      <c r="E34" s="44">
        <f>SUM(E24:E33)</f>
        <v>6991530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237</v>
      </c>
      <c r="D36" s="56" t="s">
        <v>256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5" customFormat="1" x14ac:dyDescent="0.3">
      <c r="C38" s="56"/>
      <c r="D38" s="56"/>
      <c r="E38" s="56"/>
      <c r="G38" s="54"/>
    </row>
    <row r="39" spans="1:7" s="55" customFormat="1" ht="17.25" thickBot="1" x14ac:dyDescent="0.35">
      <c r="B39" s="55" t="s">
        <v>6</v>
      </c>
      <c r="C39" s="55" t="s">
        <v>237</v>
      </c>
      <c r="D39" s="56" t="s">
        <v>257</v>
      </c>
      <c r="E39" s="56" t="s">
        <v>235</v>
      </c>
      <c r="G39" s="54"/>
    </row>
    <row r="40" spans="1:7" x14ac:dyDescent="0.3">
      <c r="A40" s="2">
        <v>1</v>
      </c>
      <c r="C40" s="38" t="s">
        <v>15</v>
      </c>
      <c r="D40" s="40">
        <f>TRUNC(58765,-1)</f>
        <v>58760</v>
      </c>
      <c r="E40" s="62">
        <f t="shared" ref="E40:E59" si="1">TRUNC(+D40*3.3058,-1)</f>
        <v>194240</v>
      </c>
    </row>
    <row r="41" spans="1:7" x14ac:dyDescent="0.3">
      <c r="A41" s="2">
        <v>2</v>
      </c>
      <c r="C41" s="38" t="s">
        <v>13</v>
      </c>
      <c r="D41" s="42">
        <f>TRUNC(193327,-1)</f>
        <v>193320</v>
      </c>
      <c r="E41" s="63">
        <f t="shared" si="1"/>
        <v>639070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TRUNC(11024,-1)</f>
        <v>11020</v>
      </c>
      <c r="E43" s="63">
        <f t="shared" si="1"/>
        <v>36420</v>
      </c>
    </row>
    <row r="44" spans="1:7" x14ac:dyDescent="0.3">
      <c r="A44" s="2">
        <v>5</v>
      </c>
      <c r="C44" s="38" t="s">
        <v>17</v>
      </c>
      <c r="D44" s="42">
        <f>TRUNC(35874,-1)</f>
        <v>35870</v>
      </c>
      <c r="E44" s="63">
        <f t="shared" si="1"/>
        <v>118570</v>
      </c>
    </row>
    <row r="45" spans="1:7" x14ac:dyDescent="0.3">
      <c r="A45" s="2">
        <v>6</v>
      </c>
      <c r="C45" s="38" t="s">
        <v>18</v>
      </c>
      <c r="D45" s="42">
        <f>TRUNC(6815,-1)</f>
        <v>6810</v>
      </c>
      <c r="E45" s="63">
        <f t="shared" si="1"/>
        <v>22510</v>
      </c>
    </row>
    <row r="46" spans="1:7" x14ac:dyDescent="0.3">
      <c r="A46" s="2">
        <v>7</v>
      </c>
      <c r="C46" s="38" t="s">
        <v>19</v>
      </c>
      <c r="D46" s="42">
        <f>TRUNC(38654,-1)</f>
        <v>38650</v>
      </c>
      <c r="E46" s="63">
        <f t="shared" si="1"/>
        <v>127760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TRUNC(43745,-1)</f>
        <v>43740</v>
      </c>
      <c r="E48" s="63">
        <f t="shared" si="1"/>
        <v>144590</v>
      </c>
    </row>
    <row r="49" spans="1:7" x14ac:dyDescent="0.3">
      <c r="A49" s="2">
        <v>10</v>
      </c>
      <c r="C49" s="38" t="s">
        <v>22</v>
      </c>
      <c r="D49" s="42">
        <f>TRUNC(19158,-1)</f>
        <v>19150</v>
      </c>
      <c r="E49" s="63">
        <f t="shared" si="1"/>
        <v>63300</v>
      </c>
    </row>
    <row r="50" spans="1:7" x14ac:dyDescent="0.3">
      <c r="A50" s="2">
        <v>11</v>
      </c>
      <c r="C50" s="38" t="s">
        <v>154</v>
      </c>
      <c r="D50" s="42"/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f>TRUNC(53413,-1)</f>
        <v>53410</v>
      </c>
      <c r="E51" s="63">
        <f t="shared" si="1"/>
        <v>176560</v>
      </c>
    </row>
    <row r="52" spans="1:7" x14ac:dyDescent="0.3">
      <c r="A52" s="2">
        <v>13</v>
      </c>
      <c r="C52" s="38" t="s">
        <v>24</v>
      </c>
      <c r="D52" s="42">
        <f>TRUNC(13213,-1)</f>
        <v>13210</v>
      </c>
      <c r="E52" s="63">
        <f t="shared" si="1"/>
        <v>43660</v>
      </c>
    </row>
    <row r="53" spans="1:7" x14ac:dyDescent="0.3">
      <c r="A53" s="2">
        <v>14</v>
      </c>
      <c r="C53" s="38" t="s">
        <v>25</v>
      </c>
      <c r="D53" s="42">
        <f>TRUNC(74146,-1)</f>
        <v>74140</v>
      </c>
      <c r="E53" s="63">
        <f t="shared" si="1"/>
        <v>245090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TRUNC(5957-1025+6234+7473,-1)</f>
        <v>18630</v>
      </c>
      <c r="E58" s="63">
        <f t="shared" si="1"/>
        <v>61580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f>TRUNC(292095,-1)</f>
        <v>292090</v>
      </c>
      <c r="E59" s="64">
        <f t="shared" si="1"/>
        <v>965590</v>
      </c>
    </row>
    <row r="60" spans="1:7" x14ac:dyDescent="0.3">
      <c r="A60" s="2">
        <v>21</v>
      </c>
      <c r="C60" s="27" t="s">
        <v>112</v>
      </c>
      <c r="D60" s="39">
        <f>SUM(D40:D59)</f>
        <v>858800</v>
      </c>
      <c r="E60" s="39">
        <f>SUM(E40:E59)</f>
        <v>2838940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238</v>
      </c>
      <c r="C62" s="55" t="s">
        <v>239</v>
      </c>
      <c r="D62" s="56" t="s">
        <v>256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0</v>
      </c>
      <c r="E66" s="57">
        <f>SUM(E63:E65)</f>
        <v>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240</v>
      </c>
      <c r="C68" s="55" t="s">
        <v>241</v>
      </c>
      <c r="D68" s="56" t="s">
        <v>256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TRUNC(6712,-1)</f>
        <v>6710</v>
      </c>
      <c r="E69" s="62">
        <f t="shared" ref="E69:E94" si="2">TRUNC(+D69*3.3058,-1)</f>
        <v>22180</v>
      </c>
    </row>
    <row r="70" spans="1:7" ht="16.5" customHeight="1" x14ac:dyDescent="0.3">
      <c r="A70" s="2">
        <v>2</v>
      </c>
      <c r="C70" s="38" t="s">
        <v>31</v>
      </c>
      <c r="D70" s="42">
        <f>TRUNC(985,-1)</f>
        <v>980</v>
      </c>
      <c r="E70" s="63">
        <f t="shared" si="2"/>
        <v>3230</v>
      </c>
    </row>
    <row r="71" spans="1:7" x14ac:dyDescent="0.3">
      <c r="A71" s="2">
        <v>3</v>
      </c>
      <c r="C71" s="38" t="s">
        <v>32</v>
      </c>
      <c r="D71" s="42">
        <f>TRUNC(12674,-1)</f>
        <v>12670</v>
      </c>
      <c r="E71" s="63">
        <f t="shared" si="2"/>
        <v>41880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TRUNC(5023,-1)</f>
        <v>5020</v>
      </c>
      <c r="E73" s="63">
        <f t="shared" si="2"/>
        <v>16590</v>
      </c>
    </row>
    <row r="74" spans="1:7" x14ac:dyDescent="0.3">
      <c r="A74" s="2">
        <v>6</v>
      </c>
      <c r="C74" s="38" t="s">
        <v>175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TRUNC(82,-1)</f>
        <v>80</v>
      </c>
      <c r="E75" s="63">
        <f t="shared" si="2"/>
        <v>260</v>
      </c>
    </row>
    <row r="76" spans="1:7" x14ac:dyDescent="0.3">
      <c r="A76" s="2">
        <v>8</v>
      </c>
      <c r="C76" s="38" t="s">
        <v>119</v>
      </c>
      <c r="D76" s="42">
        <f>TRUNC(75822,-1)</f>
        <v>75820</v>
      </c>
      <c r="E76" s="63">
        <f t="shared" si="2"/>
        <v>250640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TRUNC(2722,-1)</f>
        <v>2720</v>
      </c>
      <c r="E84" s="63">
        <f t="shared" si="2"/>
        <v>8990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TRUNC(11241,-1)</f>
        <v>11240</v>
      </c>
      <c r="E89" s="63">
        <f t="shared" si="2"/>
        <v>37150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TRUNC(4830,-1)</f>
        <v>4830</v>
      </c>
      <c r="E91" s="63">
        <f t="shared" si="2"/>
        <v>15960</v>
      </c>
    </row>
    <row r="92" spans="1:7" x14ac:dyDescent="0.3">
      <c r="A92" s="2">
        <v>24</v>
      </c>
      <c r="C92" s="38" t="s">
        <v>38</v>
      </c>
      <c r="D92" s="42">
        <f>TRUNC(5652,-1)</f>
        <v>5650</v>
      </c>
      <c r="E92" s="63">
        <f t="shared" si="2"/>
        <v>18670</v>
      </c>
    </row>
    <row r="93" spans="1:7" x14ac:dyDescent="0.3">
      <c r="A93" s="2">
        <v>25</v>
      </c>
      <c r="C93" s="38" t="s">
        <v>148</v>
      </c>
      <c r="D93" s="42">
        <f>TRUNC(102486,-1)</f>
        <v>102480</v>
      </c>
      <c r="E93" s="63">
        <f t="shared" si="2"/>
        <v>338770</v>
      </c>
    </row>
    <row r="94" spans="1:7" ht="17.25" thickBot="1" x14ac:dyDescent="0.35">
      <c r="A94" s="2">
        <v>26</v>
      </c>
      <c r="C94" s="38" t="s">
        <v>47</v>
      </c>
      <c r="D94" s="43">
        <f>TRUNC(514,-1)</f>
        <v>510</v>
      </c>
      <c r="E94" s="64">
        <f t="shared" si="2"/>
        <v>1680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228710</v>
      </c>
      <c r="E95" s="39">
        <f>SUM(E69:E94)</f>
        <v>756000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242</v>
      </c>
      <c r="C97" s="55" t="s">
        <v>241</v>
      </c>
      <c r="D97" s="56" t="s">
        <v>256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TRUNC(5679,-1)</f>
        <v>5670</v>
      </c>
      <c r="E98" s="62">
        <f t="shared" ref="E98:E118" si="3">TRUNC(+D98*3.3058,-1)</f>
        <v>18740</v>
      </c>
    </row>
    <row r="99" spans="1:7" x14ac:dyDescent="0.3">
      <c r="A99" s="2">
        <v>2</v>
      </c>
      <c r="C99" s="38" t="s">
        <v>40</v>
      </c>
      <c r="D99" s="42">
        <f>TRUNC(8056,-1)</f>
        <v>8050</v>
      </c>
      <c r="E99" s="63">
        <f t="shared" si="3"/>
        <v>26610</v>
      </c>
    </row>
    <row r="100" spans="1:7" x14ac:dyDescent="0.3">
      <c r="A100" s="2">
        <v>3</v>
      </c>
      <c r="C100" s="38" t="s">
        <v>41</v>
      </c>
      <c r="D100" s="42">
        <f>TRUNC(35856,-1)</f>
        <v>35850</v>
      </c>
      <c r="E100" s="63">
        <f t="shared" si="3"/>
        <v>118510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TRUNC(21170,-1)</f>
        <v>21170</v>
      </c>
      <c r="E102" s="63">
        <f t="shared" si="3"/>
        <v>69980</v>
      </c>
    </row>
    <row r="103" spans="1:7" x14ac:dyDescent="0.3">
      <c r="A103" s="2">
        <v>6</v>
      </c>
      <c r="C103" s="38" t="s">
        <v>44</v>
      </c>
      <c r="D103" s="42">
        <f>TRUNC(6529,-1)</f>
        <v>6520</v>
      </c>
      <c r="E103" s="63">
        <f t="shared" si="3"/>
        <v>21550</v>
      </c>
    </row>
    <row r="104" spans="1:7" x14ac:dyDescent="0.3">
      <c r="A104" s="2">
        <v>7</v>
      </c>
      <c r="C104" s="38" t="s">
        <v>45</v>
      </c>
      <c r="D104" s="42">
        <f>TRUNC(9278,-1)</f>
        <v>9270</v>
      </c>
      <c r="E104" s="63">
        <f t="shared" si="3"/>
        <v>30640</v>
      </c>
    </row>
    <row r="105" spans="1:7" x14ac:dyDescent="0.3">
      <c r="A105" s="2">
        <v>8</v>
      </c>
      <c r="C105" s="38" t="s">
        <v>46</v>
      </c>
      <c r="D105" s="42">
        <f>TRUNC(4310,-1)</f>
        <v>4310</v>
      </c>
      <c r="E105" s="63">
        <f t="shared" si="3"/>
        <v>14240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f>TRUNC(2541,-1)</f>
        <v>2540</v>
      </c>
      <c r="E111" s="63">
        <f t="shared" si="3"/>
        <v>8390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TRUNC(3141,-1)</f>
        <v>3140</v>
      </c>
      <c r="E116" s="63">
        <f t="shared" si="3"/>
        <v>10380</v>
      </c>
    </row>
    <row r="117" spans="1:7" x14ac:dyDescent="0.3">
      <c r="A117" s="2">
        <v>20</v>
      </c>
      <c r="C117" s="38" t="s">
        <v>148</v>
      </c>
      <c r="D117" s="42">
        <f>TRUNC(221932,-1)</f>
        <v>221930</v>
      </c>
      <c r="E117" s="63">
        <f t="shared" si="3"/>
        <v>733650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318450</v>
      </c>
      <c r="E119" s="39">
        <f>SUM(E98:E118)</f>
        <v>1052690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243</v>
      </c>
      <c r="C121" s="55" t="s">
        <v>241</v>
      </c>
      <c r="D121" s="56" t="s">
        <v>256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TRUNC(3954,-1)</f>
        <v>3950</v>
      </c>
      <c r="E122" s="62">
        <f t="shared" ref="E122:E132" si="4">TRUNC(+D122*3.3058,-1)</f>
        <v>13050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TRUNC(1516,-1)</f>
        <v>1510</v>
      </c>
      <c r="E124" s="63">
        <f t="shared" si="4"/>
        <v>4990</v>
      </c>
    </row>
    <row r="125" spans="1:7" x14ac:dyDescent="0.3">
      <c r="A125" s="2">
        <v>4</v>
      </c>
      <c r="C125" s="38" t="s">
        <v>138</v>
      </c>
      <c r="D125" s="42">
        <f>TRUNC(6417,-1)</f>
        <v>6410</v>
      </c>
      <c r="E125" s="63">
        <f t="shared" si="4"/>
        <v>21190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f>TRUNC(4372,-1)</f>
        <v>4370</v>
      </c>
      <c r="E129" s="63">
        <f t="shared" si="4"/>
        <v>14440</v>
      </c>
    </row>
    <row r="130" spans="1:7" ht="17.25" customHeight="1" x14ac:dyDescent="0.3">
      <c r="A130" s="2">
        <v>9</v>
      </c>
      <c r="C130" s="38" t="s">
        <v>54</v>
      </c>
      <c r="D130" s="42">
        <f>TRUNC(34401,-1)</f>
        <v>34400</v>
      </c>
      <c r="E130" s="63">
        <f t="shared" si="4"/>
        <v>113710</v>
      </c>
    </row>
    <row r="131" spans="1:7" x14ac:dyDescent="0.3">
      <c r="A131" s="2">
        <v>10</v>
      </c>
      <c r="C131" s="38" t="s">
        <v>148</v>
      </c>
      <c r="D131" s="42">
        <f>TRUNC(19253,-1)</f>
        <v>19250</v>
      </c>
      <c r="E131" s="63">
        <f t="shared" si="4"/>
        <v>63630</v>
      </c>
    </row>
    <row r="132" spans="1:7" ht="17.25" thickBot="1" x14ac:dyDescent="0.35">
      <c r="A132" s="2">
        <v>11</v>
      </c>
      <c r="C132" s="38" t="s">
        <v>47</v>
      </c>
      <c r="D132" s="43">
        <f>TRUNC(6191+3360,-1)</f>
        <v>9550</v>
      </c>
      <c r="E132" s="64">
        <f t="shared" si="4"/>
        <v>31570</v>
      </c>
      <c r="F132" s="2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79440</v>
      </c>
      <c r="E133" s="39">
        <f>SUM(E122:E132)</f>
        <v>262580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244</v>
      </c>
      <c r="C135" s="55" t="s">
        <v>241</v>
      </c>
      <c r="D135" s="56" t="s">
        <v>256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TRUNC(19493,-1)</f>
        <v>19490</v>
      </c>
      <c r="E142" s="63">
        <f t="shared" si="5"/>
        <v>64430</v>
      </c>
    </row>
    <row r="143" spans="1:7" x14ac:dyDescent="0.3">
      <c r="A143" s="2">
        <v>8</v>
      </c>
      <c r="C143" s="38" t="s">
        <v>62</v>
      </c>
      <c r="D143" s="42">
        <f>TRUNC(7798,-1)</f>
        <v>7790</v>
      </c>
      <c r="E143" s="63">
        <f t="shared" si="5"/>
        <v>25750</v>
      </c>
    </row>
    <row r="144" spans="1:7" x14ac:dyDescent="0.3">
      <c r="A144" s="2">
        <v>9</v>
      </c>
      <c r="C144" s="38" t="s">
        <v>63</v>
      </c>
      <c r="D144" s="42">
        <f>TRUNC(18099,-1)</f>
        <v>18090</v>
      </c>
      <c r="E144" s="63">
        <f t="shared" si="5"/>
        <v>59800</v>
      </c>
    </row>
    <row r="145" spans="1:7" ht="17.25" thickBot="1" x14ac:dyDescent="0.35">
      <c r="A145" s="2">
        <v>10</v>
      </c>
      <c r="C145" s="38" t="s">
        <v>148</v>
      </c>
      <c r="D145" s="43">
        <f>TRUNC(764,-1)</f>
        <v>760</v>
      </c>
      <c r="E145" s="64">
        <f t="shared" si="5"/>
        <v>2510</v>
      </c>
    </row>
    <row r="146" spans="1:7" x14ac:dyDescent="0.3">
      <c r="A146" s="2">
        <v>11</v>
      </c>
      <c r="C146" s="27" t="s">
        <v>112</v>
      </c>
      <c r="D146" s="39">
        <f>SUM(D136:D145)</f>
        <v>46130</v>
      </c>
      <c r="E146" s="39">
        <f>SUM(E136:E145)</f>
        <v>152490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245</v>
      </c>
      <c r="C148" s="55" t="s">
        <v>241</v>
      </c>
      <c r="D148" s="56" t="s">
        <v>256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TRUNC(323+99745,-1)</f>
        <v>100060</v>
      </c>
      <c r="E152" s="63">
        <f>TRUNC(+D152*3.3058,-1)</f>
        <v>330770</v>
      </c>
      <c r="F152" s="2" t="s">
        <v>253</v>
      </c>
    </row>
    <row r="153" spans="1:7" ht="17.25" thickBot="1" x14ac:dyDescent="0.35">
      <c r="A153" s="2">
        <v>5</v>
      </c>
      <c r="C153" s="38" t="s">
        <v>148</v>
      </c>
      <c r="D153" s="43">
        <f>TRUNC(8653,-1)</f>
        <v>8650</v>
      </c>
      <c r="E153" s="64">
        <f>TRUNC(+D153*3.3058,-1)</f>
        <v>28590</v>
      </c>
      <c r="F153" s="2" t="s">
        <v>254</v>
      </c>
    </row>
    <row r="154" spans="1:7" x14ac:dyDescent="0.3">
      <c r="A154" s="2">
        <v>6</v>
      </c>
      <c r="C154" s="27" t="s">
        <v>112</v>
      </c>
      <c r="D154" s="39">
        <f>SUM(D149:D153)</f>
        <v>108710</v>
      </c>
      <c r="E154" s="39">
        <f>SUM(E149:E153)</f>
        <v>359360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246</v>
      </c>
      <c r="C156" s="55" t="s">
        <v>241</v>
      </c>
      <c r="D156" s="56" t="s">
        <v>256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TRUNC(8874,-1)</f>
        <v>8870</v>
      </c>
      <c r="E157" s="62">
        <f>TRUNC(+D157*3.3058,-1)</f>
        <v>29320</v>
      </c>
    </row>
    <row r="158" spans="1:7" x14ac:dyDescent="0.3">
      <c r="A158" s="2">
        <v>2</v>
      </c>
      <c r="C158" s="38" t="s">
        <v>52</v>
      </c>
      <c r="D158" s="42">
        <f>TRUNC(2775,-1)</f>
        <v>2770</v>
      </c>
      <c r="E158" s="63">
        <f>TRUNC(+D158*3.3058,-1)</f>
        <v>9150</v>
      </c>
    </row>
    <row r="159" spans="1:7" x14ac:dyDescent="0.3">
      <c r="A159" s="2">
        <v>3</v>
      </c>
      <c r="C159" s="38" t="s">
        <v>47</v>
      </c>
      <c r="D159" s="42">
        <f>TRUNC(5852+896,-1)</f>
        <v>6740</v>
      </c>
      <c r="E159" s="63">
        <f>TRUNC(+D159*3.3058,-1)</f>
        <v>22280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f>TRUNC(169,-1)</f>
        <v>160</v>
      </c>
      <c r="E160" s="64">
        <f>TRUNC(+D160*3.3058,-1)</f>
        <v>520</v>
      </c>
    </row>
    <row r="161" spans="1:5" x14ac:dyDescent="0.3">
      <c r="A161" s="2">
        <v>5</v>
      </c>
      <c r="C161" s="27" t="s">
        <v>112</v>
      </c>
      <c r="D161" s="39">
        <f>SUM(D157:D160)</f>
        <v>18540</v>
      </c>
      <c r="E161" s="39">
        <f>SUM(E157:E160)</f>
        <v>61270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2020-12-08T04:51:14Z</dcterms:modified>
</cp:coreProperties>
</file>