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8" i="4" l="1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D117" i="4"/>
  <c r="E117" i="4" s="1"/>
  <c r="D160" i="4"/>
  <c r="E160" i="4" s="1"/>
  <c r="D159" i="4" l="1"/>
  <c r="D152" i="4"/>
  <c r="D146" i="4"/>
  <c r="D30" i="4" s="1"/>
  <c r="E30" i="4" s="1"/>
  <c r="D132" i="4"/>
  <c r="E132" i="4" s="1"/>
  <c r="E133" i="4" s="1"/>
  <c r="D118" i="4"/>
  <c r="E118" i="4" s="1"/>
  <c r="E119" i="4" s="1"/>
  <c r="D94" i="4"/>
  <c r="D66" i="4"/>
  <c r="D58" i="4"/>
  <c r="E58" i="4" s="1"/>
  <c r="E60" i="4" s="1"/>
  <c r="D26" i="4"/>
  <c r="E26" i="4" s="1"/>
  <c r="D24" i="4"/>
  <c r="E24" i="4" s="1"/>
  <c r="D7" i="4"/>
  <c r="D60" i="4" l="1"/>
  <c r="D25" i="4" s="1"/>
  <c r="E25" i="4" s="1"/>
  <c r="D119" i="4"/>
  <c r="D28" i="4" s="1"/>
  <c r="E28" i="4" s="1"/>
  <c r="D154" i="4"/>
  <c r="D31" i="4" s="1"/>
  <c r="E31" i="4" s="1"/>
  <c r="E152" i="4"/>
  <c r="E154" i="4" s="1"/>
  <c r="D161" i="4"/>
  <c r="D32" i="4" s="1"/>
  <c r="E32" i="4" s="1"/>
  <c r="E159" i="4"/>
  <c r="E161" i="4" s="1"/>
  <c r="D95" i="4"/>
  <c r="D27" i="4" s="1"/>
  <c r="E27" i="4" s="1"/>
  <c r="E94" i="4"/>
  <c r="E95" i="4" s="1"/>
  <c r="D133" i="4"/>
  <c r="D29" i="4" s="1"/>
  <c r="E29" i="4" s="1"/>
  <c r="D33" i="4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s="1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<sst xmlns="http://schemas.openxmlformats.org/spreadsheetml/2006/main" count="394" uniqueCount="268">
  <si>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</si>
  <si>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</si>
  <si>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</si>
  <si>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</si>
  <si>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</si>
  <si>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</si>
  <si>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</si>
  <si>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</si>
  <si>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</si>
  <si>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</si>
  <si>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</si>
  <si>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</si>
  <si>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</si>
  <si>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</si>
  <si>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</si>
  <si>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</si>
  <si>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</si>
  <si>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</si>
  <si>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</si>
  <si>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</si>
  <si>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</si>
  <si>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</si>
  <si>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</si>
  <si>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</si>
  <si>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</si>
  <si>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</si>
  <si>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</si>
  <si>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</si>
  <si>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</si>
  <si>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</si>
  <si>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</si>
  <si>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</si>
  <si>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</si>
  <si>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</si>
  <si>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</si>
  <si>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</si>
  <si>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</si>
  <si>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</si>
  <si>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</si>
  <si>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</si>
  <si>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</si>
  <si>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</si>
  <si>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</si>
  <si>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</si>
  <si>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</si>
  <si>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</si>
  <si>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</si>
  <si>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</si>
  <si>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</si>
  <si>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</si>
  <si>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</si>
  <si>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</si>
  <si>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</si>
  <si>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</si>
  <si>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</si>
  <si>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</si>
  <si>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</si>
  <si>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</si>
  <si>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</si>
  <si>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</si>
  <si>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</si>
  <si>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</si>
  <si>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</si>
  <si>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</si>
  <si>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</si>
  <si>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</si>
  <si>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</si>
  <si>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</si>
  <si>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</si>
  <si>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</si>
  <si>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</si>
  <si>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</si>
  <si>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</si>
  <si>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</si>
  <si>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</si>
  <si>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</si>
  <si>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</si>
  <si>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</si>
  <si>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</si>
  <si>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</si>
  <si>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</si>
  <si>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</si>
  <si>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</si>
  <si>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</si>
  <si>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</si>
  <si>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</si>
  <si>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</si>
  <si>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</si>
  <si>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</si>
  <si>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</si>
  <si>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</si>
  <si>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</si>
  <si>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</si>
  <si>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</si>
  <si>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</si>
  <si>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</si>
  <si>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</si>
  <si>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</si>
  <si>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</si>
  <si>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</si>
  <si>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</si>
  <si>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</si>
  <si>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</si>
  <si>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</si>
  <si>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</si>
  <si>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</si>
  <si>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</si>
  <si>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</si>
  <si>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</si>
  <si>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</si>
  <si>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</si>
  <si>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</si>
  <si>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</si>
  <si>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</si>
  <si>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</si>
  <si>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</si>
  <si>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</si>
  <si>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</si>
  <si>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</si>
  <si>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</si>
  <si>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</si>
  <si>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</si>
  <si>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</si>
  <si>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</si>
  <si>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</si>
  <si>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</si>
  <si>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</si>
  <si>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</si>
  <si>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</si>
  <si>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</si>
  <si>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</si>
  <si>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</si>
  <si>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</si>
  <si>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</si>
  <si>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</si>
  <si>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</si>
  <si>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</si>
  <si>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</si>
  <si>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</si>
  <si>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</si>
  <si>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</si>
  <si>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</si>
  <si>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</si>
  <si>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</si>
  <si>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</si>
  <si>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</si>
  <si>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</si>
  <si>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</si>
  <si>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</si>
  <si>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</si>
  <si>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</si>
  <si>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</si>
  <si>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</si>
  <si>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</si>
  <si>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</si>
  <si>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</si>
  <si>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</si>
  <si>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</si>
  <si>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</si>
  <si>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</si>
  <si>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</si>
  <si>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</si>
  <si>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</si>
  <si>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</si>
  <si>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</si>
  <si>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</si>
  <si>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</si>
  <si>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</si>
  <si>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</si>
  <si>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</si>
  <si>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</si>
  <si>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</si>
  <si>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</si>
  <si>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</si>
  <si>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</si>
  <si>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</si>
  <si>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</si>
  <si>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</si>
  <si>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</si>
  <si>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</si>
  <si>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</si>
  <si>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</si>
  <si>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</si>
  <si>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</si>
  <si>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</si>
  <si>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</si>
  <si>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</si>
  <si>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</si>
  <si>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</si>
  <si>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</si>
  <si>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</si>
  <si>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</si>
  <si>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</si>
  <si>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</si>
  <si>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</si>
  <si>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</si>
  <si>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</si>
  <si>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</si>
  <si>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</si>
  <si>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</si>
  <si>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</si>
  <si>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</si>
  <si>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</si>
  <si>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</si>
  <si>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</si>
  <si>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</si>
  <si>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</si>
  <si>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</si>
  <si>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</si>
  <si>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</si>
  <si>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</si>
  <si>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</si>
  <si>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</si>
  <si>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</si>
  <si>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</si>
  <si>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</si>
  <si>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</si>
  <si>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</si>
  <si>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</si>
  <si>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</si>
  <si>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</si>
  <si>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</si>
  <si>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</si>
  <si>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</si>
  <si>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</si>
  <si>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</si>
  <si>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</si>
  <si>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</si>
  <si>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</si>
  <si>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</si>
  <si>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</si>
  <si>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</si>
  <si>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</si>
  <si>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</si>
  <si>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</si>
  <si>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</si>
  <si>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</si>
  <si>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</si>
  <si>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</si>
  <si>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</si>
  <si>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</si>
  <si>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</si>
  <si>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</si>
  <si>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</si>
  <si>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</si>
  <si>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00구 종합청사 신축공사</t>
  </si>
  <si>
    <t>업무</t>
  </si>
  <si>
    <t>평</t>
    <phoneticPr fontId="2" type="noConversion"/>
  </si>
  <si>
    <t>원/ m2</t>
    <phoneticPr fontId="2" type="noConversion"/>
  </si>
  <si>
    <t>원/ m2</t>
    <phoneticPr fontId="2" type="noConversion"/>
  </si>
  <si>
    <t>서울</t>
  </si>
  <si>
    <t>건축공사,골재비및운반비,품질시험비,기타공사</t>
    <phoneticPr fontId="2" type="noConversion"/>
  </si>
  <si>
    <t>C.I.P 공사</t>
  </si>
  <si>
    <t>승강기설치공사</t>
  </si>
  <si>
    <t>공조배관공사,축열식히트펌프설치공사,빙축열설비공사,위생배관공사,태양열급탕시설공사,조립식시스템챤넬공사,히팅케이블설치공사</t>
    <phoneticPr fontId="2" type="noConversion"/>
  </si>
  <si>
    <t>경관조명설비공사,SNOW MELTING 공사</t>
    <phoneticPr fontId="2" type="noConversion"/>
  </si>
  <si>
    <t>주차관제설비공사,통합방범설비공사,전기시계 및 전광판 설비공사 ,무선통신공사</t>
    <phoneticPr fontId="2" type="noConversion"/>
  </si>
  <si>
    <t>기계 기기장비류, 기계 제품설치공사, 기계 매립닥트및환기유니트, 기계 조립식시스템챤넬,제진재,기계 승강기설치공사,기계 전기소방공사</t>
    <phoneticPr fontId="2" type="noConversion"/>
  </si>
  <si>
    <t>부대공사,철거공사,운반비,사급자재비,가시설공사,제거식 ANCHOR 공사,L.W Grouting 공사,지하수배수공,운반비</t>
    <phoneticPr fontId="2" type="noConversion"/>
  </si>
  <si>
    <t>조경공사,수경시설공사,한우물연못,스퀘어분수공사,벽천공사,계류공사</t>
    <phoneticPr fontId="2" type="noConversion"/>
  </si>
  <si>
    <t>도급자설치</t>
    <phoneticPr fontId="2" type="noConversion"/>
  </si>
  <si>
    <t>관급자설치</t>
    <phoneticPr fontId="2" type="noConversion"/>
  </si>
  <si>
    <t>도급자설치, 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</si>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</sst>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39399</v>
      </c>
      <c r="D7" s="36">
        <f>+C7/3.3058</f>
        <v>11918.143868352592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8670</v>
      </c>
      <c r="E24" s="59">
        <f t="shared" ref="E24:E33" si="0">TRUNC(+D24*3.3058,-1)</f>
        <v>28660</v>
      </c>
    </row>
    <row r="25" spans="1:5" x14ac:dyDescent="0.3">
      <c r="B25" s="2">
        <v>2</v>
      </c>
      <c r="C25" s="35" t="s">
        <v>111</v>
      </c>
      <c r="D25" s="45">
        <f>+D60</f>
        <v>1081200</v>
      </c>
      <c r="E25" s="60">
        <f t="shared" si="0"/>
        <v>3574230</v>
      </c>
    </row>
    <row r="26" spans="1:5" x14ac:dyDescent="0.3">
      <c r="B26" s="2">
        <v>3</v>
      </c>
      <c r="C26" s="35" t="s">
        <v>95</v>
      </c>
      <c r="D26" s="45">
        <f>+D66</f>
        <v>46790</v>
      </c>
      <c r="E26" s="60">
        <f t="shared" si="0"/>
        <v>154670</v>
      </c>
    </row>
    <row r="27" spans="1:5" x14ac:dyDescent="0.3">
      <c r="B27" s="2">
        <v>4</v>
      </c>
      <c r="C27" s="35" t="s">
        <v>96</v>
      </c>
      <c r="D27" s="45">
        <f>+D95</f>
        <v>254250</v>
      </c>
      <c r="E27" s="60">
        <f t="shared" si="0"/>
        <v>840490</v>
      </c>
    </row>
    <row r="28" spans="1:5" x14ac:dyDescent="0.3">
      <c r="B28" s="2">
        <v>5</v>
      </c>
      <c r="C28" s="35" t="s">
        <v>97</v>
      </c>
      <c r="D28" s="45">
        <f>+D119</f>
        <v>151160</v>
      </c>
      <c r="E28" s="60">
        <f t="shared" si="0"/>
        <v>499700</v>
      </c>
    </row>
    <row r="29" spans="1:5" x14ac:dyDescent="0.3">
      <c r="B29" s="2">
        <v>6</v>
      </c>
      <c r="C29" s="35" t="s">
        <v>98</v>
      </c>
      <c r="D29" s="45">
        <f>+D133</f>
        <v>149580</v>
      </c>
      <c r="E29" s="60">
        <f t="shared" si="0"/>
        <v>494480</v>
      </c>
    </row>
    <row r="30" spans="1:5" x14ac:dyDescent="0.3">
      <c r="B30" s="2">
        <v>7</v>
      </c>
      <c r="C30" s="35" t="s">
        <v>99</v>
      </c>
      <c r="D30" s="45">
        <f>+D146</f>
        <v>42080</v>
      </c>
      <c r="E30" s="60">
        <f t="shared" si="0"/>
        <v>139100</v>
      </c>
    </row>
    <row r="31" spans="1:5" x14ac:dyDescent="0.3">
      <c r="B31" s="2">
        <v>8</v>
      </c>
      <c r="C31" s="35" t="s">
        <v>100</v>
      </c>
      <c r="D31" s="45">
        <f>+D154</f>
        <v>82710</v>
      </c>
      <c r="E31" s="60">
        <f t="shared" si="0"/>
        <v>273420</v>
      </c>
    </row>
    <row r="32" spans="1:5" x14ac:dyDescent="0.3">
      <c r="B32" s="2">
        <v>9</v>
      </c>
      <c r="C32" s="35" t="s">
        <v>101</v>
      </c>
      <c r="D32" s="45">
        <f>+D161</f>
        <v>159810</v>
      </c>
      <c r="E32" s="60">
        <f t="shared" si="0"/>
        <v>528290</v>
      </c>
    </row>
    <row r="33" spans="1:7" x14ac:dyDescent="0.3">
      <c r="B33" s="2">
        <v>10</v>
      </c>
      <c r="C33" s="35" t="s">
        <v>154</v>
      </c>
      <c r="D33" s="53">
        <f>TRUNC(SUM(D24:D32)*0.275,-1)</f>
        <v>543460</v>
      </c>
      <c r="E33" s="61">
        <f t="shared" si="0"/>
        <v>1796570</v>
      </c>
    </row>
    <row r="34" spans="1:7" x14ac:dyDescent="0.3">
      <c r="C34" s="35" t="s">
        <v>112</v>
      </c>
      <c r="D34" s="44">
        <f>SUM(D24:D33)</f>
        <v>2519710</v>
      </c>
      <c r="E34" s="44">
        <f>SUM(E24:E33)</f>
        <v>8329610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249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8670</v>
      </c>
      <c r="E37" s="62">
        <f>TRUNC(+D37*3.3058,-1)</f>
        <v>28660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v>35410</v>
      </c>
      <c r="E40" s="63">
        <f t="shared" ref="E40:E59" si="1">TRUNC(+D40*3.3058,-1)</f>
        <v>117050</v>
      </c>
    </row>
    <row r="41" spans="1:7" x14ac:dyDescent="0.3">
      <c r="A41" s="2">
        <v>2</v>
      </c>
      <c r="C41" s="38" t="s">
        <v>13</v>
      </c>
      <c r="D41" s="42">
        <v>80770</v>
      </c>
      <c r="E41" s="64">
        <f t="shared" si="1"/>
        <v>267000</v>
      </c>
    </row>
    <row r="42" spans="1:7" x14ac:dyDescent="0.3">
      <c r="A42" s="2">
        <v>3</v>
      </c>
      <c r="C42" s="38" t="s">
        <v>14</v>
      </c>
      <c r="D42" s="42">
        <v>113320</v>
      </c>
      <c r="E42" s="64">
        <f t="shared" si="1"/>
        <v>374610</v>
      </c>
    </row>
    <row r="43" spans="1:7" x14ac:dyDescent="0.3">
      <c r="A43" s="2">
        <v>4</v>
      </c>
      <c r="C43" s="38" t="s">
        <v>16</v>
      </c>
      <c r="D43" s="42">
        <v>28420</v>
      </c>
      <c r="E43" s="64">
        <f t="shared" si="1"/>
        <v>93950</v>
      </c>
    </row>
    <row r="44" spans="1:7" x14ac:dyDescent="0.3">
      <c r="A44" s="2">
        <v>5</v>
      </c>
      <c r="C44" s="38" t="s">
        <v>17</v>
      </c>
      <c r="D44" s="42">
        <v>25970</v>
      </c>
      <c r="E44" s="64">
        <f t="shared" si="1"/>
        <v>85850</v>
      </c>
    </row>
    <row r="45" spans="1:7" x14ac:dyDescent="0.3">
      <c r="A45" s="2">
        <v>6</v>
      </c>
      <c r="C45" s="38" t="s">
        <v>18</v>
      </c>
      <c r="D45" s="42">
        <v>4930</v>
      </c>
      <c r="E45" s="64">
        <f t="shared" si="1"/>
        <v>16290</v>
      </c>
    </row>
    <row r="46" spans="1:7" x14ac:dyDescent="0.3">
      <c r="A46" s="2">
        <v>7</v>
      </c>
      <c r="C46" s="38" t="s">
        <v>19</v>
      </c>
      <c r="D46" s="42">
        <v>13690</v>
      </c>
      <c r="E46" s="64">
        <f t="shared" si="1"/>
        <v>45250</v>
      </c>
    </row>
    <row r="47" spans="1:7" x14ac:dyDescent="0.3">
      <c r="A47" s="2">
        <v>8</v>
      </c>
      <c r="C47" s="38" t="s">
        <v>20</v>
      </c>
      <c r="D47" s="42">
        <v>870</v>
      </c>
      <c r="E47" s="64">
        <f t="shared" si="1"/>
        <v>2870</v>
      </c>
    </row>
    <row r="48" spans="1:7" x14ac:dyDescent="0.3">
      <c r="A48" s="2">
        <v>9</v>
      </c>
      <c r="C48" s="38" t="s">
        <v>21</v>
      </c>
      <c r="D48" s="42">
        <v>79490</v>
      </c>
      <c r="E48" s="64">
        <f t="shared" si="1"/>
        <v>262770</v>
      </c>
    </row>
    <row r="49" spans="1:7" x14ac:dyDescent="0.3">
      <c r="A49" s="2">
        <v>10</v>
      </c>
      <c r="C49" s="38" t="s">
        <v>22</v>
      </c>
      <c r="D49" s="42">
        <v>16310</v>
      </c>
      <c r="E49" s="64">
        <f t="shared" si="1"/>
        <v>53910</v>
      </c>
    </row>
    <row r="50" spans="1:7" x14ac:dyDescent="0.3">
      <c r="A50" s="2">
        <v>11</v>
      </c>
      <c r="C50" s="38" t="s">
        <v>155</v>
      </c>
      <c r="D50" s="42">
        <v>2080</v>
      </c>
      <c r="E50" s="64">
        <f t="shared" si="1"/>
        <v>6870</v>
      </c>
    </row>
    <row r="51" spans="1:7" x14ac:dyDescent="0.3">
      <c r="A51" s="2">
        <v>12</v>
      </c>
      <c r="C51" s="38" t="s">
        <v>23</v>
      </c>
      <c r="D51" s="42">
        <v>25310</v>
      </c>
      <c r="E51" s="64">
        <f t="shared" si="1"/>
        <v>83660</v>
      </c>
    </row>
    <row r="52" spans="1:7" x14ac:dyDescent="0.3">
      <c r="A52" s="2">
        <v>13</v>
      </c>
      <c r="C52" s="38" t="s">
        <v>24</v>
      </c>
      <c r="D52" s="42">
        <v>3710</v>
      </c>
      <c r="E52" s="64">
        <f t="shared" si="1"/>
        <v>12260</v>
      </c>
    </row>
    <row r="53" spans="1:7" x14ac:dyDescent="0.3">
      <c r="A53" s="2">
        <v>14</v>
      </c>
      <c r="C53" s="38" t="s">
        <v>25</v>
      </c>
      <c r="D53" s="42">
        <v>35120</v>
      </c>
      <c r="E53" s="64">
        <f t="shared" si="1"/>
        <v>116090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230</v>
      </c>
      <c r="E55" s="64">
        <f t="shared" si="1"/>
        <v>760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550810+2910+1810+60040</f>
        <v>615570</v>
      </c>
      <c r="E58" s="64">
        <f t="shared" si="1"/>
        <v>2034950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5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1081200</v>
      </c>
      <c r="E60" s="39">
        <f>SUM(E40:E59)</f>
        <v>3574140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248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43210</v>
      </c>
      <c r="E63" s="63">
        <f>TRUNC(+D63*3.3058,-1)</f>
        <v>142840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3580</v>
      </c>
      <c r="E65" s="65">
        <f>TRUNC(+D65*3.3058,-1)</f>
        <v>11830</v>
      </c>
      <c r="F65" s="2" t="s">
        <v>252</v>
      </c>
    </row>
    <row r="66" spans="1:7" x14ac:dyDescent="0.3">
      <c r="A66" s="2">
        <v>4</v>
      </c>
      <c r="C66" s="27" t="s">
        <v>112</v>
      </c>
      <c r="D66" s="57">
        <f>SUM(D63:D65)</f>
        <v>46790</v>
      </c>
      <c r="E66" s="57">
        <f>SUM(E63:E65)</f>
        <v>154670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248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5840</v>
      </c>
      <c r="E69" s="63">
        <f>TRUNC(+D69*3.3058,-1)</f>
        <v>19300</v>
      </c>
    </row>
    <row r="70" spans="1:7" ht="16.5" customHeight="1" x14ac:dyDescent="0.3">
      <c r="A70" s="2">
        <v>2</v>
      </c>
      <c r="C70" s="38" t="s">
        <v>31</v>
      </c>
      <c r="D70" s="42">
        <v>20</v>
      </c>
      <c r="E70" s="64">
        <f>TRUNC(+D70*3.3058,-1)</f>
        <v>60</v>
      </c>
    </row>
    <row r="71" spans="1:7" x14ac:dyDescent="0.3">
      <c r="A71" s="2">
        <v>3</v>
      </c>
      <c r="C71" s="38" t="s">
        <v>32</v>
      </c>
      <c r="D71" s="42">
        <v>9710</v>
      </c>
      <c r="E71" s="64">
        <f t="shared" ref="E71:E73" si="2">TRUNC(+D71*3.3058,-1)</f>
        <v>32090</v>
      </c>
    </row>
    <row r="72" spans="1:7" x14ac:dyDescent="0.3">
      <c r="A72" s="2">
        <v>4</v>
      </c>
      <c r="C72" s="38" t="s">
        <v>33</v>
      </c>
      <c r="D72" s="42">
        <v>900</v>
      </c>
      <c r="E72" s="64">
        <f t="shared" si="2"/>
        <v>2970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6210</v>
      </c>
      <c r="E75" s="64">
        <f>TRUNC(+D75*3.3058,-1)</f>
        <v>20520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  <c r="F77" s="2" t="s">
        <v>253</v>
      </c>
    </row>
    <row r="78" spans="1:7" x14ac:dyDescent="0.3">
      <c r="A78" s="2">
        <v>10</v>
      </c>
      <c r="C78" s="38" t="s">
        <v>137</v>
      </c>
      <c r="D78" s="42">
        <v>38530</v>
      </c>
      <c r="E78" s="64">
        <f t="shared" si="3"/>
        <v>127370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6340</v>
      </c>
      <c r="E84" s="64">
        <f>TRUNC(+D84*3.3058,-1)</f>
        <v>20950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280</v>
      </c>
      <c r="E90" s="64">
        <f>TRUNC(+D90*3.3058,-1)</f>
        <v>920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v>77960</v>
      </c>
      <c r="E93" s="64">
        <f>TRUNC(+D93*3.3058,-1)</f>
        <v>257720</v>
      </c>
      <c r="F93" s="2" t="s">
        <v>261</v>
      </c>
    </row>
    <row r="94" spans="1:7" ht="17.25" thickBot="1" x14ac:dyDescent="0.35">
      <c r="A94" s="2">
        <v>26</v>
      </c>
      <c r="C94" s="38" t="s">
        <v>47</v>
      </c>
      <c r="D94" s="43">
        <f>24130+25540+23450+15190+2040+920+17190</f>
        <v>108460</v>
      </c>
      <c r="E94" s="65">
        <f>TRUNC(+D94*3.3058,-1)</f>
        <v>358540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254250</v>
      </c>
      <c r="E95" s="39">
        <f>SUM(E69:E94)</f>
        <v>840440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248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14090</v>
      </c>
      <c r="E98" s="63">
        <f t="shared" ref="E98:E118" si="4">TRUNC(+D98*3.3058,-1)</f>
        <v>46570</v>
      </c>
    </row>
    <row r="99" spans="1:7" x14ac:dyDescent="0.3">
      <c r="A99" s="2">
        <v>2</v>
      </c>
      <c r="C99" s="38" t="s">
        <v>40</v>
      </c>
      <c r="D99" s="42">
        <v>4510</v>
      </c>
      <c r="E99" s="64">
        <f t="shared" si="4"/>
        <v>14900</v>
      </c>
    </row>
    <row r="100" spans="1:7" x14ac:dyDescent="0.3">
      <c r="A100" s="2">
        <v>3</v>
      </c>
      <c r="C100" s="38" t="s">
        <v>41</v>
      </c>
      <c r="D100" s="42">
        <v>18170</v>
      </c>
      <c r="E100" s="64">
        <f t="shared" si="4"/>
        <v>60060</v>
      </c>
    </row>
    <row r="101" spans="1:7" x14ac:dyDescent="0.3">
      <c r="A101" s="2">
        <v>4</v>
      </c>
      <c r="C101" s="38" t="s">
        <v>42</v>
      </c>
      <c r="D101" s="42">
        <v>280</v>
      </c>
      <c r="E101" s="64">
        <f t="shared" si="4"/>
        <v>920</v>
      </c>
    </row>
    <row r="102" spans="1:7" x14ac:dyDescent="0.3">
      <c r="A102" s="2">
        <v>5</v>
      </c>
      <c r="C102" s="38" t="s">
        <v>43</v>
      </c>
      <c r="D102" s="42">
        <v>8950</v>
      </c>
      <c r="E102" s="64">
        <f t="shared" si="4"/>
        <v>29580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2090</v>
      </c>
      <c r="E104" s="64">
        <f t="shared" si="4"/>
        <v>6900</v>
      </c>
    </row>
    <row r="105" spans="1:7" x14ac:dyDescent="0.3">
      <c r="A105" s="2">
        <v>8</v>
      </c>
      <c r="C105" s="38" t="s">
        <v>46</v>
      </c>
      <c r="D105" s="42">
        <v>3370</v>
      </c>
      <c r="E105" s="64">
        <f t="shared" si="4"/>
        <v>11140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v>3080</v>
      </c>
      <c r="E115" s="64">
        <f t="shared" si="4"/>
        <v>10180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TRUNC(27744.5366633671+61060.9152516561,-1)</f>
        <v>88800</v>
      </c>
      <c r="E117" s="64">
        <f t="shared" si="4"/>
        <v>293550</v>
      </c>
      <c r="F117" s="2" t="s">
        <v>262</v>
      </c>
    </row>
    <row r="118" spans="1:7" ht="17.25" thickBot="1" x14ac:dyDescent="0.35">
      <c r="A118" s="2">
        <v>21</v>
      </c>
      <c r="C118" s="38" t="s">
        <v>47</v>
      </c>
      <c r="D118" s="43">
        <f>4580+3240</f>
        <v>7820</v>
      </c>
      <c r="E118" s="65">
        <f t="shared" si="4"/>
        <v>25850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151160</v>
      </c>
      <c r="E119" s="39">
        <f>SUM(E98:E118)</f>
        <v>499650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248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2010</v>
      </c>
      <c r="E122" s="63">
        <f t="shared" ref="E122:E132" si="5">TRUNC(+D122*3.3058,-1)</f>
        <v>6640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2930</v>
      </c>
      <c r="E125" s="64">
        <f t="shared" si="5"/>
        <v>9680</v>
      </c>
    </row>
    <row r="126" spans="1:7" x14ac:dyDescent="0.3">
      <c r="A126" s="2">
        <v>5</v>
      </c>
      <c r="C126" s="38" t="s">
        <v>53</v>
      </c>
      <c r="D126" s="42">
        <v>1220</v>
      </c>
      <c r="E126" s="64">
        <f t="shared" si="5"/>
        <v>4030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3080</v>
      </c>
      <c r="E128" s="64">
        <f t="shared" si="5"/>
        <v>10180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13520</v>
      </c>
      <c r="E130" s="64">
        <f t="shared" si="5"/>
        <v>44690</v>
      </c>
    </row>
    <row r="131" spans="1:7" x14ac:dyDescent="0.3">
      <c r="A131" s="2">
        <v>10</v>
      </c>
      <c r="C131" s="38" t="s">
        <v>148</v>
      </c>
      <c r="D131" s="42">
        <v>113000</v>
      </c>
      <c r="E131" s="64">
        <f t="shared" si="5"/>
        <v>373550</v>
      </c>
      <c r="F131" s="2" t="s">
        <v>261</v>
      </c>
    </row>
    <row r="132" spans="1:7" ht="17.25" thickBot="1" x14ac:dyDescent="0.35">
      <c r="A132" s="2">
        <v>11</v>
      </c>
      <c r="C132" s="38" t="s">
        <v>47</v>
      </c>
      <c r="D132" s="43">
        <f>2540+5320+3140+2820</f>
        <v>13820</v>
      </c>
      <c r="E132" s="65">
        <f t="shared" si="5"/>
        <v>45680</v>
      </c>
      <c r="F132" s="2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149580</v>
      </c>
      <c r="E133" s="39">
        <f>SUM(E122:E132)</f>
        <v>494450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248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33890</v>
      </c>
      <c r="E136" s="63">
        <f t="shared" ref="E136:E145" si="6">TRUNC(+D136*3.3058,-1)</f>
        <v>112030</v>
      </c>
      <c r="F136" s="2" t="s">
        <v>257</v>
      </c>
    </row>
    <row r="137" spans="1:7" x14ac:dyDescent="0.3">
      <c r="A137" s="2">
        <v>2</v>
      </c>
      <c r="C137" s="38" t="s">
        <v>47</v>
      </c>
      <c r="D137" s="42">
        <v>8190</v>
      </c>
      <c r="E137" s="64">
        <f t="shared" si="6"/>
        <v>27070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42080</v>
      </c>
      <c r="E146" s="39">
        <f>SUM(E136:E145)</f>
        <v>139100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248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730</v>
      </c>
      <c r="E149" s="63">
        <f>TRUNC(+D149*3.3058,-1)</f>
        <v>2410</v>
      </c>
    </row>
    <row r="150" spans="1:7" x14ac:dyDescent="0.3">
      <c r="A150" s="2">
        <v>2</v>
      </c>
      <c r="C150" s="38" t="s">
        <v>49</v>
      </c>
      <c r="D150" s="42">
        <v>2830</v>
      </c>
      <c r="E150" s="64">
        <f>TRUNC(+D150*3.3058,-1)</f>
        <v>9350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280+190+10+8610+24560+29510+6410+1050+8280+250</f>
        <v>79150</v>
      </c>
      <c r="E152" s="64">
        <f>TRUNC(+D152*3.3058,-1)</f>
        <v>261650</v>
      </c>
      <c r="F152" s="58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82710</v>
      </c>
      <c r="E154" s="39">
        <f>SUM(E149:E153)</f>
        <v>273410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248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31200+9010+3990+2340+1750+920</f>
        <v>49210</v>
      </c>
      <c r="E159" s="64">
        <f>TRUNC(+D159*3.3058,-1)</f>
        <v>162670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f>TRUNC(110603.010228686,-1)</f>
        <v>110600</v>
      </c>
      <c r="E160" s="65">
        <f>TRUNC(+D160*3.3058,-1)</f>
        <v>365620</v>
      </c>
      <c r="F160" s="2" t="s">
        <v>260</v>
      </c>
    </row>
    <row r="161" spans="1:5" x14ac:dyDescent="0.3">
      <c r="A161" s="2">
        <v>5</v>
      </c>
      <c r="C161" s="27" t="s">
        <v>112</v>
      </c>
      <c r="D161" s="39">
        <f>SUM(D157:D160)</f>
        <v>159810</v>
      </c>
      <c r="E161" s="39">
        <f>SUM(E157:E160)</f>
        <v>528290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2020-12-07T09:02:45Z</dcterms:modified>
</cp:coreProperties>
</file>