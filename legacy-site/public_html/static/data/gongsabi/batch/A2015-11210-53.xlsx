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3" i="4" l="1"/>
  <c r="E151" i="4"/>
  <c r="E143" i="4"/>
  <c r="E141" i="4"/>
  <c r="E140" i="4"/>
  <c r="E139" i="4"/>
  <c r="E138" i="4"/>
  <c r="E137" i="4"/>
  <c r="E136" i="4"/>
  <c r="E129" i="4"/>
  <c r="E128" i="4"/>
  <c r="E127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105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9" i="4"/>
  <c r="E65" i="4"/>
  <c r="E64" i="4"/>
  <c r="E63" i="4"/>
  <c r="E57" i="4"/>
  <c r="E56" i="4"/>
  <c r="E55" i="4"/>
  <c r="E54" i="4"/>
  <c r="E51" i="4"/>
  <c r="E47" i="4"/>
  <c r="E37" i="4"/>
  <c r="E66" i="4" l="1"/>
  <c r="D160" i="4"/>
  <c r="E160" i="4" s="1"/>
  <c r="D159" i="4"/>
  <c r="E159" i="4" s="1"/>
  <c r="D158" i="4"/>
  <c r="E158" i="4" s="1"/>
  <c r="D157" i="4"/>
  <c r="E157" i="4" s="1"/>
  <c r="D152" i="4"/>
  <c r="E152" i="4" s="1"/>
  <c r="D150" i="4"/>
  <c r="E150" i="4" s="1"/>
  <c r="D149" i="4"/>
  <c r="E149" i="4" s="1"/>
  <c r="D145" i="4"/>
  <c r="E145" i="4" s="1"/>
  <c r="D144" i="4"/>
  <c r="E144" i="4" s="1"/>
  <c r="E146" i="4" s="1"/>
  <c r="D142" i="4"/>
  <c r="E142" i="4" s="1"/>
  <c r="D132" i="4"/>
  <c r="E132" i="4" s="1"/>
  <c r="D131" i="4"/>
  <c r="E131" i="4" s="1"/>
  <c r="D130" i="4"/>
  <c r="E130" i="4" s="1"/>
  <c r="D126" i="4"/>
  <c r="E126" i="4" s="1"/>
  <c r="D125" i="4"/>
  <c r="E125" i="4" s="1"/>
  <c r="D124" i="4"/>
  <c r="E124" i="4" s="1"/>
  <c r="D122" i="4"/>
  <c r="E122" i="4" s="1"/>
  <c r="E133" i="4" s="1"/>
  <c r="D117" i="4"/>
  <c r="E117" i="4" s="1"/>
  <c r="D116" i="4"/>
  <c r="E116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E98" i="4" s="1"/>
  <c r="E119" i="4" s="1"/>
  <c r="D94" i="4"/>
  <c r="E94" i="4" s="1"/>
  <c r="D93" i="4"/>
  <c r="E93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E95" i="4" s="1"/>
  <c r="D70" i="4"/>
  <c r="E70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l="1"/>
  <c r="E161" i="4"/>
  <c r="E154" i="4"/>
  <c r="D161" i="4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<sst xmlns="http://schemas.openxmlformats.org/spreadsheetml/2006/main" count="395" uniqueCount="266">
  <si>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</si>
  <si>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</si>
  <si>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</si>
  <si>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</si>
  <si>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</si>
  <si>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</si>
  <si>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</si>
  <si>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</si>
  <si>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</si>
  <si>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</si>
  <si>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</si>
  <si>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</si>
  <si>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</si>
  <si>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</si>
  <si>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</si>
  <si>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</si>
  <si>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</si>
  <si>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</si>
  <si>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</si>
  <si>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</si>
  <si>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</si>
  <si>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</si>
  <si>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</si>
  <si>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</si>
  <si>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</si>
  <si>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</si>
  <si>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</si>
  <si>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</si>
  <si>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</si>
  <si>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</si>
  <si>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</si>
  <si>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</si>
  <si>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</si>
  <si>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</si>
  <si>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</si>
  <si>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</si>
  <si>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</si>
  <si>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</si>
  <si>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</si>
  <si>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</si>
  <si>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</si>
  <si>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</si>
  <si>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</si>
  <si>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</si>
  <si>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</si>
  <si>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</si>
  <si>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</si>
  <si>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</si>
  <si>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</si>
  <si>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</si>
  <si>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</si>
  <si>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</si>
  <si>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</si>
  <si>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</si>
  <si>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</si>
  <si>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</si>
  <si>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</si>
  <si>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</si>
  <si>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</si>
  <si>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</si>
  <si>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</si>
  <si>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</si>
  <si>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</si>
  <si>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</si>
  <si>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</si>
  <si>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</si>
  <si>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</si>
  <si>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</si>
  <si>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</si>
  <si>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</si>
  <si>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</si>
  <si>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</si>
  <si>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</si>
  <si>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</si>
  <si>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</si>
  <si>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</si>
  <si>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</si>
  <si>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</si>
  <si>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</si>
  <si>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</si>
  <si>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</si>
  <si>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</si>
  <si>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</si>
  <si>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</si>
  <si>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</si>
  <si>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</si>
  <si>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</si>
  <si>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</si>
  <si>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</si>
  <si>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</si>
  <si>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</si>
  <si>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</si>
  <si>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</si>
  <si>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</si>
  <si>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</si>
  <si>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</si>
  <si>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</si>
  <si>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</si>
  <si>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</si>
  <si>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</si>
  <si>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</si>
  <si>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</si>
  <si>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</si>
  <si>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</si>
  <si>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</si>
  <si>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</si>
  <si>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</si>
  <si>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</si>
  <si>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</si>
  <si>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</si>
  <si>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</si>
  <si>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</si>
  <si>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</si>
  <si>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</si>
  <si>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</si>
  <si>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</si>
  <si>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</si>
  <si>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</si>
  <si>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</si>
  <si>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</si>
  <si>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</si>
  <si>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</si>
  <si>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</si>
  <si>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</si>
  <si>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</si>
  <si>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</si>
  <si>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</si>
  <si>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</si>
  <si>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</si>
  <si>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</si>
  <si>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</si>
  <si>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</si>
  <si>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</si>
  <si>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</si>
  <si>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</si>
  <si>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</si>
  <si>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</si>
  <si>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</si>
  <si>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</si>
  <si>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</si>
  <si>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</si>
  <si>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</si>
  <si>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</si>
  <si>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</si>
  <si>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</si>
  <si>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</si>
  <si>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</si>
  <si>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</si>
  <si>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</si>
  <si>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</si>
  <si>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</si>
  <si>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</si>
  <si>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</si>
  <si>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</si>
  <si>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</si>
  <si>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</si>
  <si>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</si>
  <si>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</si>
  <si>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</si>
  <si>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</si>
  <si>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</si>
  <si>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</si>
  <si>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</si>
  <si>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</si>
  <si>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</si>
  <si>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</si>
  <si>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</si>
  <si>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</si>
  <si>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</si>
  <si>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</si>
  <si>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</si>
  <si>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</si>
  <si>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</si>
  <si>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</si>
  <si>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</si>
  <si>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</si>
  <si>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</si>
  <si>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</si>
  <si>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</si>
  <si>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</si>
  <si>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</si>
  <si>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</si>
  <si>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</si>
  <si>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</si>
  <si>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</si>
  <si>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</si>
  <si>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</si>
  <si>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</si>
  <si>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</si>
  <si>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</si>
  <si>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</si>
  <si>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</si>
  <si>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</si>
  <si>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</si>
  <si>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</si>
  <si>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</si>
  <si>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</si>
  <si>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</si>
  <si>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</si>
  <si>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</si>
  <si>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</si>
  <si>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</si>
  <si>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</si>
  <si>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</si>
  <si>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</si>
  <si>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</si>
  <si>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</si>
  <si>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</si>
  <si>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</si>
  <si>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</si>
  <si>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</si>
  <si>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</si>
  <si>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</si>
  <si>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</si>
  <si>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</si>
  <si>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</si>
  <si>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</si>
  <si>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</si>
  <si>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</si>
  <si>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</si>
  <si>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</si>
  <si>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</si>
  <si>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</si>
  <si>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</si>
  <si>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</si>
  <si>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</si>
  <si>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</si>
  <si>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</si>
  <si>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</si>
  <si>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</si>
  <si>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</si>
  <si>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</si>
  <si>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</si>
  <si>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</si>
  <si>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</si>
  <si>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</si>
  <si>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</si>
  <si>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</si>
  <si>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</si>
  <si>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</si>
  <si>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</si>
  <si>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</si>
  <si>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</si>
  <si>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</si>
  <si>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</si>
  <si>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</si>
  <si>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</si>
  <si>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</si>
  <si>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</si>
  <si>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</si>
  <si>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</si>
  <si>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</si>
  <si>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교육연구</t>
  </si>
  <si>
    <t>가금연구단지 종합연구동 신축공사</t>
    <phoneticPr fontId="2" type="noConversion"/>
  </si>
  <si>
    <t>강원도</t>
  </si>
  <si>
    <t>기초공사,해체및철거공사, 골재비및운반비, 작업부산물, 품질시험비, 기타공사</t>
    <phoneticPr fontId="2" type="noConversion"/>
  </si>
  <si>
    <t>난방배관공사, 기타공사</t>
    <phoneticPr fontId="2" type="noConversion"/>
  </si>
  <si>
    <t>전기인입 및 수변전 설비공사</t>
    <phoneticPr fontId="2" type="noConversion"/>
  </si>
  <si>
    <t>토목 사급자재비, 기타공사</t>
    <phoneticPr fontId="2" type="noConversion"/>
  </si>
  <si>
    <t>포장공사, 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</si>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</sst>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2491.35</v>
      </c>
      <c r="D7" s="36">
        <f>+C7/3.3058</f>
        <v>753.6299836650735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  <c r="E17" s="2"/>
    </row>
    <row r="18" spans="1:5" x14ac:dyDescent="0.3">
      <c r="E18" s="2"/>
    </row>
    <row r="19" spans="1:5" x14ac:dyDescent="0.3">
      <c r="A19" s="2">
        <v>9</v>
      </c>
      <c r="B19" s="2" t="s">
        <v>265</v>
      </c>
      <c r="E19" s="2"/>
    </row>
    <row r="20" spans="1:5" x14ac:dyDescent="0.3">
      <c r="C20" s="2"/>
      <c r="E20" s="2"/>
    </row>
    <row r="21" spans="1:5" x14ac:dyDescent="0.3">
      <c r="C21" s="2"/>
      <c r="E21" s="2"/>
    </row>
    <row r="22" spans="1:5" x14ac:dyDescent="0.3">
      <c r="C22" s="2"/>
      <c r="E22" s="2"/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1038470</v>
      </c>
      <c r="E25" s="58">
        <f t="shared" si="0"/>
        <v>3432970</v>
      </c>
    </row>
    <row r="26" spans="1:5" x14ac:dyDescent="0.3">
      <c r="B26" s="2">
        <v>3</v>
      </c>
      <c r="C26" s="35" t="s">
        <v>95</v>
      </c>
      <c r="D26" s="45">
        <f>+D66</f>
        <v>83120</v>
      </c>
      <c r="E26" s="58">
        <f t="shared" si="0"/>
        <v>274770</v>
      </c>
    </row>
    <row r="27" spans="1:5" x14ac:dyDescent="0.3">
      <c r="B27" s="2">
        <v>4</v>
      </c>
      <c r="C27" s="35" t="s">
        <v>96</v>
      </c>
      <c r="D27" s="45">
        <f>+D95</f>
        <v>278580</v>
      </c>
      <c r="E27" s="58">
        <f t="shared" si="0"/>
        <v>920920</v>
      </c>
    </row>
    <row r="28" spans="1:5" x14ac:dyDescent="0.3">
      <c r="B28" s="2">
        <v>5</v>
      </c>
      <c r="C28" s="35" t="s">
        <v>97</v>
      </c>
      <c r="D28" s="45">
        <f>+D119</f>
        <v>204390</v>
      </c>
      <c r="E28" s="58">
        <f t="shared" si="0"/>
        <v>675670</v>
      </c>
    </row>
    <row r="29" spans="1:5" x14ac:dyDescent="0.3">
      <c r="B29" s="2">
        <v>6</v>
      </c>
      <c r="C29" s="35" t="s">
        <v>98</v>
      </c>
      <c r="D29" s="45">
        <f>+D133</f>
        <v>102300</v>
      </c>
      <c r="E29" s="58">
        <f t="shared" si="0"/>
        <v>338180</v>
      </c>
    </row>
    <row r="30" spans="1:5" x14ac:dyDescent="0.3">
      <c r="B30" s="2">
        <v>7</v>
      </c>
      <c r="C30" s="35" t="s">
        <v>99</v>
      </c>
      <c r="D30" s="45">
        <f>+D146</f>
        <v>100530</v>
      </c>
      <c r="E30" s="58">
        <f t="shared" si="0"/>
        <v>332330</v>
      </c>
    </row>
    <row r="31" spans="1:5" x14ac:dyDescent="0.3">
      <c r="B31" s="2">
        <v>8</v>
      </c>
      <c r="C31" s="35" t="s">
        <v>100</v>
      </c>
      <c r="D31" s="45">
        <f>+D154</f>
        <v>24050</v>
      </c>
      <c r="E31" s="58">
        <f t="shared" si="0"/>
        <v>79500</v>
      </c>
    </row>
    <row r="32" spans="1:5" x14ac:dyDescent="0.3">
      <c r="B32" s="2">
        <v>9</v>
      </c>
      <c r="C32" s="35" t="s">
        <v>101</v>
      </c>
      <c r="D32" s="45">
        <f>+D161</f>
        <v>23150</v>
      </c>
      <c r="E32" s="58">
        <f t="shared" si="0"/>
        <v>76520</v>
      </c>
    </row>
    <row r="33" spans="1:7" x14ac:dyDescent="0.3">
      <c r="B33" s="2">
        <v>10</v>
      </c>
      <c r="C33" s="35" t="s">
        <v>153</v>
      </c>
      <c r="D33" s="53">
        <f>TRUNC(SUM(D24:D32)*0.275,-1)</f>
        <v>510010</v>
      </c>
      <c r="E33" s="59">
        <f t="shared" si="0"/>
        <v>1685990</v>
      </c>
    </row>
    <row r="34" spans="1:7" x14ac:dyDescent="0.3">
      <c r="C34" s="35" t="s">
        <v>112</v>
      </c>
      <c r="D34" s="44">
        <f>SUM(D24:D33)</f>
        <v>2364600</v>
      </c>
      <c r="E34" s="44">
        <f>SUM(E24:E33)</f>
        <v>7816850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260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261</v>
      </c>
      <c r="E39" s="66" t="s">
        <v>262</v>
      </c>
      <c r="G39" s="67"/>
    </row>
    <row r="40" spans="1:7" x14ac:dyDescent="0.3">
      <c r="A40" s="2">
        <v>1</v>
      </c>
      <c r="C40" s="38" t="s">
        <v>15</v>
      </c>
      <c r="D40" s="40">
        <f>TRUNC(46153,-1)</f>
        <v>46150</v>
      </c>
      <c r="E40" s="61">
        <f t="shared" ref="E40:E59" si="1">TRUNC(+D40*3.3058,-1)</f>
        <v>152560</v>
      </c>
    </row>
    <row r="41" spans="1:7" x14ac:dyDescent="0.3">
      <c r="A41" s="2">
        <v>2</v>
      </c>
      <c r="C41" s="38" t="s">
        <v>13</v>
      </c>
      <c r="D41" s="42">
        <f>TRUNC(164470,-1)</f>
        <v>164470</v>
      </c>
      <c r="E41" s="62">
        <f t="shared" si="1"/>
        <v>543700</v>
      </c>
    </row>
    <row r="42" spans="1:7" x14ac:dyDescent="0.3">
      <c r="A42" s="2">
        <v>3</v>
      </c>
      <c r="C42" s="38" t="s">
        <v>14</v>
      </c>
      <c r="D42" s="42">
        <f>TRUNC(22687,-1)</f>
        <v>22680</v>
      </c>
      <c r="E42" s="62">
        <f t="shared" si="1"/>
        <v>74970</v>
      </c>
    </row>
    <row r="43" spans="1:7" x14ac:dyDescent="0.3">
      <c r="A43" s="2">
        <v>4</v>
      </c>
      <c r="C43" s="38" t="s">
        <v>16</v>
      </c>
      <c r="D43" s="42">
        <f>TRUNC(26325,-1)</f>
        <v>26320</v>
      </c>
      <c r="E43" s="62">
        <f t="shared" si="1"/>
        <v>87000</v>
      </c>
    </row>
    <row r="44" spans="1:7" x14ac:dyDescent="0.3">
      <c r="A44" s="2">
        <v>5</v>
      </c>
      <c r="C44" s="38" t="s">
        <v>17</v>
      </c>
      <c r="D44" s="42">
        <f>TRUNC(34016,-1)</f>
        <v>34010</v>
      </c>
      <c r="E44" s="62">
        <f t="shared" si="1"/>
        <v>112430</v>
      </c>
    </row>
    <row r="45" spans="1:7" x14ac:dyDescent="0.3">
      <c r="A45" s="2">
        <v>6</v>
      </c>
      <c r="C45" s="38" t="s">
        <v>18</v>
      </c>
      <c r="D45" s="42">
        <f>TRUNC(17818,-1)</f>
        <v>17810</v>
      </c>
      <c r="E45" s="62">
        <f t="shared" si="1"/>
        <v>58870</v>
      </c>
    </row>
    <row r="46" spans="1:7" x14ac:dyDescent="0.3">
      <c r="A46" s="2">
        <v>7</v>
      </c>
      <c r="C46" s="38" t="s">
        <v>19</v>
      </c>
      <c r="D46" s="42">
        <f>TRUNC(104137,-1)</f>
        <v>104130</v>
      </c>
      <c r="E46" s="62">
        <f t="shared" si="1"/>
        <v>344230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TRUNC(105199,-1)</f>
        <v>105190</v>
      </c>
      <c r="E48" s="62">
        <f t="shared" si="1"/>
        <v>347730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f>TRUNC(23688,-1)</f>
        <v>23680</v>
      </c>
      <c r="E49" s="62">
        <f t="shared" si="1"/>
        <v>78280</v>
      </c>
    </row>
    <row r="50" spans="1:7" x14ac:dyDescent="0.3">
      <c r="A50" s="2">
        <v>11</v>
      </c>
      <c r="C50" s="38" t="s">
        <v>154</v>
      </c>
      <c r="D50" s="42">
        <f>TRUNC(69713,-1)</f>
        <v>69710</v>
      </c>
      <c r="E50" s="62">
        <f t="shared" si="1"/>
        <v>230440</v>
      </c>
      <c r="F50" s="2" t="s">
        <v>248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TRUNC(18094,-1)</f>
        <v>18090</v>
      </c>
      <c r="E52" s="62">
        <f t="shared" si="1"/>
        <v>59800</v>
      </c>
    </row>
    <row r="53" spans="1:7" x14ac:dyDescent="0.3">
      <c r="A53" s="2">
        <v>14</v>
      </c>
      <c r="C53" s="38" t="s">
        <v>25</v>
      </c>
      <c r="D53" s="42">
        <f>TRUNC(85053,-1)</f>
        <v>85050</v>
      </c>
      <c r="E53" s="62">
        <f t="shared" si="1"/>
        <v>281150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TRUNC(537+14219+13093-511+2407+12963,-1)</f>
        <v>42700</v>
      </c>
      <c r="E58" s="62">
        <f t="shared" si="1"/>
        <v>141150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TRUNC(278482,-1)</f>
        <v>278480</v>
      </c>
      <c r="E59" s="63">
        <f t="shared" si="1"/>
        <v>920590</v>
      </c>
    </row>
    <row r="60" spans="1:7" x14ac:dyDescent="0.3">
      <c r="A60" s="2">
        <v>21</v>
      </c>
      <c r="C60" s="27" t="s">
        <v>112</v>
      </c>
      <c r="D60" s="39">
        <f>SUM(D40:D59)</f>
        <v>1038470</v>
      </c>
      <c r="E60" s="39">
        <f>SUM(E40:E59)</f>
        <v>3432900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260</v>
      </c>
      <c r="F62" s="54"/>
      <c r="G62" s="54"/>
    </row>
    <row r="63" spans="1:7" x14ac:dyDescent="0.3">
      <c r="A63" s="2">
        <v>1</v>
      </c>
      <c r="C63" s="38" t="s">
        <v>27</v>
      </c>
      <c r="D63" s="40">
        <v>14540</v>
      </c>
      <c r="E63" s="61">
        <f>TRUNC(+D63*3.3058,-1)</f>
        <v>48060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68580</v>
      </c>
      <c r="E65" s="63">
        <f>TRUNC(+D65*3.3058,-1)</f>
        <v>226710</v>
      </c>
    </row>
    <row r="66" spans="1:7" x14ac:dyDescent="0.3">
      <c r="A66" s="2">
        <v>4</v>
      </c>
      <c r="C66" s="27" t="s">
        <v>112</v>
      </c>
      <c r="D66" s="39">
        <f>SUM(D63:D65)</f>
        <v>83120</v>
      </c>
      <c r="E66" s="64">
        <f>SUM(E63:E65)</f>
        <v>274770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234</v>
      </c>
      <c r="E68" s="56" t="s">
        <v>260</v>
      </c>
      <c r="F68" s="54"/>
      <c r="G68" s="54"/>
    </row>
    <row r="69" spans="1:7" x14ac:dyDescent="0.3">
      <c r="A69" s="2">
        <v>1</v>
      </c>
      <c r="C69" s="38" t="s">
        <v>30</v>
      </c>
      <c r="D69" s="40">
        <v>9630</v>
      </c>
      <c r="E69" s="61">
        <f t="shared" ref="E69:E94" si="2">TRUNC(+D69*3.3058,-1)</f>
        <v>31830</v>
      </c>
    </row>
    <row r="70" spans="1:7" ht="16.5" customHeight="1" x14ac:dyDescent="0.3">
      <c r="A70" s="2">
        <v>2</v>
      </c>
      <c r="C70" s="38" t="s">
        <v>31</v>
      </c>
      <c r="D70" s="42">
        <f>TRUNC(6371,-1)</f>
        <v>6370</v>
      </c>
      <c r="E70" s="62">
        <f t="shared" si="2"/>
        <v>21050</v>
      </c>
    </row>
    <row r="71" spans="1:7" x14ac:dyDescent="0.3">
      <c r="A71" s="2">
        <v>3</v>
      </c>
      <c r="C71" s="38" t="s">
        <v>32</v>
      </c>
      <c r="D71" s="42">
        <f>TRUNC(7025,-1)</f>
        <v>7020</v>
      </c>
      <c r="E71" s="62">
        <f t="shared" si="2"/>
        <v>23200</v>
      </c>
    </row>
    <row r="72" spans="1:7" x14ac:dyDescent="0.3">
      <c r="A72" s="2">
        <v>4</v>
      </c>
      <c r="C72" s="38" t="s">
        <v>33</v>
      </c>
      <c r="D72" s="42">
        <f>TRUNC(2923,-1)</f>
        <v>2920</v>
      </c>
      <c r="E72" s="62">
        <f t="shared" si="2"/>
        <v>9650</v>
      </c>
    </row>
    <row r="73" spans="1:7" x14ac:dyDescent="0.3">
      <c r="A73" s="2">
        <v>5</v>
      </c>
      <c r="C73" s="38" t="s">
        <v>34</v>
      </c>
      <c r="D73" s="42">
        <f>TRUNC(8238,-1)</f>
        <v>8230</v>
      </c>
      <c r="E73" s="62">
        <f t="shared" si="2"/>
        <v>27200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TRUNC(4608,-1)</f>
        <v>4600</v>
      </c>
      <c r="E89" s="62">
        <f t="shared" si="2"/>
        <v>15200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TRUNC(8377,-1)</f>
        <v>8370</v>
      </c>
      <c r="E91" s="62">
        <f t="shared" si="2"/>
        <v>27660</v>
      </c>
    </row>
    <row r="92" spans="1:7" x14ac:dyDescent="0.3">
      <c r="A92" s="2">
        <v>24</v>
      </c>
      <c r="C92" s="38" t="s">
        <v>38</v>
      </c>
      <c r="D92" s="42">
        <f>TRUNC(7378,-1)</f>
        <v>7370</v>
      </c>
      <c r="E92" s="62">
        <f t="shared" si="2"/>
        <v>24360</v>
      </c>
    </row>
    <row r="93" spans="1:7" x14ac:dyDescent="0.3">
      <c r="A93" s="2">
        <v>25</v>
      </c>
      <c r="C93" s="38" t="s">
        <v>148</v>
      </c>
      <c r="D93" s="42">
        <f>TRUNC(190308,-1)</f>
        <v>190300</v>
      </c>
      <c r="E93" s="62">
        <f t="shared" si="2"/>
        <v>629090</v>
      </c>
    </row>
    <row r="94" spans="1:7" ht="17.25" thickBot="1" x14ac:dyDescent="0.35">
      <c r="A94" s="2">
        <v>26</v>
      </c>
      <c r="C94" s="38" t="s">
        <v>47</v>
      </c>
      <c r="D94" s="43">
        <f>TRUNC(2584+31193,-1)</f>
        <v>33770</v>
      </c>
      <c r="E94" s="63">
        <f t="shared" si="2"/>
        <v>111630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278580</v>
      </c>
      <c r="E95" s="39">
        <f>SUM(E69:E94)</f>
        <v>920870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234</v>
      </c>
      <c r="E97" s="56" t="s">
        <v>260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TRUNC(20867,-1)</f>
        <v>20860</v>
      </c>
      <c r="E98" s="61">
        <f t="shared" ref="E98:E118" si="3">TRUNC(+D98*3.3058,-1)</f>
        <v>68950</v>
      </c>
    </row>
    <row r="99" spans="1:7" x14ac:dyDescent="0.3">
      <c r="A99" s="2">
        <v>2</v>
      </c>
      <c r="C99" s="38" t="s">
        <v>40</v>
      </c>
      <c r="D99" s="42">
        <f>TRUNC(7973,-1)</f>
        <v>7970</v>
      </c>
      <c r="E99" s="62">
        <f t="shared" si="3"/>
        <v>26340</v>
      </c>
    </row>
    <row r="100" spans="1:7" x14ac:dyDescent="0.3">
      <c r="A100" s="2">
        <v>3</v>
      </c>
      <c r="C100" s="38" t="s">
        <v>41</v>
      </c>
      <c r="D100" s="42">
        <f>TRUNC(42469,-1)</f>
        <v>42460</v>
      </c>
      <c r="E100" s="62">
        <f t="shared" si="3"/>
        <v>140360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TRUNC(18577,-1)</f>
        <v>18570</v>
      </c>
      <c r="E102" s="62">
        <f t="shared" si="3"/>
        <v>61380</v>
      </c>
    </row>
    <row r="103" spans="1:7" x14ac:dyDescent="0.3">
      <c r="A103" s="2">
        <v>6</v>
      </c>
      <c r="C103" s="38" t="s">
        <v>44</v>
      </c>
      <c r="D103" s="42">
        <f>TRUNC(9084,-1)</f>
        <v>9080</v>
      </c>
      <c r="E103" s="62">
        <f t="shared" si="3"/>
        <v>30010</v>
      </c>
    </row>
    <row r="104" spans="1:7" x14ac:dyDescent="0.3">
      <c r="A104" s="2">
        <v>7</v>
      </c>
      <c r="C104" s="38" t="s">
        <v>45</v>
      </c>
      <c r="D104" s="42">
        <f>TRUNC(1708,-1)</f>
        <v>1700</v>
      </c>
      <c r="E104" s="62">
        <f t="shared" si="3"/>
        <v>5610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TRUNC(13369,-1)</f>
        <v>13360</v>
      </c>
      <c r="E116" s="62">
        <f t="shared" si="3"/>
        <v>44160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TRUNC(90399,-1)</f>
        <v>90390</v>
      </c>
      <c r="E117" s="62">
        <f t="shared" si="3"/>
        <v>298810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204390</v>
      </c>
      <c r="E119" s="39">
        <f>SUM(E98:E118)</f>
        <v>675620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234</v>
      </c>
      <c r="E121" s="56" t="s">
        <v>260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TRUNC(3913,-1)</f>
        <v>3910</v>
      </c>
      <c r="E122" s="61">
        <f t="shared" ref="E122:E132" si="4">TRUNC(+D122*3.3058,-1)</f>
        <v>12920</v>
      </c>
      <c r="F122" s="2" t="s">
        <v>250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TRUNC(1427,-1)</f>
        <v>1420</v>
      </c>
      <c r="E124" s="62">
        <f t="shared" si="4"/>
        <v>4690</v>
      </c>
    </row>
    <row r="125" spans="1:7" x14ac:dyDescent="0.3">
      <c r="A125" s="2">
        <v>4</v>
      </c>
      <c r="C125" s="38" t="s">
        <v>138</v>
      </c>
      <c r="D125" s="42">
        <f>TRUNC(8917,-1)</f>
        <v>8910</v>
      </c>
      <c r="E125" s="62">
        <f t="shared" si="4"/>
        <v>29450</v>
      </c>
    </row>
    <row r="126" spans="1:7" x14ac:dyDescent="0.3">
      <c r="A126" s="2">
        <v>5</v>
      </c>
      <c r="C126" s="38" t="s">
        <v>53</v>
      </c>
      <c r="D126" s="42">
        <f>TRUNC(3269,-1)</f>
        <v>3260</v>
      </c>
      <c r="E126" s="62">
        <f t="shared" si="4"/>
        <v>10770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TRUNC(24256,-1)</f>
        <v>24250</v>
      </c>
      <c r="E130" s="62">
        <f t="shared" si="4"/>
        <v>80160</v>
      </c>
    </row>
    <row r="131" spans="1:7" x14ac:dyDescent="0.3">
      <c r="A131" s="2">
        <v>10</v>
      </c>
      <c r="C131" s="38" t="s">
        <v>148</v>
      </c>
      <c r="D131" s="42">
        <f>TRUNC(59906,-1)</f>
        <v>59900</v>
      </c>
      <c r="E131" s="62">
        <f t="shared" si="4"/>
        <v>198010</v>
      </c>
    </row>
    <row r="132" spans="1:7" ht="17.25" thickBot="1" x14ac:dyDescent="0.35">
      <c r="A132" s="2">
        <v>11</v>
      </c>
      <c r="C132" s="38" t="s">
        <v>47</v>
      </c>
      <c r="D132" s="43">
        <f>TRUNC(505+148,-1)</f>
        <v>650</v>
      </c>
      <c r="E132" s="63">
        <f t="shared" si="4"/>
        <v>2140</v>
      </c>
      <c r="F132" s="2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102300</v>
      </c>
      <c r="E133" s="39">
        <f>SUM(E122:E132)</f>
        <v>338140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234</v>
      </c>
      <c r="E135" s="56" t="s">
        <v>260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2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2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TRUNC(16974,-1)</f>
        <v>16970</v>
      </c>
      <c r="E142" s="62">
        <f t="shared" si="5"/>
        <v>56090</v>
      </c>
    </row>
    <row r="143" spans="1:7" x14ac:dyDescent="0.3">
      <c r="A143" s="2">
        <v>8</v>
      </c>
      <c r="C143" s="38" t="s">
        <v>62</v>
      </c>
      <c r="D143" s="42">
        <v>7970</v>
      </c>
      <c r="E143" s="62">
        <f t="shared" si="5"/>
        <v>26340</v>
      </c>
    </row>
    <row r="144" spans="1:7" x14ac:dyDescent="0.3">
      <c r="A144" s="2">
        <v>9</v>
      </c>
      <c r="C144" s="38" t="s">
        <v>63</v>
      </c>
      <c r="D144" s="42">
        <f>TRUNC(15699,-1)</f>
        <v>15690</v>
      </c>
      <c r="E144" s="62">
        <f t="shared" si="5"/>
        <v>51860</v>
      </c>
    </row>
    <row r="145" spans="1:7" ht="17.25" thickBot="1" x14ac:dyDescent="0.35">
      <c r="A145" s="2">
        <v>10</v>
      </c>
      <c r="C145" s="38" t="s">
        <v>148</v>
      </c>
      <c r="D145" s="43">
        <f>TRUNC(59906,-1)</f>
        <v>59900</v>
      </c>
      <c r="E145" s="63">
        <f t="shared" si="5"/>
        <v>198010</v>
      </c>
    </row>
    <row r="146" spans="1:7" x14ac:dyDescent="0.3">
      <c r="A146" s="2">
        <v>11</v>
      </c>
      <c r="C146" s="27" t="s">
        <v>112</v>
      </c>
      <c r="D146" s="39">
        <f>SUM(D136:D145)</f>
        <v>100530</v>
      </c>
      <c r="E146" s="39">
        <f>SUM(E136:E145)</f>
        <v>332300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234</v>
      </c>
      <c r="E148" s="56" t="s">
        <v>260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TRUNC(5122+3931,-1)</f>
        <v>9050</v>
      </c>
      <c r="E149" s="61">
        <f>TRUNC(+D149*3.3058,-1)</f>
        <v>29910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TRUNC(10321,-1)</f>
        <v>10320</v>
      </c>
      <c r="E150" s="62">
        <f>TRUNC(+D150*3.3058,-1)</f>
        <v>34110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TRUNC(2302+813,-1)</f>
        <v>3110</v>
      </c>
      <c r="E152" s="62">
        <f>TRUNC(+D152*3.3058,-1)</f>
        <v>10280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1570</v>
      </c>
      <c r="E153" s="63">
        <f>TRUNC(+D153*3.3058,-1)</f>
        <v>5190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24050</v>
      </c>
      <c r="E154" s="39">
        <f>SUM(E149:E153)</f>
        <v>79490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234</v>
      </c>
      <c r="E156" s="56" t="s">
        <v>260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TRUNC(5587,-1)</f>
        <v>5580</v>
      </c>
      <c r="E157" s="61">
        <f>TRUNC(+D157*3.3058,-1)</f>
        <v>18440</v>
      </c>
    </row>
    <row r="158" spans="1:7" x14ac:dyDescent="0.3">
      <c r="A158" s="2">
        <v>2</v>
      </c>
      <c r="C158" s="38" t="s">
        <v>52</v>
      </c>
      <c r="D158" s="42">
        <f>TRUNC(13117,-1)</f>
        <v>13110</v>
      </c>
      <c r="E158" s="62">
        <f>TRUNC(+D158*3.3058,-1)</f>
        <v>43330</v>
      </c>
    </row>
    <row r="159" spans="1:7" x14ac:dyDescent="0.3">
      <c r="A159" s="2">
        <v>3</v>
      </c>
      <c r="C159" s="38" t="s">
        <v>47</v>
      </c>
      <c r="D159" s="42">
        <f>TRUNC(4435+9,-1)</f>
        <v>4440</v>
      </c>
      <c r="E159" s="62">
        <f>TRUNC(+D159*3.3058,-1)</f>
        <v>14670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f>TRUNC(26,-1)</f>
        <v>20</v>
      </c>
      <c r="E160" s="63">
        <f>TRUNC(+D160*3.3058,-1)</f>
        <v>60</v>
      </c>
    </row>
    <row r="161" spans="1:5" x14ac:dyDescent="0.3">
      <c r="A161" s="2">
        <v>5</v>
      </c>
      <c r="C161" s="27" t="s">
        <v>112</v>
      </c>
      <c r="D161" s="39">
        <f>SUM(D157:D160)</f>
        <v>23150</v>
      </c>
      <c r="E161" s="39">
        <f>SUM(E157:E160)</f>
        <v>76500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2020-12-07T10:10:08Z</dcterms:modified>
</cp:coreProperties>
</file>