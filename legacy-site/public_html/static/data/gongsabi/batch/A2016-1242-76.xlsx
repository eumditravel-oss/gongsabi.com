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38" i="4"/>
  <c r="E136" i="4"/>
  <c r="E129" i="4"/>
  <c r="E127" i="4"/>
  <c r="E126" i="4"/>
  <c r="E123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8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64" i="4"/>
  <c r="E57" i="4"/>
  <c r="E56" i="4"/>
  <c r="E55" i="4"/>
  <c r="E54" i="4"/>
  <c r="E52" i="4"/>
  <c r="E51" i="4"/>
  <c r="E47" i="4"/>
  <c r="E37" i="4"/>
  <c r="D159" i="4" l="1"/>
  <c r="E159" i="4" s="1"/>
  <c r="D158" i="4"/>
  <c r="E158" i="4" s="1"/>
  <c r="D157" i="4"/>
  <c r="E157" i="4" s="1"/>
  <c r="D153" i="4"/>
  <c r="E153" i="4" s="1"/>
  <c r="D152" i="4"/>
  <c r="E152" i="4" s="1"/>
  <c r="D150" i="4"/>
  <c r="E150" i="4" s="1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E146" i="4" s="1"/>
  <c r="D137" i="4"/>
  <c r="E137" i="4" s="1"/>
  <c r="D132" i="4"/>
  <c r="E132" i="4" s="1"/>
  <c r="D131" i="4"/>
  <c r="E131" i="4" s="1"/>
  <c r="D130" i="4"/>
  <c r="E130" i="4" s="1"/>
  <c r="D128" i="4"/>
  <c r="E128" i="4" s="1"/>
  <c r="D125" i="4"/>
  <c r="E125" i="4" s="1"/>
  <c r="D124" i="4"/>
  <c r="E124" i="4" s="1"/>
  <c r="D122" i="4"/>
  <c r="E122" i="4" s="1"/>
  <c r="D117" i="4"/>
  <c r="E117" i="4" s="1"/>
  <c r="D105" i="4"/>
  <c r="E105" i="4" s="1"/>
  <c r="D104" i="4"/>
  <c r="E104" i="4" s="1"/>
  <c r="D102" i="4"/>
  <c r="E102" i="4" s="1"/>
  <c r="D100" i="4"/>
  <c r="E100" i="4" s="1"/>
  <c r="D99" i="4"/>
  <c r="E99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6" i="4"/>
  <c r="E76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D59" i="4"/>
  <c r="E59" i="4" s="1"/>
  <c r="D58" i="4"/>
  <c r="E58" i="4" s="1"/>
  <c r="D53" i="4"/>
  <c r="E53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l="1"/>
  <c r="E119" i="4"/>
  <c r="E133" i="4"/>
  <c r="E66" i="4"/>
  <c r="E154" i="4"/>
  <c r="E161" i="4"/>
  <c r="E95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<sst xmlns="http://schemas.openxmlformats.org/spreadsheetml/2006/main" count="390" uniqueCount="265">
  <si>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</si>
  <si>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</si>
  <si>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</si>
  <si>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</si>
  <si>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</si>
  <si>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</si>
  <si>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</si>
  <si>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</si>
  <si>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</si>
  <si>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</si>
  <si>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</si>
  <si>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</si>
  <si>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</si>
  <si>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</si>
  <si>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</si>
  <si>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</si>
  <si>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</si>
  <si>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</si>
  <si>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</si>
  <si>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</si>
  <si>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</si>
  <si>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</si>
  <si>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</si>
  <si>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</si>
  <si>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</si>
  <si>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</si>
  <si>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</si>
  <si>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</si>
  <si>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</si>
  <si>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</si>
  <si>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</si>
  <si>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</si>
  <si>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</si>
  <si>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</si>
  <si>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</si>
  <si>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</si>
  <si>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</si>
  <si>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</si>
  <si>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</si>
  <si>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</si>
  <si>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</si>
  <si>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</si>
  <si>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</si>
  <si>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</si>
  <si>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</si>
  <si>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</si>
  <si>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</si>
  <si>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</si>
  <si>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</si>
  <si>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</si>
  <si>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</si>
  <si>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</si>
  <si>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</si>
  <si>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</si>
  <si>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</si>
  <si>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</si>
  <si>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</si>
  <si>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</si>
  <si>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</si>
  <si>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</si>
  <si>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</si>
  <si>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</si>
  <si>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</si>
  <si>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</si>
  <si>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</si>
  <si>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</si>
  <si>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</si>
  <si>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</si>
  <si>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</si>
  <si>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</si>
  <si>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</si>
  <si>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</si>
  <si>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</si>
  <si>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</si>
  <si>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</si>
  <si>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</si>
  <si>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</si>
  <si>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</si>
  <si>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</si>
  <si>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</si>
  <si>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</si>
  <si>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</si>
  <si>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</si>
  <si>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</si>
  <si>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</si>
  <si>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</si>
  <si>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</si>
  <si>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</si>
  <si>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</si>
  <si>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</si>
  <si>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</si>
  <si>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</si>
  <si>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</si>
  <si>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</si>
  <si>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</si>
  <si>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</si>
  <si>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</si>
  <si>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</si>
  <si>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</si>
  <si>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</si>
  <si>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</si>
  <si>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</si>
  <si>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</si>
  <si>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</si>
  <si>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</si>
  <si>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</si>
  <si>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</si>
  <si>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</si>
  <si>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</si>
  <si>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</si>
  <si>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</si>
  <si>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</si>
  <si>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</si>
  <si>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</si>
  <si>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</si>
  <si>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</si>
  <si>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</si>
  <si>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</si>
  <si>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</si>
  <si>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</si>
  <si>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</si>
  <si>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</si>
  <si>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</si>
  <si>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</si>
  <si>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</si>
  <si>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</si>
  <si>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</si>
  <si>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</si>
  <si>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</si>
  <si>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</si>
  <si>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</si>
  <si>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</si>
  <si>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</si>
  <si>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</si>
  <si>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</si>
  <si>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</si>
  <si>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</si>
  <si>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</si>
  <si>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</si>
  <si>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</si>
  <si>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</si>
  <si>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</si>
  <si>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</si>
  <si>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</si>
  <si>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</si>
  <si>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</si>
  <si>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</si>
  <si>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</si>
  <si>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</si>
  <si>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</si>
  <si>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</si>
  <si>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</si>
  <si>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</si>
  <si>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</si>
  <si>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</si>
  <si>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</si>
  <si>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</si>
  <si>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</si>
  <si>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</si>
  <si>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</si>
  <si>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</si>
  <si>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</si>
  <si>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</si>
  <si>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</si>
  <si>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</si>
  <si>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</si>
  <si>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</si>
  <si>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</si>
  <si>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</si>
  <si>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</si>
  <si>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</si>
  <si>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</si>
  <si>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</si>
  <si>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</si>
  <si>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</si>
  <si>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</si>
  <si>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</si>
  <si>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</si>
  <si>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</si>
  <si>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</si>
  <si>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</si>
  <si>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</si>
  <si>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</si>
  <si>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</si>
  <si>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</si>
  <si>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</si>
  <si>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</si>
  <si>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</si>
  <si>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</si>
  <si>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</si>
  <si>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</si>
  <si>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</si>
  <si>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</si>
  <si>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</si>
  <si>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</si>
  <si>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</si>
  <si>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</si>
  <si>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</si>
  <si>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</si>
  <si>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</si>
  <si>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</si>
  <si>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</si>
  <si>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</si>
  <si>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</si>
  <si>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</si>
  <si>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</si>
  <si>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</si>
  <si>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</si>
  <si>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</si>
  <si>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</si>
  <si>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</si>
  <si>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</si>
  <si>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</si>
  <si>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</si>
  <si>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</si>
  <si>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</si>
  <si>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</si>
  <si>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</si>
  <si>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</si>
  <si>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</si>
  <si>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</si>
  <si>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</si>
  <si>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</si>
  <si>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</si>
  <si>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</si>
  <si>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</si>
  <si>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</si>
  <si>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</si>
  <si>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</si>
  <si>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</si>
  <si>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</si>
  <si>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</si>
  <si>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</si>
  <si>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</si>
  <si>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</si>
  <si>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</si>
  <si>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</si>
  <si>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</si>
  <si>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</si>
  <si>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</si>
  <si>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</si>
  <si>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</si>
  <si>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</si>
  <si>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</si>
  <si>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</si>
  <si>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</si>
  <si>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</si>
  <si>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</si>
  <si>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</si>
  <si>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</si>
  <si>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시흥 어울림 국민체육센터 건립공사</t>
    <phoneticPr fontId="2" type="noConversion"/>
  </si>
  <si>
    <t>경기도</t>
  </si>
  <si>
    <t>운동</t>
  </si>
  <si>
    <t>기초공사, 골재비및운반비, 품질시험비, 기타공사</t>
    <phoneticPr fontId="2" type="noConversion"/>
  </si>
  <si>
    <t>난방배관공사, 우수처리시설공사, 기타공사</t>
    <phoneticPr fontId="2" type="noConversion"/>
  </si>
  <si>
    <t>옥외보안등설비공사</t>
    <phoneticPr fontId="2" type="noConversion"/>
  </si>
  <si>
    <t>CCTV설비공사, 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</si>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</sst>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12976.04</v>
      </c>
      <c r="D7" s="36">
        <f>+C7/3.3058</f>
        <v>3925.234436445036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1069780</v>
      </c>
      <c r="E25" s="59">
        <f t="shared" si="0"/>
        <v>3536470</v>
      </c>
    </row>
    <row r="26" spans="1:5" x14ac:dyDescent="0.3">
      <c r="B26" s="2">
        <v>3</v>
      </c>
      <c r="C26" s="35" t="s">
        <v>95</v>
      </c>
      <c r="D26" s="45">
        <f>+D66</f>
        <v>97970</v>
      </c>
      <c r="E26" s="59">
        <f t="shared" si="0"/>
        <v>323860</v>
      </c>
    </row>
    <row r="27" spans="1:5" x14ac:dyDescent="0.3">
      <c r="B27" s="2">
        <v>4</v>
      </c>
      <c r="C27" s="35" t="s">
        <v>96</v>
      </c>
      <c r="D27" s="45">
        <f>+D95</f>
        <v>303210</v>
      </c>
      <c r="E27" s="59">
        <f t="shared" si="0"/>
        <v>1002350</v>
      </c>
    </row>
    <row r="28" spans="1:5" x14ac:dyDescent="0.3">
      <c r="B28" s="2">
        <v>5</v>
      </c>
      <c r="C28" s="35" t="s">
        <v>97</v>
      </c>
      <c r="D28" s="45">
        <f>+D119</f>
        <v>104990</v>
      </c>
      <c r="E28" s="59">
        <f t="shared" si="0"/>
        <v>347070</v>
      </c>
    </row>
    <row r="29" spans="1:5" x14ac:dyDescent="0.3">
      <c r="B29" s="2">
        <v>6</v>
      </c>
      <c r="C29" s="35" t="s">
        <v>98</v>
      </c>
      <c r="D29" s="45">
        <f>+D133</f>
        <v>91580</v>
      </c>
      <c r="E29" s="59">
        <f t="shared" si="0"/>
        <v>302740</v>
      </c>
    </row>
    <row r="30" spans="1:5" x14ac:dyDescent="0.3">
      <c r="B30" s="2">
        <v>7</v>
      </c>
      <c r="C30" s="35" t="s">
        <v>99</v>
      </c>
      <c r="D30" s="45">
        <f>+D146</f>
        <v>47150</v>
      </c>
      <c r="E30" s="59">
        <f t="shared" si="0"/>
        <v>155860</v>
      </c>
    </row>
    <row r="31" spans="1:5" x14ac:dyDescent="0.3">
      <c r="B31" s="2">
        <v>8</v>
      </c>
      <c r="C31" s="35" t="s">
        <v>100</v>
      </c>
      <c r="D31" s="45">
        <f>+D154</f>
        <v>22320</v>
      </c>
      <c r="E31" s="59">
        <f t="shared" si="0"/>
        <v>73780</v>
      </c>
    </row>
    <row r="32" spans="1:5" x14ac:dyDescent="0.3">
      <c r="B32" s="2">
        <v>9</v>
      </c>
      <c r="C32" s="35" t="s">
        <v>101</v>
      </c>
      <c r="D32" s="45">
        <f>+D161</f>
        <v>11690</v>
      </c>
      <c r="E32" s="59">
        <f t="shared" si="0"/>
        <v>38640</v>
      </c>
    </row>
    <row r="33" spans="1:7" x14ac:dyDescent="0.3">
      <c r="B33" s="2">
        <v>10</v>
      </c>
      <c r="C33" s="35" t="s">
        <v>153</v>
      </c>
      <c r="D33" s="53">
        <f>TRUNC(SUM(D24:D32)*0.275,-1)</f>
        <v>480880</v>
      </c>
      <c r="E33" s="60">
        <f t="shared" si="0"/>
        <v>1589690</v>
      </c>
    </row>
    <row r="34" spans="1:7" x14ac:dyDescent="0.3">
      <c r="C34" s="35" t="s">
        <v>112</v>
      </c>
      <c r="D34" s="44">
        <f>SUM(D24:D33)</f>
        <v>2229570</v>
      </c>
      <c r="E34" s="44">
        <f>SUM(E24:E33)</f>
        <v>7370460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TRUNC(80823,-1)</f>
        <v>80820</v>
      </c>
      <c r="E40" s="62">
        <f t="shared" ref="E40:E59" si="1">TRUNC(+D40*3.3058,-1)</f>
        <v>267170</v>
      </c>
    </row>
    <row r="41" spans="1:7" x14ac:dyDescent="0.3">
      <c r="A41" s="2">
        <v>2</v>
      </c>
      <c r="C41" s="38" t="s">
        <v>13</v>
      </c>
      <c r="D41" s="42">
        <f>TRUNC(157396,-1)</f>
        <v>157390</v>
      </c>
      <c r="E41" s="63">
        <f t="shared" si="1"/>
        <v>520290</v>
      </c>
    </row>
    <row r="42" spans="1:7" x14ac:dyDescent="0.3">
      <c r="A42" s="2">
        <v>3</v>
      </c>
      <c r="C42" s="38" t="s">
        <v>14</v>
      </c>
      <c r="D42" s="42">
        <f>TRUNC(190332,-1)</f>
        <v>190330</v>
      </c>
      <c r="E42" s="63">
        <f t="shared" si="1"/>
        <v>629190</v>
      </c>
    </row>
    <row r="43" spans="1:7" x14ac:dyDescent="0.3">
      <c r="A43" s="2">
        <v>4</v>
      </c>
      <c r="C43" s="38" t="s">
        <v>16</v>
      </c>
      <c r="D43" s="42">
        <f>TRUNC(10299,-1)</f>
        <v>10290</v>
      </c>
      <c r="E43" s="63">
        <f t="shared" si="1"/>
        <v>34010</v>
      </c>
    </row>
    <row r="44" spans="1:7" x14ac:dyDescent="0.3">
      <c r="A44" s="2">
        <v>5</v>
      </c>
      <c r="C44" s="38" t="s">
        <v>17</v>
      </c>
      <c r="D44" s="42">
        <f>TRUNC(30704,-1)</f>
        <v>30700</v>
      </c>
      <c r="E44" s="63">
        <f t="shared" si="1"/>
        <v>101480</v>
      </c>
    </row>
    <row r="45" spans="1:7" x14ac:dyDescent="0.3">
      <c r="A45" s="2">
        <v>6</v>
      </c>
      <c r="C45" s="38" t="s">
        <v>18</v>
      </c>
      <c r="D45" s="42">
        <f>TRUNC(5359,-1)</f>
        <v>5350</v>
      </c>
      <c r="E45" s="63">
        <f t="shared" si="1"/>
        <v>17680</v>
      </c>
    </row>
    <row r="46" spans="1:7" x14ac:dyDescent="0.3">
      <c r="A46" s="2">
        <v>7</v>
      </c>
      <c r="C46" s="38" t="s">
        <v>19</v>
      </c>
      <c r="D46" s="42">
        <f>TRUNC(4079,-1)</f>
        <v>4070</v>
      </c>
      <c r="E46" s="63">
        <f t="shared" si="1"/>
        <v>13450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TRUNC(17634,-1)</f>
        <v>17630</v>
      </c>
      <c r="E48" s="63">
        <f t="shared" si="1"/>
        <v>58280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TRUNC(17991,-1)</f>
        <v>17990</v>
      </c>
      <c r="E49" s="63">
        <f t="shared" si="1"/>
        <v>59470</v>
      </c>
    </row>
    <row r="50" spans="1:7" x14ac:dyDescent="0.3">
      <c r="A50" s="2">
        <v>11</v>
      </c>
      <c r="C50" s="38" t="s">
        <v>154</v>
      </c>
      <c r="D50" s="42">
        <f>TRUNC(59792,-1)</f>
        <v>59790</v>
      </c>
      <c r="E50" s="63">
        <f t="shared" si="1"/>
        <v>197650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8280</v>
      </c>
      <c r="E52" s="63">
        <f t="shared" si="1"/>
        <v>27370</v>
      </c>
    </row>
    <row r="53" spans="1:7" x14ac:dyDescent="0.3">
      <c r="A53" s="2">
        <v>14</v>
      </c>
      <c r="C53" s="38" t="s">
        <v>25</v>
      </c>
      <c r="D53" s="42">
        <f>TRUNC(80251,-1)</f>
        <v>80250</v>
      </c>
      <c r="E53" s="63">
        <f t="shared" si="1"/>
        <v>265290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TRUNC(21992+2637+343+3375,-1)</f>
        <v>28340</v>
      </c>
      <c r="E58" s="63">
        <f t="shared" si="1"/>
        <v>93680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TRUNC(378559,-1)</f>
        <v>378550</v>
      </c>
      <c r="E59" s="64">
        <f t="shared" si="1"/>
        <v>1251410</v>
      </c>
    </row>
    <row r="60" spans="1:7" x14ac:dyDescent="0.3">
      <c r="A60" s="2">
        <v>21</v>
      </c>
      <c r="C60" s="27" t="s">
        <v>112</v>
      </c>
      <c r="D60" s="39">
        <f>SUM(D40:D59)</f>
        <v>1069780</v>
      </c>
      <c r="E60" s="39">
        <f>SUM(E40:E59)</f>
        <v>3536420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f>TRUNC(111,-1)</f>
        <v>110</v>
      </c>
      <c r="E63" s="62">
        <f>TRUNC(+D63*3.3058,-1)</f>
        <v>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TRUNC(97867,-1)</f>
        <v>97860</v>
      </c>
      <c r="E65" s="64">
        <f>TRUNC(+D65*3.3058,-1)</f>
        <v>323500</v>
      </c>
    </row>
    <row r="66" spans="1:7" x14ac:dyDescent="0.3">
      <c r="A66" s="2">
        <v>4</v>
      </c>
      <c r="C66" s="27" t="s">
        <v>112</v>
      </c>
      <c r="D66" s="39">
        <f>SUM(D63:D65)</f>
        <v>97970</v>
      </c>
      <c r="E66" s="65">
        <f>SUM(E63:E65)</f>
        <v>323860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f>TRUNC(6549,-1)</f>
        <v>6540</v>
      </c>
      <c r="E69" s="62">
        <f t="shared" ref="E69:E94" si="2">TRUNC(+D69*3.3058,-1)</f>
        <v>21610</v>
      </c>
    </row>
    <row r="70" spans="1:7" ht="16.5" customHeight="1" x14ac:dyDescent="0.3">
      <c r="A70" s="2">
        <v>2</v>
      </c>
      <c r="C70" s="38" t="s">
        <v>31</v>
      </c>
      <c r="D70" s="42">
        <f>TRUNC(388,-1)</f>
        <v>380</v>
      </c>
      <c r="E70" s="63">
        <f t="shared" si="2"/>
        <v>1250</v>
      </c>
    </row>
    <row r="71" spans="1:7" x14ac:dyDescent="0.3">
      <c r="A71" s="2">
        <v>3</v>
      </c>
      <c r="C71" s="38" t="s">
        <v>32</v>
      </c>
      <c r="D71" s="42">
        <f>TRUNC(16754,-1)</f>
        <v>16750</v>
      </c>
      <c r="E71" s="63">
        <f t="shared" si="2"/>
        <v>55370</v>
      </c>
    </row>
    <row r="72" spans="1:7" x14ac:dyDescent="0.3">
      <c r="A72" s="2">
        <v>4</v>
      </c>
      <c r="C72" s="38" t="s">
        <v>33</v>
      </c>
      <c r="D72" s="42">
        <f>TRUNC(4459,-1)</f>
        <v>4450</v>
      </c>
      <c r="E72" s="63">
        <f t="shared" si="2"/>
        <v>14710</v>
      </c>
    </row>
    <row r="73" spans="1:7" x14ac:dyDescent="0.3">
      <c r="A73" s="2">
        <v>5</v>
      </c>
      <c r="C73" s="38" t="s">
        <v>34</v>
      </c>
      <c r="D73" s="42">
        <f>TRUNC(3901,-1)</f>
        <v>3900</v>
      </c>
      <c r="E73" s="63">
        <f t="shared" si="2"/>
        <v>12890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TRUNC(762,-1)</f>
        <v>760</v>
      </c>
      <c r="E75" s="63">
        <f t="shared" si="2"/>
        <v>2510</v>
      </c>
    </row>
    <row r="76" spans="1:7" x14ac:dyDescent="0.3">
      <c r="A76" s="2">
        <v>8</v>
      </c>
      <c r="C76" s="38" t="s">
        <v>119</v>
      </c>
      <c r="D76" s="42">
        <f>TRUNC(52377,-1)</f>
        <v>52370</v>
      </c>
      <c r="E76" s="63">
        <f t="shared" si="2"/>
        <v>173120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TRUNC(6209,-1)</f>
        <v>6200</v>
      </c>
      <c r="E89" s="63">
        <f t="shared" si="2"/>
        <v>20490</v>
      </c>
    </row>
    <row r="90" spans="1:7" x14ac:dyDescent="0.3">
      <c r="A90" s="2">
        <v>22</v>
      </c>
      <c r="C90" s="38" t="s">
        <v>36</v>
      </c>
      <c r="D90" s="42">
        <f>TRUNC(7203,-1)</f>
        <v>7200</v>
      </c>
      <c r="E90" s="63">
        <f t="shared" si="2"/>
        <v>23800</v>
      </c>
    </row>
    <row r="91" spans="1:7" x14ac:dyDescent="0.3">
      <c r="A91" s="2">
        <v>23</v>
      </c>
      <c r="C91" s="38" t="s">
        <v>37</v>
      </c>
      <c r="D91" s="42">
        <f>TRUNC(14182,-1)</f>
        <v>14180</v>
      </c>
      <c r="E91" s="63">
        <f t="shared" si="2"/>
        <v>46870</v>
      </c>
    </row>
    <row r="92" spans="1:7" x14ac:dyDescent="0.3">
      <c r="A92" s="2">
        <v>24</v>
      </c>
      <c r="C92" s="38" t="s">
        <v>38</v>
      </c>
      <c r="D92" s="42">
        <f>TRUNC(5483,-1)</f>
        <v>5480</v>
      </c>
      <c r="E92" s="63">
        <f t="shared" si="2"/>
        <v>18110</v>
      </c>
    </row>
    <row r="93" spans="1:7" x14ac:dyDescent="0.3">
      <c r="A93" s="2">
        <v>25</v>
      </c>
      <c r="C93" s="38" t="s">
        <v>148</v>
      </c>
      <c r="D93" s="42">
        <f>TRUNC(166196,-1)</f>
        <v>166190</v>
      </c>
      <c r="E93" s="63">
        <f t="shared" si="2"/>
        <v>549390</v>
      </c>
    </row>
    <row r="94" spans="1:7" ht="17.25" thickBot="1" x14ac:dyDescent="0.35">
      <c r="A94" s="2">
        <v>26</v>
      </c>
      <c r="C94" s="38" t="s">
        <v>47</v>
      </c>
      <c r="D94" s="43">
        <f>TRUNC(4520+12153+2145,-1)</f>
        <v>18810</v>
      </c>
      <c r="E94" s="64">
        <f t="shared" si="2"/>
        <v>62180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303210</v>
      </c>
      <c r="E95" s="39">
        <f>SUM(E69:E94)</f>
        <v>1002300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v>9420</v>
      </c>
      <c r="E98" s="62">
        <f t="shared" ref="E98:E118" si="3">TRUNC(+D98*3.3058,-1)</f>
        <v>31140</v>
      </c>
    </row>
    <row r="99" spans="1:7" x14ac:dyDescent="0.3">
      <c r="A99" s="2">
        <v>2</v>
      </c>
      <c r="C99" s="38" t="s">
        <v>40</v>
      </c>
      <c r="D99" s="42">
        <f>TRUNC(8256,-1)</f>
        <v>8250</v>
      </c>
      <c r="E99" s="63">
        <f t="shared" si="3"/>
        <v>27270</v>
      </c>
    </row>
    <row r="100" spans="1:7" x14ac:dyDescent="0.3">
      <c r="A100" s="2">
        <v>3</v>
      </c>
      <c r="C100" s="38" t="s">
        <v>41</v>
      </c>
      <c r="D100" s="42">
        <f>TRUNC(22059,-1)</f>
        <v>22050</v>
      </c>
      <c r="E100" s="63">
        <f t="shared" si="3"/>
        <v>72890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TRUNC(5882,-1)</f>
        <v>5880</v>
      </c>
      <c r="E102" s="63">
        <f t="shared" si="3"/>
        <v>19430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TRUNC(1921,-1)</f>
        <v>1920</v>
      </c>
      <c r="E104" s="63">
        <f t="shared" si="3"/>
        <v>6340</v>
      </c>
    </row>
    <row r="105" spans="1:7" x14ac:dyDescent="0.3">
      <c r="A105" s="2">
        <v>8</v>
      </c>
      <c r="C105" s="38" t="s">
        <v>46</v>
      </c>
      <c r="D105" s="42">
        <f>TRUNC(1858,-1)</f>
        <v>1850</v>
      </c>
      <c r="E105" s="63">
        <f t="shared" si="3"/>
        <v>6110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1820</v>
      </c>
      <c r="E114" s="63">
        <f t="shared" si="3"/>
        <v>6010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2350</v>
      </c>
      <c r="E116" s="63">
        <f t="shared" si="3"/>
        <v>7760</v>
      </c>
    </row>
    <row r="117" spans="1:7" x14ac:dyDescent="0.3">
      <c r="A117" s="2">
        <v>20</v>
      </c>
      <c r="C117" s="38" t="s">
        <v>148</v>
      </c>
      <c r="D117" s="42">
        <f>TRUNC(51394,-1)</f>
        <v>51390</v>
      </c>
      <c r="E117" s="63">
        <f t="shared" si="3"/>
        <v>169880</v>
      </c>
    </row>
    <row r="118" spans="1:7" ht="17.25" thickBot="1" x14ac:dyDescent="0.35">
      <c r="A118" s="2">
        <v>21</v>
      </c>
      <c r="C118" s="38" t="s">
        <v>47</v>
      </c>
      <c r="D118" s="43">
        <v>60</v>
      </c>
      <c r="E118" s="64">
        <f t="shared" si="3"/>
        <v>190</v>
      </c>
    </row>
    <row r="119" spans="1:7" x14ac:dyDescent="0.3">
      <c r="A119" s="2">
        <v>22</v>
      </c>
      <c r="C119" s="27" t="s">
        <v>112</v>
      </c>
      <c r="D119" s="39">
        <f>SUM(D98:D118)</f>
        <v>104990</v>
      </c>
      <c r="E119" s="39">
        <f>SUM(E98:E118)</f>
        <v>347020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f>TRUNC(2121,-1)</f>
        <v>2120</v>
      </c>
      <c r="E122" s="62">
        <f t="shared" ref="E122:E132" si="4">TRUNC(+D122*3.3058,-1)</f>
        <v>7000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TRUNC(6826,-1)</f>
        <v>6820</v>
      </c>
      <c r="E124" s="63">
        <f t="shared" si="4"/>
        <v>22540</v>
      </c>
    </row>
    <row r="125" spans="1:7" x14ac:dyDescent="0.3">
      <c r="A125" s="2">
        <v>4</v>
      </c>
      <c r="C125" s="38" t="s">
        <v>138</v>
      </c>
      <c r="D125" s="42">
        <f>TRUNC(6132,-1)</f>
        <v>6130</v>
      </c>
      <c r="E125" s="63">
        <f t="shared" si="4"/>
        <v>20260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TRUNC(1434,-1)</f>
        <v>1430</v>
      </c>
      <c r="E128" s="63">
        <f t="shared" si="4"/>
        <v>4720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TRUNC(5117,-1)</f>
        <v>5110</v>
      </c>
      <c r="E130" s="63">
        <f t="shared" si="4"/>
        <v>16890</v>
      </c>
    </row>
    <row r="131" spans="1:7" x14ac:dyDescent="0.3">
      <c r="A131" s="2">
        <v>10</v>
      </c>
      <c r="C131" s="38" t="s">
        <v>148</v>
      </c>
      <c r="D131" s="42">
        <f>TRUNC(65103,-1)</f>
        <v>65100</v>
      </c>
      <c r="E131" s="63">
        <f t="shared" si="4"/>
        <v>215200</v>
      </c>
    </row>
    <row r="132" spans="1:7" ht="18" thickBot="1" x14ac:dyDescent="0.35">
      <c r="A132" s="2">
        <v>11</v>
      </c>
      <c r="C132" s="38" t="s">
        <v>47</v>
      </c>
      <c r="D132" s="43">
        <f>TRUNC(2270+885+1716,-1)</f>
        <v>4870</v>
      </c>
      <c r="E132" s="64">
        <f t="shared" si="4"/>
        <v>16090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91580</v>
      </c>
      <c r="E133" s="39">
        <f>SUM(E122:E132)</f>
        <v>302700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TRUNC(122+1262+837+168,-1)</f>
        <v>2380</v>
      </c>
      <c r="E137" s="63">
        <f t="shared" si="5"/>
        <v>7860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TRUNC(4882,-1)</f>
        <v>4880</v>
      </c>
      <c r="E139" s="63">
        <f t="shared" si="5"/>
        <v>16130</v>
      </c>
    </row>
    <row r="140" spans="1:7" x14ac:dyDescent="0.3">
      <c r="A140" s="2">
        <v>5</v>
      </c>
      <c r="C140" s="38" t="s">
        <v>57</v>
      </c>
      <c r="D140" s="42">
        <f>TRUNC(2139,-1)</f>
        <v>2130</v>
      </c>
      <c r="E140" s="63">
        <f t="shared" si="5"/>
        <v>7040</v>
      </c>
    </row>
    <row r="141" spans="1:7" x14ac:dyDescent="0.3">
      <c r="A141" s="2">
        <v>6</v>
      </c>
      <c r="C141" s="38" t="s">
        <v>59</v>
      </c>
      <c r="D141" s="42">
        <f>TRUNC(15559,-1)</f>
        <v>15550</v>
      </c>
      <c r="E141" s="63">
        <f t="shared" si="5"/>
        <v>51400</v>
      </c>
    </row>
    <row r="142" spans="1:7" x14ac:dyDescent="0.3">
      <c r="A142" s="2">
        <v>7</v>
      </c>
      <c r="C142" s="38" t="s">
        <v>58</v>
      </c>
      <c r="D142" s="42">
        <f>TRUNC(4575,-1)</f>
        <v>4570</v>
      </c>
      <c r="E142" s="63">
        <f t="shared" si="5"/>
        <v>15100</v>
      </c>
    </row>
    <row r="143" spans="1:7" x14ac:dyDescent="0.3">
      <c r="A143" s="2">
        <v>8</v>
      </c>
      <c r="C143" s="38" t="s">
        <v>62</v>
      </c>
      <c r="D143" s="42">
        <f>TRUNC(3403,-1)</f>
        <v>3400</v>
      </c>
      <c r="E143" s="63">
        <f t="shared" si="5"/>
        <v>11230</v>
      </c>
    </row>
    <row r="144" spans="1:7" x14ac:dyDescent="0.3">
      <c r="A144" s="2">
        <v>9</v>
      </c>
      <c r="C144" s="38" t="s">
        <v>63</v>
      </c>
      <c r="D144" s="42">
        <f>TRUNC(11028,-1)</f>
        <v>11020</v>
      </c>
      <c r="E144" s="63">
        <f t="shared" si="5"/>
        <v>36420</v>
      </c>
    </row>
    <row r="145" spans="1:7" ht="17.25" thickBot="1" x14ac:dyDescent="0.35">
      <c r="A145" s="2">
        <v>10</v>
      </c>
      <c r="C145" s="38" t="s">
        <v>148</v>
      </c>
      <c r="D145" s="43">
        <f>TRUNC(3228,-1)</f>
        <v>3220</v>
      </c>
      <c r="E145" s="64">
        <f t="shared" si="5"/>
        <v>10640</v>
      </c>
    </row>
    <row r="146" spans="1:7" x14ac:dyDescent="0.3">
      <c r="A146" s="2">
        <v>11</v>
      </c>
      <c r="C146" s="27" t="s">
        <v>112</v>
      </c>
      <c r="D146" s="39">
        <f>SUM(D136:D145)</f>
        <v>47150</v>
      </c>
      <c r="E146" s="39">
        <f>SUM(E136:E145)</f>
        <v>155820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f>TRUNC(3197+870,-1)</f>
        <v>4060</v>
      </c>
      <c r="E149" s="62">
        <f>TRUNC(+D149*3.3058,-1)</f>
        <v>13420</v>
      </c>
    </row>
    <row r="150" spans="1:7" x14ac:dyDescent="0.3">
      <c r="A150" s="2">
        <v>2</v>
      </c>
      <c r="C150" s="38" t="s">
        <v>49</v>
      </c>
      <c r="D150" s="42">
        <f>TRUNC(1486,-1)</f>
        <v>1480</v>
      </c>
      <c r="E150" s="63">
        <f>TRUNC(+D150*3.3058,-1)</f>
        <v>4890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TRUNC(329+1060+77+662,-1)</f>
        <v>2120</v>
      </c>
      <c r="E152" s="63">
        <f>TRUNC(+D152*3.3058,-1)</f>
        <v>7000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TRUNC(14664,-1)</f>
        <v>14660</v>
      </c>
      <c r="E153" s="64">
        <f>TRUNC(+D153*3.3058,-1)</f>
        <v>48460</v>
      </c>
    </row>
    <row r="154" spans="1:7" x14ac:dyDescent="0.3">
      <c r="A154" s="2">
        <v>6</v>
      </c>
      <c r="C154" s="27" t="s">
        <v>112</v>
      </c>
      <c r="D154" s="39">
        <f>SUM(D149:D153)</f>
        <v>22320</v>
      </c>
      <c r="E154" s="39">
        <f>SUM(E149:E153)</f>
        <v>73770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f>TRUNC(9369,-1)</f>
        <v>9360</v>
      </c>
      <c r="E157" s="62">
        <f>TRUNC(+D157*3.3058,-1)</f>
        <v>30940</v>
      </c>
    </row>
    <row r="158" spans="1:7" x14ac:dyDescent="0.3">
      <c r="A158" s="2">
        <v>2</v>
      </c>
      <c r="C158" s="38" t="s">
        <v>52</v>
      </c>
      <c r="D158" s="42">
        <f>TRUNC(426,-1)</f>
        <v>420</v>
      </c>
      <c r="E158" s="63">
        <f>TRUNC(+D158*3.3058,-1)</f>
        <v>1380</v>
      </c>
    </row>
    <row r="159" spans="1:7" x14ac:dyDescent="0.3">
      <c r="A159" s="2">
        <v>3</v>
      </c>
      <c r="C159" s="38" t="s">
        <v>47</v>
      </c>
      <c r="D159" s="42">
        <f>TRUNC(1911+5,-1)</f>
        <v>1910</v>
      </c>
      <c r="E159" s="63">
        <f>TRUNC(+D159*3.3058,-1)</f>
        <v>6310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11690</v>
      </c>
      <c r="E161" s="39">
        <f>SUM(E157:E160)</f>
        <v>38630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2020-12-08T01:20:53Z</dcterms:modified>
</cp:coreProperties>
</file>