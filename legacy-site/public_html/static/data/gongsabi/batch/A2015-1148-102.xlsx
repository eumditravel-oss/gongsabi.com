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5" i="4"/>
  <c r="D124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2" i="4"/>
  <c r="D89" i="4"/>
  <c r="D76" i="4"/>
  <c r="D73" i="4"/>
  <c r="D72" i="4"/>
  <c r="D69" i="4"/>
  <c r="D63" i="4"/>
  <c r="D59" i="4"/>
  <c r="D58" i="4"/>
  <c r="D53" i="4"/>
  <c r="D52" i="4"/>
  <c r="D50" i="4"/>
  <c r="D49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<sst xmlns="http://schemas.openxmlformats.org/spreadsheetml/2006/main" count="394" uniqueCount="267">
  <si>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</si>
  <si>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</si>
  <si>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</si>
  <si>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</si>
  <si>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</si>
  <si>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</si>
  <si>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</si>
  <si>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</si>
  <si>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</si>
  <si>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</si>
  <si>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</si>
  <si>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</si>
  <si>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</si>
  <si>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</si>
  <si>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</si>
  <si>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</si>
  <si>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</si>
  <si>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</si>
  <si>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</si>
  <si>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</si>
  <si>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</si>
  <si>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</si>
  <si>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</si>
  <si>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</si>
  <si>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</si>
  <si>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</si>
  <si>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</si>
  <si>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</si>
  <si>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</si>
  <si>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</si>
  <si>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</si>
  <si>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</si>
  <si>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</si>
  <si>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</si>
  <si>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</si>
  <si>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</si>
  <si>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</si>
  <si>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</si>
  <si>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</si>
  <si>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</si>
  <si>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</si>
  <si>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</si>
  <si>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</si>
  <si>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</si>
  <si>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</si>
  <si>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</si>
  <si>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</si>
  <si>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</si>
  <si>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</si>
  <si>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</si>
  <si>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</si>
  <si>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</si>
  <si>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</si>
  <si>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</si>
  <si>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</si>
  <si>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</si>
  <si>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</si>
  <si>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</si>
  <si>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</si>
  <si>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</si>
  <si>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</si>
  <si>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</si>
  <si>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</si>
  <si>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</si>
  <si>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</si>
  <si>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</si>
  <si>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</si>
  <si>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</si>
  <si>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</si>
  <si>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</si>
  <si>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</si>
  <si>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</si>
  <si>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</si>
  <si>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</si>
  <si>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</si>
  <si>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</si>
  <si>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</si>
  <si>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</si>
  <si>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</si>
  <si>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</si>
  <si>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</si>
  <si>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</si>
  <si>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</si>
  <si>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</si>
  <si>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</si>
  <si>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</si>
  <si>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</si>
  <si>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</si>
  <si>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</si>
  <si>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</si>
  <si>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</si>
  <si>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</si>
  <si>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</si>
  <si>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</si>
  <si>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</si>
  <si>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</si>
  <si>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</si>
  <si>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</si>
  <si>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</si>
  <si>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</si>
  <si>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</si>
  <si>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</si>
  <si>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</si>
  <si>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</si>
  <si>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</si>
  <si>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</si>
  <si>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</si>
  <si>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</si>
  <si>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</si>
  <si>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</si>
  <si>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</si>
  <si>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</si>
  <si>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</si>
  <si>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</si>
  <si>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</si>
  <si>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</si>
  <si>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</si>
  <si>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</si>
  <si>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</si>
  <si>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</si>
  <si>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</si>
  <si>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</si>
  <si>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</si>
  <si>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</si>
  <si>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</si>
  <si>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</si>
  <si>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</si>
  <si>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</si>
  <si>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</si>
  <si>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</si>
  <si>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</si>
  <si>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</si>
  <si>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</si>
  <si>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</si>
  <si>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</si>
  <si>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</si>
  <si>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</si>
  <si>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</si>
  <si>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</si>
  <si>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</si>
  <si>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</si>
  <si>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</si>
  <si>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</si>
  <si>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</si>
  <si>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</si>
  <si>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</si>
  <si>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</si>
  <si>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</si>
  <si>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</si>
  <si>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</si>
  <si>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</si>
  <si>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</si>
  <si>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</si>
  <si>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</si>
  <si>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</si>
  <si>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</si>
  <si>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</si>
  <si>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</si>
  <si>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</si>
  <si>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</si>
  <si>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</si>
  <si>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</si>
  <si>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</si>
  <si>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</si>
  <si>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</si>
  <si>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</si>
  <si>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</si>
  <si>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</si>
  <si>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</si>
  <si>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</si>
  <si>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</si>
  <si>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</si>
  <si>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</si>
  <si>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</si>
  <si>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</si>
  <si>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</si>
  <si>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</si>
  <si>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</si>
  <si>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</si>
  <si>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</si>
  <si>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</si>
  <si>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</si>
  <si>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</si>
  <si>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</si>
  <si>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</si>
  <si>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</si>
  <si>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</si>
  <si>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</si>
  <si>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</si>
  <si>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</si>
  <si>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</si>
  <si>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</si>
  <si>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</si>
  <si>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</si>
  <si>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</si>
  <si>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</si>
  <si>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</si>
  <si>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</si>
  <si>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</si>
  <si>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</si>
  <si>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</si>
  <si>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</si>
  <si>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</si>
  <si>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</si>
  <si>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</si>
  <si>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</si>
  <si>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</si>
  <si>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</si>
  <si>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</si>
  <si>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</si>
  <si>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</si>
  <si>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</si>
  <si>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</si>
  <si>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</si>
  <si>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</si>
  <si>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</si>
  <si>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</si>
  <si>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</si>
  <si>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</si>
  <si>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</si>
  <si>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</si>
  <si>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</si>
  <si>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</si>
  <si>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</si>
  <si>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</si>
  <si>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</si>
  <si>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</si>
  <si>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</si>
  <si>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</si>
  <si>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</si>
  <si>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</si>
  <si>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</si>
  <si>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</si>
  <si>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</si>
  <si>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</si>
  <si>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</si>
  <si>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</si>
  <si>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</si>
  <si>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</si>
  <si>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</si>
  <si>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</si>
  <si>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</si>
  <si>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</si>
  <si>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</si>
  <si>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</si>
  <si>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</si>
  <si>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</si>
  <si>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</si>
  <si>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</si>
  <si>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</si>
  <si>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보람중학교 신축공사</t>
    <phoneticPr fontId="2" type="noConversion"/>
  </si>
  <si>
    <t>세종시</t>
  </si>
  <si>
    <t>지붕및홈통공사 포함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</si>
  <si>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</si>
  <si>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</si>
  <si>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</si>
  <si>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</si>
  <si>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</si>
  <si>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</si>
  <si>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</si>
  <si>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옥외보안등설비공사</t>
    <phoneticPr fontId="2" type="noConversion"/>
  </si>
  <si>
    <t>CCTV설비공사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</si>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</sst>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13898.27</v>
      </c>
      <c r="D7" s="36">
        <f>+C7/3.3058</f>
        <v>4204.2077560650978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203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762320</v>
      </c>
      <c r="E25" s="59">
        <f t="shared" si="0"/>
        <v>2520070</v>
      </c>
    </row>
    <row r="26" spans="1:5" x14ac:dyDescent="0.3">
      <c r="B26" s="2">
        <v>3</v>
      </c>
      <c r="C26" s="35" t="s">
        <v>95</v>
      </c>
      <c r="D26" s="45">
        <f>+D66</f>
        <v>5180</v>
      </c>
      <c r="E26" s="59">
        <f t="shared" si="0"/>
        <v>17120</v>
      </c>
    </row>
    <row r="27" spans="1:5" x14ac:dyDescent="0.3">
      <c r="B27" s="2">
        <v>4</v>
      </c>
      <c r="C27" s="35" t="s">
        <v>96</v>
      </c>
      <c r="D27" s="45">
        <f>+D95</f>
        <v>264040</v>
      </c>
      <c r="E27" s="59">
        <f t="shared" si="0"/>
        <v>872860</v>
      </c>
    </row>
    <row r="28" spans="1:5" x14ac:dyDescent="0.3">
      <c r="B28" s="2">
        <v>5</v>
      </c>
      <c r="C28" s="35" t="s">
        <v>97</v>
      </c>
      <c r="D28" s="45">
        <f>+D119</f>
        <v>150330</v>
      </c>
      <c r="E28" s="59">
        <f t="shared" si="0"/>
        <v>496960</v>
      </c>
    </row>
    <row r="29" spans="1:5" x14ac:dyDescent="0.3">
      <c r="B29" s="2">
        <v>6</v>
      </c>
      <c r="C29" s="35" t="s">
        <v>98</v>
      </c>
      <c r="D29" s="45">
        <f>+D133</f>
        <v>52720</v>
      </c>
      <c r="E29" s="59">
        <f t="shared" si="0"/>
        <v>174280</v>
      </c>
    </row>
    <row r="30" spans="1:5" x14ac:dyDescent="0.3">
      <c r="B30" s="2">
        <v>7</v>
      </c>
      <c r="C30" s="35" t="s">
        <v>99</v>
      </c>
      <c r="D30" s="45">
        <f>+D146</f>
        <v>36150</v>
      </c>
      <c r="E30" s="59">
        <f t="shared" si="0"/>
        <v>119500</v>
      </c>
    </row>
    <row r="31" spans="1:5" x14ac:dyDescent="0.3">
      <c r="B31" s="2">
        <v>8</v>
      </c>
      <c r="C31" s="35" t="s">
        <v>100</v>
      </c>
      <c r="D31" s="45">
        <f>+D154</f>
        <v>67070</v>
      </c>
      <c r="E31" s="59">
        <f t="shared" si="0"/>
        <v>221720</v>
      </c>
    </row>
    <row r="32" spans="1:5" x14ac:dyDescent="0.3">
      <c r="B32" s="2">
        <v>9</v>
      </c>
      <c r="C32" s="35" t="s">
        <v>101</v>
      </c>
      <c r="D32" s="45">
        <f>+D161</f>
        <v>27420</v>
      </c>
      <c r="E32" s="59">
        <f t="shared" si="0"/>
        <v>90640</v>
      </c>
    </row>
    <row r="33" spans="1:7" x14ac:dyDescent="0.3">
      <c r="B33" s="2">
        <v>10</v>
      </c>
      <c r="C33" s="35" t="s">
        <v>155</v>
      </c>
      <c r="D33" s="53">
        <f>TRUNC(SUM(D24:D32)*0.275,-1)</f>
        <v>375430</v>
      </c>
      <c r="E33" s="60">
        <f t="shared" si="0"/>
        <v>1241090</v>
      </c>
    </row>
    <row r="34" spans="1:7" x14ac:dyDescent="0.3">
      <c r="C34" s="35" t="s">
        <v>112</v>
      </c>
      <c r="D34" s="44">
        <f>SUM(D24:D33)</f>
        <v>1740660</v>
      </c>
      <c r="E34" s="44">
        <f>SUM(E24:E33)</f>
        <v>5754240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TRUNC(47904,-1)</f>
        <v>47900</v>
      </c>
      <c r="E40" s="62">
        <f t="shared" ref="E40:E59" si="1">TRUNC(+D40*3.3058,-1)</f>
        <v>158340</v>
      </c>
    </row>
    <row r="41" spans="1:7" x14ac:dyDescent="0.3">
      <c r="A41" s="2">
        <v>2</v>
      </c>
      <c r="C41" s="38" t="s">
        <v>13</v>
      </c>
      <c r="D41" s="42">
        <f>TRUNC(122218,-1)</f>
        <v>122210</v>
      </c>
      <c r="E41" s="63">
        <f t="shared" si="1"/>
        <v>404000</v>
      </c>
    </row>
    <row r="42" spans="1:7" x14ac:dyDescent="0.3">
      <c r="A42" s="2">
        <v>3</v>
      </c>
      <c r="C42" s="38" t="s">
        <v>14</v>
      </c>
      <c r="D42" s="42">
        <f>TRUNC(5312,-1)</f>
        <v>5310</v>
      </c>
      <c r="E42" s="63">
        <f t="shared" si="1"/>
        <v>17550</v>
      </c>
    </row>
    <row r="43" spans="1:7" x14ac:dyDescent="0.3">
      <c r="A43" s="2">
        <v>4</v>
      </c>
      <c r="C43" s="38" t="s">
        <v>16</v>
      </c>
      <c r="D43" s="42">
        <f>TRUNC(27571,-1)</f>
        <v>27570</v>
      </c>
      <c r="E43" s="63">
        <f t="shared" si="1"/>
        <v>91140</v>
      </c>
    </row>
    <row r="44" spans="1:7" x14ac:dyDescent="0.3">
      <c r="A44" s="2">
        <v>5</v>
      </c>
      <c r="C44" s="38" t="s">
        <v>17</v>
      </c>
      <c r="D44" s="42">
        <f>TRUNC(21733,-1)</f>
        <v>21730</v>
      </c>
      <c r="E44" s="63">
        <f t="shared" si="1"/>
        <v>71830</v>
      </c>
    </row>
    <row r="45" spans="1:7" x14ac:dyDescent="0.3">
      <c r="A45" s="2">
        <v>6</v>
      </c>
      <c r="C45" s="38" t="s">
        <v>18</v>
      </c>
      <c r="D45" s="42">
        <f>TRUNC(9548,-1)</f>
        <v>9540</v>
      </c>
      <c r="E45" s="63">
        <f t="shared" si="1"/>
        <v>31530</v>
      </c>
    </row>
    <row r="46" spans="1:7" x14ac:dyDescent="0.3">
      <c r="A46" s="2">
        <v>7</v>
      </c>
      <c r="C46" s="38" t="s">
        <v>19</v>
      </c>
      <c r="D46" s="42">
        <f>TRUNC(35814,-1)</f>
        <v>35810</v>
      </c>
      <c r="E46" s="63">
        <f t="shared" si="1"/>
        <v>118380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92150</v>
      </c>
      <c r="E48" s="63">
        <f t="shared" si="1"/>
        <v>304620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TRUNC(14552,-1)</f>
        <v>14550</v>
      </c>
      <c r="E49" s="63">
        <f t="shared" si="1"/>
        <v>48090</v>
      </c>
    </row>
    <row r="50" spans="1:7" x14ac:dyDescent="0.3">
      <c r="A50" s="2">
        <v>11</v>
      </c>
      <c r="C50" s="38" t="s">
        <v>156</v>
      </c>
      <c r="D50" s="42">
        <f>TRUNC(41024,-1)</f>
        <v>41020</v>
      </c>
      <c r="E50" s="63">
        <f t="shared" si="1"/>
        <v>135600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TRUNC(8172,-1)</f>
        <v>8170</v>
      </c>
      <c r="E52" s="63">
        <f t="shared" si="1"/>
        <v>27000</v>
      </c>
    </row>
    <row r="53" spans="1:7" x14ac:dyDescent="0.3">
      <c r="A53" s="2">
        <v>14</v>
      </c>
      <c r="C53" s="38" t="s">
        <v>25</v>
      </c>
      <c r="D53" s="42">
        <f>TRUNC(70137,-1)</f>
        <v>70130</v>
      </c>
      <c r="E53" s="63">
        <f t="shared" si="1"/>
        <v>231830</v>
      </c>
      <c r="F53" s="2" t="s">
        <v>258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TRUNC(31645+6558-450+11179,-1)</f>
        <v>48930</v>
      </c>
      <c r="E58" s="63">
        <f t="shared" si="1"/>
        <v>161750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TRUNC(217304,-1)</f>
        <v>217300</v>
      </c>
      <c r="E59" s="64">
        <f t="shared" si="1"/>
        <v>718350</v>
      </c>
    </row>
    <row r="60" spans="1:7" x14ac:dyDescent="0.3">
      <c r="A60" s="2">
        <v>21</v>
      </c>
      <c r="C60" s="27" t="s">
        <v>112</v>
      </c>
      <c r="D60" s="39">
        <f>SUM(D40:D59)</f>
        <v>762320</v>
      </c>
      <c r="E60" s="39">
        <f>SUM(E40:E59)</f>
        <v>2520010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TRUNC(5188,-1)</f>
        <v>5180</v>
      </c>
      <c r="E63" s="62">
        <f>TRUNC(+D63*3.3058,-1)</f>
        <v>17120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5180</v>
      </c>
      <c r="E66" s="65">
        <f>SUM(E63:E65)</f>
        <v>17120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TRUNC(7176,-1)</f>
        <v>7170</v>
      </c>
      <c r="E69" s="62">
        <f t="shared" ref="E69:E94" si="2">TRUNC(+D69*3.3058,-1)</f>
        <v>23700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TRUNC(2291,-1)</f>
        <v>2290</v>
      </c>
      <c r="E72" s="63">
        <f t="shared" si="2"/>
        <v>7570</v>
      </c>
    </row>
    <row r="73" spans="1:7" x14ac:dyDescent="0.3">
      <c r="A73" s="2">
        <v>5</v>
      </c>
      <c r="C73" s="38" t="s">
        <v>34</v>
      </c>
      <c r="D73" s="42">
        <f>TRUNC(15242,-1)</f>
        <v>15240</v>
      </c>
      <c r="E73" s="63">
        <f t="shared" si="2"/>
        <v>50380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TRUNC(38101,-1)</f>
        <v>38100</v>
      </c>
      <c r="E76" s="63">
        <f t="shared" si="2"/>
        <v>125950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TRUNC(8117,-1)</f>
        <v>8110</v>
      </c>
      <c r="E89" s="63">
        <f t="shared" si="2"/>
        <v>26810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4910</v>
      </c>
      <c r="E91" s="63">
        <f t="shared" si="2"/>
        <v>16230</v>
      </c>
    </row>
    <row r="92" spans="1:7" x14ac:dyDescent="0.3">
      <c r="A92" s="2">
        <v>24</v>
      </c>
      <c r="C92" s="38" t="s">
        <v>38</v>
      </c>
      <c r="D92" s="42">
        <f>TRUNC(9585,-1)</f>
        <v>9580</v>
      </c>
      <c r="E92" s="63">
        <f t="shared" si="2"/>
        <v>31660</v>
      </c>
    </row>
    <row r="93" spans="1:7" x14ac:dyDescent="0.3">
      <c r="A93" s="2">
        <v>25</v>
      </c>
      <c r="C93" s="38" t="s">
        <v>149</v>
      </c>
      <c r="D93" s="42">
        <v>163540</v>
      </c>
      <c r="E93" s="63">
        <f t="shared" si="2"/>
        <v>540630</v>
      </c>
    </row>
    <row r="94" spans="1:7" ht="17.25" thickBot="1" x14ac:dyDescent="0.35">
      <c r="A94" s="2">
        <v>26</v>
      </c>
      <c r="C94" s="38" t="s">
        <v>47</v>
      </c>
      <c r="D94" s="43">
        <f>TRUNC(542+600+13967,-1)</f>
        <v>15100</v>
      </c>
      <c r="E94" s="64">
        <f t="shared" si="2"/>
        <v>49910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264040</v>
      </c>
      <c r="E95" s="39">
        <f>SUM(E69:E94)</f>
        <v>872840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TRUNC(13261,-1)</f>
        <v>13260</v>
      </c>
      <c r="E98" s="62">
        <f t="shared" ref="E98:E118" si="3">TRUNC(+D98*3.3058,-1)</f>
        <v>43830</v>
      </c>
    </row>
    <row r="99" spans="1:7" x14ac:dyDescent="0.3">
      <c r="A99" s="2">
        <v>2</v>
      </c>
      <c r="C99" s="38" t="s">
        <v>40</v>
      </c>
      <c r="D99" s="42">
        <f>TRUNC(8157,-1)</f>
        <v>8150</v>
      </c>
      <c r="E99" s="63">
        <f t="shared" si="3"/>
        <v>26940</v>
      </c>
    </row>
    <row r="100" spans="1:7" x14ac:dyDescent="0.3">
      <c r="A100" s="2">
        <v>3</v>
      </c>
      <c r="C100" s="38" t="s">
        <v>41</v>
      </c>
      <c r="D100" s="42">
        <f>TRUNC(25156,-1)</f>
        <v>25150</v>
      </c>
      <c r="E100" s="63">
        <f t="shared" si="3"/>
        <v>83140</v>
      </c>
    </row>
    <row r="101" spans="1:7" x14ac:dyDescent="0.3">
      <c r="A101" s="2">
        <v>4</v>
      </c>
      <c r="C101" s="38" t="s">
        <v>42</v>
      </c>
      <c r="D101" s="42">
        <f>TRUNC(538,-1)</f>
        <v>530</v>
      </c>
      <c r="E101" s="63">
        <f t="shared" si="3"/>
        <v>1750</v>
      </c>
    </row>
    <row r="102" spans="1:7" x14ac:dyDescent="0.3">
      <c r="A102" s="2">
        <v>5</v>
      </c>
      <c r="C102" s="38" t="s">
        <v>43</v>
      </c>
      <c r="D102" s="42">
        <f>TRUNC(13423,-1)</f>
        <v>13420</v>
      </c>
      <c r="E102" s="63">
        <f t="shared" si="3"/>
        <v>44360</v>
      </c>
    </row>
    <row r="103" spans="1:7" x14ac:dyDescent="0.3">
      <c r="A103" s="2">
        <v>6</v>
      </c>
      <c r="C103" s="38" t="s">
        <v>44</v>
      </c>
      <c r="D103" s="42">
        <f>TRUNC(6489,-1)</f>
        <v>6480</v>
      </c>
      <c r="E103" s="63">
        <f t="shared" si="3"/>
        <v>21420</v>
      </c>
    </row>
    <row r="104" spans="1:7" x14ac:dyDescent="0.3">
      <c r="A104" s="2">
        <v>7</v>
      </c>
      <c r="C104" s="38" t="s">
        <v>45</v>
      </c>
      <c r="D104" s="42">
        <f>TRUNC(2568,-1)</f>
        <v>2560</v>
      </c>
      <c r="E104" s="63">
        <f t="shared" si="3"/>
        <v>8460</v>
      </c>
    </row>
    <row r="105" spans="1:7" x14ac:dyDescent="0.3">
      <c r="A105" s="2">
        <v>8</v>
      </c>
      <c r="C105" s="38" t="s">
        <v>46</v>
      </c>
      <c r="D105" s="42">
        <f>TRUNC(5799,-1)</f>
        <v>5790</v>
      </c>
      <c r="E105" s="63">
        <f t="shared" si="3"/>
        <v>19140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TRUNC(2106,-1)</f>
        <v>2100</v>
      </c>
      <c r="E114" s="63">
        <f t="shared" si="3"/>
        <v>6940</v>
      </c>
      <c r="F114" s="2" t="s">
        <v>260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TRUNC(2768,-1)</f>
        <v>2760</v>
      </c>
      <c r="E116" s="63">
        <f t="shared" si="3"/>
        <v>9120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TRUNC(69251,-1)</f>
        <v>69250</v>
      </c>
      <c r="E117" s="63">
        <f t="shared" si="3"/>
        <v>228920</v>
      </c>
    </row>
    <row r="118" spans="1:7" ht="17.25" thickBot="1" x14ac:dyDescent="0.35">
      <c r="A118" s="2">
        <v>21</v>
      </c>
      <c r="C118" s="38" t="s">
        <v>47</v>
      </c>
      <c r="D118" s="43">
        <f>TRUNC(888,-1)</f>
        <v>880</v>
      </c>
      <c r="E118" s="64">
        <f t="shared" si="3"/>
        <v>2900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150330</v>
      </c>
      <c r="E119" s="39">
        <f>SUM(E98:E118)</f>
        <v>496920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3380</v>
      </c>
      <c r="E122" s="62">
        <f t="shared" ref="E122:E132" si="4">TRUNC(+D122*3.3058,-1)</f>
        <v>11170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TRUNC(869,-1)</f>
        <v>860</v>
      </c>
      <c r="E124" s="63">
        <f t="shared" si="4"/>
        <v>2840</v>
      </c>
    </row>
    <row r="125" spans="1:7" x14ac:dyDescent="0.3">
      <c r="A125" s="2">
        <v>4</v>
      </c>
      <c r="C125" s="38" t="s">
        <v>138</v>
      </c>
      <c r="D125" s="42">
        <f>TRUNC(7876,-1)</f>
        <v>7870</v>
      </c>
      <c r="E125" s="63">
        <f t="shared" si="4"/>
        <v>26010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TRUNC(5131,-1)</f>
        <v>5130</v>
      </c>
      <c r="E128" s="63">
        <f t="shared" si="4"/>
        <v>16950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TRUNC(13826,-1)</f>
        <v>13820</v>
      </c>
      <c r="E130" s="63">
        <f t="shared" si="4"/>
        <v>45680</v>
      </c>
    </row>
    <row r="131" spans="1:7" x14ac:dyDescent="0.3">
      <c r="A131" s="2">
        <v>10</v>
      </c>
      <c r="C131" s="38" t="s">
        <v>149</v>
      </c>
      <c r="D131" s="42">
        <f>TRUNC(19075,-1)</f>
        <v>19070</v>
      </c>
      <c r="E131" s="63">
        <f t="shared" si="4"/>
        <v>63040</v>
      </c>
    </row>
    <row r="132" spans="1:7" ht="18" thickBot="1" x14ac:dyDescent="0.35">
      <c r="A132" s="2">
        <v>11</v>
      </c>
      <c r="C132" s="38" t="s">
        <v>47</v>
      </c>
      <c r="D132" s="43">
        <f>TRUNC(2594,-1)</f>
        <v>2590</v>
      </c>
      <c r="E132" s="64">
        <f t="shared" si="4"/>
        <v>8560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52720</v>
      </c>
      <c r="E133" s="39">
        <f>SUM(E122:E132)</f>
        <v>174250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TRUNC(1534,-1)</f>
        <v>1530</v>
      </c>
      <c r="E137" s="63">
        <f t="shared" si="5"/>
        <v>5050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TRUNC(898,-1)</f>
        <v>890</v>
      </c>
      <c r="E140" s="63">
        <f t="shared" si="5"/>
        <v>2940</v>
      </c>
    </row>
    <row r="141" spans="1:7" x14ac:dyDescent="0.3">
      <c r="A141" s="2">
        <v>6</v>
      </c>
      <c r="C141" s="38" t="s">
        <v>59</v>
      </c>
      <c r="D141" s="42">
        <f>TRUNC(8282,-1)</f>
        <v>8280</v>
      </c>
      <c r="E141" s="63">
        <f t="shared" si="5"/>
        <v>27370</v>
      </c>
    </row>
    <row r="142" spans="1:7" x14ac:dyDescent="0.3">
      <c r="A142" s="2">
        <v>7</v>
      </c>
      <c r="C142" s="38" t="s">
        <v>58</v>
      </c>
      <c r="D142" s="42">
        <f>TRUNC(6176,-1)</f>
        <v>6170</v>
      </c>
      <c r="E142" s="63">
        <f t="shared" si="5"/>
        <v>20390</v>
      </c>
    </row>
    <row r="143" spans="1:7" x14ac:dyDescent="0.3">
      <c r="A143" s="2">
        <v>8</v>
      </c>
      <c r="C143" s="38" t="s">
        <v>62</v>
      </c>
      <c r="D143" s="42">
        <f>TRUNC(4808,-1)</f>
        <v>4800</v>
      </c>
      <c r="E143" s="63">
        <f t="shared" si="5"/>
        <v>15860</v>
      </c>
    </row>
    <row r="144" spans="1:7" x14ac:dyDescent="0.3">
      <c r="A144" s="2">
        <v>9</v>
      </c>
      <c r="C144" s="38" t="s">
        <v>63</v>
      </c>
      <c r="D144" s="42">
        <f>TRUNC(14486,-1)</f>
        <v>14480</v>
      </c>
      <c r="E144" s="63">
        <f t="shared" si="5"/>
        <v>47860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36150</v>
      </c>
      <c r="E146" s="39">
        <f>SUM(E136:E145)</f>
        <v>119470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TRUNC(4765+884,-1)</f>
        <v>5640</v>
      </c>
      <c r="E149" s="62">
        <f>TRUNC(+D149*3.3058,-1)</f>
        <v>18640</v>
      </c>
    </row>
    <row r="150" spans="1:7" x14ac:dyDescent="0.3">
      <c r="A150" s="2">
        <v>2</v>
      </c>
      <c r="C150" s="38" t="s">
        <v>49</v>
      </c>
      <c r="D150" s="42">
        <f>TRUNC(8384,-1)</f>
        <v>8380</v>
      </c>
      <c r="E150" s="63">
        <f>TRUNC(+D150*3.3058,-1)</f>
        <v>27700</v>
      </c>
    </row>
    <row r="151" spans="1:7" x14ac:dyDescent="0.3">
      <c r="A151" s="2">
        <v>3</v>
      </c>
      <c r="C151" s="38" t="s">
        <v>50</v>
      </c>
      <c r="D151" s="42">
        <f>TRUNC(1296,-1)</f>
        <v>1290</v>
      </c>
      <c r="E151" s="63">
        <f>TRUNC(+D151*3.3058,-1)</f>
        <v>4260</v>
      </c>
    </row>
    <row r="152" spans="1:7" x14ac:dyDescent="0.3">
      <c r="A152" s="2">
        <v>4</v>
      </c>
      <c r="C152" s="38" t="s">
        <v>47</v>
      </c>
      <c r="D152" s="42">
        <f>TRUNC(5423+1449,-1)</f>
        <v>6870</v>
      </c>
      <c r="E152" s="63">
        <f>TRUNC(+D152*3.3058,-1)</f>
        <v>22710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TRUNC(44893,-1)</f>
        <v>44890</v>
      </c>
      <c r="E153" s="64">
        <f>TRUNC(+D153*3.3058,-1)</f>
        <v>148390</v>
      </c>
    </row>
    <row r="154" spans="1:7" x14ac:dyDescent="0.3">
      <c r="A154" s="2">
        <v>6</v>
      </c>
      <c r="C154" s="27" t="s">
        <v>112</v>
      </c>
      <c r="D154" s="39">
        <f>SUM(D149:D153)</f>
        <v>67070</v>
      </c>
      <c r="E154" s="39">
        <f>SUM(E149:E153)</f>
        <v>221700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TRUNC(23753,-1)</f>
        <v>23750</v>
      </c>
      <c r="E157" s="62">
        <f>TRUNC(+D157*3.3058,-1)</f>
        <v>78510</v>
      </c>
    </row>
    <row r="158" spans="1:7" x14ac:dyDescent="0.3">
      <c r="A158" s="2">
        <v>2</v>
      </c>
      <c r="C158" s="38" t="s">
        <v>52</v>
      </c>
      <c r="D158" s="42">
        <f>TRUNC(1896,-1)</f>
        <v>1890</v>
      </c>
      <c r="E158" s="63">
        <f>TRUNC(+D158*3.3058,-1)</f>
        <v>6240</v>
      </c>
    </row>
    <row r="159" spans="1:7" x14ac:dyDescent="0.3">
      <c r="A159" s="2">
        <v>3</v>
      </c>
      <c r="C159" s="38" t="s">
        <v>47</v>
      </c>
      <c r="D159" s="42">
        <f>TRUNC(1786,-1)</f>
        <v>1780</v>
      </c>
      <c r="E159" s="63">
        <f>TRUNC(+D159*3.3058,-1)</f>
        <v>5880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27420</v>
      </c>
      <c r="E161" s="39">
        <f>SUM(E157:E160)</f>
        <v>90630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2020-12-07T09:58:25Z</dcterms:modified>
</cp:coreProperties>
</file>