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3" i="4"/>
  <c r="E101" i="4"/>
  <c r="E94" i="4"/>
  <c r="E90" i="4"/>
  <c r="E88" i="4"/>
  <c r="E87" i="4"/>
  <c r="E86" i="4"/>
  <c r="E85" i="4"/>
  <c r="E84" i="4"/>
  <c r="E83" i="4"/>
  <c r="E82" i="4"/>
  <c r="E81" i="4"/>
  <c r="E80" i="4"/>
  <c r="E78" i="4"/>
  <c r="E77" i="4"/>
  <c r="E76" i="4"/>
  <c r="E75" i="4"/>
  <c r="E74" i="4"/>
  <c r="E71" i="4"/>
  <c r="E70" i="4"/>
  <c r="E65" i="4"/>
  <c r="E64" i="4"/>
  <c r="E63" i="4"/>
  <c r="E66" i="4" s="1"/>
  <c r="E57" i="4"/>
  <c r="E56" i="4"/>
  <c r="E54" i="4"/>
  <c r="E42" i="4"/>
  <c r="E37" i="4"/>
  <c r="E133" i="4" l="1"/>
  <c r="D131" i="4"/>
  <c r="E131" i="4" s="1"/>
  <c r="D117" i="4"/>
  <c r="E117" i="4" s="1"/>
  <c r="D93" i="4"/>
  <c r="E93" i="4" s="1"/>
  <c r="D59" i="4"/>
  <c r="E59" i="4" s="1"/>
  <c r="D132" i="4"/>
  <c r="E132" i="4" s="1"/>
  <c r="D118" i="4"/>
  <c r="E118" i="4" s="1"/>
  <c r="D137" i="4"/>
  <c r="E137" i="4" s="1"/>
  <c r="D104" i="4"/>
  <c r="E104" i="4" s="1"/>
  <c r="D102" i="4"/>
  <c r="E102" i="4" s="1"/>
  <c r="D100" i="4"/>
  <c r="E100" i="4" s="1"/>
  <c r="D99" i="4"/>
  <c r="E99" i="4" s="1"/>
  <c r="D98" i="4"/>
  <c r="E98" i="4" s="1"/>
  <c r="D136" i="4"/>
  <c r="E136" i="4" s="1"/>
  <c r="E146" i="4" s="1"/>
  <c r="D72" i="4"/>
  <c r="E72" i="4" s="1"/>
  <c r="D79" i="4"/>
  <c r="E79" i="4" s="1"/>
  <c r="D91" i="4"/>
  <c r="E91" i="4" s="1"/>
  <c r="D89" i="4"/>
  <c r="E89" i="4" s="1"/>
  <c r="D73" i="4"/>
  <c r="E73" i="4" s="1"/>
  <c r="D92" i="4"/>
  <c r="E92" i="4" s="1"/>
  <c r="D69" i="4"/>
  <c r="E69" i="4" s="1"/>
  <c r="E95" i="4" s="1"/>
  <c r="D159" i="4"/>
  <c r="E159" i="4" s="1"/>
  <c r="E161" i="4" s="1"/>
  <c r="D152" i="4"/>
  <c r="E152" i="4" s="1"/>
  <c r="E154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1" i="4"/>
  <c r="E41" i="4" s="1"/>
  <c r="D40" i="4"/>
  <c r="E40" i="4" s="1"/>
  <c r="E60" i="4" l="1"/>
  <c r="E119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<sst xmlns="http://schemas.openxmlformats.org/spreadsheetml/2006/main" count="389" uniqueCount="264">
  <si>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</si>
  <si>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</si>
  <si>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</si>
  <si>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</si>
  <si>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</si>
  <si>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</si>
  <si>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</si>
  <si>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</si>
  <si>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</si>
  <si>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</si>
  <si>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</si>
  <si>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</si>
  <si>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</si>
  <si>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</si>
  <si>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</si>
  <si>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</si>
  <si>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</si>
  <si>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</si>
  <si>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</si>
  <si>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</si>
  <si>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</si>
  <si>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</si>
  <si>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</si>
  <si>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</si>
  <si>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</si>
  <si>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</si>
  <si>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</si>
  <si>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</si>
  <si>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</si>
  <si>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</si>
  <si>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</si>
  <si>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</si>
  <si>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</si>
  <si>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</si>
  <si>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</si>
  <si>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</si>
  <si>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</si>
  <si>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</si>
  <si>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</si>
  <si>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</si>
  <si>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</si>
  <si>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</si>
  <si>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</si>
  <si>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</si>
  <si>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</si>
  <si>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</si>
  <si>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</si>
  <si>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</si>
  <si>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</si>
  <si>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</si>
  <si>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</si>
  <si>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</si>
  <si>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</si>
  <si>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</si>
  <si>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</si>
  <si>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</si>
  <si>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</si>
  <si>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</si>
  <si>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</si>
  <si>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</si>
  <si>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</si>
  <si>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</si>
  <si>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</si>
  <si>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</si>
  <si>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</si>
  <si>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</si>
  <si>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</si>
  <si>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</si>
  <si>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</si>
  <si>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</si>
  <si>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</si>
  <si>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</si>
  <si>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</si>
  <si>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</si>
  <si>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</si>
  <si>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</si>
  <si>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</si>
  <si>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</si>
  <si>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</si>
  <si>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</si>
  <si>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</si>
  <si>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</si>
  <si>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</si>
  <si>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</si>
  <si>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</si>
  <si>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</si>
  <si>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</si>
  <si>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</si>
  <si>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</si>
  <si>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</si>
  <si>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</si>
  <si>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</si>
  <si>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</si>
  <si>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</si>
  <si>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</si>
  <si>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</si>
  <si>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</si>
  <si>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</si>
  <si>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</si>
  <si>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</si>
  <si>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</si>
  <si>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</si>
  <si>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</si>
  <si>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</si>
  <si>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</si>
  <si>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</si>
  <si>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</si>
  <si>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</si>
  <si>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</si>
  <si>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</si>
  <si>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</si>
  <si>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</si>
  <si>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</si>
  <si>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</si>
  <si>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</si>
  <si>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</si>
  <si>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</si>
  <si>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</si>
  <si>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</si>
  <si>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</si>
  <si>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</si>
  <si>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</si>
  <si>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</si>
  <si>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</si>
  <si>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</si>
  <si>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</si>
  <si>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</si>
  <si>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</si>
  <si>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</si>
  <si>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</si>
  <si>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</si>
  <si>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</si>
  <si>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</si>
  <si>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</si>
  <si>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</si>
  <si>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</si>
  <si>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</si>
  <si>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</si>
  <si>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</si>
  <si>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</si>
  <si>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</si>
  <si>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</si>
  <si>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</si>
  <si>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</si>
  <si>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</si>
  <si>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</si>
  <si>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</si>
  <si>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</si>
  <si>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</si>
  <si>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</si>
  <si>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</si>
  <si>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</si>
  <si>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</si>
  <si>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</si>
  <si>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</si>
  <si>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</si>
  <si>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</si>
  <si>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</si>
  <si>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</si>
  <si>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</si>
  <si>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</si>
  <si>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</si>
  <si>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</si>
  <si>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</si>
  <si>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</si>
  <si>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</si>
  <si>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</si>
  <si>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</si>
  <si>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</si>
  <si>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</si>
  <si>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</si>
  <si>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</si>
  <si>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</si>
  <si>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</si>
  <si>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</si>
  <si>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</si>
  <si>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</si>
  <si>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</si>
  <si>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</si>
  <si>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</si>
  <si>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</si>
  <si>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</si>
  <si>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</si>
  <si>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</si>
  <si>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</si>
  <si>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</si>
  <si>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</si>
  <si>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</si>
  <si>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</si>
  <si>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</si>
  <si>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</si>
  <si>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</si>
  <si>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</si>
  <si>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</si>
  <si>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</si>
  <si>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</si>
  <si>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</si>
  <si>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</si>
  <si>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</si>
  <si>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</si>
  <si>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</si>
  <si>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</si>
  <si>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</si>
  <si>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</si>
  <si>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</si>
  <si>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</si>
  <si>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</si>
  <si>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</si>
  <si>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</si>
  <si>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</si>
  <si>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</si>
  <si>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</si>
  <si>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</si>
  <si>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</si>
  <si>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</si>
  <si>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</si>
  <si>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</si>
  <si>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</si>
  <si>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</si>
  <si>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</si>
  <si>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</si>
  <si>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</si>
  <si>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</si>
  <si>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</si>
  <si>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</si>
  <si>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</si>
  <si>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</si>
  <si>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</si>
  <si>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</si>
  <si>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</si>
  <si>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</si>
  <si>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</si>
  <si>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</si>
  <si>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</si>
  <si>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</si>
  <si>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</si>
  <si>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</si>
  <si>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</si>
  <si>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</si>
  <si>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</si>
  <si>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</si>
  <si>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</si>
  <si>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</si>
  <si>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</si>
  <si>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</si>
  <si>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</si>
  <si>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</si>
  <si>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</si>
  <si>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</si>
  <si>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00기상대 청사 신축공사</t>
    <phoneticPr fontId="2" type="noConversion"/>
  </si>
  <si>
    <t>강원도</t>
  </si>
  <si>
    <t>기초및토공사,기타공사,시멘트및골재대</t>
    <phoneticPr fontId="2" type="noConversion"/>
  </si>
  <si>
    <t>부대토목공사</t>
    <phoneticPr fontId="2" type="noConversion"/>
  </si>
  <si>
    <t>조경공사</t>
    <phoneticPr fontId="2" type="noConversion"/>
  </si>
  <si>
    <t>기계 기계소방공사</t>
    <phoneticPr fontId="2" type="noConversion"/>
  </si>
  <si>
    <t>전기 전기소방공사</t>
    <phoneticPr fontId="2" type="noConversion"/>
  </si>
  <si>
    <t>전기실설비공사,옥외진입도로가로등공사</t>
    <phoneticPr fontId="2" type="noConversion"/>
  </si>
  <si>
    <t>통신설비공사</t>
    <phoneticPr fontId="2" type="noConversion"/>
  </si>
  <si>
    <t>열선설치공사, 난방설비공사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</si>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</sst>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2337</v>
      </c>
      <c r="D7" s="36">
        <f>+C7/3.3058</f>
        <v>706.93931877306545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1080200</v>
      </c>
      <c r="E25" s="59">
        <f t="shared" si="0"/>
        <v>3570920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134760</v>
      </c>
      <c r="E27" s="59">
        <f t="shared" si="0"/>
        <v>445480</v>
      </c>
    </row>
    <row r="28" spans="1:5" x14ac:dyDescent="0.3">
      <c r="B28" s="2">
        <v>5</v>
      </c>
      <c r="C28" s="35" t="s">
        <v>97</v>
      </c>
      <c r="D28" s="45">
        <f>+D119</f>
        <v>272540</v>
      </c>
      <c r="E28" s="59">
        <f t="shared" si="0"/>
        <v>900960</v>
      </c>
    </row>
    <row r="29" spans="1:5" x14ac:dyDescent="0.3">
      <c r="B29" s="2">
        <v>6</v>
      </c>
      <c r="C29" s="35" t="s">
        <v>98</v>
      </c>
      <c r="D29" s="45">
        <f>+D133</f>
        <v>84670</v>
      </c>
      <c r="E29" s="59">
        <f t="shared" si="0"/>
        <v>279900</v>
      </c>
    </row>
    <row r="30" spans="1:5" x14ac:dyDescent="0.3">
      <c r="B30" s="2">
        <v>7</v>
      </c>
      <c r="C30" s="35" t="s">
        <v>99</v>
      </c>
      <c r="D30" s="45">
        <f>+D146</f>
        <v>30700</v>
      </c>
      <c r="E30" s="59">
        <f t="shared" si="0"/>
        <v>101480</v>
      </c>
    </row>
    <row r="31" spans="1:5" x14ac:dyDescent="0.3">
      <c r="B31" s="2">
        <v>8</v>
      </c>
      <c r="C31" s="35" t="s">
        <v>100</v>
      </c>
      <c r="D31" s="45">
        <f>+D154</f>
        <v>92110</v>
      </c>
      <c r="E31" s="59">
        <f t="shared" si="0"/>
        <v>304490</v>
      </c>
    </row>
    <row r="32" spans="1:5" x14ac:dyDescent="0.3">
      <c r="B32" s="2">
        <v>9</v>
      </c>
      <c r="C32" s="35" t="s">
        <v>101</v>
      </c>
      <c r="D32" s="45">
        <f>+D161</f>
        <v>82050</v>
      </c>
      <c r="E32" s="59">
        <f t="shared" si="0"/>
        <v>271240</v>
      </c>
    </row>
    <row r="33" spans="1:7" x14ac:dyDescent="0.3">
      <c r="B33" s="2">
        <v>10</v>
      </c>
      <c r="C33" s="35" t="s">
        <v>154</v>
      </c>
      <c r="D33" s="53">
        <f>TRUNC(SUM(D24:D32)*0.275,-1)</f>
        <v>488680</v>
      </c>
      <c r="E33" s="60">
        <f t="shared" si="0"/>
        <v>1615470</v>
      </c>
    </row>
    <row r="34" spans="1:7" x14ac:dyDescent="0.3">
      <c r="C34" s="35" t="s">
        <v>112</v>
      </c>
      <c r="D34" s="44">
        <f>SUM(D24:D33)</f>
        <v>2265710</v>
      </c>
      <c r="E34" s="44">
        <f>SUM(E24:E33)</f>
        <v>7489940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TRUNC(36048,-1)</f>
        <v>36040</v>
      </c>
      <c r="E40" s="62">
        <f t="shared" ref="E40:E59" si="1">TRUNC(+D40*3.3058,-1)</f>
        <v>119140</v>
      </c>
    </row>
    <row r="41" spans="1:7" x14ac:dyDescent="0.3">
      <c r="A41" s="2">
        <v>2</v>
      </c>
      <c r="C41" s="38" t="s">
        <v>13</v>
      </c>
      <c r="D41" s="42">
        <f>TRUNC(168188,-1)</f>
        <v>168180</v>
      </c>
      <c r="E41" s="63">
        <f t="shared" si="1"/>
        <v>555960</v>
      </c>
    </row>
    <row r="42" spans="1:7" x14ac:dyDescent="0.3">
      <c r="A42" s="2">
        <v>3</v>
      </c>
      <c r="C42" s="38" t="s">
        <v>14</v>
      </c>
      <c r="D42" s="42"/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TRUNC(18855,-1)</f>
        <v>18850</v>
      </c>
      <c r="E43" s="63">
        <f t="shared" si="1"/>
        <v>62310</v>
      </c>
    </row>
    <row r="44" spans="1:7" x14ac:dyDescent="0.3">
      <c r="A44" s="2">
        <v>5</v>
      </c>
      <c r="C44" s="38" t="s">
        <v>17</v>
      </c>
      <c r="D44" s="42">
        <f>TRUNC(37998,-1)</f>
        <v>37990</v>
      </c>
      <c r="E44" s="63">
        <f t="shared" si="1"/>
        <v>125580</v>
      </c>
    </row>
    <row r="45" spans="1:7" x14ac:dyDescent="0.3">
      <c r="A45" s="2">
        <v>6</v>
      </c>
      <c r="C45" s="38" t="s">
        <v>18</v>
      </c>
      <c r="D45" s="42">
        <f>TRUNC(10011,-1)</f>
        <v>10010</v>
      </c>
      <c r="E45" s="63">
        <f t="shared" si="1"/>
        <v>33090</v>
      </c>
    </row>
    <row r="46" spans="1:7" x14ac:dyDescent="0.3">
      <c r="A46" s="2">
        <v>7</v>
      </c>
      <c r="C46" s="38" t="s">
        <v>19</v>
      </c>
      <c r="D46" s="42">
        <f>TRUNC(89952,-1)</f>
        <v>89950</v>
      </c>
      <c r="E46" s="63">
        <f t="shared" si="1"/>
        <v>297350</v>
      </c>
    </row>
    <row r="47" spans="1:7" x14ac:dyDescent="0.3">
      <c r="A47" s="2">
        <v>8</v>
      </c>
      <c r="C47" s="38" t="s">
        <v>20</v>
      </c>
      <c r="D47" s="42">
        <f>TRUNC(7937,-1)</f>
        <v>7930</v>
      </c>
      <c r="E47" s="63">
        <f t="shared" si="1"/>
        <v>26210</v>
      </c>
    </row>
    <row r="48" spans="1:7" x14ac:dyDescent="0.3">
      <c r="A48" s="2">
        <v>9</v>
      </c>
      <c r="C48" s="38" t="s">
        <v>21</v>
      </c>
      <c r="D48" s="42">
        <f>TRUNC(44516,-1)</f>
        <v>44510</v>
      </c>
      <c r="E48" s="63">
        <f t="shared" si="1"/>
        <v>147140</v>
      </c>
    </row>
    <row r="49" spans="1:7" x14ac:dyDescent="0.3">
      <c r="A49" s="2">
        <v>10</v>
      </c>
      <c r="C49" s="38" t="s">
        <v>22</v>
      </c>
      <c r="D49" s="42">
        <f>TRUNC(27077,-1)</f>
        <v>27070</v>
      </c>
      <c r="E49" s="63">
        <f t="shared" si="1"/>
        <v>89480</v>
      </c>
    </row>
    <row r="50" spans="1:7" x14ac:dyDescent="0.3">
      <c r="A50" s="2">
        <v>11</v>
      </c>
      <c r="C50" s="38" t="s">
        <v>155</v>
      </c>
      <c r="D50" s="42">
        <f>TRUNC(23230,-1)</f>
        <v>23230</v>
      </c>
      <c r="E50" s="63">
        <f t="shared" si="1"/>
        <v>76790</v>
      </c>
    </row>
    <row r="51" spans="1:7" x14ac:dyDescent="0.3">
      <c r="A51" s="2">
        <v>12</v>
      </c>
      <c r="C51" s="38" t="s">
        <v>23</v>
      </c>
      <c r="D51" s="42">
        <f>TRUNC(23268,-1)</f>
        <v>23260</v>
      </c>
      <c r="E51" s="63">
        <f t="shared" si="1"/>
        <v>76890</v>
      </c>
    </row>
    <row r="52" spans="1:7" x14ac:dyDescent="0.3">
      <c r="A52" s="2">
        <v>13</v>
      </c>
      <c r="C52" s="38" t="s">
        <v>24</v>
      </c>
      <c r="D52" s="42">
        <f>TRUNC(11996,-1)</f>
        <v>11990</v>
      </c>
      <c r="E52" s="63">
        <f t="shared" si="1"/>
        <v>39630</v>
      </c>
    </row>
    <row r="53" spans="1:7" x14ac:dyDescent="0.3">
      <c r="A53" s="2">
        <v>14</v>
      </c>
      <c r="C53" s="38" t="s">
        <v>25</v>
      </c>
      <c r="D53" s="42">
        <f>TRUNC(49306,-1)</f>
        <v>49300</v>
      </c>
      <c r="E53" s="63">
        <f t="shared" si="1"/>
        <v>162970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TRUNC(8681,-1)</f>
        <v>8680</v>
      </c>
      <c r="E55" s="63">
        <f t="shared" si="1"/>
        <v>28690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TRUNC(11852+8558+6976,-1)</f>
        <v>27380</v>
      </c>
      <c r="E58" s="63">
        <f t="shared" si="1"/>
        <v>90510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TRUNC(495839,-1)</f>
        <v>495830</v>
      </c>
      <c r="E59" s="64">
        <f t="shared" si="1"/>
        <v>1639110</v>
      </c>
    </row>
    <row r="60" spans="1:7" x14ac:dyDescent="0.3">
      <c r="A60" s="2">
        <v>21</v>
      </c>
      <c r="C60" s="27" t="s">
        <v>112</v>
      </c>
      <c r="D60" s="39">
        <f>SUM(D40:D59)</f>
        <v>1080200</v>
      </c>
      <c r="E60" s="39">
        <f>SUM(E40:E59)</f>
        <v>3570850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TRUNC(9726,-1)</f>
        <v>9720</v>
      </c>
      <c r="E69" s="62">
        <f t="shared" ref="E69:E94" si="2">TRUNC(+D69*3.3058,-1)</f>
        <v>32130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TRUNC(1018,-1)</f>
        <v>1010</v>
      </c>
      <c r="E72" s="63">
        <f t="shared" si="2"/>
        <v>3330</v>
      </c>
    </row>
    <row r="73" spans="1:7" x14ac:dyDescent="0.3">
      <c r="A73" s="2">
        <v>5</v>
      </c>
      <c r="C73" s="38" t="s">
        <v>34</v>
      </c>
      <c r="D73" s="42">
        <f>TRUNC(9645,-1)</f>
        <v>9640</v>
      </c>
      <c r="E73" s="63">
        <f t="shared" si="2"/>
        <v>31860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TRUNC(678,-1)</f>
        <v>670</v>
      </c>
      <c r="E79" s="63">
        <f t="shared" si="2"/>
        <v>2210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TRUNC(4525,-1)</f>
        <v>4520</v>
      </c>
      <c r="E89" s="63">
        <f t="shared" si="2"/>
        <v>14940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TRUNC(706,-1)</f>
        <v>700</v>
      </c>
      <c r="E91" s="63">
        <f t="shared" si="2"/>
        <v>2310</v>
      </c>
    </row>
    <row r="92" spans="1:7" x14ac:dyDescent="0.3">
      <c r="A92" s="2">
        <v>24</v>
      </c>
      <c r="C92" s="38" t="s">
        <v>38</v>
      </c>
      <c r="D92" s="42">
        <f>TRUNC(8213,-1)</f>
        <v>8210</v>
      </c>
      <c r="E92" s="63">
        <f t="shared" si="2"/>
        <v>27140</v>
      </c>
    </row>
    <row r="93" spans="1:7" x14ac:dyDescent="0.3">
      <c r="A93" s="2">
        <v>25</v>
      </c>
      <c r="C93" s="38" t="s">
        <v>148</v>
      </c>
      <c r="D93" s="42">
        <f>TRUNC(97241,-1)</f>
        <v>97240</v>
      </c>
      <c r="E93" s="63">
        <f t="shared" si="2"/>
        <v>321450</v>
      </c>
    </row>
    <row r="94" spans="1:7" ht="17.25" thickBot="1" x14ac:dyDescent="0.35">
      <c r="A94" s="2">
        <v>26</v>
      </c>
      <c r="C94" s="38" t="s">
        <v>47</v>
      </c>
      <c r="D94" s="43">
        <f>TRUNC(198+2855,-1)</f>
        <v>3050</v>
      </c>
      <c r="E94" s="64">
        <f t="shared" si="2"/>
        <v>10080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134760</v>
      </c>
      <c r="E95" s="39">
        <f>SUM(E69:E94)</f>
        <v>445450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TRUNC(21990,-1)</f>
        <v>21990</v>
      </c>
      <c r="E98" s="62">
        <f t="shared" ref="E98:E118" si="3">TRUNC(+D98*3.3058,-1)</f>
        <v>72690</v>
      </c>
    </row>
    <row r="99" spans="1:7" x14ac:dyDescent="0.3">
      <c r="A99" s="2">
        <v>2</v>
      </c>
      <c r="C99" s="38" t="s">
        <v>40</v>
      </c>
      <c r="D99" s="42">
        <f>TRUNC(9543,-1)</f>
        <v>9540</v>
      </c>
      <c r="E99" s="63">
        <f t="shared" si="3"/>
        <v>31530</v>
      </c>
    </row>
    <row r="100" spans="1:7" x14ac:dyDescent="0.3">
      <c r="A100" s="2">
        <v>3</v>
      </c>
      <c r="C100" s="38" t="s">
        <v>41</v>
      </c>
      <c r="D100" s="42">
        <f>TRUNC(32851,-1)</f>
        <v>32850</v>
      </c>
      <c r="E100" s="63">
        <f t="shared" si="3"/>
        <v>108590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TRUNC(12926,-1)</f>
        <v>12920</v>
      </c>
      <c r="E102" s="63">
        <f t="shared" si="3"/>
        <v>42710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TRUNC(5660,-1)</f>
        <v>5660</v>
      </c>
      <c r="E104" s="63">
        <f t="shared" si="3"/>
        <v>18710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TRUNC(182892,-1)</f>
        <v>182890</v>
      </c>
      <c r="E117" s="63">
        <f t="shared" si="3"/>
        <v>604590</v>
      </c>
    </row>
    <row r="118" spans="1:7" ht="17.25" thickBot="1" x14ac:dyDescent="0.35">
      <c r="A118" s="2">
        <v>21</v>
      </c>
      <c r="C118" s="38" t="s">
        <v>47</v>
      </c>
      <c r="D118" s="43">
        <f>TRUNC(988+5706,-1)</f>
        <v>6690</v>
      </c>
      <c r="E118" s="64">
        <f t="shared" si="3"/>
        <v>22110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272540</v>
      </c>
      <c r="E119" s="39">
        <f>SUM(E98:E118)</f>
        <v>900930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TRUNC(67486,-1)</f>
        <v>67480</v>
      </c>
      <c r="E131" s="63">
        <f t="shared" si="4"/>
        <v>223070</v>
      </c>
    </row>
    <row r="132" spans="1:7" ht="18" thickBot="1" x14ac:dyDescent="0.35">
      <c r="A132" s="2">
        <v>11</v>
      </c>
      <c r="C132" s="38" t="s">
        <v>47</v>
      </c>
      <c r="D132" s="43">
        <f>TRUNC(17195,-1)</f>
        <v>17190</v>
      </c>
      <c r="E132" s="64">
        <f t="shared" si="4"/>
        <v>56820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84670</v>
      </c>
      <c r="E133" s="39">
        <f>SUM(E122:E132)</f>
        <v>279890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TRUNC(17936,-1)</f>
        <v>17930</v>
      </c>
      <c r="E136" s="62">
        <f t="shared" ref="E136:E145" si="5">TRUNC(+D136*3.3058,-1)</f>
        <v>59270</v>
      </c>
      <c r="F136" s="2" t="s">
        <v>254</v>
      </c>
    </row>
    <row r="137" spans="1:7" x14ac:dyDescent="0.3">
      <c r="A137" s="2">
        <v>2</v>
      </c>
      <c r="C137" s="38" t="s">
        <v>47</v>
      </c>
      <c r="D137" s="42">
        <f>TRUNC(12777,-1)</f>
        <v>12770</v>
      </c>
      <c r="E137" s="63">
        <f t="shared" si="5"/>
        <v>42210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30700</v>
      </c>
      <c r="E146" s="39">
        <f>SUM(E136:E145)</f>
        <v>101480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TRUNC(92116,-1)</f>
        <v>92110</v>
      </c>
      <c r="E152" s="63">
        <f>TRUNC(+D152*3.3058,-1)</f>
        <v>304490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92110</v>
      </c>
      <c r="E154" s="39">
        <f>SUM(E149:E153)</f>
        <v>304490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TRUNC(82051,-1)</f>
        <v>82050</v>
      </c>
      <c r="E159" s="63">
        <f>TRUNC(+D159*3.3058,-1)</f>
        <v>271240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82050</v>
      </c>
      <c r="E161" s="39">
        <f>SUM(E157:E160)</f>
        <v>271240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2020-12-07T09:37:27Z</dcterms:modified>
</cp:coreProperties>
</file>