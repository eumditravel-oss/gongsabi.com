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92" i="4"/>
  <c r="D91" i="4"/>
  <c r="D90" i="4"/>
  <c r="D89" i="4"/>
  <c r="D75" i="4"/>
  <c r="D73" i="4"/>
  <c r="D72" i="4"/>
  <c r="D71" i="4"/>
  <c r="D70" i="4"/>
  <c r="D69" i="4"/>
  <c r="D63" i="4"/>
  <c r="D118" i="4"/>
  <c r="D116" i="4"/>
  <c r="D114" i="4"/>
  <c r="D105" i="4"/>
  <c r="D104" i="4"/>
  <c r="D103" i="4"/>
  <c r="D102" i="4"/>
  <c r="D100" i="4"/>
  <c r="D99" i="4"/>
  <c r="D98" i="4"/>
  <c r="D132" i="4"/>
  <c r="D130" i="4"/>
  <c r="D128" i="4"/>
  <c r="D127" i="4"/>
  <c r="D125" i="4"/>
  <c r="D124" i="4"/>
  <c r="D122" i="4"/>
  <c r="D144" i="4"/>
  <c r="D143" i="4"/>
  <c r="D142" i="4"/>
  <c r="D141" i="4"/>
  <c r="D140" i="4"/>
  <c r="D139" i="4"/>
  <c r="D137" i="4"/>
  <c r="D152" i="4"/>
  <c r="D150" i="4"/>
  <c r="D149" i="4"/>
  <c r="D159" i="4"/>
  <c r="D158" i="4"/>
  <c r="D157" i="4"/>
  <c r="D160" i="4"/>
  <c r="D153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<sst xmlns="http://schemas.openxmlformats.org/spreadsheetml/2006/main" count="394" uniqueCount="269">
  <si>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</si>
  <si>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</si>
  <si>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</si>
  <si>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</si>
  <si>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</si>
  <si>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</si>
  <si>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</si>
  <si>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</si>
  <si>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</si>
  <si>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</si>
  <si>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</si>
  <si>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</si>
  <si>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</si>
  <si>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</si>
  <si>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</si>
  <si>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</si>
  <si>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</si>
  <si>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</si>
  <si>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</si>
  <si>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</si>
  <si>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</si>
  <si>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</si>
  <si>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</si>
  <si>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</si>
  <si>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</si>
  <si>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</si>
  <si>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</si>
  <si>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</si>
  <si>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</si>
  <si>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</si>
  <si>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</si>
  <si>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</si>
  <si>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</si>
  <si>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</si>
  <si>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</si>
  <si>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</si>
  <si>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</si>
  <si>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</si>
  <si>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</si>
  <si>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</si>
  <si>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</si>
  <si>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</si>
  <si>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</si>
  <si>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</si>
  <si>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</si>
  <si>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</si>
  <si>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</si>
  <si>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</si>
  <si>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</si>
  <si>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</si>
  <si>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</si>
  <si>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</si>
  <si>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</si>
  <si>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</si>
  <si>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</si>
  <si>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</si>
  <si>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</si>
  <si>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</si>
  <si>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</si>
  <si>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</si>
  <si>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</si>
  <si>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</si>
  <si>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</si>
  <si>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</si>
  <si>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</si>
  <si>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</si>
  <si>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</si>
  <si>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</si>
  <si>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</si>
  <si>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</si>
  <si>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</si>
  <si>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</si>
  <si>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</si>
  <si>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</si>
  <si>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</si>
  <si>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</si>
  <si>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</si>
  <si>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</si>
  <si>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</si>
  <si>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</si>
  <si>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</si>
  <si>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</si>
  <si>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</si>
  <si>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</si>
  <si>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</si>
  <si>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</si>
  <si>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</si>
  <si>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</si>
  <si>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</si>
  <si>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</si>
  <si>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</si>
  <si>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</si>
  <si>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</si>
  <si>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</si>
  <si>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</si>
  <si>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</si>
  <si>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</si>
  <si>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</si>
  <si>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</si>
  <si>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</si>
  <si>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</si>
  <si>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</si>
  <si>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</si>
  <si>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</si>
  <si>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</si>
  <si>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</si>
  <si>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</si>
  <si>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</si>
  <si>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</si>
  <si>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</si>
  <si>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</si>
  <si>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</si>
  <si>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</si>
  <si>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</si>
  <si>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</si>
  <si>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</si>
  <si>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</si>
  <si>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</si>
  <si>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</si>
  <si>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</si>
  <si>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</si>
  <si>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</si>
  <si>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</si>
  <si>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</si>
  <si>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</si>
  <si>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</si>
  <si>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</si>
  <si>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</si>
  <si>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</si>
  <si>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</si>
  <si>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</si>
  <si>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</si>
  <si>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</si>
  <si>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</si>
  <si>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</si>
  <si>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</si>
  <si>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</si>
  <si>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</si>
  <si>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</si>
  <si>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</si>
  <si>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</si>
  <si>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</si>
  <si>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</si>
  <si>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</si>
  <si>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</si>
  <si>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</si>
  <si>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</si>
  <si>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</si>
  <si>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</si>
  <si>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</si>
  <si>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</si>
  <si>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</si>
  <si>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</si>
  <si>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</si>
  <si>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</si>
  <si>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</si>
  <si>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</si>
  <si>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</si>
  <si>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</si>
  <si>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</si>
  <si>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</si>
  <si>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</si>
  <si>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</si>
  <si>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</si>
  <si>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</si>
  <si>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</si>
  <si>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</si>
  <si>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</si>
  <si>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</si>
  <si>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</si>
  <si>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</si>
  <si>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</si>
  <si>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</si>
  <si>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</si>
  <si>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</si>
  <si>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</si>
  <si>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</si>
  <si>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</si>
  <si>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</si>
  <si>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</si>
  <si>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</si>
  <si>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</si>
  <si>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</si>
  <si>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</si>
  <si>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</si>
  <si>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</si>
  <si>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</si>
  <si>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</si>
  <si>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</si>
  <si>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</si>
  <si>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</si>
  <si>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</si>
  <si>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</si>
  <si>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</si>
  <si>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</si>
  <si>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</si>
  <si>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</si>
  <si>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</si>
  <si>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</si>
  <si>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</si>
  <si>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</si>
  <si>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</si>
  <si>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</si>
  <si>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</si>
  <si>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</si>
  <si>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</si>
  <si>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</si>
  <si>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</si>
  <si>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</si>
  <si>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</si>
  <si>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</si>
  <si>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</si>
  <si>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</si>
  <si>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</si>
  <si>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</si>
  <si>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</si>
  <si>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</si>
  <si>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</si>
  <si>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</si>
  <si>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</si>
  <si>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</si>
  <si>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</si>
  <si>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</si>
  <si>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</si>
  <si>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</si>
  <si>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</si>
  <si>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</si>
  <si>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</si>
  <si>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</si>
  <si>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</si>
  <si>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</si>
  <si>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</si>
  <si>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</si>
  <si>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</si>
  <si>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</si>
  <si>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</si>
  <si>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</si>
  <si>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</si>
  <si>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</si>
  <si>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</si>
  <si>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</si>
  <si>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</si>
  <si>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</si>
  <si>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</si>
  <si>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</si>
  <si>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</si>
  <si>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</si>
  <si>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</si>
  <si>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</si>
  <si>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남원세무서 청사 신축공사</t>
    <phoneticPr fontId="2" type="noConversion"/>
  </si>
  <si>
    <t>업무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</si>
  <si>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</si>
  <si>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</si>
  <si>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</si>
  <si>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기초공사,해체및철거공사,폐기물처리비,골재비및운반비,작업부산물,기타공사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</si>
  <si>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</si>
  <si>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</si>
  <si>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</si>
  <si>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</si>
  <si>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펌프실배관공사</t>
    <phoneticPr fontId="2" type="noConversion"/>
  </si>
  <si>
    <t>우수공사,오수공사</t>
    <phoneticPr fontId="2" type="noConversion"/>
  </si>
  <si>
    <t>상수도공사,기타공사</t>
    <phoneticPr fontId="2" type="noConversion"/>
  </si>
  <si>
    <t>포장공사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</si>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</sst>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2768.6</v>
      </c>
      <c r="D7" s="36">
        <f>+C7/3.3058</f>
        <v>837.49773126020932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882710</v>
      </c>
      <c r="E25" s="59">
        <f t="shared" si="0"/>
        <v>2918060</v>
      </c>
    </row>
    <row r="26" spans="1:5" x14ac:dyDescent="0.3">
      <c r="B26" s="2">
        <v>3</v>
      </c>
      <c r="C26" s="35" t="s">
        <v>95</v>
      </c>
      <c r="D26" s="45">
        <f>+D66</f>
        <v>33580</v>
      </c>
      <c r="E26" s="59">
        <f t="shared" si="0"/>
        <v>111000</v>
      </c>
    </row>
    <row r="27" spans="1:5" x14ac:dyDescent="0.3">
      <c r="B27" s="2">
        <v>4</v>
      </c>
      <c r="C27" s="35" t="s">
        <v>96</v>
      </c>
      <c r="D27" s="45">
        <f>+D95</f>
        <v>173770</v>
      </c>
      <c r="E27" s="59">
        <f t="shared" si="0"/>
        <v>574440</v>
      </c>
    </row>
    <row r="28" spans="1:5" x14ac:dyDescent="0.3">
      <c r="B28" s="2">
        <v>5</v>
      </c>
      <c r="C28" s="35" t="s">
        <v>97</v>
      </c>
      <c r="D28" s="45">
        <f>+D119</f>
        <v>282690</v>
      </c>
      <c r="E28" s="59">
        <f t="shared" si="0"/>
        <v>934510</v>
      </c>
    </row>
    <row r="29" spans="1:5" x14ac:dyDescent="0.3">
      <c r="B29" s="2">
        <v>6</v>
      </c>
      <c r="C29" s="35" t="s">
        <v>98</v>
      </c>
      <c r="D29" s="45">
        <f>+D133</f>
        <v>267540</v>
      </c>
      <c r="E29" s="59">
        <f t="shared" si="0"/>
        <v>884430</v>
      </c>
    </row>
    <row r="30" spans="1:5" x14ac:dyDescent="0.3">
      <c r="B30" s="2">
        <v>7</v>
      </c>
      <c r="C30" s="35" t="s">
        <v>99</v>
      </c>
      <c r="D30" s="45">
        <f>+D146</f>
        <v>48960</v>
      </c>
      <c r="E30" s="59">
        <f t="shared" si="0"/>
        <v>161850</v>
      </c>
    </row>
    <row r="31" spans="1:5" x14ac:dyDescent="0.3">
      <c r="B31" s="2">
        <v>8</v>
      </c>
      <c r="C31" s="35" t="s">
        <v>100</v>
      </c>
      <c r="D31" s="45">
        <f>+D154</f>
        <v>64930</v>
      </c>
      <c r="E31" s="59">
        <f t="shared" si="0"/>
        <v>214640</v>
      </c>
    </row>
    <row r="32" spans="1:5" x14ac:dyDescent="0.3">
      <c r="B32" s="2">
        <v>9</v>
      </c>
      <c r="C32" s="35" t="s">
        <v>101</v>
      </c>
      <c r="D32" s="45">
        <f>+D161</f>
        <v>88720</v>
      </c>
      <c r="E32" s="59">
        <f t="shared" si="0"/>
        <v>293290</v>
      </c>
    </row>
    <row r="33" spans="1:7" x14ac:dyDescent="0.3">
      <c r="B33" s="2">
        <v>10</v>
      </c>
      <c r="C33" s="35" t="s">
        <v>154</v>
      </c>
      <c r="D33" s="53">
        <f>TRUNC(SUM(D24:D32)*0.275,-1)</f>
        <v>506790</v>
      </c>
      <c r="E33" s="60">
        <f t="shared" si="0"/>
        <v>1675340</v>
      </c>
    </row>
    <row r="34" spans="1:7" x14ac:dyDescent="0.3">
      <c r="C34" s="35" t="s">
        <v>112</v>
      </c>
      <c r="D34" s="44">
        <f>SUM(D24:D33)</f>
        <v>2349690</v>
      </c>
      <c r="E34" s="44">
        <f>SUM(E24:E33)</f>
        <v>7767560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TRUNC(66584,-1)</f>
        <v>66580</v>
      </c>
      <c r="E40" s="62">
        <f t="shared" ref="E40:E59" si="1">TRUNC(+D40*3.3058,-1)</f>
        <v>220100</v>
      </c>
    </row>
    <row r="41" spans="1:7" x14ac:dyDescent="0.3">
      <c r="A41" s="2">
        <v>2</v>
      </c>
      <c r="C41" s="38" t="s">
        <v>13</v>
      </c>
      <c r="D41" s="42">
        <f>TRUNC(202843,-1)</f>
        <v>202840</v>
      </c>
      <c r="E41" s="63">
        <f t="shared" si="1"/>
        <v>670540</v>
      </c>
    </row>
    <row r="42" spans="1:7" x14ac:dyDescent="0.3">
      <c r="A42" s="2">
        <v>3</v>
      </c>
      <c r="C42" s="38" t="s">
        <v>14</v>
      </c>
      <c r="D42" s="42">
        <f>TRUNC(2256,-1)</f>
        <v>2250</v>
      </c>
      <c r="E42" s="63">
        <f t="shared" si="1"/>
        <v>7430</v>
      </c>
    </row>
    <row r="43" spans="1:7" x14ac:dyDescent="0.3">
      <c r="A43" s="2">
        <v>4</v>
      </c>
      <c r="C43" s="38" t="s">
        <v>16</v>
      </c>
      <c r="D43" s="42">
        <f>TRUNC(21771,-1)</f>
        <v>21770</v>
      </c>
      <c r="E43" s="63">
        <f t="shared" si="1"/>
        <v>71960</v>
      </c>
    </row>
    <row r="44" spans="1:7" x14ac:dyDescent="0.3">
      <c r="A44" s="2">
        <v>5</v>
      </c>
      <c r="C44" s="38" t="s">
        <v>17</v>
      </c>
      <c r="D44" s="42">
        <f>TRUNC(25806,-1)</f>
        <v>25800</v>
      </c>
      <c r="E44" s="63">
        <f t="shared" si="1"/>
        <v>85280</v>
      </c>
    </row>
    <row r="45" spans="1:7" x14ac:dyDescent="0.3">
      <c r="A45" s="2">
        <v>6</v>
      </c>
      <c r="C45" s="38" t="s">
        <v>18</v>
      </c>
      <c r="D45" s="42">
        <f>TRUNC(26432,-1)</f>
        <v>26430</v>
      </c>
      <c r="E45" s="63">
        <f t="shared" si="1"/>
        <v>87370</v>
      </c>
    </row>
    <row r="46" spans="1:7" x14ac:dyDescent="0.3">
      <c r="A46" s="2">
        <v>7</v>
      </c>
      <c r="C46" s="38" t="s">
        <v>19</v>
      </c>
      <c r="D46" s="42">
        <f>TRUNC(62102,-1)</f>
        <v>62100</v>
      </c>
      <c r="E46" s="63">
        <f t="shared" si="1"/>
        <v>205290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TRUNC(34742,-1)</f>
        <v>34740</v>
      </c>
      <c r="E48" s="63">
        <f t="shared" si="1"/>
        <v>114840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TRUNC(30562,-1)</f>
        <v>30560</v>
      </c>
      <c r="E49" s="63">
        <f t="shared" si="1"/>
        <v>101020</v>
      </c>
    </row>
    <row r="50" spans="1:7" x14ac:dyDescent="0.3">
      <c r="A50" s="2">
        <v>11</v>
      </c>
      <c r="C50" s="38" t="s">
        <v>155</v>
      </c>
      <c r="D50" s="42">
        <f>TRUNC(61831,-1)</f>
        <v>61830</v>
      </c>
      <c r="E50" s="63">
        <f t="shared" si="1"/>
        <v>204390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TRUNC(10897,-1)</f>
        <v>10890</v>
      </c>
      <c r="E52" s="63">
        <f t="shared" si="1"/>
        <v>36000</v>
      </c>
    </row>
    <row r="53" spans="1:7" x14ac:dyDescent="0.3">
      <c r="A53" s="2">
        <v>14</v>
      </c>
      <c r="C53" s="38" t="s">
        <v>25</v>
      </c>
      <c r="D53" s="42">
        <f>TRUNC(52681,-1)</f>
        <v>52680</v>
      </c>
      <c r="E53" s="63">
        <f t="shared" si="1"/>
        <v>174140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TRUNC(560+7802+552+4901-643+20660,-1)</f>
        <v>33830</v>
      </c>
      <c r="E58" s="63">
        <f t="shared" si="1"/>
        <v>111830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TRUNC(250410,-1)</f>
        <v>250410</v>
      </c>
      <c r="E59" s="64">
        <f t="shared" si="1"/>
        <v>827800</v>
      </c>
    </row>
    <row r="60" spans="1:7" x14ac:dyDescent="0.3">
      <c r="A60" s="2">
        <v>21</v>
      </c>
      <c r="C60" s="27" t="s">
        <v>112</v>
      </c>
      <c r="D60" s="39">
        <f>SUM(D40:D59)</f>
        <v>882710</v>
      </c>
      <c r="E60" s="39">
        <f>SUM(E40:E59)</f>
        <v>2917990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TRUNC(33582,-1)</f>
        <v>33580</v>
      </c>
      <c r="E63" s="62">
        <f>TRUNC(+D63*3.3058,-1)</f>
        <v>111000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33580</v>
      </c>
      <c r="E66" s="65">
        <f>SUM(E63:E65)</f>
        <v>111000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TRUNC(18554,-1)</f>
        <v>18550</v>
      </c>
      <c r="E69" s="62">
        <f t="shared" ref="E69:E94" si="2">TRUNC(+D69*3.3058,-1)</f>
        <v>61320</v>
      </c>
    </row>
    <row r="70" spans="1:7" ht="16.5" customHeight="1" x14ac:dyDescent="0.3">
      <c r="A70" s="2">
        <v>2</v>
      </c>
      <c r="C70" s="38" t="s">
        <v>31</v>
      </c>
      <c r="D70" s="42">
        <f>TRUNC(1943,-1)</f>
        <v>1940</v>
      </c>
      <c r="E70" s="63">
        <f t="shared" si="2"/>
        <v>6410</v>
      </c>
    </row>
    <row r="71" spans="1:7" x14ac:dyDescent="0.3">
      <c r="A71" s="2">
        <v>3</v>
      </c>
      <c r="C71" s="38" t="s">
        <v>32</v>
      </c>
      <c r="D71" s="42">
        <f>TRUNC(9735,-1)</f>
        <v>9730</v>
      </c>
      <c r="E71" s="63">
        <f t="shared" si="2"/>
        <v>32160</v>
      </c>
    </row>
    <row r="72" spans="1:7" x14ac:dyDescent="0.3">
      <c r="A72" s="2">
        <v>4</v>
      </c>
      <c r="C72" s="38" t="s">
        <v>33</v>
      </c>
      <c r="D72" s="42">
        <f>TRUNC(3951,-1)</f>
        <v>3950</v>
      </c>
      <c r="E72" s="63">
        <f t="shared" si="2"/>
        <v>13050</v>
      </c>
    </row>
    <row r="73" spans="1:7" x14ac:dyDescent="0.3">
      <c r="A73" s="2">
        <v>5</v>
      </c>
      <c r="C73" s="38" t="s">
        <v>34</v>
      </c>
      <c r="D73" s="42">
        <f>TRUNC(16546,-1)</f>
        <v>16540</v>
      </c>
      <c r="E73" s="63">
        <f t="shared" si="2"/>
        <v>54670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TRUNC(289,-1)</f>
        <v>280</v>
      </c>
      <c r="E75" s="63">
        <f t="shared" si="2"/>
        <v>920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TRUNC(16544,-1)</f>
        <v>16540</v>
      </c>
      <c r="E89" s="63">
        <f t="shared" si="2"/>
        <v>54670</v>
      </c>
    </row>
    <row r="90" spans="1:7" x14ac:dyDescent="0.3">
      <c r="A90" s="2">
        <v>22</v>
      </c>
      <c r="C90" s="38" t="s">
        <v>36</v>
      </c>
      <c r="D90" s="42">
        <f>TRUNC(4958,-1)</f>
        <v>4950</v>
      </c>
      <c r="E90" s="63">
        <f t="shared" si="2"/>
        <v>16360</v>
      </c>
    </row>
    <row r="91" spans="1:7" x14ac:dyDescent="0.3">
      <c r="A91" s="2">
        <v>23</v>
      </c>
      <c r="C91" s="38" t="s">
        <v>37</v>
      </c>
      <c r="D91" s="42">
        <f>TRUNC(8585,-1)</f>
        <v>8580</v>
      </c>
      <c r="E91" s="63">
        <f t="shared" si="2"/>
        <v>28360</v>
      </c>
    </row>
    <row r="92" spans="1:7" x14ac:dyDescent="0.3">
      <c r="A92" s="2">
        <v>24</v>
      </c>
      <c r="C92" s="38" t="s">
        <v>38</v>
      </c>
      <c r="D92" s="42">
        <f>TRUNC(9720,-1)</f>
        <v>9720</v>
      </c>
      <c r="E92" s="63">
        <f t="shared" si="2"/>
        <v>32130</v>
      </c>
    </row>
    <row r="93" spans="1:7" x14ac:dyDescent="0.3">
      <c r="A93" s="2">
        <v>25</v>
      </c>
      <c r="C93" s="38" t="s">
        <v>148</v>
      </c>
      <c r="D93" s="42">
        <f>TRUNC(82995,-1)</f>
        <v>82990</v>
      </c>
      <c r="E93" s="63">
        <f t="shared" si="2"/>
        <v>274340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173770</v>
      </c>
      <c r="E95" s="39">
        <f>SUM(E69:E94)</f>
        <v>574390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TRUNC(16232,-1)</f>
        <v>16230</v>
      </c>
      <c r="E98" s="62">
        <f t="shared" ref="E98:E118" si="3">TRUNC(+D98*3.3058,-1)</f>
        <v>53650</v>
      </c>
    </row>
    <row r="99" spans="1:7" x14ac:dyDescent="0.3">
      <c r="A99" s="2">
        <v>2</v>
      </c>
      <c r="C99" s="38" t="s">
        <v>40</v>
      </c>
      <c r="D99" s="42">
        <f>TRUNC(4211,-1)</f>
        <v>4210</v>
      </c>
      <c r="E99" s="63">
        <f t="shared" si="3"/>
        <v>13910</v>
      </c>
    </row>
    <row r="100" spans="1:7" x14ac:dyDescent="0.3">
      <c r="A100" s="2">
        <v>3</v>
      </c>
      <c r="C100" s="38" t="s">
        <v>41</v>
      </c>
      <c r="D100" s="42">
        <f>TRUNC(37652,-1)</f>
        <v>37650</v>
      </c>
      <c r="E100" s="63">
        <f t="shared" si="3"/>
        <v>124460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TRUNC(25484,-1)</f>
        <v>25480</v>
      </c>
      <c r="E102" s="63">
        <f t="shared" si="3"/>
        <v>84230</v>
      </c>
    </row>
    <row r="103" spans="1:7" x14ac:dyDescent="0.3">
      <c r="A103" s="2">
        <v>6</v>
      </c>
      <c r="C103" s="38" t="s">
        <v>44</v>
      </c>
      <c r="D103" s="42">
        <f>TRUNC(5957,-1)</f>
        <v>5950</v>
      </c>
      <c r="E103" s="63">
        <f t="shared" si="3"/>
        <v>19660</v>
      </c>
    </row>
    <row r="104" spans="1:7" x14ac:dyDescent="0.3">
      <c r="A104" s="2">
        <v>7</v>
      </c>
      <c r="C104" s="38" t="s">
        <v>45</v>
      </c>
      <c r="D104" s="42">
        <f>TRUNC(9458,-1)</f>
        <v>9450</v>
      </c>
      <c r="E104" s="63">
        <f t="shared" si="3"/>
        <v>31230</v>
      </c>
    </row>
    <row r="105" spans="1:7" x14ac:dyDescent="0.3">
      <c r="A105" s="2">
        <v>8</v>
      </c>
      <c r="C105" s="38" t="s">
        <v>46</v>
      </c>
      <c r="D105" s="42">
        <f>TRUNC(3856,-1)</f>
        <v>3850</v>
      </c>
      <c r="E105" s="63">
        <f t="shared" si="3"/>
        <v>12720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TRUNC(5155,-1)</f>
        <v>5150</v>
      </c>
      <c r="E114" s="63">
        <f t="shared" si="3"/>
        <v>17020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TRUNC(10967,-1)</f>
        <v>10960</v>
      </c>
      <c r="E116" s="63">
        <f t="shared" si="3"/>
        <v>36230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TRUNC(157473,-1)</f>
        <v>157470</v>
      </c>
      <c r="E117" s="63">
        <f t="shared" si="3"/>
        <v>520560</v>
      </c>
    </row>
    <row r="118" spans="1:7" ht="17.25" thickBot="1" x14ac:dyDescent="0.35">
      <c r="A118" s="2">
        <v>21</v>
      </c>
      <c r="C118" s="38" t="s">
        <v>47</v>
      </c>
      <c r="D118" s="43">
        <f>TRUNC(6296,-1)</f>
        <v>6290</v>
      </c>
      <c r="E118" s="64">
        <f t="shared" si="3"/>
        <v>20790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282690</v>
      </c>
      <c r="E119" s="39">
        <f>SUM(E98:E118)</f>
        <v>934460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TRUNC(7292,-1)</f>
        <v>7290</v>
      </c>
      <c r="E122" s="62">
        <f t="shared" ref="E122:E132" si="4">TRUNC(+D122*3.3058,-1)</f>
        <v>24090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TRUNC(5636,-1)</f>
        <v>5630</v>
      </c>
      <c r="E124" s="63">
        <f t="shared" si="4"/>
        <v>18610</v>
      </c>
    </row>
    <row r="125" spans="1:7" x14ac:dyDescent="0.3">
      <c r="A125" s="2">
        <v>4</v>
      </c>
      <c r="C125" s="38" t="s">
        <v>138</v>
      </c>
      <c r="D125" s="42">
        <f>TRUNC(13545,-1)</f>
        <v>13540</v>
      </c>
      <c r="E125" s="63">
        <f t="shared" si="4"/>
        <v>44760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TRUNC(17891,-1)</f>
        <v>17890</v>
      </c>
      <c r="E127" s="63">
        <f t="shared" si="4"/>
        <v>59140</v>
      </c>
    </row>
    <row r="128" spans="1:7" x14ac:dyDescent="0.3">
      <c r="A128" s="2">
        <v>7</v>
      </c>
      <c r="C128" s="38" t="s">
        <v>46</v>
      </c>
      <c r="D128" s="42">
        <f>TRUNC(11274,-1)</f>
        <v>11270</v>
      </c>
      <c r="E128" s="63">
        <f t="shared" si="4"/>
        <v>37250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TRUNC(47608,-1)</f>
        <v>47600</v>
      </c>
      <c r="E130" s="63">
        <f t="shared" si="4"/>
        <v>157350</v>
      </c>
    </row>
    <row r="131" spans="1:7" x14ac:dyDescent="0.3">
      <c r="A131" s="2">
        <v>10</v>
      </c>
      <c r="C131" s="38" t="s">
        <v>148</v>
      </c>
      <c r="D131" s="42">
        <f>TRUNC(157037,-1)</f>
        <v>157030</v>
      </c>
      <c r="E131" s="63">
        <f t="shared" si="4"/>
        <v>519100</v>
      </c>
    </row>
    <row r="132" spans="1:7" ht="18" thickBot="1" x14ac:dyDescent="0.35">
      <c r="A132" s="2">
        <v>11</v>
      </c>
      <c r="C132" s="38" t="s">
        <v>47</v>
      </c>
      <c r="D132" s="43">
        <f>TRUNC(6721+350+228,-1)</f>
        <v>7290</v>
      </c>
      <c r="E132" s="64">
        <f t="shared" si="4"/>
        <v>24090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267540</v>
      </c>
      <c r="E133" s="39">
        <f>SUM(E122:E132)</f>
        <v>884390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TRUNC(3453,-1)</f>
        <v>3450</v>
      </c>
      <c r="E137" s="63">
        <f t="shared" si="5"/>
        <v>11400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TRUNC(1638,-1)</f>
        <v>1630</v>
      </c>
      <c r="E139" s="63">
        <f t="shared" si="5"/>
        <v>5380</v>
      </c>
    </row>
    <row r="140" spans="1:7" x14ac:dyDescent="0.3">
      <c r="A140" s="2">
        <v>5</v>
      </c>
      <c r="C140" s="38" t="s">
        <v>57</v>
      </c>
      <c r="D140" s="42">
        <f>TRUNC(2075,-1)</f>
        <v>2070</v>
      </c>
      <c r="E140" s="63">
        <f t="shared" si="5"/>
        <v>6840</v>
      </c>
    </row>
    <row r="141" spans="1:7" x14ac:dyDescent="0.3">
      <c r="A141" s="2">
        <v>6</v>
      </c>
      <c r="C141" s="38" t="s">
        <v>59</v>
      </c>
      <c r="D141" s="42">
        <f>TRUNC(1202,-1)</f>
        <v>1200</v>
      </c>
      <c r="E141" s="63">
        <f t="shared" si="5"/>
        <v>3960</v>
      </c>
    </row>
    <row r="142" spans="1:7" x14ac:dyDescent="0.3">
      <c r="A142" s="2">
        <v>7</v>
      </c>
      <c r="C142" s="38" t="s">
        <v>58</v>
      </c>
      <c r="D142" s="42">
        <f>TRUNC(5679,-1)</f>
        <v>5670</v>
      </c>
      <c r="E142" s="63">
        <f t="shared" si="5"/>
        <v>18740</v>
      </c>
    </row>
    <row r="143" spans="1:7" x14ac:dyDescent="0.3">
      <c r="A143" s="2">
        <v>8</v>
      </c>
      <c r="C143" s="38" t="s">
        <v>62</v>
      </c>
      <c r="D143" s="42">
        <f>TRUNC(7824,-1)</f>
        <v>7820</v>
      </c>
      <c r="E143" s="63">
        <f t="shared" si="5"/>
        <v>25850</v>
      </c>
    </row>
    <row r="144" spans="1:7" x14ac:dyDescent="0.3">
      <c r="A144" s="2">
        <v>9</v>
      </c>
      <c r="C144" s="38" t="s">
        <v>63</v>
      </c>
      <c r="D144" s="42">
        <f>TRUNC(27120,-1)</f>
        <v>27120</v>
      </c>
      <c r="E144" s="63">
        <f t="shared" si="5"/>
        <v>89650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48960</v>
      </c>
      <c r="E146" s="39">
        <f>SUM(E136:E145)</f>
        <v>161820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TRUNC(20849+9937,-1)</f>
        <v>30780</v>
      </c>
      <c r="E149" s="62">
        <f>TRUNC(+D149*3.3058,-1)</f>
        <v>101750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TRUNC(12920,-1)</f>
        <v>12920</v>
      </c>
      <c r="E150" s="63">
        <f>TRUNC(+D150*3.3058,-1)</f>
        <v>42710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TRUNC(1383+2822,-1)</f>
        <v>4200</v>
      </c>
      <c r="E152" s="63">
        <f>TRUNC(+D152*3.3058,-1)</f>
        <v>13880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TRUNC(17032,-1)</f>
        <v>17030</v>
      </c>
      <c r="E153" s="64">
        <f>TRUNC(+D153*3.3058,-1)</f>
        <v>56290</v>
      </c>
    </row>
    <row r="154" spans="1:7" x14ac:dyDescent="0.3">
      <c r="A154" s="2">
        <v>6</v>
      </c>
      <c r="C154" s="27" t="s">
        <v>112</v>
      </c>
      <c r="D154" s="39">
        <f>SUM(D149:D153)</f>
        <v>64930</v>
      </c>
      <c r="E154" s="39">
        <f>SUM(E149:E153)</f>
        <v>214630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TRUNC(60553,-1)</f>
        <v>60550</v>
      </c>
      <c r="E157" s="62">
        <f>TRUNC(+D157*3.3058,-1)</f>
        <v>200160</v>
      </c>
    </row>
    <row r="158" spans="1:7" x14ac:dyDescent="0.3">
      <c r="A158" s="2">
        <v>2</v>
      </c>
      <c r="C158" s="38" t="s">
        <v>52</v>
      </c>
      <c r="D158" s="42">
        <f>TRUNC(2511,-1)</f>
        <v>2510</v>
      </c>
      <c r="E158" s="63">
        <f>TRUNC(+D158*3.3058,-1)</f>
        <v>8290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TRUNC(11079,-1)</f>
        <v>11070</v>
      </c>
      <c r="E159" s="63">
        <f>TRUNC(+D159*3.3058,-1)</f>
        <v>36590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TRUNC(14594,-1)</f>
        <v>14590</v>
      </c>
      <c r="E160" s="64">
        <f>TRUNC(+D160*3.3058,-1)</f>
        <v>48230</v>
      </c>
    </row>
    <row r="161" spans="1:5" x14ac:dyDescent="0.3">
      <c r="A161" s="2">
        <v>5</v>
      </c>
      <c r="C161" s="27" t="s">
        <v>112</v>
      </c>
      <c r="D161" s="39">
        <f>SUM(D157:D160)</f>
        <v>88720</v>
      </c>
      <c r="E161" s="39">
        <f>SUM(E157:E160)</f>
        <v>293270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2020-12-08T02:24:37Z</dcterms:modified>
</cp:coreProperties>
</file>