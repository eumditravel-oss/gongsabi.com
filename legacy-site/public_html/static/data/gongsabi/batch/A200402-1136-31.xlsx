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46" i="4" l="1"/>
  <c r="E133" i="4"/>
  <c r="E119" i="4"/>
  <c r="E95" i="4"/>
  <c r="E154" i="4"/>
  <c r="D161" i="4" l="1"/>
  <c r="D32" i="4" s="1"/>
  <c r="E32" i="4" s="1"/>
  <c r="D154" i="4"/>
  <c r="D31" i="4" s="1"/>
  <c r="E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60" i="4"/>
  <c r="D29" i="4"/>
  <c r="E29" i="4" s="1"/>
  <c r="D26" i="4"/>
  <c r="E26" i="4" s="1"/>
  <c r="D25" i="4"/>
  <c r="E25" i="4" s="1"/>
  <c r="D24" i="4"/>
  <c r="D7" i="4"/>
  <c r="E24" i="4" l="1"/>
  <c r="D33" i="4"/>
  <c r="E33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</calcChain>
</file>

<file path=xl/sharedStrings.xml><?xml version="1.0" encoding="utf-8"?>
<sst xmlns="http://schemas.openxmlformats.org/spreadsheetml/2006/main" count="385" uniqueCount="260">
  <si>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</si>
  <si>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</si>
  <si>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</si>
  <si>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</si>
  <si>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</si>
  <si>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</si>
  <si>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</si>
  <si>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</si>
  <si>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</si>
  <si>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</si>
  <si>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</si>
  <si>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</si>
  <si>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</si>
  <si>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</si>
  <si>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</si>
  <si>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</si>
  <si>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</si>
  <si>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</si>
  <si>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</si>
  <si>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</si>
  <si>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</si>
  <si>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</si>
  <si>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</si>
  <si>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</si>
  <si>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</si>
  <si>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</si>
  <si>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</si>
  <si>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</si>
  <si>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</si>
  <si>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</si>
  <si>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</si>
  <si>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</si>
  <si>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</si>
  <si>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</si>
  <si>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</si>
  <si>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</si>
  <si>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</si>
  <si>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</si>
  <si>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</si>
  <si>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</si>
  <si>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</si>
  <si>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</si>
  <si>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</si>
  <si>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</si>
  <si>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</si>
  <si>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</si>
  <si>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</si>
  <si>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</si>
  <si>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</si>
  <si>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</si>
  <si>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</si>
  <si>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</si>
  <si>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</si>
  <si>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</si>
  <si>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</si>
  <si>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</si>
  <si>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</si>
  <si>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</si>
  <si>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</si>
  <si>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</si>
  <si>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</si>
  <si>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</si>
  <si>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</si>
  <si>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</si>
  <si>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</si>
  <si>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</si>
  <si>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</si>
  <si>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</si>
  <si>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</si>
  <si>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</si>
  <si>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</si>
  <si>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</si>
  <si>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</si>
  <si>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</si>
  <si>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</si>
  <si>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</si>
  <si>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</si>
  <si>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</si>
  <si>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</si>
  <si>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</si>
  <si>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</si>
  <si>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</si>
  <si>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</si>
  <si>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</si>
  <si>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</si>
  <si>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</si>
  <si>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</si>
  <si>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</si>
  <si>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</si>
  <si>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</si>
  <si>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</si>
  <si>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</si>
  <si>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</si>
  <si>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</si>
  <si>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</si>
  <si>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</si>
  <si>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</si>
  <si>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</si>
  <si>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</si>
  <si>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</si>
  <si>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</si>
  <si>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</si>
  <si>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</si>
  <si>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</si>
  <si>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</si>
  <si>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</si>
  <si>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</si>
  <si>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</si>
  <si>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</si>
  <si>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</si>
  <si>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</si>
  <si>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</si>
  <si>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</si>
  <si>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</si>
  <si>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</si>
  <si>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</si>
  <si>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</si>
  <si>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</si>
  <si>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</si>
  <si>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</si>
  <si>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</si>
  <si>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</si>
  <si>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</si>
  <si>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</si>
  <si>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</si>
  <si>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</si>
  <si>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</si>
  <si>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</si>
  <si>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</si>
  <si>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</si>
  <si>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</si>
  <si>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</si>
  <si>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</si>
  <si>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</si>
  <si>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</si>
  <si>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</si>
  <si>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</si>
  <si>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</si>
  <si>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</si>
  <si>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</si>
  <si>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</si>
  <si>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</si>
  <si>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</si>
  <si>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</si>
  <si>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</si>
  <si>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</si>
  <si>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</si>
  <si>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</si>
  <si>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</si>
  <si>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</si>
  <si>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</si>
  <si>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</si>
  <si>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</si>
  <si>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</si>
  <si>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</si>
  <si>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</si>
  <si>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</si>
  <si>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</si>
  <si>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</si>
  <si>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</si>
  <si>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</si>
  <si>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</si>
  <si>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</si>
  <si>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</si>
  <si>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</si>
  <si>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</si>
  <si>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</si>
  <si>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</si>
  <si>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</si>
  <si>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</si>
  <si>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</si>
  <si>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</si>
  <si>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</si>
  <si>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</si>
  <si>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</si>
  <si>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</si>
  <si>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</si>
  <si>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</si>
  <si>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</si>
  <si>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</si>
  <si>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</si>
  <si>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</si>
  <si>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</si>
  <si>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</si>
  <si>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</si>
  <si>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</si>
  <si>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</si>
  <si>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</si>
  <si>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</si>
  <si>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</si>
  <si>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</si>
  <si>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</si>
  <si>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</si>
  <si>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</si>
  <si>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</si>
  <si>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</si>
  <si>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</si>
  <si>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</si>
  <si>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</si>
  <si>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</si>
  <si>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</si>
  <si>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</si>
  <si>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</si>
  <si>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</si>
  <si>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</si>
  <si>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</si>
  <si>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</si>
  <si>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</si>
  <si>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</si>
  <si>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</si>
  <si>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</si>
  <si>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</si>
  <si>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</si>
  <si>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</si>
  <si>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</si>
  <si>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</si>
  <si>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</si>
  <si>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</si>
  <si>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</si>
  <si>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</si>
  <si>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</si>
  <si>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</si>
  <si>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</si>
  <si>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</si>
  <si>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</si>
  <si>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</si>
  <si>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</si>
  <si>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</si>
  <si>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</si>
  <si>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</si>
  <si>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</si>
  <si>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</si>
  <si>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</si>
  <si>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</si>
  <si>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</si>
  <si>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</si>
  <si>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원 /평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</si>
  <si>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</si>
  <si>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</si>
  <si>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</si>
  <si>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</si>
  <si>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</si>
  <si>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</si>
  <si>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</si>
  <si>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</si>
  <si>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</si>
  <si>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</si>
  <si>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</si>
  <si>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</si>
  <si>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대구시</t>
  </si>
  <si>
    <t>마감공사</t>
    <phoneticPr fontId="2" type="noConversion"/>
  </si>
  <si>
    <t>전등전열설비</t>
    <phoneticPr fontId="2" type="noConversion"/>
  </si>
  <si>
    <t>기타설비</t>
    <phoneticPr fontId="2" type="noConversion"/>
  </si>
  <si>
    <t>전기소방</t>
    <phoneticPr fontId="2" type="noConversion"/>
  </si>
  <si>
    <t>대구광역시 소재 00 대학교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</si>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</sst>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257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8081</v>
      </c>
      <c r="D7" s="36">
        <f>+C7/3.3058</f>
        <v>2444.4914997882511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258</v>
      </c>
    </row>
    <row r="19" spans="1:5" x14ac:dyDescent="0.3">
      <c r="A19" s="2">
        <v>9</v>
      </c>
      <c r="B19" s="2" t="s">
        <v>259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236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504580</v>
      </c>
      <c r="E25" s="59">
        <f t="shared" si="0"/>
        <v>1668040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31420</v>
      </c>
      <c r="E27" s="59">
        <f t="shared" si="0"/>
        <v>103860</v>
      </c>
    </row>
    <row r="28" spans="1:5" x14ac:dyDescent="0.3">
      <c r="B28" s="2">
        <v>5</v>
      </c>
      <c r="C28" s="35" t="s">
        <v>97</v>
      </c>
      <c r="D28" s="45">
        <f>+D119</f>
        <v>31370</v>
      </c>
      <c r="E28" s="59">
        <f t="shared" si="0"/>
        <v>103700</v>
      </c>
    </row>
    <row r="29" spans="1:5" x14ac:dyDescent="0.3">
      <c r="B29" s="2">
        <v>6</v>
      </c>
      <c r="C29" s="35" t="s">
        <v>98</v>
      </c>
      <c r="D29" s="45">
        <f>+D133</f>
        <v>41230</v>
      </c>
      <c r="E29" s="59">
        <f t="shared" si="0"/>
        <v>136290</v>
      </c>
    </row>
    <row r="30" spans="1:5" x14ac:dyDescent="0.3">
      <c r="B30" s="2">
        <v>7</v>
      </c>
      <c r="C30" s="35" t="s">
        <v>99</v>
      </c>
      <c r="D30" s="45">
        <f>+D146</f>
        <v>15210</v>
      </c>
      <c r="E30" s="59">
        <f t="shared" si="0"/>
        <v>50280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171540</v>
      </c>
      <c r="E33" s="60">
        <f t="shared" si="0"/>
        <v>567070</v>
      </c>
    </row>
    <row r="34" spans="1:7" x14ac:dyDescent="0.3">
      <c r="C34" s="35" t="s">
        <v>112</v>
      </c>
      <c r="D34" s="44">
        <f>SUM(D24:D33)</f>
        <v>795350</v>
      </c>
      <c r="E34" s="44">
        <f>SUM(E24:E33)</f>
        <v>2629240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236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255</v>
      </c>
      <c r="E39" s="66" t="s">
        <v>256</v>
      </c>
      <c r="G39" s="67"/>
    </row>
    <row r="40" spans="1:7" x14ac:dyDescent="0.3">
      <c r="A40" s="2">
        <v>1</v>
      </c>
      <c r="C40" s="38" t="s">
        <v>15</v>
      </c>
      <c r="D40" s="40">
        <v>36790</v>
      </c>
      <c r="E40" s="62">
        <f t="shared" ref="E40:E59" si="1">TRUNC(+D40*3.3058,-1)</f>
        <v>121620</v>
      </c>
    </row>
    <row r="41" spans="1:7" x14ac:dyDescent="0.3">
      <c r="A41" s="2">
        <v>2</v>
      </c>
      <c r="C41" s="38" t="s">
        <v>13</v>
      </c>
      <c r="D41" s="42">
        <v>134890</v>
      </c>
      <c r="E41" s="63">
        <f t="shared" si="1"/>
        <v>445910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332900</v>
      </c>
      <c r="E58" s="63">
        <f t="shared" si="1"/>
        <v>1100500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504580</v>
      </c>
      <c r="E60" s="39">
        <f>SUM(E40:E59)</f>
        <v>1668030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235</v>
      </c>
      <c r="E62" s="56" t="s">
        <v>236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236</v>
      </c>
      <c r="F68" s="54"/>
      <c r="G68" s="54"/>
    </row>
    <row r="69" spans="1:7" x14ac:dyDescent="0.3">
      <c r="A69" s="2">
        <v>1</v>
      </c>
      <c r="C69" s="38" t="s">
        <v>30</v>
      </c>
      <c r="D69" s="40">
        <v>11840</v>
      </c>
      <c r="E69" s="62">
        <f>TRUNC(+D69*3.3058,-1)</f>
        <v>39140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1380</v>
      </c>
      <c r="E91" s="63">
        <f>TRUNC(+D91*3.3058,-1)</f>
        <v>4560</v>
      </c>
    </row>
    <row r="92" spans="1:7" x14ac:dyDescent="0.3">
      <c r="A92" s="2">
        <v>24</v>
      </c>
      <c r="C92" s="38" t="s">
        <v>38</v>
      </c>
      <c r="D92" s="42">
        <v>18200</v>
      </c>
      <c r="E92" s="63">
        <f>TRUNC(+D92*3.3058,-1)</f>
        <v>60160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31420</v>
      </c>
      <c r="E95" s="39">
        <f>SUM(E69:E94)</f>
        <v>103860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236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21900</v>
      </c>
      <c r="E100" s="63">
        <f t="shared" si="4"/>
        <v>72390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8550</v>
      </c>
      <c r="E116" s="63">
        <f t="shared" si="4"/>
        <v>28260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v>920</v>
      </c>
      <c r="E118" s="64">
        <f t="shared" si="4"/>
        <v>3040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31370</v>
      </c>
      <c r="E119" s="39">
        <f>SUM(E98:E118)</f>
        <v>103690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236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5080</v>
      </c>
      <c r="E125" s="63">
        <f t="shared" si="5"/>
        <v>16790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7370</v>
      </c>
      <c r="E130" s="63">
        <f t="shared" si="5"/>
        <v>24360</v>
      </c>
    </row>
    <row r="131" spans="1:7" x14ac:dyDescent="0.3">
      <c r="A131" s="2">
        <v>10</v>
      </c>
      <c r="C131" s="38" t="s">
        <v>148</v>
      </c>
      <c r="D131" s="42">
        <v>24130</v>
      </c>
      <c r="E131" s="63">
        <f t="shared" si="5"/>
        <v>79760</v>
      </c>
    </row>
    <row r="132" spans="1:7" ht="17.25" thickBot="1" x14ac:dyDescent="0.35">
      <c r="A132" s="2">
        <v>11</v>
      </c>
      <c r="C132" s="38" t="s">
        <v>47</v>
      </c>
      <c r="D132" s="43">
        <v>4650</v>
      </c>
      <c r="E132" s="64">
        <f t="shared" si="5"/>
        <v>15370</v>
      </c>
    </row>
    <row r="133" spans="1:7" x14ac:dyDescent="0.3">
      <c r="A133" s="2">
        <v>12</v>
      </c>
      <c r="C133" s="27" t="s">
        <v>112</v>
      </c>
      <c r="D133" s="39">
        <f>SUM(D122:D132)</f>
        <v>41230</v>
      </c>
      <c r="E133" s="39">
        <f>SUM(E122:E132)</f>
        <v>136280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236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8360</v>
      </c>
      <c r="E136" s="62">
        <f t="shared" ref="E136:E145" si="6">TRUNC(+D136*3.3058,-1)</f>
        <v>27630</v>
      </c>
    </row>
    <row r="137" spans="1:7" x14ac:dyDescent="0.3">
      <c r="A137" s="2">
        <v>2</v>
      </c>
      <c r="C137" s="38" t="s">
        <v>47</v>
      </c>
      <c r="D137" s="42">
        <v>6850</v>
      </c>
      <c r="E137" s="63">
        <f t="shared" si="6"/>
        <v>22640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15210</v>
      </c>
      <c r="E146" s="39">
        <f>SUM(E136:E145)</f>
        <v>50270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236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236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2020-12-07T08:55:01Z</dcterms:modified>
</cp:coreProperties>
</file>