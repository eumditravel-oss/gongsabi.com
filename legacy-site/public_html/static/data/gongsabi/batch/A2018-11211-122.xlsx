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7" i="4"/>
  <c r="D153" i="4"/>
  <c r="D152" i="4"/>
  <c r="D151" i="4"/>
  <c r="D150" i="4"/>
  <c r="D149" i="4"/>
  <c r="D144" i="4"/>
  <c r="D143" i="4"/>
  <c r="D142" i="4"/>
  <c r="D141" i="4"/>
  <c r="D140" i="4"/>
  <c r="D139" i="4"/>
  <c r="D137" i="4"/>
  <c r="D132" i="4"/>
  <c r="D131" i="4"/>
  <c r="D130" i="4"/>
  <c r="D127" i="4"/>
  <c r="D126" i="4"/>
  <c r="D125" i="4"/>
  <c r="D124" i="4"/>
  <c r="D118" i="4"/>
  <c r="D117" i="4"/>
  <c r="D114" i="4"/>
  <c r="D105" i="4"/>
  <c r="D104" i="4"/>
  <c r="D102" i="4"/>
  <c r="D101" i="4"/>
  <c r="D100" i="4"/>
  <c r="D99" i="4"/>
  <c r="D98" i="4"/>
  <c r="D94" i="4"/>
  <c r="D93" i="4"/>
  <c r="D92" i="4"/>
  <c r="D89" i="4"/>
  <c r="D73" i="4"/>
  <c r="D72" i="4"/>
  <c r="D70" i="4"/>
  <c r="D69" i="4"/>
  <c r="D63" i="4"/>
  <c r="D59" i="4"/>
  <c r="D58" i="4"/>
  <c r="D53" i="4"/>
  <c r="D52" i="4"/>
  <c r="D50" i="4"/>
  <c r="D49" i="4"/>
  <c r="D48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<sst xmlns="http://schemas.openxmlformats.org/spreadsheetml/2006/main" count="392" uniqueCount="267">
  <si>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</si>
  <si>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</si>
  <si>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</si>
  <si>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</si>
  <si>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</si>
  <si>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</si>
  <si>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</si>
  <si>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</si>
  <si>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</si>
  <si>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</si>
  <si>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</si>
  <si>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</si>
  <si>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</si>
  <si>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</si>
  <si>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</si>
  <si>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</si>
  <si>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</si>
  <si>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</si>
  <si>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</si>
  <si>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</si>
  <si>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</si>
  <si>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</si>
  <si>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</si>
  <si>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</si>
  <si>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</si>
  <si>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</si>
  <si>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</si>
  <si>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</si>
  <si>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</si>
  <si>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</si>
  <si>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</si>
  <si>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</si>
  <si>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</si>
  <si>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</si>
  <si>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</si>
  <si>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</si>
  <si>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</si>
  <si>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</si>
  <si>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</si>
  <si>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</si>
  <si>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</si>
  <si>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</si>
  <si>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</si>
  <si>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</si>
  <si>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</si>
  <si>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</si>
  <si>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</si>
  <si>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</si>
  <si>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</si>
  <si>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</si>
  <si>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</si>
  <si>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</si>
  <si>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</si>
  <si>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</si>
  <si>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</si>
  <si>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</si>
  <si>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</si>
  <si>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</si>
  <si>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</si>
  <si>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</si>
  <si>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</si>
  <si>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</si>
  <si>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</si>
  <si>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</si>
  <si>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</si>
  <si>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</si>
  <si>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</si>
  <si>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</si>
  <si>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</si>
  <si>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</si>
  <si>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</si>
  <si>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</si>
  <si>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</si>
  <si>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</si>
  <si>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</si>
  <si>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</si>
  <si>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</si>
  <si>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</si>
  <si>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</si>
  <si>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</si>
  <si>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</si>
  <si>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</si>
  <si>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</si>
  <si>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</si>
  <si>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</si>
  <si>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</si>
  <si>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</si>
  <si>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</si>
  <si>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</si>
  <si>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</si>
  <si>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</si>
  <si>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</si>
  <si>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</si>
  <si>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</si>
  <si>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</si>
  <si>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</si>
  <si>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</si>
  <si>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</si>
  <si>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</si>
  <si>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</si>
  <si>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</si>
  <si>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</si>
  <si>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</si>
  <si>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</si>
  <si>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</si>
  <si>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</si>
  <si>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</si>
  <si>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</si>
  <si>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</si>
  <si>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</si>
  <si>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</si>
  <si>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</si>
  <si>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</si>
  <si>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</si>
  <si>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</si>
  <si>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</si>
  <si>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</si>
  <si>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</si>
  <si>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</si>
  <si>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</si>
  <si>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</si>
  <si>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</si>
  <si>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</si>
  <si>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</si>
  <si>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</si>
  <si>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</si>
  <si>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</si>
  <si>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</si>
  <si>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</si>
  <si>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</si>
  <si>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</si>
  <si>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</si>
  <si>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</si>
  <si>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</si>
  <si>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</si>
  <si>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</si>
  <si>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</si>
  <si>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</si>
  <si>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</si>
  <si>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</si>
  <si>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</si>
  <si>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</si>
  <si>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</si>
  <si>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</si>
  <si>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</si>
  <si>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</si>
  <si>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</si>
  <si>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</si>
  <si>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</si>
  <si>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</si>
  <si>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</si>
  <si>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</si>
  <si>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</si>
  <si>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</si>
  <si>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</si>
  <si>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</si>
  <si>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</si>
  <si>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</si>
  <si>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</si>
  <si>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</si>
  <si>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</si>
  <si>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</si>
  <si>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</si>
  <si>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</si>
  <si>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</si>
  <si>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</si>
  <si>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</si>
  <si>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</si>
  <si>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</si>
  <si>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</si>
  <si>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</si>
  <si>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</si>
  <si>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</si>
  <si>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</si>
  <si>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</si>
  <si>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</si>
  <si>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</si>
  <si>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</si>
  <si>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</si>
  <si>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</si>
  <si>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</si>
  <si>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</si>
  <si>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</si>
  <si>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</si>
  <si>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</si>
  <si>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</si>
  <si>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</si>
  <si>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</si>
  <si>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</si>
  <si>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</si>
  <si>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</si>
  <si>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</si>
  <si>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</si>
  <si>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</si>
  <si>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</si>
  <si>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</si>
  <si>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</si>
  <si>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</si>
  <si>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</si>
  <si>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</si>
  <si>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</si>
  <si>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</si>
  <si>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</si>
  <si>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</si>
  <si>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</si>
  <si>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</si>
  <si>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</si>
  <si>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</si>
  <si>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</si>
  <si>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</si>
  <si>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</si>
  <si>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</si>
  <si>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</si>
  <si>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</si>
  <si>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</si>
  <si>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</si>
  <si>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</si>
  <si>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</si>
  <si>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</si>
  <si>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</si>
  <si>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</si>
  <si>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</si>
  <si>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</si>
  <si>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</si>
  <si>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</si>
  <si>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</si>
  <si>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</si>
  <si>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</si>
  <si>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</si>
  <si>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</si>
  <si>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</si>
  <si>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</si>
  <si>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</si>
  <si>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</si>
  <si>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</si>
  <si>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</si>
  <si>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</si>
  <si>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</si>
  <si>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</si>
  <si>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</si>
  <si>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</si>
  <si>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</si>
  <si>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</si>
  <si>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</si>
  <si>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</si>
  <si>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</si>
  <si>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</si>
  <si>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</si>
  <si>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</si>
  <si>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가칭 WEE스쿨 증축 및 기타공사</t>
    <phoneticPr fontId="2" type="noConversion"/>
  </si>
  <si>
    <t>충청도</t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</si>
  <si>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</si>
  <si>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</si>
  <si>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</si>
  <si>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포장공사, 기타공사</t>
    <phoneticPr fontId="2" type="noConversion"/>
  </si>
  <si>
    <t>지붕및홈통공사 포함</t>
    <phoneticPr fontId="2" type="noConversion"/>
  </si>
  <si>
    <t>기초공사, 해체및철거공사, 폐기물처리비, 골재비및운반비, 작업부산물, 품질시험비, 기타공사</t>
    <phoneticPr fontId="2" type="noConversion"/>
  </si>
  <si>
    <t>공조배관공사, 난방배관공사,기타공사</t>
    <phoneticPr fontId="2" type="noConversion"/>
  </si>
  <si>
    <t>원격검침 설비공사, 기타공사</t>
    <phoneticPr fontId="2" type="noConversion"/>
  </si>
  <si>
    <t>CCTV설비공사</t>
    <phoneticPr fontId="2" type="noConversion"/>
  </si>
  <si>
    <t>무선통신보조설비공사</t>
    <phoneticPr fontId="2" type="noConversion"/>
  </si>
  <si>
    <t>사급자재비,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</si>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</sst>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4193.82</v>
      </c>
      <c r="D7" s="36">
        <f>+C7/3.3058</f>
        <v>1268.6248411882145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917490</v>
      </c>
      <c r="E25" s="59">
        <f t="shared" si="0"/>
        <v>3033030</v>
      </c>
    </row>
    <row r="26" spans="1:5" x14ac:dyDescent="0.3">
      <c r="B26" s="2">
        <v>3</v>
      </c>
      <c r="C26" s="35" t="s">
        <v>95</v>
      </c>
      <c r="D26" s="45">
        <f>+D66</f>
        <v>4200</v>
      </c>
      <c r="E26" s="59">
        <f t="shared" si="0"/>
        <v>13880</v>
      </c>
    </row>
    <row r="27" spans="1:5" x14ac:dyDescent="0.3">
      <c r="B27" s="2">
        <v>4</v>
      </c>
      <c r="C27" s="35" t="s">
        <v>96</v>
      </c>
      <c r="D27" s="45">
        <f>+D95</f>
        <v>246840</v>
      </c>
      <c r="E27" s="59">
        <f t="shared" si="0"/>
        <v>816000</v>
      </c>
    </row>
    <row r="28" spans="1:5" x14ac:dyDescent="0.3">
      <c r="B28" s="2">
        <v>5</v>
      </c>
      <c r="C28" s="35" t="s">
        <v>97</v>
      </c>
      <c r="D28" s="45">
        <f>+D119</f>
        <v>171770</v>
      </c>
      <c r="E28" s="59">
        <f t="shared" si="0"/>
        <v>567830</v>
      </c>
    </row>
    <row r="29" spans="1:5" x14ac:dyDescent="0.3">
      <c r="B29" s="2">
        <v>6</v>
      </c>
      <c r="C29" s="35" t="s">
        <v>98</v>
      </c>
      <c r="D29" s="45">
        <f>+D133</f>
        <v>133540</v>
      </c>
      <c r="E29" s="59">
        <f t="shared" si="0"/>
        <v>441450</v>
      </c>
    </row>
    <row r="30" spans="1:5" x14ac:dyDescent="0.3">
      <c r="B30" s="2">
        <v>7</v>
      </c>
      <c r="C30" s="35" t="s">
        <v>99</v>
      </c>
      <c r="D30" s="45">
        <f>+D146</f>
        <v>61620</v>
      </c>
      <c r="E30" s="59">
        <f t="shared" si="0"/>
        <v>203700</v>
      </c>
    </row>
    <row r="31" spans="1:5" x14ac:dyDescent="0.3">
      <c r="B31" s="2">
        <v>8</v>
      </c>
      <c r="C31" s="35" t="s">
        <v>100</v>
      </c>
      <c r="D31" s="45">
        <f>+D154</f>
        <v>79810</v>
      </c>
      <c r="E31" s="59">
        <f t="shared" si="0"/>
        <v>263830</v>
      </c>
    </row>
    <row r="32" spans="1:5" x14ac:dyDescent="0.3">
      <c r="B32" s="2">
        <v>9</v>
      </c>
      <c r="C32" s="35" t="s">
        <v>101</v>
      </c>
      <c r="D32" s="45">
        <f>+D161</f>
        <v>73030</v>
      </c>
      <c r="E32" s="59">
        <f t="shared" si="0"/>
        <v>241420</v>
      </c>
    </row>
    <row r="33" spans="1:7" x14ac:dyDescent="0.3">
      <c r="B33" s="2">
        <v>10</v>
      </c>
      <c r="C33" s="35" t="s">
        <v>154</v>
      </c>
      <c r="D33" s="53">
        <f>TRUNC(SUM(D24:D32)*0.275,-1)</f>
        <v>464280</v>
      </c>
      <c r="E33" s="60">
        <f t="shared" si="0"/>
        <v>1534810</v>
      </c>
    </row>
    <row r="34" spans="1:7" x14ac:dyDescent="0.3">
      <c r="C34" s="35" t="s">
        <v>112</v>
      </c>
      <c r="D34" s="44">
        <f>SUM(D24:D33)</f>
        <v>2152580</v>
      </c>
      <c r="E34" s="44">
        <f>SUM(E24:E33)</f>
        <v>7115950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TRUNC(47898,-1)</f>
        <v>47890</v>
      </c>
      <c r="E40" s="62">
        <f t="shared" ref="E40:E59" si="1">TRUNC(+D40*3.3058,-1)</f>
        <v>158310</v>
      </c>
    </row>
    <row r="41" spans="1:7" x14ac:dyDescent="0.3">
      <c r="A41" s="2">
        <v>2</v>
      </c>
      <c r="C41" s="38" t="s">
        <v>13</v>
      </c>
      <c r="D41" s="42">
        <f>TRUNC(165089,-1)</f>
        <v>165080</v>
      </c>
      <c r="E41" s="63">
        <f t="shared" si="1"/>
        <v>545720</v>
      </c>
    </row>
    <row r="42" spans="1:7" x14ac:dyDescent="0.3">
      <c r="A42" s="2">
        <v>3</v>
      </c>
      <c r="C42" s="38" t="s">
        <v>14</v>
      </c>
      <c r="D42" s="42">
        <f>TRUNC(54931,-1)</f>
        <v>54930</v>
      </c>
      <c r="E42" s="63">
        <f t="shared" si="1"/>
        <v>181580</v>
      </c>
    </row>
    <row r="43" spans="1:7" x14ac:dyDescent="0.3">
      <c r="A43" s="2">
        <v>4</v>
      </c>
      <c r="C43" s="38" t="s">
        <v>16</v>
      </c>
      <c r="D43" s="42">
        <f>TRUNC(55112,-1)</f>
        <v>55110</v>
      </c>
      <c r="E43" s="63">
        <f t="shared" si="1"/>
        <v>182180</v>
      </c>
    </row>
    <row r="44" spans="1:7" x14ac:dyDescent="0.3">
      <c r="A44" s="2">
        <v>5</v>
      </c>
      <c r="C44" s="38" t="s">
        <v>17</v>
      </c>
      <c r="D44" s="42">
        <f>TRUNC(21993,-1)</f>
        <v>21990</v>
      </c>
      <c r="E44" s="63">
        <f t="shared" si="1"/>
        <v>72690</v>
      </c>
    </row>
    <row r="45" spans="1:7" x14ac:dyDescent="0.3">
      <c r="A45" s="2">
        <v>6</v>
      </c>
      <c r="C45" s="38" t="s">
        <v>18</v>
      </c>
      <c r="D45" s="42">
        <f>TRUNC(22816,-1)</f>
        <v>22810</v>
      </c>
      <c r="E45" s="63">
        <f t="shared" si="1"/>
        <v>75400</v>
      </c>
    </row>
    <row r="46" spans="1:7" x14ac:dyDescent="0.3">
      <c r="A46" s="2">
        <v>7</v>
      </c>
      <c r="C46" s="38" t="s">
        <v>19</v>
      </c>
      <c r="D46" s="42">
        <v>23160</v>
      </c>
      <c r="E46" s="63">
        <f t="shared" si="1"/>
        <v>76560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TRUNC(88605,-1)</f>
        <v>88600</v>
      </c>
      <c r="E48" s="63">
        <f t="shared" si="1"/>
        <v>292890</v>
      </c>
      <c r="F48" s="2" t="s">
        <v>255</v>
      </c>
    </row>
    <row r="49" spans="1:7" x14ac:dyDescent="0.3">
      <c r="A49" s="2">
        <v>10</v>
      </c>
      <c r="C49" s="38" t="s">
        <v>22</v>
      </c>
      <c r="D49" s="42">
        <f>TRUNC(28225,-1)</f>
        <v>28220</v>
      </c>
      <c r="E49" s="63">
        <f t="shared" si="1"/>
        <v>93280</v>
      </c>
    </row>
    <row r="50" spans="1:7" x14ac:dyDescent="0.3">
      <c r="A50" s="2">
        <v>11</v>
      </c>
      <c r="C50" s="38" t="s">
        <v>155</v>
      </c>
      <c r="D50" s="42">
        <f>TRUNC(55122,-1)</f>
        <v>55120</v>
      </c>
      <c r="E50" s="63">
        <f t="shared" si="1"/>
        <v>182210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TRUNC(9533,-1)</f>
        <v>9530</v>
      </c>
      <c r="E52" s="63">
        <f t="shared" si="1"/>
        <v>31500</v>
      </c>
    </row>
    <row r="53" spans="1:7" x14ac:dyDescent="0.3">
      <c r="A53" s="2">
        <v>14</v>
      </c>
      <c r="C53" s="38" t="s">
        <v>25</v>
      </c>
      <c r="D53" s="42">
        <f>TRUNC(112038,-1)</f>
        <v>112030</v>
      </c>
      <c r="E53" s="63">
        <f t="shared" si="1"/>
        <v>370340</v>
      </c>
      <c r="F53" s="2" t="s">
        <v>252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TRUNC(12141+10388+1232+9252-3207+1719+10732,-1)</f>
        <v>42250</v>
      </c>
      <c r="E58" s="63">
        <f t="shared" si="1"/>
        <v>139670</v>
      </c>
      <c r="F58" s="2" t="s">
        <v>256</v>
      </c>
    </row>
    <row r="59" spans="1:7" ht="17.25" thickBot="1" x14ac:dyDescent="0.35">
      <c r="A59" s="2">
        <v>20</v>
      </c>
      <c r="C59" s="38" t="s">
        <v>148</v>
      </c>
      <c r="D59" s="43">
        <f>TRUNC(190777,-1)</f>
        <v>190770</v>
      </c>
      <c r="E59" s="64">
        <f t="shared" si="1"/>
        <v>630640</v>
      </c>
    </row>
    <row r="60" spans="1:7" x14ac:dyDescent="0.3">
      <c r="A60" s="2">
        <v>21</v>
      </c>
      <c r="C60" s="27" t="s">
        <v>112</v>
      </c>
      <c r="D60" s="39">
        <f>SUM(D40:D59)</f>
        <v>917490</v>
      </c>
      <c r="E60" s="39">
        <f>SUM(E40:E59)</f>
        <v>3032970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TRUNC(4201,-1)</f>
        <v>4200</v>
      </c>
      <c r="E63" s="62">
        <f>TRUNC(+D63*3.3058,-1)</f>
        <v>13880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4200</v>
      </c>
      <c r="E66" s="65">
        <f>SUM(E63:E65)</f>
        <v>13880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TRUNC(17078,-1)</f>
        <v>17070</v>
      </c>
      <c r="E69" s="62">
        <f t="shared" ref="E69:E94" si="2">TRUNC(+D69*3.3058,-1)</f>
        <v>56430</v>
      </c>
    </row>
    <row r="70" spans="1:7" ht="16.5" customHeight="1" x14ac:dyDescent="0.3">
      <c r="A70" s="2">
        <v>2</v>
      </c>
      <c r="C70" s="38" t="s">
        <v>31</v>
      </c>
      <c r="D70" s="42">
        <f>TRUNC(1788,-1)</f>
        <v>1780</v>
      </c>
      <c r="E70" s="63">
        <f t="shared" si="2"/>
        <v>5880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TRUNC(7803,-1)</f>
        <v>7800</v>
      </c>
      <c r="E72" s="63">
        <f t="shared" si="2"/>
        <v>25780</v>
      </c>
    </row>
    <row r="73" spans="1:7" x14ac:dyDescent="0.3">
      <c r="A73" s="2">
        <v>5</v>
      </c>
      <c r="C73" s="38" t="s">
        <v>34</v>
      </c>
      <c r="D73" s="42">
        <f>TRUNC(21016,-1)</f>
        <v>21010</v>
      </c>
      <c r="E73" s="63">
        <f t="shared" si="2"/>
        <v>69450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TRUNC(14749,-1)</f>
        <v>14740</v>
      </c>
      <c r="E89" s="63">
        <f t="shared" si="2"/>
        <v>48720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TRUNC(12595,-1)</f>
        <v>12590</v>
      </c>
      <c r="E92" s="63">
        <f t="shared" si="2"/>
        <v>41620</v>
      </c>
    </row>
    <row r="93" spans="1:7" x14ac:dyDescent="0.3">
      <c r="A93" s="2">
        <v>25</v>
      </c>
      <c r="C93" s="38" t="s">
        <v>148</v>
      </c>
      <c r="D93" s="42">
        <f>TRUNC(127252,-1)</f>
        <v>127250</v>
      </c>
      <c r="E93" s="63">
        <f t="shared" si="2"/>
        <v>420660</v>
      </c>
    </row>
    <row r="94" spans="1:7" ht="17.25" thickBot="1" x14ac:dyDescent="0.35">
      <c r="A94" s="2">
        <v>26</v>
      </c>
      <c r="C94" s="38" t="s">
        <v>47</v>
      </c>
      <c r="D94" s="43">
        <f>TRUNC(4764+15877+23962,-1)</f>
        <v>44600</v>
      </c>
      <c r="E94" s="64">
        <f t="shared" si="2"/>
        <v>147430</v>
      </c>
      <c r="F94" s="2" t="s">
        <v>257</v>
      </c>
    </row>
    <row r="95" spans="1:7" x14ac:dyDescent="0.3">
      <c r="A95" s="2">
        <v>27</v>
      </c>
      <c r="C95" s="27" t="s">
        <v>112</v>
      </c>
      <c r="D95" s="39">
        <f>SUM(D69:D94)</f>
        <v>246840</v>
      </c>
      <c r="E95" s="39">
        <f>SUM(E69:E94)</f>
        <v>815970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TRUNC(17666,-1)</f>
        <v>17660</v>
      </c>
      <c r="E98" s="62">
        <f t="shared" ref="E98:E118" si="3">TRUNC(+D98*3.3058,-1)</f>
        <v>58380</v>
      </c>
    </row>
    <row r="99" spans="1:7" x14ac:dyDescent="0.3">
      <c r="A99" s="2">
        <v>2</v>
      </c>
      <c r="C99" s="38" t="s">
        <v>40</v>
      </c>
      <c r="D99" s="42">
        <f>TRUNC(3217,-1)</f>
        <v>3210</v>
      </c>
      <c r="E99" s="63">
        <f t="shared" si="3"/>
        <v>10610</v>
      </c>
    </row>
    <row r="100" spans="1:7" x14ac:dyDescent="0.3">
      <c r="A100" s="2">
        <v>3</v>
      </c>
      <c r="C100" s="38" t="s">
        <v>41</v>
      </c>
      <c r="D100" s="42">
        <f>TRUNC(45305,-1)</f>
        <v>45300</v>
      </c>
      <c r="E100" s="63">
        <f t="shared" si="3"/>
        <v>149750</v>
      </c>
    </row>
    <row r="101" spans="1:7" x14ac:dyDescent="0.3">
      <c r="A101" s="2">
        <v>4</v>
      </c>
      <c r="C101" s="38" t="s">
        <v>42</v>
      </c>
      <c r="D101" s="42">
        <f>TRUNC(2326,-1)</f>
        <v>2320</v>
      </c>
      <c r="E101" s="63">
        <f t="shared" si="3"/>
        <v>7660</v>
      </c>
    </row>
    <row r="102" spans="1:7" x14ac:dyDescent="0.3">
      <c r="A102" s="2">
        <v>5</v>
      </c>
      <c r="C102" s="38" t="s">
        <v>43</v>
      </c>
      <c r="D102" s="42">
        <f>TRUNC(43463,-1)</f>
        <v>43460</v>
      </c>
      <c r="E102" s="63">
        <f t="shared" si="3"/>
        <v>143670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TRUNC(5786,-1)</f>
        <v>5780</v>
      </c>
      <c r="E104" s="63">
        <f t="shared" si="3"/>
        <v>19100</v>
      </c>
    </row>
    <row r="105" spans="1:7" x14ac:dyDescent="0.3">
      <c r="A105" s="2">
        <v>8</v>
      </c>
      <c r="C105" s="38" t="s">
        <v>46</v>
      </c>
      <c r="D105" s="42">
        <f>TRUNC(7884,-1)</f>
        <v>7880</v>
      </c>
      <c r="E105" s="63">
        <f t="shared" si="3"/>
        <v>26040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TRUNC(5646,-1)</f>
        <v>5640</v>
      </c>
      <c r="E114" s="63">
        <f t="shared" si="3"/>
        <v>18640</v>
      </c>
      <c r="F114" s="2" t="s">
        <v>253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TRUNC(33491,-1)</f>
        <v>33490</v>
      </c>
      <c r="E117" s="63">
        <f t="shared" si="3"/>
        <v>110710</v>
      </c>
    </row>
    <row r="118" spans="1:7" ht="17.25" thickBot="1" x14ac:dyDescent="0.35">
      <c r="A118" s="2">
        <v>21</v>
      </c>
      <c r="C118" s="38" t="s">
        <v>47</v>
      </c>
      <c r="D118" s="43">
        <f>TRUNC(4130+2902,-1)</f>
        <v>7030</v>
      </c>
      <c r="E118" s="64">
        <f t="shared" si="3"/>
        <v>23230</v>
      </c>
      <c r="F118" s="2" t="s">
        <v>258</v>
      </c>
    </row>
    <row r="119" spans="1:7" x14ac:dyDescent="0.3">
      <c r="A119" s="2">
        <v>22</v>
      </c>
      <c r="C119" s="27" t="s">
        <v>112</v>
      </c>
      <c r="D119" s="39">
        <f>SUM(D98:D118)</f>
        <v>171770</v>
      </c>
      <c r="E119" s="39">
        <f>SUM(E98:E118)</f>
        <v>567790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TRUNC(5475,-1)</f>
        <v>5470</v>
      </c>
      <c r="E124" s="63">
        <f t="shared" si="4"/>
        <v>18080</v>
      </c>
    </row>
    <row r="125" spans="1:7" x14ac:dyDescent="0.3">
      <c r="A125" s="2">
        <v>4</v>
      </c>
      <c r="C125" s="38" t="s">
        <v>138</v>
      </c>
      <c r="D125" s="42">
        <f>TRUNC(25354,-1)</f>
        <v>25350</v>
      </c>
      <c r="E125" s="63">
        <f t="shared" si="4"/>
        <v>83800</v>
      </c>
    </row>
    <row r="126" spans="1:7" x14ac:dyDescent="0.3">
      <c r="A126" s="2">
        <v>5</v>
      </c>
      <c r="C126" s="38" t="s">
        <v>53</v>
      </c>
      <c r="D126" s="42">
        <f>TRUNC(2198,-1)</f>
        <v>2190</v>
      </c>
      <c r="E126" s="63">
        <f t="shared" si="4"/>
        <v>7230</v>
      </c>
    </row>
    <row r="127" spans="1:7" x14ac:dyDescent="0.3">
      <c r="A127" s="2">
        <v>6</v>
      </c>
      <c r="C127" s="38" t="s">
        <v>56</v>
      </c>
      <c r="D127" s="42">
        <f>TRUNC(10325,-1)</f>
        <v>10320</v>
      </c>
      <c r="E127" s="63">
        <f t="shared" si="4"/>
        <v>34110</v>
      </c>
    </row>
    <row r="128" spans="1:7" x14ac:dyDescent="0.3">
      <c r="A128" s="2">
        <v>7</v>
      </c>
      <c r="C128" s="38" t="s">
        <v>46</v>
      </c>
      <c r="D128" s="42">
        <v>8680</v>
      </c>
      <c r="E128" s="63">
        <f t="shared" si="4"/>
        <v>28690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TRUNC(21306,-1)</f>
        <v>21300</v>
      </c>
      <c r="E130" s="63">
        <f t="shared" si="4"/>
        <v>70410</v>
      </c>
    </row>
    <row r="131" spans="1:7" x14ac:dyDescent="0.3">
      <c r="A131" s="2">
        <v>10</v>
      </c>
      <c r="C131" s="38" t="s">
        <v>148</v>
      </c>
      <c r="D131" s="42">
        <f>TRUNC(53216,-1)</f>
        <v>53210</v>
      </c>
      <c r="E131" s="63">
        <f t="shared" si="4"/>
        <v>175900</v>
      </c>
    </row>
    <row r="132" spans="1:7" ht="18" thickBot="1" x14ac:dyDescent="0.35">
      <c r="A132" s="2">
        <v>11</v>
      </c>
      <c r="C132" s="38" t="s">
        <v>47</v>
      </c>
      <c r="D132" s="43">
        <f>TRUNC(7021,-1)</f>
        <v>7020</v>
      </c>
      <c r="E132" s="64">
        <f t="shared" si="4"/>
        <v>23200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133540</v>
      </c>
      <c r="E133" s="39">
        <f>SUM(E122:E132)</f>
        <v>441420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TRUNC(516,-1)</f>
        <v>510</v>
      </c>
      <c r="E137" s="63">
        <f t="shared" si="5"/>
        <v>1680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TRUNC(2253,-1)</f>
        <v>2250</v>
      </c>
      <c r="E139" s="63">
        <f t="shared" si="5"/>
        <v>7430</v>
      </c>
    </row>
    <row r="140" spans="1:7" x14ac:dyDescent="0.3">
      <c r="A140" s="2">
        <v>5</v>
      </c>
      <c r="C140" s="38" t="s">
        <v>57</v>
      </c>
      <c r="D140" s="42">
        <f>TRUNC(10016,-1)</f>
        <v>10010</v>
      </c>
      <c r="E140" s="63">
        <f t="shared" si="5"/>
        <v>33090</v>
      </c>
    </row>
    <row r="141" spans="1:7" x14ac:dyDescent="0.3">
      <c r="A141" s="2">
        <v>6</v>
      </c>
      <c r="C141" s="38" t="s">
        <v>59</v>
      </c>
      <c r="D141" s="42">
        <f>TRUNC(6461,-1)</f>
        <v>6460</v>
      </c>
      <c r="E141" s="63">
        <f t="shared" si="5"/>
        <v>21350</v>
      </c>
    </row>
    <row r="142" spans="1:7" x14ac:dyDescent="0.3">
      <c r="A142" s="2">
        <v>7</v>
      </c>
      <c r="C142" s="38" t="s">
        <v>58</v>
      </c>
      <c r="D142" s="42">
        <f>TRUNC(5665,-1)</f>
        <v>5660</v>
      </c>
      <c r="E142" s="63">
        <f t="shared" si="5"/>
        <v>18710</v>
      </c>
    </row>
    <row r="143" spans="1:7" x14ac:dyDescent="0.3">
      <c r="A143" s="2">
        <v>8</v>
      </c>
      <c r="C143" s="38" t="s">
        <v>62</v>
      </c>
      <c r="D143" s="42">
        <f>TRUNC(4805,-1)</f>
        <v>4800</v>
      </c>
      <c r="E143" s="63">
        <f t="shared" si="5"/>
        <v>15860</v>
      </c>
    </row>
    <row r="144" spans="1:7" x14ac:dyDescent="0.3">
      <c r="A144" s="2">
        <v>9</v>
      </c>
      <c r="C144" s="38" t="s">
        <v>63</v>
      </c>
      <c r="D144" s="42">
        <f>TRUNC(31936,-1)</f>
        <v>31930</v>
      </c>
      <c r="E144" s="63">
        <f t="shared" si="5"/>
        <v>105550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61620</v>
      </c>
      <c r="E146" s="39">
        <f>SUM(E136:E145)</f>
        <v>203670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TRUNC(9203+4031,-1)</f>
        <v>13230</v>
      </c>
      <c r="E149" s="62">
        <f>TRUNC(+D149*3.3058,-1)</f>
        <v>43730</v>
      </c>
    </row>
    <row r="150" spans="1:7" x14ac:dyDescent="0.3">
      <c r="A150" s="2">
        <v>2</v>
      </c>
      <c r="C150" s="38" t="s">
        <v>49</v>
      </c>
      <c r="D150" s="42">
        <f>TRUNC(5208,-1)</f>
        <v>5200</v>
      </c>
      <c r="E150" s="63">
        <f>TRUNC(+D150*3.3058,-1)</f>
        <v>17190</v>
      </c>
    </row>
    <row r="151" spans="1:7" x14ac:dyDescent="0.3">
      <c r="A151" s="2">
        <v>3</v>
      </c>
      <c r="C151" s="38" t="s">
        <v>50</v>
      </c>
      <c r="D151" s="42">
        <f>TRUNC(26443,-1)</f>
        <v>26440</v>
      </c>
      <c r="E151" s="63">
        <f>TRUNC(+D151*3.3058,-1)</f>
        <v>87400</v>
      </c>
    </row>
    <row r="152" spans="1:7" x14ac:dyDescent="0.3">
      <c r="A152" s="2">
        <v>4</v>
      </c>
      <c r="C152" s="38" t="s">
        <v>47</v>
      </c>
      <c r="D152" s="42">
        <f>TRUNC(16363+2650,-1)</f>
        <v>19010</v>
      </c>
      <c r="E152" s="63">
        <f>TRUNC(+D152*3.3058,-1)</f>
        <v>62840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TRUNC(15935,-1)</f>
        <v>15930</v>
      </c>
      <c r="E153" s="64">
        <f>TRUNC(+D153*3.3058,-1)</f>
        <v>52660</v>
      </c>
    </row>
    <row r="154" spans="1:7" x14ac:dyDescent="0.3">
      <c r="A154" s="2">
        <v>6</v>
      </c>
      <c r="C154" s="27" t="s">
        <v>112</v>
      </c>
      <c r="D154" s="39">
        <f>SUM(D149:D153)</f>
        <v>79810</v>
      </c>
      <c r="E154" s="39">
        <f>SUM(E149:E153)</f>
        <v>263820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TRUNC(25018,-1)</f>
        <v>25010</v>
      </c>
      <c r="E157" s="62">
        <f>TRUNC(+D157*3.3058,-1)</f>
        <v>82670</v>
      </c>
    </row>
    <row r="158" spans="1:7" x14ac:dyDescent="0.3">
      <c r="A158" s="2">
        <v>2</v>
      </c>
      <c r="C158" s="38" t="s">
        <v>52</v>
      </c>
      <c r="D158" s="42">
        <v>5380</v>
      </c>
      <c r="E158" s="63">
        <f>TRUNC(+D158*3.3058,-1)</f>
        <v>17780</v>
      </c>
    </row>
    <row r="159" spans="1:7" x14ac:dyDescent="0.3">
      <c r="A159" s="2">
        <v>3</v>
      </c>
      <c r="C159" s="38" t="s">
        <v>47</v>
      </c>
      <c r="D159" s="42">
        <f>TRUNC(41869+779,-1)</f>
        <v>42640</v>
      </c>
      <c r="E159" s="63">
        <f>TRUNC(+D159*3.3058,-1)</f>
        <v>140950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73030</v>
      </c>
      <c r="E161" s="39">
        <f>SUM(E157:E160)</f>
        <v>241400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2020-12-08T02:33:25Z</dcterms:modified>
</cp:coreProperties>
</file>