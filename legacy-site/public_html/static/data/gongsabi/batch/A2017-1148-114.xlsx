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0" i="4"/>
  <c r="D128" i="4"/>
  <c r="D126" i="4"/>
  <c r="D125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3" i="4"/>
  <c r="D92" i="4"/>
  <c r="D91" i="4"/>
  <c r="D90" i="4"/>
  <c r="D89" i="4"/>
  <c r="D73" i="4"/>
  <c r="D72" i="4"/>
  <c r="D63" i="4"/>
  <c r="D59" i="4"/>
  <c r="D58" i="4"/>
  <c r="D53" i="4"/>
  <c r="D52" i="4"/>
  <c r="D49" i="4"/>
  <c r="D48" i="4"/>
  <c r="D46" i="4"/>
  <c r="D45" i="4"/>
  <c r="D44" i="4"/>
  <c r="D43" i="4"/>
  <c r="D42" i="4"/>
  <c r="D41" i="4"/>
  <c r="D40" i="4"/>
  <c r="E13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<sst xmlns="http://schemas.openxmlformats.org/spreadsheetml/2006/main" count="393" uniqueCount="269">
  <si>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</si>
  <si>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</si>
  <si>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</si>
  <si>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</si>
  <si>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</si>
  <si>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</si>
  <si>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</si>
  <si>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</si>
  <si>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</si>
  <si>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</si>
  <si>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</si>
  <si>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</si>
  <si>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</si>
  <si>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</si>
  <si>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</si>
  <si>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</si>
  <si>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</si>
  <si>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</si>
  <si>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</si>
  <si>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</si>
  <si>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</si>
  <si>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</si>
  <si>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</si>
  <si>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</si>
  <si>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</si>
  <si>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</si>
  <si>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</si>
  <si>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</si>
  <si>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</si>
  <si>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</si>
  <si>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</si>
  <si>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</si>
  <si>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</si>
  <si>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</si>
  <si>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</si>
  <si>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</si>
  <si>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</si>
  <si>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</si>
  <si>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</si>
  <si>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</si>
  <si>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</si>
  <si>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</si>
  <si>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</si>
  <si>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</si>
  <si>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</si>
  <si>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</si>
  <si>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</si>
  <si>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</si>
  <si>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</si>
  <si>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</si>
  <si>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</si>
  <si>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</si>
  <si>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</si>
  <si>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</si>
  <si>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</si>
  <si>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</si>
  <si>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</si>
  <si>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</si>
  <si>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</si>
  <si>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</si>
  <si>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</si>
  <si>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</si>
  <si>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</si>
  <si>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</si>
  <si>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</si>
  <si>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</si>
  <si>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</si>
  <si>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</si>
  <si>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</si>
  <si>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</si>
  <si>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</si>
  <si>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</si>
  <si>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</si>
  <si>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</si>
  <si>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</si>
  <si>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</si>
  <si>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</si>
  <si>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</si>
  <si>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</si>
  <si>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</si>
  <si>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</si>
  <si>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</si>
  <si>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</si>
  <si>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</si>
  <si>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</si>
  <si>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</si>
  <si>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</si>
  <si>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</si>
  <si>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</si>
  <si>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</si>
  <si>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</si>
  <si>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</si>
  <si>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</si>
  <si>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</si>
  <si>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</si>
  <si>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</si>
  <si>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</si>
  <si>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</si>
  <si>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</si>
  <si>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</si>
  <si>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</si>
  <si>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</si>
  <si>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</si>
  <si>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</si>
  <si>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</si>
  <si>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</si>
  <si>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</si>
  <si>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</si>
  <si>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</si>
  <si>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</si>
  <si>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</si>
  <si>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</si>
  <si>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</si>
  <si>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</si>
  <si>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</si>
  <si>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</si>
  <si>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</si>
  <si>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</si>
  <si>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</si>
  <si>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</si>
  <si>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</si>
  <si>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</si>
  <si>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</si>
  <si>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</si>
  <si>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</si>
  <si>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</si>
  <si>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</si>
  <si>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</si>
  <si>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</si>
  <si>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</si>
  <si>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</si>
  <si>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</si>
  <si>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</si>
  <si>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</si>
  <si>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</si>
  <si>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</si>
  <si>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</si>
  <si>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</si>
  <si>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</si>
  <si>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</si>
  <si>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</si>
  <si>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</si>
  <si>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</si>
  <si>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</si>
  <si>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</si>
  <si>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</si>
  <si>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</si>
  <si>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</si>
  <si>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</si>
  <si>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</si>
  <si>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</si>
  <si>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</si>
  <si>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</si>
  <si>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</si>
  <si>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</si>
  <si>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</si>
  <si>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</si>
  <si>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</si>
  <si>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</si>
  <si>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</si>
  <si>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</si>
  <si>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</si>
  <si>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</si>
  <si>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</si>
  <si>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</si>
  <si>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</si>
  <si>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</si>
  <si>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</si>
  <si>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</si>
  <si>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</si>
  <si>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</si>
  <si>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</si>
  <si>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</si>
  <si>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</si>
  <si>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</si>
  <si>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</si>
  <si>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</si>
  <si>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</si>
  <si>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</si>
  <si>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</si>
  <si>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</si>
  <si>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</si>
  <si>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</si>
  <si>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</si>
  <si>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</si>
  <si>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</si>
  <si>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</si>
  <si>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</si>
  <si>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</si>
  <si>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</si>
  <si>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</si>
  <si>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</si>
  <si>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</si>
  <si>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</si>
  <si>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</si>
  <si>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</si>
  <si>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</si>
  <si>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</si>
  <si>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</si>
  <si>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</si>
  <si>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</si>
  <si>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</si>
  <si>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</si>
  <si>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</si>
  <si>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</si>
  <si>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</si>
  <si>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</si>
  <si>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</si>
  <si>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</si>
  <si>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</si>
  <si>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</si>
  <si>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</si>
  <si>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</si>
  <si>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</si>
  <si>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</si>
  <si>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</si>
  <si>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</si>
  <si>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</si>
  <si>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</si>
  <si>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</si>
  <si>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</si>
  <si>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</si>
  <si>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</si>
  <si>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</si>
  <si>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</si>
  <si>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</si>
  <si>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</si>
  <si>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</si>
  <si>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</si>
  <si>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</si>
  <si>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</si>
  <si>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</si>
  <si>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</si>
  <si>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</si>
  <si>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</si>
  <si>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</si>
  <si>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</si>
  <si>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</si>
  <si>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</si>
  <si>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</si>
  <si>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</si>
  <si>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</si>
  <si>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</si>
  <si>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</si>
  <si>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</si>
  <si>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</si>
  <si>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</si>
  <si>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</si>
  <si>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</si>
  <si>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</si>
  <si>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</si>
  <si>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</si>
  <si>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</si>
  <si>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</si>
  <si>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펌프실배관공사, 기타공사</t>
    <phoneticPr fontId="2" type="noConversion"/>
  </si>
  <si>
    <t xml:space="preserve"> 사급자재비, 운반비, 기타공사</t>
    <phoneticPr fontId="2" type="noConversion"/>
  </si>
  <si>
    <t>교육연구</t>
  </si>
  <si>
    <t>새빛초등학교 신축공사</t>
    <phoneticPr fontId="2" type="noConversion"/>
  </si>
  <si>
    <t>세종시</t>
  </si>
  <si>
    <t>기초공사, 골재비및운반비, 작업부산물, 기타공사</t>
    <phoneticPr fontId="2" type="noConversion"/>
  </si>
  <si>
    <t>바닥난방공사, 기타공사</t>
    <phoneticPr fontId="2" type="noConversion"/>
  </si>
  <si>
    <t>CCTV설비공사</t>
    <phoneticPr fontId="2" type="noConversion"/>
  </si>
  <si>
    <t>포장공사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</si>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</sst>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10930.45</v>
      </c>
      <c r="D7" s="36">
        <f>+C7/3.3058</f>
        <v>3306.4462459918932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732760</v>
      </c>
      <c r="E25" s="59">
        <f t="shared" si="0"/>
        <v>2422350</v>
      </c>
    </row>
    <row r="26" spans="1:5" x14ac:dyDescent="0.3">
      <c r="B26" s="2">
        <v>3</v>
      </c>
      <c r="C26" s="35" t="s">
        <v>95</v>
      </c>
      <c r="D26" s="45">
        <f>+D66</f>
        <v>3540</v>
      </c>
      <c r="E26" s="59">
        <f t="shared" si="0"/>
        <v>11700</v>
      </c>
    </row>
    <row r="27" spans="1:5" x14ac:dyDescent="0.3">
      <c r="B27" s="2">
        <v>4</v>
      </c>
      <c r="C27" s="35" t="s">
        <v>96</v>
      </c>
      <c r="D27" s="45">
        <f>+D95</f>
        <v>191760</v>
      </c>
      <c r="E27" s="59">
        <f t="shared" si="0"/>
        <v>633920</v>
      </c>
    </row>
    <row r="28" spans="1:5" x14ac:dyDescent="0.3">
      <c r="B28" s="2">
        <v>5</v>
      </c>
      <c r="C28" s="35" t="s">
        <v>97</v>
      </c>
      <c r="D28" s="45">
        <f>+D119</f>
        <v>164060</v>
      </c>
      <c r="E28" s="59">
        <f t="shared" si="0"/>
        <v>542340</v>
      </c>
    </row>
    <row r="29" spans="1:5" x14ac:dyDescent="0.3">
      <c r="B29" s="2">
        <v>6</v>
      </c>
      <c r="C29" s="35" t="s">
        <v>98</v>
      </c>
      <c r="D29" s="45">
        <f>+D133</f>
        <v>69460</v>
      </c>
      <c r="E29" s="59">
        <f t="shared" si="0"/>
        <v>229620</v>
      </c>
    </row>
    <row r="30" spans="1:5" x14ac:dyDescent="0.3">
      <c r="B30" s="2">
        <v>7</v>
      </c>
      <c r="C30" s="35" t="s">
        <v>99</v>
      </c>
      <c r="D30" s="45">
        <f>+D146</f>
        <v>39530</v>
      </c>
      <c r="E30" s="59">
        <f t="shared" si="0"/>
        <v>130670</v>
      </c>
    </row>
    <row r="31" spans="1:5" x14ac:dyDescent="0.3">
      <c r="B31" s="2">
        <v>8</v>
      </c>
      <c r="C31" s="35" t="s">
        <v>100</v>
      </c>
      <c r="D31" s="45">
        <f>+D154</f>
        <v>53840</v>
      </c>
      <c r="E31" s="59">
        <f t="shared" si="0"/>
        <v>177980</v>
      </c>
    </row>
    <row r="32" spans="1:5" x14ac:dyDescent="0.3">
      <c r="B32" s="2">
        <v>9</v>
      </c>
      <c r="C32" s="35" t="s">
        <v>101</v>
      </c>
      <c r="D32" s="45">
        <f>+D161</f>
        <v>26230</v>
      </c>
      <c r="E32" s="59">
        <f t="shared" si="0"/>
        <v>86710</v>
      </c>
    </row>
    <row r="33" spans="1:7" x14ac:dyDescent="0.3">
      <c r="B33" s="2">
        <v>10</v>
      </c>
      <c r="C33" s="35" t="s">
        <v>154</v>
      </c>
      <c r="D33" s="53">
        <f>TRUNC(SUM(D24:D32)*0.275,-1)</f>
        <v>352320</v>
      </c>
      <c r="E33" s="60">
        <f t="shared" si="0"/>
        <v>1164690</v>
      </c>
    </row>
    <row r="34" spans="1:7" x14ac:dyDescent="0.3">
      <c r="C34" s="35" t="s">
        <v>112</v>
      </c>
      <c r="D34" s="44">
        <f>SUM(D24:D33)</f>
        <v>1633500</v>
      </c>
      <c r="E34" s="44">
        <f>SUM(E24:E33)</f>
        <v>5399980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TRUNC(50602,-1)</f>
        <v>50600</v>
      </c>
      <c r="E40" s="62">
        <f t="shared" ref="E40:E59" si="1">TRUNC(+D40*3.3058,-1)</f>
        <v>167270</v>
      </c>
    </row>
    <row r="41" spans="1:7" x14ac:dyDescent="0.3">
      <c r="A41" s="2">
        <v>2</v>
      </c>
      <c r="C41" s="38" t="s">
        <v>13</v>
      </c>
      <c r="D41" s="42">
        <f>TRUNC(139316,-1)</f>
        <v>139310</v>
      </c>
      <c r="E41" s="63">
        <f t="shared" si="1"/>
        <v>460530</v>
      </c>
    </row>
    <row r="42" spans="1:7" x14ac:dyDescent="0.3">
      <c r="A42" s="2">
        <v>3</v>
      </c>
      <c r="C42" s="38" t="s">
        <v>14</v>
      </c>
      <c r="D42" s="42">
        <f>TRUNC(16019,-1)</f>
        <v>16010</v>
      </c>
      <c r="E42" s="63">
        <f t="shared" si="1"/>
        <v>52920</v>
      </c>
    </row>
    <row r="43" spans="1:7" x14ac:dyDescent="0.3">
      <c r="A43" s="2">
        <v>4</v>
      </c>
      <c r="C43" s="38" t="s">
        <v>16</v>
      </c>
      <c r="D43" s="42">
        <f>TRUNC(46536,-1)</f>
        <v>46530</v>
      </c>
      <c r="E43" s="63">
        <f t="shared" si="1"/>
        <v>153810</v>
      </c>
    </row>
    <row r="44" spans="1:7" x14ac:dyDescent="0.3">
      <c r="A44" s="2">
        <v>5</v>
      </c>
      <c r="C44" s="38" t="s">
        <v>17</v>
      </c>
      <c r="D44" s="42">
        <f>TRUNC(19834,-1)</f>
        <v>19830</v>
      </c>
      <c r="E44" s="63">
        <f t="shared" si="1"/>
        <v>65550</v>
      </c>
    </row>
    <row r="45" spans="1:7" x14ac:dyDescent="0.3">
      <c r="A45" s="2">
        <v>6</v>
      </c>
      <c r="C45" s="38" t="s">
        <v>18</v>
      </c>
      <c r="D45" s="42">
        <f>TRUNC(10948,-1)</f>
        <v>10940</v>
      </c>
      <c r="E45" s="63">
        <f t="shared" si="1"/>
        <v>36160</v>
      </c>
    </row>
    <row r="46" spans="1:7" x14ac:dyDescent="0.3">
      <c r="A46" s="2">
        <v>7</v>
      </c>
      <c r="C46" s="38" t="s">
        <v>19</v>
      </c>
      <c r="D46" s="42">
        <f>TRUNC(22426,-1)</f>
        <v>22420</v>
      </c>
      <c r="E46" s="63">
        <f t="shared" si="1"/>
        <v>74110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TRUNC(42933,-1)</f>
        <v>42930</v>
      </c>
      <c r="E48" s="63">
        <f t="shared" si="1"/>
        <v>141910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TRUNC(20054,-1)</f>
        <v>20050</v>
      </c>
      <c r="E49" s="63">
        <f t="shared" si="1"/>
        <v>66280</v>
      </c>
    </row>
    <row r="50" spans="1:7" x14ac:dyDescent="0.3">
      <c r="A50" s="2">
        <v>11</v>
      </c>
      <c r="C50" s="38" t="s">
        <v>155</v>
      </c>
      <c r="D50" s="42">
        <v>35150</v>
      </c>
      <c r="E50" s="63">
        <f t="shared" si="1"/>
        <v>116190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TRUNC(8618,-1)</f>
        <v>8610</v>
      </c>
      <c r="E52" s="63">
        <f t="shared" si="1"/>
        <v>28460</v>
      </c>
    </row>
    <row r="53" spans="1:7" x14ac:dyDescent="0.3">
      <c r="A53" s="2">
        <v>14</v>
      </c>
      <c r="C53" s="38" t="s">
        <v>25</v>
      </c>
      <c r="D53" s="42">
        <f>TRUNC(59052,-1)</f>
        <v>59050</v>
      </c>
      <c r="E53" s="63">
        <f t="shared" si="1"/>
        <v>195200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TRUNC(15944+6320-668+10606,-1)</f>
        <v>32200</v>
      </c>
      <c r="E58" s="63">
        <f t="shared" si="1"/>
        <v>106440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TRUNC(229133,-1)</f>
        <v>229130</v>
      </c>
      <c r="E59" s="64">
        <f t="shared" si="1"/>
        <v>757450</v>
      </c>
    </row>
    <row r="60" spans="1:7" x14ac:dyDescent="0.3">
      <c r="A60" s="2">
        <v>21</v>
      </c>
      <c r="C60" s="27" t="s">
        <v>112</v>
      </c>
      <c r="D60" s="39">
        <f>SUM(D40:D59)</f>
        <v>732760</v>
      </c>
      <c r="E60" s="39">
        <f>SUM(E40:E59)</f>
        <v>2422280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TRUNC(3546,-1)</f>
        <v>3540</v>
      </c>
      <c r="E63" s="62">
        <f>TRUNC(+D63*3.3058,-1)</f>
        <v>11700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3540</v>
      </c>
      <c r="E66" s="65">
        <f>SUM(E63:E65)</f>
        <v>11700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8000</v>
      </c>
      <c r="E69" s="62">
        <f t="shared" ref="E69:E94" si="2">TRUNC(+D69*3.3058,-1)</f>
        <v>26440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TRUNC(3182,-1)</f>
        <v>3180</v>
      </c>
      <c r="E72" s="63">
        <f t="shared" si="2"/>
        <v>10510</v>
      </c>
    </row>
    <row r="73" spans="1:7" x14ac:dyDescent="0.3">
      <c r="A73" s="2">
        <v>5</v>
      </c>
      <c r="C73" s="38" t="s">
        <v>34</v>
      </c>
      <c r="D73" s="42">
        <f>TRUNC(18441,-1)</f>
        <v>18440</v>
      </c>
      <c r="E73" s="63">
        <f t="shared" si="2"/>
        <v>60950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31410</v>
      </c>
      <c r="E76" s="63">
        <f t="shared" si="2"/>
        <v>103830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TRUNC(9742,-1)</f>
        <v>9740</v>
      </c>
      <c r="E89" s="63">
        <f t="shared" si="2"/>
        <v>32190</v>
      </c>
    </row>
    <row r="90" spans="1:7" x14ac:dyDescent="0.3">
      <c r="A90" s="2">
        <v>22</v>
      </c>
      <c r="C90" s="38" t="s">
        <v>36</v>
      </c>
      <c r="D90" s="42">
        <f>TRUNC(667,-1)</f>
        <v>660</v>
      </c>
      <c r="E90" s="63">
        <f t="shared" si="2"/>
        <v>2180</v>
      </c>
    </row>
    <row r="91" spans="1:7" x14ac:dyDescent="0.3">
      <c r="A91" s="2">
        <v>23</v>
      </c>
      <c r="C91" s="38" t="s">
        <v>37</v>
      </c>
      <c r="D91" s="42">
        <f>TRUNC(8192,-1)</f>
        <v>8190</v>
      </c>
      <c r="E91" s="63">
        <f t="shared" si="2"/>
        <v>27070</v>
      </c>
    </row>
    <row r="92" spans="1:7" x14ac:dyDescent="0.3">
      <c r="A92" s="2">
        <v>24</v>
      </c>
      <c r="C92" s="38" t="s">
        <v>38</v>
      </c>
      <c r="D92" s="42">
        <f>TRUNC(8165,-1)</f>
        <v>8160</v>
      </c>
      <c r="E92" s="63">
        <f t="shared" si="2"/>
        <v>26970</v>
      </c>
    </row>
    <row r="93" spans="1:7" x14ac:dyDescent="0.3">
      <c r="A93" s="2">
        <v>25</v>
      </c>
      <c r="C93" s="38" t="s">
        <v>148</v>
      </c>
      <c r="D93" s="42">
        <f>TRUNC(86462,-1)</f>
        <v>86460</v>
      </c>
      <c r="E93" s="63">
        <f t="shared" si="2"/>
        <v>285810</v>
      </c>
    </row>
    <row r="94" spans="1:7" ht="17.25" thickBot="1" x14ac:dyDescent="0.35">
      <c r="A94" s="2">
        <v>26</v>
      </c>
      <c r="C94" s="38" t="s">
        <v>47</v>
      </c>
      <c r="D94" s="43">
        <f>TRUNC(1880+15641,-1)</f>
        <v>17520</v>
      </c>
      <c r="E94" s="64">
        <f t="shared" si="2"/>
        <v>57910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191760</v>
      </c>
      <c r="E95" s="39">
        <f>SUM(E69:E94)</f>
        <v>633860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TRUNC(14406,-1)</f>
        <v>14400</v>
      </c>
      <c r="E98" s="62">
        <f t="shared" ref="E98:E118" si="3">TRUNC(+D98*3.3058,-1)</f>
        <v>47600</v>
      </c>
    </row>
    <row r="99" spans="1:7" x14ac:dyDescent="0.3">
      <c r="A99" s="2">
        <v>2</v>
      </c>
      <c r="C99" s="38" t="s">
        <v>40</v>
      </c>
      <c r="D99" s="42">
        <f>TRUNC(5664,-1)</f>
        <v>5660</v>
      </c>
      <c r="E99" s="63">
        <f t="shared" si="3"/>
        <v>18710</v>
      </c>
    </row>
    <row r="100" spans="1:7" x14ac:dyDescent="0.3">
      <c r="A100" s="2">
        <v>3</v>
      </c>
      <c r="C100" s="38" t="s">
        <v>41</v>
      </c>
      <c r="D100" s="42">
        <f>TRUNC(32166,-1)</f>
        <v>32160</v>
      </c>
      <c r="E100" s="63">
        <f t="shared" si="3"/>
        <v>106310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TRUNC(13977,-1)</f>
        <v>13970</v>
      </c>
      <c r="E102" s="63">
        <f t="shared" si="3"/>
        <v>46180</v>
      </c>
    </row>
    <row r="103" spans="1:7" x14ac:dyDescent="0.3">
      <c r="A103" s="2">
        <v>6</v>
      </c>
      <c r="C103" s="38" t="s">
        <v>44</v>
      </c>
      <c r="D103" s="42">
        <f>TRUNC(8904,-1)</f>
        <v>8900</v>
      </c>
      <c r="E103" s="63">
        <f t="shared" si="3"/>
        <v>29420</v>
      </c>
    </row>
    <row r="104" spans="1:7" x14ac:dyDescent="0.3">
      <c r="A104" s="2">
        <v>7</v>
      </c>
      <c r="C104" s="38" t="s">
        <v>45</v>
      </c>
      <c r="D104" s="42">
        <f>TRUNC(3863,-1)</f>
        <v>3860</v>
      </c>
      <c r="E104" s="63">
        <f t="shared" si="3"/>
        <v>12760</v>
      </c>
    </row>
    <row r="105" spans="1:7" x14ac:dyDescent="0.3">
      <c r="A105" s="2">
        <v>8</v>
      </c>
      <c r="C105" s="38" t="s">
        <v>46</v>
      </c>
      <c r="D105" s="42">
        <f>TRUNC(3118,-1)</f>
        <v>3110</v>
      </c>
      <c r="E105" s="63">
        <f t="shared" si="3"/>
        <v>10280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TRUNC(3237,-1)</f>
        <v>3230</v>
      </c>
      <c r="E114" s="63">
        <f t="shared" si="3"/>
        <v>10670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TRUNC(4827,-1)</f>
        <v>4820</v>
      </c>
      <c r="E116" s="63">
        <f t="shared" si="3"/>
        <v>15930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TRUNC(73351,-1)</f>
        <v>73350</v>
      </c>
      <c r="E117" s="63">
        <f t="shared" si="3"/>
        <v>242480</v>
      </c>
    </row>
    <row r="118" spans="1:7" ht="17.25" thickBot="1" x14ac:dyDescent="0.35">
      <c r="A118" s="2">
        <v>21</v>
      </c>
      <c r="C118" s="38" t="s">
        <v>47</v>
      </c>
      <c r="D118" s="43">
        <f>TRUNC(606,-1)</f>
        <v>600</v>
      </c>
      <c r="E118" s="64">
        <f t="shared" si="3"/>
        <v>1980</v>
      </c>
    </row>
    <row r="119" spans="1:7" x14ac:dyDescent="0.3">
      <c r="A119" s="2">
        <v>22</v>
      </c>
      <c r="C119" s="27" t="s">
        <v>112</v>
      </c>
      <c r="D119" s="39">
        <f>SUM(D98:D118)</f>
        <v>164060</v>
      </c>
      <c r="E119" s="39">
        <f>SUM(E98:E118)</f>
        <v>542320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5710</v>
      </c>
      <c r="E122" s="62">
        <f t="shared" ref="E122:E132" si="4">TRUNC(+D122*3.3058,-1)</f>
        <v>18870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1170</v>
      </c>
      <c r="E124" s="63">
        <f t="shared" si="4"/>
        <v>3860</v>
      </c>
    </row>
    <row r="125" spans="1:7" x14ac:dyDescent="0.3">
      <c r="A125" s="2">
        <v>4</v>
      </c>
      <c r="C125" s="38" t="s">
        <v>138</v>
      </c>
      <c r="D125" s="42">
        <f>TRUNC(9253,-1)</f>
        <v>9250</v>
      </c>
      <c r="E125" s="63">
        <f t="shared" si="4"/>
        <v>30570</v>
      </c>
    </row>
    <row r="126" spans="1:7" x14ac:dyDescent="0.3">
      <c r="A126" s="2">
        <v>5</v>
      </c>
      <c r="C126" s="38" t="s">
        <v>53</v>
      </c>
      <c r="D126" s="42">
        <f>TRUNC(4767,-1)</f>
        <v>4760</v>
      </c>
      <c r="E126" s="63">
        <f t="shared" si="4"/>
        <v>15730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TRUNC(5569,-1)</f>
        <v>5560</v>
      </c>
      <c r="E128" s="63">
        <f t="shared" si="4"/>
        <v>18380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TRUNC(13802,-1)</f>
        <v>13800</v>
      </c>
      <c r="E130" s="63">
        <f t="shared" si="4"/>
        <v>45620</v>
      </c>
    </row>
    <row r="131" spans="1:7" x14ac:dyDescent="0.3">
      <c r="A131" s="2">
        <v>10</v>
      </c>
      <c r="C131" s="38" t="s">
        <v>148</v>
      </c>
      <c r="D131" s="42">
        <v>27970</v>
      </c>
      <c r="E131" s="63">
        <f t="shared" si="4"/>
        <v>92460</v>
      </c>
    </row>
    <row r="132" spans="1:7" ht="18" thickBot="1" x14ac:dyDescent="0.35">
      <c r="A132" s="2">
        <v>11</v>
      </c>
      <c r="C132" s="38" t="s">
        <v>47</v>
      </c>
      <c r="D132" s="43">
        <f>TRUNC(1241,-1)</f>
        <v>1240</v>
      </c>
      <c r="E132" s="64">
        <f t="shared" si="4"/>
        <v>4090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69460</v>
      </c>
      <c r="E133" s="39">
        <f>SUM(E122:E132)</f>
        <v>229580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TRUNC(376+1918+3178,-1)</f>
        <v>5470</v>
      </c>
      <c r="E137" s="63">
        <f t="shared" si="5"/>
        <v>18080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TRUNC(3217,-1)</f>
        <v>3210</v>
      </c>
      <c r="E139" s="63">
        <f t="shared" si="5"/>
        <v>10610</v>
      </c>
    </row>
    <row r="140" spans="1:7" x14ac:dyDescent="0.3">
      <c r="A140" s="2">
        <v>5</v>
      </c>
      <c r="C140" s="38" t="s">
        <v>57</v>
      </c>
      <c r="D140" s="42">
        <f>TRUNC(2376,-1)</f>
        <v>2370</v>
      </c>
      <c r="E140" s="63">
        <f t="shared" si="5"/>
        <v>7830</v>
      </c>
    </row>
    <row r="141" spans="1:7" x14ac:dyDescent="0.3">
      <c r="A141" s="2">
        <v>6</v>
      </c>
      <c r="C141" s="38" t="s">
        <v>59</v>
      </c>
      <c r="D141" s="42">
        <f>TRUNC(2806,-1)</f>
        <v>2800</v>
      </c>
      <c r="E141" s="63">
        <f t="shared" si="5"/>
        <v>9250</v>
      </c>
    </row>
    <row r="142" spans="1:7" x14ac:dyDescent="0.3">
      <c r="A142" s="2">
        <v>7</v>
      </c>
      <c r="C142" s="38" t="s">
        <v>58</v>
      </c>
      <c r="D142" s="42">
        <f>TRUNC(7762,-1)</f>
        <v>7760</v>
      </c>
      <c r="E142" s="63">
        <f t="shared" si="5"/>
        <v>25650</v>
      </c>
    </row>
    <row r="143" spans="1:7" x14ac:dyDescent="0.3">
      <c r="A143" s="2">
        <v>8</v>
      </c>
      <c r="C143" s="38" t="s">
        <v>62</v>
      </c>
      <c r="D143" s="42">
        <f>TRUNC(4862,-1)</f>
        <v>4860</v>
      </c>
      <c r="E143" s="63">
        <f t="shared" si="5"/>
        <v>16060</v>
      </c>
    </row>
    <row r="144" spans="1:7" x14ac:dyDescent="0.3">
      <c r="A144" s="2">
        <v>9</v>
      </c>
      <c r="C144" s="38" t="s">
        <v>63</v>
      </c>
      <c r="D144" s="42">
        <f>TRUNC(13065,-1)</f>
        <v>13060</v>
      </c>
      <c r="E144" s="63">
        <f t="shared" si="5"/>
        <v>43170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39530</v>
      </c>
      <c r="E146" s="39">
        <f>SUM(E136:E145)</f>
        <v>130650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TRUNC(6489+2862,-1)</f>
        <v>9350</v>
      </c>
      <c r="E149" s="62">
        <f>TRUNC(+D149*3.3058,-1)</f>
        <v>30900</v>
      </c>
    </row>
    <row r="150" spans="1:7" x14ac:dyDescent="0.3">
      <c r="A150" s="2">
        <v>2</v>
      </c>
      <c r="C150" s="38" t="s">
        <v>49</v>
      </c>
      <c r="D150" s="42">
        <f>TRUNC(9025,-1)</f>
        <v>9020</v>
      </c>
      <c r="E150" s="63">
        <f>TRUNC(+D150*3.3058,-1)</f>
        <v>29810</v>
      </c>
    </row>
    <row r="151" spans="1:7" x14ac:dyDescent="0.3">
      <c r="A151" s="2">
        <v>3</v>
      </c>
      <c r="C151" s="38" t="s">
        <v>50</v>
      </c>
      <c r="D151" s="42">
        <f>TRUNC(1702,-1)</f>
        <v>1700</v>
      </c>
      <c r="E151" s="63">
        <f>TRUNC(+D151*3.3058,-1)</f>
        <v>5610</v>
      </c>
    </row>
    <row r="152" spans="1:7" x14ac:dyDescent="0.3">
      <c r="A152" s="2">
        <v>4</v>
      </c>
      <c r="C152" s="38" t="s">
        <v>47</v>
      </c>
      <c r="D152" s="42">
        <f>TRUNC(6622+648+57,-1)</f>
        <v>7320</v>
      </c>
      <c r="E152" s="63">
        <f>TRUNC(+D152*3.3058,-1)</f>
        <v>24190</v>
      </c>
      <c r="F152" s="2" t="s">
        <v>255</v>
      </c>
    </row>
    <row r="153" spans="1:7" ht="17.25" thickBot="1" x14ac:dyDescent="0.35">
      <c r="A153" s="2">
        <v>5</v>
      </c>
      <c r="C153" s="38" t="s">
        <v>148</v>
      </c>
      <c r="D153" s="43">
        <f>TRUNC(26457,-1)</f>
        <v>26450</v>
      </c>
      <c r="E153" s="64">
        <f>TRUNC(+D153*3.3058,-1)</f>
        <v>87430</v>
      </c>
    </row>
    <row r="154" spans="1:7" x14ac:dyDescent="0.3">
      <c r="A154" s="2">
        <v>6</v>
      </c>
      <c r="C154" s="27" t="s">
        <v>112</v>
      </c>
      <c r="D154" s="39">
        <f>SUM(D149:D153)</f>
        <v>53840</v>
      </c>
      <c r="E154" s="39">
        <f>SUM(E149:E153)</f>
        <v>177940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TRUNC(21153,-1)</f>
        <v>21150</v>
      </c>
      <c r="E157" s="62">
        <f>TRUNC(+D157*3.3058,-1)</f>
        <v>69910</v>
      </c>
    </row>
    <row r="158" spans="1:7" x14ac:dyDescent="0.3">
      <c r="A158" s="2">
        <v>2</v>
      </c>
      <c r="C158" s="38" t="s">
        <v>52</v>
      </c>
      <c r="D158" s="42">
        <f>TRUNC(3955,-1)</f>
        <v>3950</v>
      </c>
      <c r="E158" s="63">
        <f>TRUNC(+D158*3.3058,-1)</f>
        <v>13050</v>
      </c>
    </row>
    <row r="159" spans="1:7" x14ac:dyDescent="0.3">
      <c r="A159" s="2">
        <v>3</v>
      </c>
      <c r="C159" s="38" t="s">
        <v>47</v>
      </c>
      <c r="D159" s="42">
        <f>TRUNC(1133,-1)</f>
        <v>1130</v>
      </c>
      <c r="E159" s="63">
        <f>TRUNC(+D159*3.3058,-1)</f>
        <v>3730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26230</v>
      </c>
      <c r="E161" s="39">
        <f>SUM(E157:E160)</f>
        <v>86690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2020-12-08T01:45:50Z</dcterms:modified>
</cp:coreProperties>
</file>