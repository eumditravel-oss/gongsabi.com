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4" i="4"/>
  <c r="D143" i="4"/>
  <c r="D142" i="4"/>
  <c r="D141" i="4"/>
  <c r="D140" i="4"/>
  <c r="D137" i="4"/>
  <c r="D132" i="4"/>
  <c r="D131" i="4"/>
  <c r="D130" i="4"/>
  <c r="D128" i="4"/>
  <c r="D127" i="4"/>
  <c r="D126" i="4"/>
  <c r="D125" i="4"/>
  <c r="D124" i="4"/>
  <c r="D122" i="4"/>
  <c r="D117" i="4"/>
  <c r="D116" i="4"/>
  <c r="D114" i="4"/>
  <c r="D105" i="4"/>
  <c r="D104" i="4"/>
  <c r="D102" i="4"/>
  <c r="D100" i="4"/>
  <c r="D99" i="4"/>
  <c r="D98" i="4"/>
  <c r="D94" i="4"/>
  <c r="D93" i="4"/>
  <c r="D92" i="4"/>
  <c r="D91" i="4"/>
  <c r="D90" i="4"/>
  <c r="D89" i="4"/>
  <c r="D73" i="4"/>
  <c r="D72" i="4"/>
  <c r="D70" i="4"/>
  <c r="D69" i="4"/>
  <c r="D63" i="4"/>
  <c r="D59" i="4"/>
  <c r="D58" i="4"/>
  <c r="D53" i="4"/>
  <c r="D52" i="4"/>
  <c r="D50" i="4"/>
  <c r="D48" i="4"/>
  <c r="D46" i="4"/>
  <c r="D45" i="4"/>
  <c r="D43" i="4"/>
  <c r="D42" i="4"/>
  <c r="D41" i="4"/>
  <c r="D40" i="4"/>
  <c r="D14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<sst xmlns="http://schemas.openxmlformats.org/spreadsheetml/2006/main" count="393" uniqueCount="267">
  <si>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</si>
  <si>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</si>
  <si>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</si>
  <si>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</si>
  <si>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</si>
  <si>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</si>
  <si>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</si>
  <si>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</si>
  <si>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</si>
  <si>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</si>
  <si>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</si>
  <si>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</si>
  <si>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</si>
  <si>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</si>
  <si>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</si>
  <si>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</si>
  <si>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</si>
  <si>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</si>
  <si>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</si>
  <si>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</si>
  <si>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</si>
  <si>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</si>
  <si>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</si>
  <si>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</si>
  <si>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</si>
  <si>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</si>
  <si>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</si>
  <si>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</si>
  <si>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</si>
  <si>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</si>
  <si>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</si>
  <si>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</si>
  <si>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</si>
  <si>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</si>
  <si>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</si>
  <si>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</si>
  <si>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</si>
  <si>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</si>
  <si>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</si>
  <si>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</si>
  <si>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</si>
  <si>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</si>
  <si>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</si>
  <si>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</si>
  <si>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</si>
  <si>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</si>
  <si>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</si>
  <si>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</si>
  <si>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</si>
  <si>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</si>
  <si>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</si>
  <si>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</si>
  <si>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</si>
  <si>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</si>
  <si>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</si>
  <si>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</si>
  <si>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</si>
  <si>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</si>
  <si>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</si>
  <si>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</si>
  <si>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</si>
  <si>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</si>
  <si>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</si>
  <si>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</si>
  <si>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</si>
  <si>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</si>
  <si>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</si>
  <si>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</si>
  <si>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</si>
  <si>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</si>
  <si>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</si>
  <si>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</si>
  <si>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</si>
  <si>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</si>
  <si>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</si>
  <si>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</si>
  <si>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</si>
  <si>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</si>
  <si>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</si>
  <si>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</si>
  <si>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</si>
  <si>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</si>
  <si>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</si>
  <si>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</si>
  <si>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</si>
  <si>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</si>
  <si>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</si>
  <si>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</si>
  <si>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</si>
  <si>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</si>
  <si>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</si>
  <si>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</si>
  <si>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</si>
  <si>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</si>
  <si>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</si>
  <si>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</si>
  <si>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</si>
  <si>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</si>
  <si>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</si>
  <si>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</si>
  <si>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</si>
  <si>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</si>
  <si>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</si>
  <si>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</si>
  <si>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</si>
  <si>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</si>
  <si>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</si>
  <si>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</si>
  <si>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</si>
  <si>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</si>
  <si>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</si>
  <si>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</si>
  <si>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</si>
  <si>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</si>
  <si>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</si>
  <si>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</si>
  <si>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</si>
  <si>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</si>
  <si>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</si>
  <si>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</si>
  <si>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</si>
  <si>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</si>
  <si>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</si>
  <si>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</si>
  <si>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</si>
  <si>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</si>
  <si>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</si>
  <si>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</si>
  <si>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</si>
  <si>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</si>
  <si>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</si>
  <si>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</si>
  <si>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</si>
  <si>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</si>
  <si>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</si>
  <si>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</si>
  <si>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</si>
  <si>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</si>
  <si>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</si>
  <si>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</si>
  <si>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</si>
  <si>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</si>
  <si>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</si>
  <si>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</si>
  <si>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</si>
  <si>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</si>
  <si>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</si>
  <si>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</si>
  <si>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</si>
  <si>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</si>
  <si>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</si>
  <si>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</si>
  <si>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</si>
  <si>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</si>
  <si>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</si>
  <si>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</si>
  <si>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</si>
  <si>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</si>
  <si>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</si>
  <si>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</si>
  <si>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</si>
  <si>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</si>
  <si>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</si>
  <si>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</si>
  <si>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</si>
  <si>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</si>
  <si>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</si>
  <si>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</si>
  <si>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</si>
  <si>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</si>
  <si>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</si>
  <si>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</si>
  <si>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</si>
  <si>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</si>
  <si>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</si>
  <si>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</si>
  <si>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</si>
  <si>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</si>
  <si>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</si>
  <si>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</si>
  <si>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</si>
  <si>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</si>
  <si>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</si>
  <si>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</si>
  <si>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</si>
  <si>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</si>
  <si>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</si>
  <si>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</si>
  <si>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</si>
  <si>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</si>
  <si>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</si>
  <si>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</si>
  <si>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</si>
  <si>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</si>
  <si>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</si>
  <si>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</si>
  <si>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</si>
  <si>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</si>
  <si>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</si>
  <si>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</si>
  <si>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</si>
  <si>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</si>
  <si>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</si>
  <si>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</si>
  <si>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</si>
  <si>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</si>
  <si>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</si>
  <si>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</si>
  <si>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</si>
  <si>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</si>
  <si>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</si>
  <si>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</si>
  <si>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</si>
  <si>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</si>
  <si>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</si>
  <si>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</si>
  <si>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</si>
  <si>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</si>
  <si>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</si>
  <si>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</si>
  <si>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</si>
  <si>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</si>
  <si>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</si>
  <si>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</si>
  <si>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</si>
  <si>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</si>
  <si>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</si>
  <si>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</si>
  <si>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</si>
  <si>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</si>
  <si>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</si>
  <si>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</si>
  <si>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</si>
  <si>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</si>
  <si>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</si>
  <si>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</si>
  <si>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</si>
  <si>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</si>
  <si>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</si>
  <si>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</si>
  <si>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</si>
  <si>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</si>
  <si>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</si>
  <si>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</si>
  <si>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</si>
  <si>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</si>
  <si>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</si>
  <si>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</si>
  <si>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</si>
  <si>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</si>
  <si>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</si>
  <si>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</si>
  <si>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</si>
  <si>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</si>
  <si>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</si>
  <si>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</si>
  <si>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업무</t>
  </si>
  <si>
    <t>새만금지방환경청 신청사 건립사업</t>
    <phoneticPr fontId="2" type="noConversion"/>
  </si>
  <si>
    <t>전라도</t>
  </si>
  <si>
    <t>공조배관공사,바닥난방공사, 기타공사</t>
    <phoneticPr fontId="2" type="noConversion"/>
  </si>
  <si>
    <t>CCTV설비공사, 주차관제설비공사, 기타공사</t>
    <phoneticPr fontId="2" type="noConversion"/>
  </si>
  <si>
    <t>옥외소화배관공사, 펌프실배관공사, 기타공사</t>
    <phoneticPr fontId="2" type="noConversion"/>
  </si>
  <si>
    <t>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</si>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</sst>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5980.36</v>
      </c>
      <c r="D7" s="36">
        <f>+C7/3.3058</f>
        <v>1809.050759271583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855770</v>
      </c>
      <c r="E25" s="59">
        <f t="shared" si="0"/>
        <v>2829000</v>
      </c>
    </row>
    <row r="26" spans="1:5" x14ac:dyDescent="0.3">
      <c r="B26" s="2">
        <v>3</v>
      </c>
      <c r="C26" s="35" t="s">
        <v>95</v>
      </c>
      <c r="D26" s="45">
        <f>+D66</f>
        <v>14350</v>
      </c>
      <c r="E26" s="59">
        <f t="shared" si="0"/>
        <v>47430</v>
      </c>
    </row>
    <row r="27" spans="1:5" x14ac:dyDescent="0.3">
      <c r="B27" s="2">
        <v>4</v>
      </c>
      <c r="C27" s="35" t="s">
        <v>96</v>
      </c>
      <c r="D27" s="45">
        <f>+D95</f>
        <v>297520</v>
      </c>
      <c r="E27" s="59">
        <f t="shared" si="0"/>
        <v>983540</v>
      </c>
    </row>
    <row r="28" spans="1:5" x14ac:dyDescent="0.3">
      <c r="B28" s="2">
        <v>5</v>
      </c>
      <c r="C28" s="35" t="s">
        <v>97</v>
      </c>
      <c r="D28" s="45">
        <f>+D119</f>
        <v>182930</v>
      </c>
      <c r="E28" s="59">
        <f t="shared" si="0"/>
        <v>604720</v>
      </c>
    </row>
    <row r="29" spans="1:5" x14ac:dyDescent="0.3">
      <c r="B29" s="2">
        <v>6</v>
      </c>
      <c r="C29" s="35" t="s">
        <v>98</v>
      </c>
      <c r="D29" s="45">
        <f>+D133</f>
        <v>97930</v>
      </c>
      <c r="E29" s="59">
        <f t="shared" si="0"/>
        <v>323730</v>
      </c>
    </row>
    <row r="30" spans="1:5" x14ac:dyDescent="0.3">
      <c r="B30" s="2">
        <v>7</v>
      </c>
      <c r="C30" s="35" t="s">
        <v>99</v>
      </c>
      <c r="D30" s="45">
        <f>+D146</f>
        <v>39730</v>
      </c>
      <c r="E30" s="59">
        <f t="shared" si="0"/>
        <v>131330</v>
      </c>
    </row>
    <row r="31" spans="1:5" x14ac:dyDescent="0.3">
      <c r="B31" s="2">
        <v>8</v>
      </c>
      <c r="C31" s="35" t="s">
        <v>100</v>
      </c>
      <c r="D31" s="45">
        <f>+D154</f>
        <v>52950</v>
      </c>
      <c r="E31" s="59">
        <f t="shared" si="0"/>
        <v>175040</v>
      </c>
    </row>
    <row r="32" spans="1:5" x14ac:dyDescent="0.3">
      <c r="B32" s="2">
        <v>9</v>
      </c>
      <c r="C32" s="35" t="s">
        <v>101</v>
      </c>
      <c r="D32" s="45">
        <f>+D161</f>
        <v>45370</v>
      </c>
      <c r="E32" s="59">
        <f t="shared" si="0"/>
        <v>149980</v>
      </c>
    </row>
    <row r="33" spans="1:7" x14ac:dyDescent="0.3">
      <c r="B33" s="2">
        <v>10</v>
      </c>
      <c r="C33" s="35" t="s">
        <v>155</v>
      </c>
      <c r="D33" s="53">
        <f>TRUNC(SUM(D24:D32)*0.275,-1)</f>
        <v>436300</v>
      </c>
      <c r="E33" s="60">
        <f t="shared" si="0"/>
        <v>1442320</v>
      </c>
    </row>
    <row r="34" spans="1:7" x14ac:dyDescent="0.3">
      <c r="C34" s="35" t="s">
        <v>112</v>
      </c>
      <c r="D34" s="44">
        <f>SUM(D24:D33)</f>
        <v>2022850</v>
      </c>
      <c r="E34" s="44">
        <f>SUM(E24:E33)</f>
        <v>6687090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TRUNC(42258,-1)</f>
        <v>42250</v>
      </c>
      <c r="E40" s="62">
        <f t="shared" ref="E40:E59" si="1">TRUNC(+D40*3.3058,-1)</f>
        <v>139670</v>
      </c>
    </row>
    <row r="41" spans="1:7" x14ac:dyDescent="0.3">
      <c r="A41" s="2">
        <v>2</v>
      </c>
      <c r="C41" s="38" t="s">
        <v>13</v>
      </c>
      <c r="D41" s="42">
        <f>TRUNC(146198,-1)</f>
        <v>146190</v>
      </c>
      <c r="E41" s="63">
        <f t="shared" si="1"/>
        <v>483270</v>
      </c>
    </row>
    <row r="42" spans="1:7" x14ac:dyDescent="0.3">
      <c r="A42" s="2">
        <v>3</v>
      </c>
      <c r="C42" s="38" t="s">
        <v>14</v>
      </c>
      <c r="D42" s="42">
        <f>TRUNC(11769,-1)</f>
        <v>11760</v>
      </c>
      <c r="E42" s="63">
        <f t="shared" si="1"/>
        <v>38870</v>
      </c>
    </row>
    <row r="43" spans="1:7" x14ac:dyDescent="0.3">
      <c r="A43" s="2">
        <v>4</v>
      </c>
      <c r="C43" s="38" t="s">
        <v>16</v>
      </c>
      <c r="D43" s="42">
        <f>TRUNC(20933,-1)</f>
        <v>20930</v>
      </c>
      <c r="E43" s="63">
        <f t="shared" si="1"/>
        <v>69190</v>
      </c>
    </row>
    <row r="44" spans="1:7" x14ac:dyDescent="0.3">
      <c r="A44" s="2">
        <v>5</v>
      </c>
      <c r="C44" s="38" t="s">
        <v>17</v>
      </c>
      <c r="D44" s="42">
        <v>38170</v>
      </c>
      <c r="E44" s="63">
        <f t="shared" si="1"/>
        <v>126180</v>
      </c>
    </row>
    <row r="45" spans="1:7" x14ac:dyDescent="0.3">
      <c r="A45" s="2">
        <v>6</v>
      </c>
      <c r="C45" s="38" t="s">
        <v>18</v>
      </c>
      <c r="D45" s="42">
        <f>TRUNC(7834,-1)</f>
        <v>7830</v>
      </c>
      <c r="E45" s="63">
        <f t="shared" si="1"/>
        <v>25880</v>
      </c>
    </row>
    <row r="46" spans="1:7" x14ac:dyDescent="0.3">
      <c r="A46" s="2">
        <v>7</v>
      </c>
      <c r="C46" s="38" t="s">
        <v>19</v>
      </c>
      <c r="D46" s="42">
        <f>TRUNC(6872,-1)</f>
        <v>6870</v>
      </c>
      <c r="E46" s="63">
        <f t="shared" si="1"/>
        <v>22710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TRUNC(32811,-1)</f>
        <v>32810</v>
      </c>
      <c r="E48" s="63">
        <f t="shared" si="1"/>
        <v>108460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v>17360</v>
      </c>
      <c r="E49" s="63">
        <f t="shared" si="1"/>
        <v>57380</v>
      </c>
    </row>
    <row r="50" spans="1:7" x14ac:dyDescent="0.3">
      <c r="A50" s="2">
        <v>11</v>
      </c>
      <c r="C50" s="38" t="s">
        <v>156</v>
      </c>
      <c r="D50" s="42">
        <f>TRUNC(93656,-1)</f>
        <v>93650</v>
      </c>
      <c r="E50" s="63">
        <f t="shared" si="1"/>
        <v>309580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TRUNC(17666,-1)</f>
        <v>17660</v>
      </c>
      <c r="E52" s="63">
        <f t="shared" si="1"/>
        <v>58380</v>
      </c>
    </row>
    <row r="53" spans="1:7" x14ac:dyDescent="0.3">
      <c r="A53" s="2">
        <v>14</v>
      </c>
      <c r="C53" s="38" t="s">
        <v>25</v>
      </c>
      <c r="D53" s="42">
        <f>TRUNC(167384,-1)</f>
        <v>167380</v>
      </c>
      <c r="E53" s="63">
        <f t="shared" si="1"/>
        <v>553320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TRUNC(12656+6204-342+986+9301,-1)</f>
        <v>28800</v>
      </c>
      <c r="E58" s="63">
        <f t="shared" si="1"/>
        <v>95200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f>TRUNC(224112,-1)</f>
        <v>224110</v>
      </c>
      <c r="E59" s="64">
        <f t="shared" si="1"/>
        <v>740860</v>
      </c>
    </row>
    <row r="60" spans="1:7" x14ac:dyDescent="0.3">
      <c r="A60" s="2">
        <v>21</v>
      </c>
      <c r="C60" s="27" t="s">
        <v>112</v>
      </c>
      <c r="D60" s="39">
        <f>SUM(D40:D59)</f>
        <v>855770</v>
      </c>
      <c r="E60" s="39">
        <f>SUM(E40:E59)</f>
        <v>2828950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TRUNC(14359,-1)</f>
        <v>14350</v>
      </c>
      <c r="E63" s="62">
        <f>TRUNC(+D63*3.3058,-1)</f>
        <v>47430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14350</v>
      </c>
      <c r="E66" s="65">
        <f>SUM(E63:E65)</f>
        <v>47430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TRUNC(23482,-1)</f>
        <v>23480</v>
      </c>
      <c r="E69" s="62">
        <f t="shared" ref="E69:E94" si="2">TRUNC(+D69*3.3058,-1)</f>
        <v>77620</v>
      </c>
    </row>
    <row r="70" spans="1:7" ht="16.5" customHeight="1" x14ac:dyDescent="0.3">
      <c r="A70" s="2">
        <v>2</v>
      </c>
      <c r="C70" s="38" t="s">
        <v>31</v>
      </c>
      <c r="D70" s="42">
        <f>TRUNC(138,-1)</f>
        <v>130</v>
      </c>
      <c r="E70" s="63">
        <f t="shared" si="2"/>
        <v>420</v>
      </c>
    </row>
    <row r="71" spans="1:7" x14ac:dyDescent="0.3">
      <c r="A71" s="2">
        <v>3</v>
      </c>
      <c r="C71" s="38" t="s">
        <v>32</v>
      </c>
      <c r="D71" s="42">
        <v>11140</v>
      </c>
      <c r="E71" s="63">
        <f t="shared" si="2"/>
        <v>36820</v>
      </c>
    </row>
    <row r="72" spans="1:7" x14ac:dyDescent="0.3">
      <c r="A72" s="2">
        <v>4</v>
      </c>
      <c r="C72" s="38" t="s">
        <v>33</v>
      </c>
      <c r="D72" s="42">
        <f>TRUNC(1651,-1)</f>
        <v>1650</v>
      </c>
      <c r="E72" s="63">
        <f t="shared" si="2"/>
        <v>5450</v>
      </c>
    </row>
    <row r="73" spans="1:7" x14ac:dyDescent="0.3">
      <c r="A73" s="2">
        <v>5</v>
      </c>
      <c r="C73" s="38" t="s">
        <v>34</v>
      </c>
      <c r="D73" s="42">
        <f>TRUNC(7731,-1)</f>
        <v>7730</v>
      </c>
      <c r="E73" s="63">
        <f t="shared" si="2"/>
        <v>25550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TRUNC(12866,-1)</f>
        <v>12860</v>
      </c>
      <c r="E89" s="63">
        <f t="shared" si="2"/>
        <v>42510</v>
      </c>
    </row>
    <row r="90" spans="1:7" x14ac:dyDescent="0.3">
      <c r="A90" s="2">
        <v>22</v>
      </c>
      <c r="C90" s="38" t="s">
        <v>36</v>
      </c>
      <c r="D90" s="42">
        <f>TRUNC(2111,-1)</f>
        <v>2110</v>
      </c>
      <c r="E90" s="63">
        <f t="shared" si="2"/>
        <v>6970</v>
      </c>
    </row>
    <row r="91" spans="1:7" x14ac:dyDescent="0.3">
      <c r="A91" s="2">
        <v>23</v>
      </c>
      <c r="C91" s="38" t="s">
        <v>37</v>
      </c>
      <c r="D91" s="42">
        <f>TRUNC(23503,-1)</f>
        <v>23500</v>
      </c>
      <c r="E91" s="63">
        <f t="shared" si="2"/>
        <v>77680</v>
      </c>
    </row>
    <row r="92" spans="1:7" x14ac:dyDescent="0.3">
      <c r="A92" s="2">
        <v>24</v>
      </c>
      <c r="C92" s="38" t="s">
        <v>38</v>
      </c>
      <c r="D92" s="42">
        <f>TRUNC(5405,-1)</f>
        <v>5400</v>
      </c>
      <c r="E92" s="63">
        <f t="shared" si="2"/>
        <v>17850</v>
      </c>
    </row>
    <row r="93" spans="1:7" x14ac:dyDescent="0.3">
      <c r="A93" s="2">
        <v>25</v>
      </c>
      <c r="C93" s="38" t="s">
        <v>149</v>
      </c>
      <c r="D93" s="42">
        <f>TRUNC(182452,-1)</f>
        <v>182450</v>
      </c>
      <c r="E93" s="63">
        <f t="shared" si="2"/>
        <v>603140</v>
      </c>
    </row>
    <row r="94" spans="1:7" ht="17.25" thickBot="1" x14ac:dyDescent="0.35">
      <c r="A94" s="2">
        <v>26</v>
      </c>
      <c r="C94" s="38" t="s">
        <v>47</v>
      </c>
      <c r="D94" s="43">
        <f>TRUNC(15822+313+10942,-1)</f>
        <v>27070</v>
      </c>
      <c r="E94" s="64">
        <f t="shared" si="2"/>
        <v>89480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297520</v>
      </c>
      <c r="E95" s="39">
        <f>SUM(E69:E94)</f>
        <v>983490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TRUNC(11317,-1)</f>
        <v>11310</v>
      </c>
      <c r="E98" s="62">
        <f t="shared" ref="E98:E118" si="3">TRUNC(+D98*3.3058,-1)</f>
        <v>37380</v>
      </c>
    </row>
    <row r="99" spans="1:7" x14ac:dyDescent="0.3">
      <c r="A99" s="2">
        <v>2</v>
      </c>
      <c r="C99" s="38" t="s">
        <v>40</v>
      </c>
      <c r="D99" s="42">
        <f>TRUNC(7888,-1)</f>
        <v>7880</v>
      </c>
      <c r="E99" s="63">
        <f t="shared" si="3"/>
        <v>26040</v>
      </c>
    </row>
    <row r="100" spans="1:7" x14ac:dyDescent="0.3">
      <c r="A100" s="2">
        <v>3</v>
      </c>
      <c r="C100" s="38" t="s">
        <v>41</v>
      </c>
      <c r="D100" s="42">
        <f>TRUNC(30391,-1)</f>
        <v>30390</v>
      </c>
      <c r="E100" s="63">
        <f t="shared" si="3"/>
        <v>100460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TRUNC(15281,-1)</f>
        <v>15280</v>
      </c>
      <c r="E102" s="63">
        <f t="shared" si="3"/>
        <v>50510</v>
      </c>
    </row>
    <row r="103" spans="1:7" x14ac:dyDescent="0.3">
      <c r="A103" s="2">
        <v>6</v>
      </c>
      <c r="C103" s="38" t="s">
        <v>44</v>
      </c>
      <c r="D103" s="42">
        <v>6790</v>
      </c>
      <c r="E103" s="63">
        <f t="shared" si="3"/>
        <v>22440</v>
      </c>
    </row>
    <row r="104" spans="1:7" x14ac:dyDescent="0.3">
      <c r="A104" s="2">
        <v>7</v>
      </c>
      <c r="C104" s="38" t="s">
        <v>45</v>
      </c>
      <c r="D104" s="42">
        <f>TRUNC(7489,-1)</f>
        <v>7480</v>
      </c>
      <c r="E104" s="63">
        <f t="shared" si="3"/>
        <v>24720</v>
      </c>
    </row>
    <row r="105" spans="1:7" x14ac:dyDescent="0.3">
      <c r="A105" s="2">
        <v>8</v>
      </c>
      <c r="C105" s="38" t="s">
        <v>46</v>
      </c>
      <c r="D105" s="42">
        <f>TRUNC(5146,-1)</f>
        <v>5140</v>
      </c>
      <c r="E105" s="63">
        <f t="shared" si="3"/>
        <v>16990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TRUNC(4272,-1)</f>
        <v>4270</v>
      </c>
      <c r="E114" s="63">
        <f t="shared" si="3"/>
        <v>14110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TRUNC(4021,-1)</f>
        <v>4020</v>
      </c>
      <c r="E116" s="63">
        <f t="shared" si="3"/>
        <v>13280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f>TRUNC(85468,-1)</f>
        <v>85460</v>
      </c>
      <c r="E117" s="63">
        <f t="shared" si="3"/>
        <v>282510</v>
      </c>
    </row>
    <row r="118" spans="1:7" ht="17.25" thickBot="1" x14ac:dyDescent="0.35">
      <c r="A118" s="2">
        <v>21</v>
      </c>
      <c r="C118" s="38" t="s">
        <v>47</v>
      </c>
      <c r="D118" s="43">
        <v>4910</v>
      </c>
      <c r="E118" s="64">
        <f t="shared" si="3"/>
        <v>16230</v>
      </c>
    </row>
    <row r="119" spans="1:7" x14ac:dyDescent="0.3">
      <c r="A119" s="2">
        <v>22</v>
      </c>
      <c r="C119" s="27" t="s">
        <v>112</v>
      </c>
      <c r="D119" s="39">
        <f>SUM(D98:D118)</f>
        <v>182930</v>
      </c>
      <c r="E119" s="39">
        <f>SUM(E98:E118)</f>
        <v>604670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TRUNC(5578,-1)</f>
        <v>5570</v>
      </c>
      <c r="E122" s="62">
        <f t="shared" ref="E122:E132" si="4">TRUNC(+D122*3.3058,-1)</f>
        <v>18410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TRUNC(2837,-1)</f>
        <v>2830</v>
      </c>
      <c r="E124" s="63">
        <f t="shared" si="4"/>
        <v>9350</v>
      </c>
    </row>
    <row r="125" spans="1:7" x14ac:dyDescent="0.3">
      <c r="A125" s="2">
        <v>4</v>
      </c>
      <c r="C125" s="38" t="s">
        <v>138</v>
      </c>
      <c r="D125" s="42">
        <f>TRUNC(5871,-1)</f>
        <v>5870</v>
      </c>
      <c r="E125" s="63">
        <f t="shared" si="4"/>
        <v>19400</v>
      </c>
    </row>
    <row r="126" spans="1:7" x14ac:dyDescent="0.3">
      <c r="A126" s="2">
        <v>5</v>
      </c>
      <c r="C126" s="38" t="s">
        <v>53</v>
      </c>
      <c r="D126" s="42">
        <f>TRUNC(705,-1)</f>
        <v>700</v>
      </c>
      <c r="E126" s="63">
        <f t="shared" si="4"/>
        <v>2310</v>
      </c>
    </row>
    <row r="127" spans="1:7" x14ac:dyDescent="0.3">
      <c r="A127" s="2">
        <v>6</v>
      </c>
      <c r="C127" s="38" t="s">
        <v>56</v>
      </c>
      <c r="D127" s="42">
        <f>TRUNC(876,-1)</f>
        <v>870</v>
      </c>
      <c r="E127" s="63">
        <f t="shared" si="4"/>
        <v>2870</v>
      </c>
    </row>
    <row r="128" spans="1:7" x14ac:dyDescent="0.3">
      <c r="A128" s="2">
        <v>7</v>
      </c>
      <c r="C128" s="38" t="s">
        <v>46</v>
      </c>
      <c r="D128" s="42">
        <f>TRUNC(4557,-1)</f>
        <v>4550</v>
      </c>
      <c r="E128" s="63">
        <f t="shared" si="4"/>
        <v>15040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TRUNC(31742,-1)</f>
        <v>31740</v>
      </c>
      <c r="E130" s="63">
        <f t="shared" si="4"/>
        <v>104920</v>
      </c>
    </row>
    <row r="131" spans="1:7" x14ac:dyDescent="0.3">
      <c r="A131" s="2">
        <v>10</v>
      </c>
      <c r="C131" s="38" t="s">
        <v>149</v>
      </c>
      <c r="D131" s="42">
        <f>TRUNC(44046,-1)</f>
        <v>44040</v>
      </c>
      <c r="E131" s="63">
        <f t="shared" si="4"/>
        <v>145580</v>
      </c>
    </row>
    <row r="132" spans="1:7" ht="18" thickBot="1" x14ac:dyDescent="0.35">
      <c r="A132" s="2">
        <v>11</v>
      </c>
      <c r="C132" s="38" t="s">
        <v>47</v>
      </c>
      <c r="D132" s="43">
        <f>TRUNC(974+468+327,-1)</f>
        <v>1760</v>
      </c>
      <c r="E132" s="64">
        <f t="shared" si="4"/>
        <v>5810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97930</v>
      </c>
      <c r="E133" s="39">
        <f>SUM(E122:E132)</f>
        <v>323690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TRUNC(939+4151+3248,-1)</f>
        <v>8330</v>
      </c>
      <c r="E137" s="63">
        <f t="shared" si="5"/>
        <v>27530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TRUNC(2126,-1)</f>
        <v>2120</v>
      </c>
      <c r="E140" s="63">
        <f t="shared" si="5"/>
        <v>7000</v>
      </c>
    </row>
    <row r="141" spans="1:7" x14ac:dyDescent="0.3">
      <c r="A141" s="2">
        <v>6</v>
      </c>
      <c r="C141" s="38" t="s">
        <v>59</v>
      </c>
      <c r="D141" s="42">
        <f>TRUNC(4389,-1)</f>
        <v>4380</v>
      </c>
      <c r="E141" s="63">
        <f t="shared" si="5"/>
        <v>14470</v>
      </c>
    </row>
    <row r="142" spans="1:7" x14ac:dyDescent="0.3">
      <c r="A142" s="2">
        <v>7</v>
      </c>
      <c r="C142" s="38" t="s">
        <v>58</v>
      </c>
      <c r="D142" s="42">
        <f>TRUNC(4514,-1)</f>
        <v>4510</v>
      </c>
      <c r="E142" s="63">
        <f t="shared" si="5"/>
        <v>14900</v>
      </c>
    </row>
    <row r="143" spans="1:7" x14ac:dyDescent="0.3">
      <c r="A143" s="2">
        <v>8</v>
      </c>
      <c r="C143" s="38" t="s">
        <v>62</v>
      </c>
      <c r="D143" s="42">
        <f>TRUNC(4619,-1)</f>
        <v>4610</v>
      </c>
      <c r="E143" s="63">
        <f t="shared" si="5"/>
        <v>15230</v>
      </c>
    </row>
    <row r="144" spans="1:7" x14ac:dyDescent="0.3">
      <c r="A144" s="2">
        <v>9</v>
      </c>
      <c r="C144" s="38" t="s">
        <v>63</v>
      </c>
      <c r="D144" s="42">
        <f>TRUNC(15788,-1)</f>
        <v>15780</v>
      </c>
      <c r="E144" s="63">
        <f t="shared" si="5"/>
        <v>52160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39730</v>
      </c>
      <c r="E146" s="39">
        <f>SUM(E136:E145)</f>
        <v>131290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8540+620</f>
        <v>9160</v>
      </c>
      <c r="E149" s="62">
        <f>TRUNC(+D149*3.3058,-1)</f>
        <v>30280</v>
      </c>
    </row>
    <row r="150" spans="1:7" x14ac:dyDescent="0.3">
      <c r="A150" s="2">
        <v>2</v>
      </c>
      <c r="C150" s="38" t="s">
        <v>49</v>
      </c>
      <c r="D150" s="42">
        <f>TRUNC(11921,-1)</f>
        <v>11920</v>
      </c>
      <c r="E150" s="63">
        <f>TRUNC(+D150*3.3058,-1)</f>
        <v>39400</v>
      </c>
    </row>
    <row r="151" spans="1:7" x14ac:dyDescent="0.3">
      <c r="A151" s="2">
        <v>3</v>
      </c>
      <c r="C151" s="38" t="s">
        <v>50</v>
      </c>
      <c r="D151" s="42">
        <f>TRUNC(4914,-1)</f>
        <v>4910</v>
      </c>
      <c r="E151" s="63">
        <f>TRUNC(+D151*3.3058,-1)</f>
        <v>16230</v>
      </c>
    </row>
    <row r="152" spans="1:7" x14ac:dyDescent="0.3">
      <c r="A152" s="2">
        <v>4</v>
      </c>
      <c r="C152" s="38" t="s">
        <v>47</v>
      </c>
      <c r="D152" s="42">
        <f>TRUNC(525,-1)</f>
        <v>520</v>
      </c>
      <c r="E152" s="63">
        <f>TRUNC(+D152*3.3058,-1)</f>
        <v>1710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f>TRUNC(26444,-1)</f>
        <v>26440</v>
      </c>
      <c r="E153" s="64">
        <f>TRUNC(+D153*3.3058,-1)</f>
        <v>87400</v>
      </c>
    </row>
    <row r="154" spans="1:7" x14ac:dyDescent="0.3">
      <c r="A154" s="2">
        <v>6</v>
      </c>
      <c r="C154" s="27" t="s">
        <v>112</v>
      </c>
      <c r="D154" s="39">
        <f>SUM(D149:D153)</f>
        <v>52950</v>
      </c>
      <c r="E154" s="39">
        <f>SUM(E149:E153)</f>
        <v>175020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TRUNC(29927,-1)</f>
        <v>29920</v>
      </c>
      <c r="E157" s="62">
        <f>TRUNC(+D157*3.3058,-1)</f>
        <v>98900</v>
      </c>
    </row>
    <row r="158" spans="1:7" x14ac:dyDescent="0.3">
      <c r="A158" s="2">
        <v>2</v>
      </c>
      <c r="C158" s="38" t="s">
        <v>52</v>
      </c>
      <c r="D158" s="42">
        <f>TRUNC(8264,-1)</f>
        <v>8260</v>
      </c>
      <c r="E158" s="63">
        <f>TRUNC(+D158*3.3058,-1)</f>
        <v>27300</v>
      </c>
    </row>
    <row r="159" spans="1:7" x14ac:dyDescent="0.3">
      <c r="A159" s="2">
        <v>3</v>
      </c>
      <c r="C159" s="38" t="s">
        <v>47</v>
      </c>
      <c r="D159" s="42">
        <f>TRUNC(7196,-1)</f>
        <v>7190</v>
      </c>
      <c r="E159" s="63">
        <f>TRUNC(+D159*3.3058,-1)</f>
        <v>23760</v>
      </c>
      <c r="F159" s="2" t="s">
        <v>263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45370</v>
      </c>
      <c r="E161" s="39">
        <f>SUM(E157:E160)</f>
        <v>149960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2020-12-08T01:28:36Z</dcterms:modified>
</cp:coreProperties>
</file>