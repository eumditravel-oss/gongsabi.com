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1" i="4"/>
  <c r="E149" i="4"/>
  <c r="E145" i="4"/>
  <c r="E144" i="4"/>
  <c r="E143" i="4"/>
  <c r="E142" i="4"/>
  <c r="E141" i="4"/>
  <c r="E140" i="4"/>
  <c r="E139" i="4"/>
  <c r="E138" i="4"/>
  <c r="E137" i="4"/>
  <c r="E130" i="4"/>
  <c r="E129" i="4"/>
  <c r="E128" i="4"/>
  <c r="E127" i="4"/>
  <c r="E126" i="4"/>
  <c r="E124" i="4"/>
  <c r="E123" i="4"/>
  <c r="E116" i="4"/>
  <c r="E114" i="4"/>
  <c r="E113" i="4"/>
  <c r="E112" i="4"/>
  <c r="E111" i="4"/>
  <c r="E110" i="4"/>
  <c r="E109" i="4"/>
  <c r="E108" i="4"/>
  <c r="E107" i="4"/>
  <c r="E106" i="4"/>
  <c r="E103" i="4"/>
  <c r="E101" i="4"/>
  <c r="E93" i="4"/>
  <c r="E91" i="4"/>
  <c r="E90" i="4"/>
  <c r="E89" i="4"/>
  <c r="E88" i="4"/>
  <c r="E87" i="4"/>
  <c r="E85" i="4"/>
  <c r="E84" i="4"/>
  <c r="E83" i="4"/>
  <c r="E82" i="4"/>
  <c r="E81" i="4"/>
  <c r="E80" i="4"/>
  <c r="E78" i="4"/>
  <c r="E77" i="4"/>
  <c r="E76" i="4"/>
  <c r="E75" i="4"/>
  <c r="E73" i="4"/>
  <c r="E72" i="4"/>
  <c r="E65" i="4"/>
  <c r="E64" i="4"/>
  <c r="E57" i="4"/>
  <c r="E56" i="4"/>
  <c r="E54" i="4"/>
  <c r="E47" i="4"/>
  <c r="E37" i="4"/>
  <c r="D161" i="4" l="1"/>
  <c r="D150" i="4"/>
  <c r="E150" i="4" s="1"/>
  <c r="E154" i="4" s="1"/>
  <c r="D152" i="4"/>
  <c r="E152" i="4" s="1"/>
  <c r="D136" i="4"/>
  <c r="E136" i="4" s="1"/>
  <c r="E146" i="4" s="1"/>
  <c r="D146" i="4"/>
  <c r="D122" i="4"/>
  <c r="E122" i="4" s="1"/>
  <c r="D125" i="4"/>
  <c r="E125" i="4" s="1"/>
  <c r="D131" i="4"/>
  <c r="E131" i="4" s="1"/>
  <c r="D132" i="4"/>
  <c r="E132" i="4" s="1"/>
  <c r="D133" i="4"/>
  <c r="D98" i="4"/>
  <c r="E98" i="4" s="1"/>
  <c r="D99" i="4"/>
  <c r="E99" i="4" s="1"/>
  <c r="D100" i="4"/>
  <c r="E100" i="4" s="1"/>
  <c r="D102" i="4"/>
  <c r="E102" i="4" s="1"/>
  <c r="D104" i="4"/>
  <c r="E104" i="4" s="1"/>
  <c r="D105" i="4"/>
  <c r="E105" i="4" s="1"/>
  <c r="D115" i="4"/>
  <c r="E115" i="4" s="1"/>
  <c r="D117" i="4"/>
  <c r="E117" i="4" s="1"/>
  <c r="D118" i="4"/>
  <c r="E118" i="4" s="1"/>
  <c r="D69" i="4"/>
  <c r="E69" i="4" s="1"/>
  <c r="D70" i="4"/>
  <c r="E70" i="4" s="1"/>
  <c r="D71" i="4"/>
  <c r="E71" i="4" s="1"/>
  <c r="D74" i="4"/>
  <c r="E74" i="4" s="1"/>
  <c r="D79" i="4"/>
  <c r="E79" i="4" s="1"/>
  <c r="D86" i="4"/>
  <c r="E86" i="4" s="1"/>
  <c r="D92" i="4"/>
  <c r="E92" i="4" s="1"/>
  <c r="D94" i="4"/>
  <c r="E94" i="4" s="1"/>
  <c r="D63" i="4"/>
  <c r="E63" i="4" s="1"/>
  <c r="E66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5" i="4"/>
  <c r="E55" i="4" s="1"/>
  <c r="D58" i="4"/>
  <c r="E58" i="4" s="1"/>
  <c r="D59" i="4"/>
  <c r="E59" i="4" s="1"/>
  <c r="D24" i="4"/>
  <c r="E24" i="4" s="1"/>
  <c r="D29" i="4"/>
  <c r="E29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95" i="4" l="1"/>
  <c r="D27" i="4" s="1"/>
  <c r="E27" i="4" s="1"/>
  <c r="D60" i="4"/>
  <c r="D25" i="4" s="1"/>
  <c r="E60" i="4"/>
  <c r="D119" i="4"/>
  <c r="D28" i="4" s="1"/>
  <c r="E28" i="4" s="1"/>
  <c r="E119" i="4"/>
  <c r="E95" i="4"/>
  <c r="D66" i="4"/>
  <c r="D26" i="4" s="1"/>
  <c r="E26" i="4" s="1"/>
  <c r="E133" i="4"/>
  <c r="D154" i="4"/>
  <c r="D31" i="4" s="1"/>
  <c r="E31" i="4" s="1"/>
  <c r="E25" i="4" l="1"/>
  <c r="E34" i="4" s="1"/>
  <c r="D33" i="4"/>
  <c r="E33" i="4" s="1"/>
  <c r="D34" i="4" l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<sst xmlns="http://schemas.openxmlformats.org/spreadsheetml/2006/main" count="390" uniqueCount="265">
  <si>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</si>
  <si>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</si>
  <si>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</si>
  <si>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</si>
  <si>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</si>
  <si>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</si>
  <si>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</si>
  <si>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</si>
  <si>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</si>
  <si>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</si>
  <si>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</si>
  <si>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</si>
  <si>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</si>
  <si>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</si>
  <si>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</si>
  <si>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</si>
  <si>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</si>
  <si>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</si>
  <si>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</si>
  <si>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</si>
  <si>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</si>
  <si>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</si>
  <si>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</si>
  <si>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</si>
  <si>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</si>
  <si>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</si>
  <si>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</si>
  <si>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</si>
  <si>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</si>
  <si>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</si>
  <si>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</si>
  <si>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</si>
  <si>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</si>
  <si>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</si>
  <si>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</si>
  <si>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</si>
  <si>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</si>
  <si>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</si>
  <si>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</si>
  <si>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</si>
  <si>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</si>
  <si>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</si>
  <si>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</si>
  <si>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</si>
  <si>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</si>
  <si>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</si>
  <si>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</si>
  <si>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</si>
  <si>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</si>
  <si>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</si>
  <si>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</si>
  <si>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</si>
  <si>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</si>
  <si>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</si>
  <si>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</si>
  <si>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</si>
  <si>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</si>
  <si>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</si>
  <si>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</si>
  <si>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</si>
  <si>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</si>
  <si>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</si>
  <si>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</si>
  <si>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</si>
  <si>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</si>
  <si>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</si>
  <si>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</si>
  <si>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</si>
  <si>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</si>
  <si>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</si>
  <si>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</si>
  <si>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</si>
  <si>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</si>
  <si>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</si>
  <si>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</si>
  <si>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</si>
  <si>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</si>
  <si>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</si>
  <si>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</si>
  <si>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</si>
  <si>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</si>
  <si>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</si>
  <si>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</si>
  <si>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</si>
  <si>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</si>
  <si>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</si>
  <si>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</si>
  <si>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</si>
  <si>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</si>
  <si>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</si>
  <si>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</si>
  <si>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</si>
  <si>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</si>
  <si>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</si>
  <si>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</si>
  <si>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</si>
  <si>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</si>
  <si>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</si>
  <si>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</si>
  <si>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</si>
  <si>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</si>
  <si>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</si>
  <si>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</si>
  <si>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</si>
  <si>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</si>
  <si>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</si>
  <si>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</si>
  <si>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</si>
  <si>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</si>
  <si>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</si>
  <si>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</si>
  <si>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</si>
  <si>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</si>
  <si>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</si>
  <si>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</si>
  <si>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</si>
  <si>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</si>
  <si>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</si>
  <si>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</si>
  <si>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</si>
  <si>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</si>
  <si>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</si>
  <si>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</si>
  <si>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</si>
  <si>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</si>
  <si>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</si>
  <si>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</si>
  <si>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</si>
  <si>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</si>
  <si>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</si>
  <si>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</si>
  <si>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</si>
  <si>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</si>
  <si>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</si>
  <si>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</si>
  <si>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</si>
  <si>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</si>
  <si>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</si>
  <si>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</si>
  <si>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</si>
  <si>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</si>
  <si>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</si>
  <si>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</si>
  <si>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</si>
  <si>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</si>
  <si>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</si>
  <si>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</si>
  <si>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</si>
  <si>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</si>
  <si>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</si>
  <si>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</si>
  <si>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</si>
  <si>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</si>
  <si>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</si>
  <si>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</si>
  <si>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</si>
  <si>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</si>
  <si>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</si>
  <si>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</si>
  <si>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</si>
  <si>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</si>
  <si>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</si>
  <si>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</si>
  <si>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</si>
  <si>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</si>
  <si>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</si>
  <si>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</si>
  <si>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</si>
  <si>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</si>
  <si>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</si>
  <si>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</si>
  <si>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</si>
  <si>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</si>
  <si>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</si>
  <si>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</si>
  <si>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</si>
  <si>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</si>
  <si>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</si>
  <si>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</si>
  <si>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</si>
  <si>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</si>
  <si>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</si>
  <si>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</si>
  <si>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</si>
  <si>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</si>
  <si>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</si>
  <si>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</si>
  <si>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</si>
  <si>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</si>
  <si>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</si>
  <si>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</si>
  <si>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</si>
  <si>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</si>
  <si>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</si>
  <si>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</si>
  <si>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</si>
  <si>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</si>
  <si>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</si>
  <si>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</si>
  <si>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</si>
  <si>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</si>
  <si>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</si>
  <si>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</si>
  <si>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</si>
  <si>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</si>
  <si>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</si>
  <si>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</si>
  <si>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</si>
  <si>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</si>
  <si>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</si>
  <si>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</si>
  <si>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</si>
  <si>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</si>
  <si>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</si>
  <si>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</si>
  <si>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</si>
  <si>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</si>
  <si>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</si>
  <si>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</si>
  <si>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</si>
  <si>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</si>
  <si>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</si>
  <si>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</si>
  <si>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</si>
  <si>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</si>
  <si>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</si>
  <si>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</si>
  <si>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</si>
  <si>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</si>
  <si>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</si>
  <si>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</si>
  <si>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</si>
  <si>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</si>
  <si>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</si>
  <si>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</si>
  <si>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</si>
  <si>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</si>
  <si>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</si>
  <si>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</si>
  <si>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</si>
  <si>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</si>
  <si>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</si>
  <si>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</si>
  <si>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</si>
  <si>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</si>
  <si>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</si>
  <si>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</si>
  <si>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평</t>
    <phoneticPr fontId="2" type="noConversion"/>
  </si>
  <si>
    <t>원/ m2</t>
    <phoneticPr fontId="2" type="noConversion"/>
  </si>
  <si>
    <t>토공사, 차량 출입구, 보행자 출입구, 국기게양대, 정화조공사, 식재공사, 골재비, 운반비</t>
    <phoneticPr fontId="2" type="noConversion"/>
  </si>
  <si>
    <t>도급자설치관급</t>
  </si>
  <si>
    <t>환기덕트설치공사</t>
  </si>
  <si>
    <t>주방기구설치공사</t>
    <phoneticPr fontId="2" type="noConversion"/>
  </si>
  <si>
    <t>도급자설치관급자재,관급자설치관급자재</t>
    <phoneticPr fontId="2" type="noConversion"/>
  </si>
  <si>
    <t>옥외전등 설비공사</t>
  </si>
  <si>
    <t>정보통신 설비공사</t>
  </si>
  <si>
    <t>토목 배수공, 상수공, 부대공</t>
    <phoneticPr fontId="2" type="noConversion"/>
  </si>
  <si>
    <t>원/ m2</t>
    <phoneticPr fontId="2" type="noConversion"/>
  </si>
  <si>
    <t>노동부 안양지청 청사 신축공사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</si>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</sst>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2984</v>
      </c>
      <c r="D7" s="36">
        <f>+C7/3.3058</f>
        <v>902.65593804827881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590930</v>
      </c>
      <c r="E25" s="60">
        <f t="shared" si="0"/>
        <v>1953490</v>
      </c>
    </row>
    <row r="26" spans="1:5" x14ac:dyDescent="0.3">
      <c r="B26" s="2">
        <v>3</v>
      </c>
      <c r="C26" s="35" t="s">
        <v>95</v>
      </c>
      <c r="D26" s="45">
        <f>+D66</f>
        <v>8960</v>
      </c>
      <c r="E26" s="60">
        <f t="shared" si="0"/>
        <v>29610</v>
      </c>
    </row>
    <row r="27" spans="1:5" x14ac:dyDescent="0.3">
      <c r="B27" s="2">
        <v>4</v>
      </c>
      <c r="C27" s="35" t="s">
        <v>96</v>
      </c>
      <c r="D27" s="45">
        <f>+D95</f>
        <v>107700</v>
      </c>
      <c r="E27" s="60">
        <f t="shared" si="0"/>
        <v>356030</v>
      </c>
    </row>
    <row r="28" spans="1:5" x14ac:dyDescent="0.3">
      <c r="B28" s="2">
        <v>5</v>
      </c>
      <c r="C28" s="35" t="s">
        <v>97</v>
      </c>
      <c r="D28" s="45">
        <f>+D119</f>
        <v>112900</v>
      </c>
      <c r="E28" s="60">
        <f t="shared" si="0"/>
        <v>373220</v>
      </c>
    </row>
    <row r="29" spans="1:5" x14ac:dyDescent="0.3">
      <c r="B29" s="2">
        <v>6</v>
      </c>
      <c r="C29" s="35" t="s">
        <v>98</v>
      </c>
      <c r="D29" s="45">
        <f>+D133</f>
        <v>49460</v>
      </c>
      <c r="E29" s="60">
        <f t="shared" si="0"/>
        <v>163500</v>
      </c>
    </row>
    <row r="30" spans="1:5" x14ac:dyDescent="0.3">
      <c r="B30" s="2">
        <v>7</v>
      </c>
      <c r="C30" s="35" t="s">
        <v>99</v>
      </c>
      <c r="D30" s="45">
        <f>+D146</f>
        <v>7570</v>
      </c>
      <c r="E30" s="60">
        <f t="shared" si="0"/>
        <v>25020</v>
      </c>
    </row>
    <row r="31" spans="1:5" x14ac:dyDescent="0.3">
      <c r="B31" s="2">
        <v>8</v>
      </c>
      <c r="C31" s="35" t="s">
        <v>100</v>
      </c>
      <c r="D31" s="45">
        <f>+D154</f>
        <v>50050</v>
      </c>
      <c r="E31" s="60">
        <f t="shared" si="0"/>
        <v>165450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255080</v>
      </c>
      <c r="E33" s="61">
        <f t="shared" si="0"/>
        <v>843240</v>
      </c>
    </row>
    <row r="34" spans="1:7" x14ac:dyDescent="0.3">
      <c r="C34" s="35" t="s">
        <v>112</v>
      </c>
      <c r="D34" s="44">
        <f>SUM(D24:D33)</f>
        <v>1182650</v>
      </c>
      <c r="E34" s="44">
        <f>SUM(E24:E33)</f>
        <v>3909560</v>
      </c>
    </row>
    <row r="35" spans="1:7" s="56" customFormat="1" x14ac:dyDescent="0.3">
      <c r="C35" s="57"/>
      <c r="D35" s="57"/>
      <c r="E35" s="57"/>
      <c r="F35" s="55"/>
      <c r="G35" s="55"/>
    </row>
    <row r="36" spans="1:7" s="56" customFormat="1" ht="17.25" thickBot="1" x14ac:dyDescent="0.35">
      <c r="B36" s="56" t="s">
        <v>12</v>
      </c>
      <c r="C36" s="56" t="s">
        <v>236</v>
      </c>
      <c r="D36" s="57" t="s">
        <v>257</v>
      </c>
      <c r="E36" s="57" t="s">
        <v>153</v>
      </c>
      <c r="F36" s="55"/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TRUNC(36105.7017426273,-1)</f>
        <v>36100</v>
      </c>
      <c r="E40" s="63">
        <f t="shared" ref="E40:E59" si="1">TRUNC(+D40*3.3058,-1)</f>
        <v>119330</v>
      </c>
    </row>
    <row r="41" spans="1:7" x14ac:dyDescent="0.3">
      <c r="A41" s="2">
        <v>2</v>
      </c>
      <c r="C41" s="38" t="s">
        <v>13</v>
      </c>
      <c r="D41" s="42">
        <f>TRUNC(105015.586126005,-1)</f>
        <v>105010</v>
      </c>
      <c r="E41" s="64">
        <f t="shared" si="1"/>
        <v>347140</v>
      </c>
    </row>
    <row r="42" spans="1:7" x14ac:dyDescent="0.3">
      <c r="A42" s="2">
        <v>3</v>
      </c>
      <c r="C42" s="38" t="s">
        <v>14</v>
      </c>
      <c r="D42" s="42">
        <f>TRUNC(2160.53820375335,-1)</f>
        <v>2160</v>
      </c>
      <c r="E42" s="64">
        <f t="shared" si="1"/>
        <v>7140</v>
      </c>
    </row>
    <row r="43" spans="1:7" x14ac:dyDescent="0.3">
      <c r="A43" s="2">
        <v>4</v>
      </c>
      <c r="C43" s="38" t="s">
        <v>16</v>
      </c>
      <c r="D43" s="42">
        <f>TRUNC(13642.7071045576,-1)</f>
        <v>13640</v>
      </c>
      <c r="E43" s="64">
        <f t="shared" si="1"/>
        <v>45090</v>
      </c>
    </row>
    <row r="44" spans="1:7" x14ac:dyDescent="0.3">
      <c r="A44" s="2">
        <v>5</v>
      </c>
      <c r="C44" s="38" t="s">
        <v>17</v>
      </c>
      <c r="D44" s="42">
        <f>TRUNC(16274.1270107239,-1)</f>
        <v>16270</v>
      </c>
      <c r="E44" s="64">
        <f t="shared" si="1"/>
        <v>53780</v>
      </c>
    </row>
    <row r="45" spans="1:7" x14ac:dyDescent="0.3">
      <c r="A45" s="2">
        <v>6</v>
      </c>
      <c r="C45" s="38" t="s">
        <v>18</v>
      </c>
      <c r="D45" s="42">
        <f>TRUNC(7718.74162198391,-1)</f>
        <v>7710</v>
      </c>
      <c r="E45" s="64">
        <f t="shared" si="1"/>
        <v>25480</v>
      </c>
    </row>
    <row r="46" spans="1:7" x14ac:dyDescent="0.3">
      <c r="A46" s="2">
        <v>7</v>
      </c>
      <c r="C46" s="38" t="s">
        <v>19</v>
      </c>
      <c r="D46" s="42">
        <f>TRUNC(16610.7017426273,-1)</f>
        <v>16610</v>
      </c>
      <c r="E46" s="64">
        <f t="shared" si="1"/>
        <v>54900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TRUNC(116498.145442359,-1)</f>
        <v>116490</v>
      </c>
      <c r="E48" s="64">
        <f t="shared" si="1"/>
        <v>385090</v>
      </c>
    </row>
    <row r="49" spans="1:7" x14ac:dyDescent="0.3">
      <c r="A49" s="2">
        <v>10</v>
      </c>
      <c r="C49" s="38" t="s">
        <v>22</v>
      </c>
      <c r="D49" s="42">
        <f>TRUNC(18373.1182975871,-1)</f>
        <v>18370</v>
      </c>
      <c r="E49" s="64">
        <f t="shared" si="1"/>
        <v>60720</v>
      </c>
    </row>
    <row r="50" spans="1:7" x14ac:dyDescent="0.3">
      <c r="A50" s="2">
        <v>11</v>
      </c>
      <c r="C50" s="38" t="s">
        <v>155</v>
      </c>
      <c r="D50" s="42">
        <f>TRUNC(47170.1032171582,-1)</f>
        <v>47170</v>
      </c>
      <c r="E50" s="64">
        <f t="shared" si="1"/>
        <v>155930</v>
      </c>
    </row>
    <row r="51" spans="1:7" x14ac:dyDescent="0.3">
      <c r="A51" s="2">
        <v>12</v>
      </c>
      <c r="C51" s="38" t="s">
        <v>23</v>
      </c>
      <c r="D51" s="42">
        <f>TRUNC(10089.2345844504,-1)</f>
        <v>10080</v>
      </c>
      <c r="E51" s="64">
        <f t="shared" si="1"/>
        <v>33320</v>
      </c>
    </row>
    <row r="52" spans="1:7" x14ac:dyDescent="0.3">
      <c r="A52" s="2">
        <v>13</v>
      </c>
      <c r="C52" s="38" t="s">
        <v>24</v>
      </c>
      <c r="D52" s="42">
        <f>TRUNC(11657.8867292225,-1)</f>
        <v>11650</v>
      </c>
      <c r="E52" s="64">
        <f t="shared" si="1"/>
        <v>38510</v>
      </c>
    </row>
    <row r="53" spans="1:7" x14ac:dyDescent="0.3">
      <c r="A53" s="2">
        <v>14</v>
      </c>
      <c r="C53" s="38" t="s">
        <v>25</v>
      </c>
      <c r="D53" s="42">
        <f>TRUNC(35966.643766756,-1)</f>
        <v>35960</v>
      </c>
      <c r="E53" s="64">
        <f t="shared" si="1"/>
        <v>118870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TRUNC(1904.30160857909,-1)</f>
        <v>1900</v>
      </c>
      <c r="E55" s="64">
        <f t="shared" si="1"/>
        <v>6280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TRUNC(8968.32205093834+2856.17024128686+2856.17024128686+526.165884718499+5481.19336461126+10472.0405495979+3273.12332439678-479.135388739946+1833.46146112601,-1)</f>
        <v>35780</v>
      </c>
      <c r="E58" s="64">
        <f t="shared" si="1"/>
        <v>118280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TRUNC(116030.495978552,-1)</f>
        <v>116030</v>
      </c>
      <c r="E59" s="65">
        <f t="shared" si="1"/>
        <v>383570</v>
      </c>
      <c r="F59" s="2" t="s">
        <v>250</v>
      </c>
    </row>
    <row r="60" spans="1:7" x14ac:dyDescent="0.3">
      <c r="A60" s="2">
        <v>21</v>
      </c>
      <c r="C60" s="27" t="s">
        <v>112</v>
      </c>
      <c r="D60" s="39">
        <f>SUM(D40:D59)</f>
        <v>590930</v>
      </c>
      <c r="E60" s="39">
        <f>SUM(E40:E59)</f>
        <v>1953430</v>
      </c>
    </row>
    <row r="61" spans="1:7" s="56" customFormat="1" x14ac:dyDescent="0.3">
      <c r="C61" s="57"/>
      <c r="D61" s="57"/>
      <c r="E61" s="57"/>
      <c r="F61" s="55"/>
      <c r="G61" s="55"/>
    </row>
    <row r="62" spans="1:7" s="56" customFormat="1" ht="17.25" thickBot="1" x14ac:dyDescent="0.35">
      <c r="B62" s="56" t="s">
        <v>237</v>
      </c>
      <c r="C62" s="56" t="s">
        <v>238</v>
      </c>
      <c r="D62" s="57" t="s">
        <v>257</v>
      </c>
      <c r="E62" s="57" t="s">
        <v>153</v>
      </c>
      <c r="F62" s="55"/>
      <c r="G62" s="55"/>
    </row>
    <row r="63" spans="1:7" x14ac:dyDescent="0.3">
      <c r="A63" s="2">
        <v>1</v>
      </c>
      <c r="C63" s="38" t="s">
        <v>27</v>
      </c>
      <c r="D63" s="40">
        <f>TRUNC(8968.32205093834,-1)</f>
        <v>8960</v>
      </c>
      <c r="E63" s="63">
        <f>TRUNC(+D63*3.3058,-1)</f>
        <v>29610</v>
      </c>
      <c r="F63" s="2">
        <v>26893.278150134047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8960</v>
      </c>
      <c r="E66" s="58">
        <f>SUM(E63:E65)</f>
        <v>29610</v>
      </c>
    </row>
    <row r="67" spans="1:7" s="56" customFormat="1" x14ac:dyDescent="0.3">
      <c r="C67" s="57"/>
      <c r="D67" s="57"/>
      <c r="E67" s="57"/>
      <c r="F67" s="55"/>
      <c r="G67" s="55"/>
    </row>
    <row r="68" spans="1:7" s="56" customFormat="1" ht="17.25" thickBot="1" x14ac:dyDescent="0.35">
      <c r="B68" s="56" t="s">
        <v>239</v>
      </c>
      <c r="C68" s="56" t="s">
        <v>240</v>
      </c>
      <c r="D68" s="57" t="s">
        <v>257</v>
      </c>
      <c r="E68" s="57" t="s">
        <v>153</v>
      </c>
      <c r="F68" s="55"/>
      <c r="G68" s="55"/>
    </row>
    <row r="69" spans="1:7" x14ac:dyDescent="0.3">
      <c r="A69" s="2">
        <v>1</v>
      </c>
      <c r="C69" s="38" t="s">
        <v>30</v>
      </c>
      <c r="D69" s="40">
        <f>TRUNC(26956.6072386059,-1)</f>
        <v>26950</v>
      </c>
      <c r="E69" s="63">
        <f>TRUNC(+D69*3.3058,-1)</f>
        <v>89090</v>
      </c>
    </row>
    <row r="70" spans="1:7" ht="16.5" customHeight="1" x14ac:dyDescent="0.3">
      <c r="A70" s="2">
        <v>2</v>
      </c>
      <c r="C70" s="38" t="s">
        <v>31</v>
      </c>
      <c r="D70" s="42">
        <f>TRUNC(656.537198391421,-1)</f>
        <v>650</v>
      </c>
      <c r="E70" s="64">
        <f>TRUNC(+D70*3.3058,-1)</f>
        <v>2140</v>
      </c>
    </row>
    <row r="71" spans="1:7" x14ac:dyDescent="0.3">
      <c r="A71" s="2">
        <v>3</v>
      </c>
      <c r="C71" s="38" t="s">
        <v>32</v>
      </c>
      <c r="D71" s="42">
        <f>TRUNC(2742.04524128686,-1)</f>
        <v>2740</v>
      </c>
      <c r="E71" s="64">
        <f t="shared" ref="E71:E73" si="2">TRUNC(+D71*3.3058,-1)</f>
        <v>9050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f>TRUNC(2017.42191689008,-1)</f>
        <v>2010</v>
      </c>
      <c r="E74" s="64">
        <f>TRUNC(+D74*3.3058,-1)</f>
        <v>6640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TRUNC(1772.60455764075,-1)</f>
        <v>1770</v>
      </c>
      <c r="E79" s="64">
        <f t="shared" si="3"/>
        <v>5850</v>
      </c>
      <c r="F79" s="2" t="s">
        <v>251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f>TRUNC(52175.6179624665,-1)</f>
        <v>52170</v>
      </c>
      <c r="E86" s="64">
        <f t="shared" si="3"/>
        <v>172460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TRUNC(16301.2503351206,-1)</f>
        <v>16300</v>
      </c>
      <c r="E92" s="64">
        <f>TRUNC(+D92*3.3058,-1)</f>
        <v>53880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TRUNC(5111.93029490617,-1)</f>
        <v>5110</v>
      </c>
      <c r="E94" s="65">
        <f>TRUNC(+D94*3.3058,-1)</f>
        <v>16890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107700</v>
      </c>
      <c r="E95" s="39">
        <f>SUM(E69:E94)</f>
        <v>356000</v>
      </c>
    </row>
    <row r="96" spans="1:7" s="56" customFormat="1" x14ac:dyDescent="0.3">
      <c r="C96" s="57"/>
      <c r="D96" s="57"/>
      <c r="E96" s="57"/>
      <c r="F96" s="55"/>
      <c r="G96" s="55"/>
    </row>
    <row r="97" spans="1:7" s="56" customFormat="1" ht="17.25" thickBot="1" x14ac:dyDescent="0.35">
      <c r="B97" s="56" t="s">
        <v>241</v>
      </c>
      <c r="C97" s="56" t="s">
        <v>240</v>
      </c>
      <c r="D97" s="57" t="s">
        <v>257</v>
      </c>
      <c r="E97" s="57" t="s">
        <v>153</v>
      </c>
      <c r="F97" s="55"/>
      <c r="G97" s="55"/>
    </row>
    <row r="98" spans="1:7" x14ac:dyDescent="0.3">
      <c r="A98" s="2">
        <v>1</v>
      </c>
      <c r="C98" s="38" t="s">
        <v>39</v>
      </c>
      <c r="D98" s="40">
        <f>TRUNC(9441.11963806971,-1)</f>
        <v>9440</v>
      </c>
      <c r="E98" s="63">
        <f t="shared" ref="E98:E118" si="4">TRUNC(+D98*3.3058,-1)</f>
        <v>31200</v>
      </c>
    </row>
    <row r="99" spans="1:7" x14ac:dyDescent="0.3">
      <c r="A99" s="2">
        <v>2</v>
      </c>
      <c r="C99" s="38" t="s">
        <v>40</v>
      </c>
      <c r="D99" s="42">
        <f>TRUNC(6510.81501340483,-1)</f>
        <v>6510</v>
      </c>
      <c r="E99" s="64">
        <f t="shared" si="4"/>
        <v>21520</v>
      </c>
    </row>
    <row r="100" spans="1:7" x14ac:dyDescent="0.3">
      <c r="A100" s="2">
        <v>3</v>
      </c>
      <c r="C100" s="38" t="s">
        <v>41</v>
      </c>
      <c r="D100" s="42">
        <f>TRUNC(17019.7912198391,-1)</f>
        <v>17010</v>
      </c>
      <c r="E100" s="64">
        <f t="shared" si="4"/>
        <v>56230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TRUNC(10267.254691689,-1)</f>
        <v>10260</v>
      </c>
      <c r="E102" s="64">
        <f t="shared" si="4"/>
        <v>33910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TRUNC(7718.56501340483,-1)</f>
        <v>7710</v>
      </c>
      <c r="E104" s="64">
        <f t="shared" si="4"/>
        <v>25480</v>
      </c>
    </row>
    <row r="105" spans="1:7" x14ac:dyDescent="0.3">
      <c r="A105" s="2">
        <v>8</v>
      </c>
      <c r="C105" s="38" t="s">
        <v>46</v>
      </c>
      <c r="D105" s="42">
        <f>TRUNC(537.241957104558,-1)</f>
        <v>530</v>
      </c>
      <c r="E105" s="64">
        <f t="shared" si="4"/>
        <v>1750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TRUNC(18721.6896782842,-1)</f>
        <v>18720</v>
      </c>
      <c r="E115" s="64">
        <f t="shared" si="4"/>
        <v>61880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TRUNC(22605.563002681+16379.0214477212,-1)</f>
        <v>38980</v>
      </c>
      <c r="E117" s="64">
        <f t="shared" si="4"/>
        <v>128860</v>
      </c>
      <c r="F117" s="2" t="s">
        <v>253</v>
      </c>
    </row>
    <row r="118" spans="1:7" ht="17.25" thickBot="1" x14ac:dyDescent="0.35">
      <c r="A118" s="2">
        <v>21</v>
      </c>
      <c r="C118" s="38" t="s">
        <v>47</v>
      </c>
      <c r="D118" s="43">
        <f>TRUNC(3748.55663538874,-1)</f>
        <v>3740</v>
      </c>
      <c r="E118" s="65">
        <f t="shared" si="4"/>
        <v>12360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112900</v>
      </c>
      <c r="E119" s="39">
        <f>SUM(E98:E118)</f>
        <v>373190</v>
      </c>
    </row>
    <row r="120" spans="1:7" s="56" customFormat="1" x14ac:dyDescent="0.3">
      <c r="C120" s="57"/>
      <c r="D120" s="57"/>
      <c r="E120" s="57"/>
      <c r="F120" s="55"/>
      <c r="G120" s="55"/>
    </row>
    <row r="121" spans="1:7" s="56" customFormat="1" ht="17.25" thickBot="1" x14ac:dyDescent="0.35">
      <c r="B121" s="56" t="s">
        <v>242</v>
      </c>
      <c r="C121" s="56" t="s">
        <v>240</v>
      </c>
      <c r="D121" s="57" t="s">
        <v>257</v>
      </c>
      <c r="E121" s="57" t="s">
        <v>153</v>
      </c>
      <c r="F121" s="55"/>
      <c r="G121" s="55"/>
    </row>
    <row r="122" spans="1:7" x14ac:dyDescent="0.3">
      <c r="A122" s="2">
        <v>1</v>
      </c>
      <c r="C122" s="38" t="s">
        <v>55</v>
      </c>
      <c r="D122" s="40">
        <f>TRUNC(3770.6759383378,-1)</f>
        <v>3770</v>
      </c>
      <c r="E122" s="63">
        <f t="shared" ref="E122:E132" si="5">TRUNC(+D122*3.3058,-1)</f>
        <v>12460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TRUNC(5333.93398123324,-1)</f>
        <v>5330</v>
      </c>
      <c r="E125" s="64">
        <f t="shared" si="5"/>
        <v>17610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TRUNC(20931.9705093834,-1)</f>
        <v>20930</v>
      </c>
      <c r="E131" s="64">
        <f t="shared" si="5"/>
        <v>69190</v>
      </c>
      <c r="F131" s="2" t="s">
        <v>259</v>
      </c>
    </row>
    <row r="132" spans="1:7" ht="18" thickBot="1" x14ac:dyDescent="0.35">
      <c r="A132" s="2">
        <v>11</v>
      </c>
      <c r="C132" s="38" t="s">
        <v>47</v>
      </c>
      <c r="D132" s="43">
        <f>TRUNC(19438.5365281501,-1)</f>
        <v>19430</v>
      </c>
      <c r="E132" s="65">
        <f t="shared" si="5"/>
        <v>64230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49460</v>
      </c>
      <c r="E133" s="39">
        <f>SUM(E122:E132)</f>
        <v>163490</v>
      </c>
    </row>
    <row r="134" spans="1:7" s="56" customFormat="1" x14ac:dyDescent="0.3">
      <c r="C134" s="57"/>
      <c r="D134" s="57"/>
      <c r="E134" s="57"/>
      <c r="F134" s="55"/>
      <c r="G134" s="55"/>
    </row>
    <row r="135" spans="1:7" s="56" customFormat="1" ht="17.25" thickBot="1" x14ac:dyDescent="0.35">
      <c r="B135" s="56" t="s">
        <v>243</v>
      </c>
      <c r="C135" s="56" t="s">
        <v>240</v>
      </c>
      <c r="D135" s="57" t="s">
        <v>257</v>
      </c>
      <c r="E135" s="57" t="s">
        <v>153</v>
      </c>
      <c r="F135" s="55"/>
      <c r="G135" s="55"/>
    </row>
    <row r="136" spans="1:7" x14ac:dyDescent="0.3">
      <c r="A136" s="2">
        <v>1</v>
      </c>
      <c r="C136" s="38" t="s">
        <v>131</v>
      </c>
      <c r="D136" s="40">
        <f>TRUNC(7579.35522788204,-1)</f>
        <v>7570</v>
      </c>
      <c r="E136" s="63">
        <f t="shared" ref="E136:E145" si="6">TRUNC(+D136*3.3058,-1)</f>
        <v>25020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7570</v>
      </c>
      <c r="E146" s="39">
        <f>SUM(E136:E145)</f>
        <v>25020</v>
      </c>
    </row>
    <row r="147" spans="1:7" s="56" customFormat="1" x14ac:dyDescent="0.3">
      <c r="C147" s="57"/>
      <c r="D147" s="57"/>
      <c r="E147" s="57"/>
      <c r="F147" s="55"/>
      <c r="G147" s="55"/>
    </row>
    <row r="148" spans="1:7" s="56" customFormat="1" ht="17.25" thickBot="1" x14ac:dyDescent="0.35">
      <c r="B148" s="56" t="s">
        <v>244</v>
      </c>
      <c r="C148" s="56" t="s">
        <v>240</v>
      </c>
      <c r="D148" s="57" t="s">
        <v>257</v>
      </c>
      <c r="E148" s="57" t="s">
        <v>153</v>
      </c>
      <c r="F148" s="55"/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TRUNC(16331.6702412869,-1)</f>
        <v>16330</v>
      </c>
      <c r="E150" s="64">
        <f>TRUNC(+D150*3.3058,-1)</f>
        <v>53980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TRUNC(23059.5157506702+848.355227882038+9816.86461126005,-1)</f>
        <v>33720</v>
      </c>
      <c r="E152" s="64">
        <f>TRUNC(+D152*3.3058,-1)</f>
        <v>111470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50050</v>
      </c>
      <c r="E154" s="39">
        <f>SUM(E149:E153)</f>
        <v>165450</v>
      </c>
    </row>
    <row r="155" spans="1:7" s="56" customFormat="1" x14ac:dyDescent="0.3">
      <c r="C155" s="57"/>
      <c r="D155" s="57"/>
      <c r="E155" s="57"/>
      <c r="F155" s="55"/>
      <c r="G155" s="55"/>
    </row>
    <row r="156" spans="1:7" s="56" customFormat="1" ht="17.25" thickBot="1" x14ac:dyDescent="0.35">
      <c r="B156" s="56" t="s">
        <v>245</v>
      </c>
      <c r="C156" s="56" t="s">
        <v>240</v>
      </c>
      <c r="D156" s="57" t="s">
        <v>257</v>
      </c>
      <c r="E156" s="57" t="s">
        <v>153</v>
      </c>
      <c r="F156" s="55"/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2020-12-07T09:08:12Z</dcterms:modified>
</cp:coreProperties>
</file>