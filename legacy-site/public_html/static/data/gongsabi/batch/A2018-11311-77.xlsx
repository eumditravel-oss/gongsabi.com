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9" i="4" l="1"/>
  <c r="D117" i="4"/>
  <c r="D131" i="4"/>
  <c r="D145" i="4"/>
  <c r="D105" i="4"/>
  <c r="D104" i="4"/>
  <c r="D103" i="4"/>
  <c r="D102" i="4"/>
  <c r="D101" i="4"/>
  <c r="D100" i="4"/>
  <c r="D99" i="4"/>
  <c r="D98" i="4"/>
  <c r="D114" i="4"/>
  <c r="D116" i="4"/>
  <c r="D76" i="4"/>
  <c r="D92" i="4"/>
  <c r="D91" i="4"/>
  <c r="D89" i="4"/>
  <c r="D73" i="4"/>
  <c r="D72" i="4"/>
  <c r="D70" i="4"/>
  <c r="D69" i="4"/>
  <c r="D58" i="4"/>
  <c r="D53" i="4"/>
  <c r="D52" i="4"/>
  <c r="D50" i="4"/>
  <c r="D49" i="4"/>
  <c r="D48" i="4"/>
  <c r="D46" i="4"/>
  <c r="D45" i="4"/>
  <c r="D44" i="4"/>
  <c r="D43" i="4"/>
  <c r="D41" i="4"/>
  <c r="D40" i="4"/>
  <c r="D128" i="4" l="1"/>
  <c r="D132" i="4"/>
  <c r="D124" i="4"/>
  <c r="D125" i="4"/>
  <c r="D122" i="4"/>
  <c r="D130" i="4"/>
  <c r="D144" i="4"/>
  <c r="D143" i="4"/>
  <c r="D139" i="4"/>
  <c r="D142" i="4"/>
  <c r="D140" i="4"/>
  <c r="D65" i="4"/>
  <c r="D63" i="4"/>
  <c r="D152" i="4"/>
  <c r="D150" i="4"/>
  <c r="D149" i="4"/>
  <c r="D15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19" i="4" l="1"/>
  <c r="E95" i="4"/>
  <c r="E60" i="4"/>
  <c r="E133" i="4"/>
  <c r="E146" i="4"/>
  <c r="E66" i="4"/>
  <c r="E154" i="4"/>
  <c r="D161" i="4"/>
  <c r="D32" i="4" s="1"/>
  <c r="E32" i="4" s="1"/>
  <c r="D154" i="4"/>
  <c r="D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<sst xmlns="http://schemas.openxmlformats.org/spreadsheetml/2006/main" count="391" uniqueCount="266">
  <si>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</si>
  <si>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</si>
  <si>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</si>
  <si>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</si>
  <si>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</si>
  <si>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</si>
  <si>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</si>
  <si>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</si>
  <si>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</si>
  <si>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</si>
  <si>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</si>
  <si>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</si>
  <si>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</si>
  <si>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</si>
  <si>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</si>
  <si>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</si>
  <si>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</si>
  <si>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</si>
  <si>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</si>
  <si>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</si>
  <si>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</si>
  <si>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</si>
  <si>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</si>
  <si>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</si>
  <si>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</si>
  <si>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</si>
  <si>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</si>
  <si>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</si>
  <si>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</si>
  <si>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</si>
  <si>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</si>
  <si>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</si>
  <si>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</si>
  <si>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</si>
  <si>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</si>
  <si>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</si>
  <si>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</si>
  <si>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</si>
  <si>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</si>
  <si>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</si>
  <si>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</si>
  <si>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</si>
  <si>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</si>
  <si>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</si>
  <si>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</si>
  <si>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</si>
  <si>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</si>
  <si>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</si>
  <si>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</si>
  <si>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</si>
  <si>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</si>
  <si>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</si>
  <si>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</si>
  <si>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</si>
  <si>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</si>
  <si>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</si>
  <si>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</si>
  <si>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</si>
  <si>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</si>
  <si>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</si>
  <si>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</si>
  <si>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</si>
  <si>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</si>
  <si>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</si>
  <si>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</si>
  <si>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</si>
  <si>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</si>
  <si>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</si>
  <si>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</si>
  <si>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</si>
  <si>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</si>
  <si>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</si>
  <si>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</si>
  <si>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</si>
  <si>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</si>
  <si>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</si>
  <si>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</si>
  <si>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</si>
  <si>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</si>
  <si>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</si>
  <si>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</si>
  <si>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</si>
  <si>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</si>
  <si>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</si>
  <si>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</si>
  <si>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</si>
  <si>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</si>
  <si>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</si>
  <si>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</si>
  <si>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</si>
  <si>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</si>
  <si>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</si>
  <si>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</si>
  <si>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</si>
  <si>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</si>
  <si>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</si>
  <si>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</si>
  <si>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</si>
  <si>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</si>
  <si>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</si>
  <si>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</si>
  <si>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</si>
  <si>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</si>
  <si>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</si>
  <si>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</si>
  <si>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</si>
  <si>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</si>
  <si>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</si>
  <si>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</si>
  <si>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</si>
  <si>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</si>
  <si>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</si>
  <si>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</si>
  <si>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</si>
  <si>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</si>
  <si>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</si>
  <si>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</si>
  <si>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</si>
  <si>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</si>
  <si>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</si>
  <si>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</si>
  <si>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</si>
  <si>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</si>
  <si>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</si>
  <si>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</si>
  <si>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</si>
  <si>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</si>
  <si>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</si>
  <si>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</si>
  <si>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</si>
  <si>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</si>
  <si>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</si>
  <si>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</si>
  <si>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</si>
  <si>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</si>
  <si>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</si>
  <si>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</si>
  <si>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</si>
  <si>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</si>
  <si>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</si>
  <si>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</si>
  <si>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</si>
  <si>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</si>
  <si>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</si>
  <si>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</si>
  <si>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</si>
  <si>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</si>
  <si>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</si>
  <si>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</si>
  <si>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</si>
  <si>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</si>
  <si>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</si>
  <si>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</si>
  <si>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</si>
  <si>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</si>
  <si>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</si>
  <si>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</si>
  <si>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</si>
  <si>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</si>
  <si>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</si>
  <si>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</si>
  <si>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</si>
  <si>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</si>
  <si>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</si>
  <si>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</si>
  <si>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</si>
  <si>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</si>
  <si>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</si>
  <si>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</si>
  <si>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</si>
  <si>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</si>
  <si>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</si>
  <si>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</si>
  <si>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</si>
  <si>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</si>
  <si>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</si>
  <si>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</si>
  <si>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</si>
  <si>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</si>
  <si>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</si>
  <si>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</si>
  <si>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</si>
  <si>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</si>
  <si>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</si>
  <si>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</si>
  <si>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</si>
  <si>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</si>
  <si>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</si>
  <si>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</si>
  <si>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</si>
  <si>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</si>
  <si>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</si>
  <si>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</si>
  <si>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</si>
  <si>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</si>
  <si>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</si>
  <si>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</si>
  <si>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</si>
  <si>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</si>
  <si>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</si>
  <si>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</si>
  <si>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</si>
  <si>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</si>
  <si>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</si>
  <si>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</si>
  <si>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</si>
  <si>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</si>
  <si>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</si>
  <si>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</si>
  <si>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</si>
  <si>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</si>
  <si>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</si>
  <si>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</si>
  <si>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</si>
  <si>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</si>
  <si>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</si>
  <si>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</si>
  <si>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</si>
  <si>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</si>
  <si>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</si>
  <si>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</si>
  <si>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</si>
  <si>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</si>
  <si>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</si>
  <si>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</si>
  <si>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</si>
  <si>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</si>
  <si>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</si>
  <si>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</si>
  <si>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</si>
  <si>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</si>
  <si>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</si>
  <si>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</si>
  <si>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</si>
  <si>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</si>
  <si>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</si>
  <si>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</si>
  <si>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</si>
  <si>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</si>
  <si>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</si>
  <si>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</si>
  <si>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</si>
  <si>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</si>
  <si>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</si>
  <si>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</si>
  <si>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</si>
  <si>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</si>
  <si>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</si>
  <si>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한국전통문화대학교 대학원 종합연구관 건립공사</t>
    <phoneticPr fontId="2" type="noConversion"/>
  </si>
  <si>
    <t>교육연구</t>
  </si>
  <si>
    <t>충청도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</si>
  <si>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</si>
  <si>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</si>
  <si>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</si>
  <si>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기초공사,해체및철거공사,골재비및운반비,작업부산물,품질시험비,기타공사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</si>
  <si>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</si>
  <si>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</si>
  <si>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</si>
  <si>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</si>
  <si>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</si>
  <si>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공조배관공사,난방배관공사,기타공사,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</si>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</sst>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7711.65</v>
      </c>
      <c r="D7" s="36">
        <f>+C7/3.3058</f>
        <v>2332.763627563676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986050</v>
      </c>
      <c r="E25" s="59">
        <f t="shared" si="0"/>
        <v>3259680</v>
      </c>
    </row>
    <row r="26" spans="1:5" x14ac:dyDescent="0.3">
      <c r="B26" s="2">
        <v>3</v>
      </c>
      <c r="C26" s="35" t="s">
        <v>95</v>
      </c>
      <c r="D26" s="45">
        <f>+D66</f>
        <v>37810</v>
      </c>
      <c r="E26" s="59">
        <f t="shared" si="0"/>
        <v>124990</v>
      </c>
    </row>
    <row r="27" spans="1:5" x14ac:dyDescent="0.3">
      <c r="B27" s="2">
        <v>4</v>
      </c>
      <c r="C27" s="35" t="s">
        <v>96</v>
      </c>
      <c r="D27" s="45">
        <f>+D95</f>
        <v>157680</v>
      </c>
      <c r="E27" s="59">
        <f t="shared" si="0"/>
        <v>521250</v>
      </c>
    </row>
    <row r="28" spans="1:5" x14ac:dyDescent="0.3">
      <c r="B28" s="2">
        <v>5</v>
      </c>
      <c r="C28" s="35" t="s">
        <v>97</v>
      </c>
      <c r="D28" s="45">
        <f>+D119</f>
        <v>229480</v>
      </c>
      <c r="E28" s="59">
        <f t="shared" si="0"/>
        <v>758610</v>
      </c>
    </row>
    <row r="29" spans="1:5" x14ac:dyDescent="0.3">
      <c r="B29" s="2">
        <v>6</v>
      </c>
      <c r="C29" s="35" t="s">
        <v>98</v>
      </c>
      <c r="D29" s="45">
        <f>+D133</f>
        <v>81990</v>
      </c>
      <c r="E29" s="59">
        <f t="shared" si="0"/>
        <v>271040</v>
      </c>
    </row>
    <row r="30" spans="1:5" x14ac:dyDescent="0.3">
      <c r="B30" s="2">
        <v>7</v>
      </c>
      <c r="C30" s="35" t="s">
        <v>99</v>
      </c>
      <c r="D30" s="45">
        <f>+D146</f>
        <v>66540</v>
      </c>
      <c r="E30" s="59">
        <f t="shared" si="0"/>
        <v>219960</v>
      </c>
    </row>
    <row r="31" spans="1:5" x14ac:dyDescent="0.3">
      <c r="B31" s="2">
        <v>8</v>
      </c>
      <c r="C31" s="35" t="s">
        <v>100</v>
      </c>
      <c r="D31" s="45">
        <f>+D154</f>
        <v>10610</v>
      </c>
      <c r="E31" s="59">
        <f t="shared" si="0"/>
        <v>35070</v>
      </c>
    </row>
    <row r="32" spans="1:5" x14ac:dyDescent="0.3">
      <c r="B32" s="2">
        <v>9</v>
      </c>
      <c r="C32" s="35" t="s">
        <v>101</v>
      </c>
      <c r="D32" s="45">
        <f>+D161</f>
        <v>5650</v>
      </c>
      <c r="E32" s="59">
        <f t="shared" si="0"/>
        <v>18670</v>
      </c>
    </row>
    <row r="33" spans="1:7" x14ac:dyDescent="0.3">
      <c r="B33" s="2">
        <v>10</v>
      </c>
      <c r="C33" s="35" t="s">
        <v>154</v>
      </c>
      <c r="D33" s="53">
        <f>TRUNC(SUM(D24:D32)*0.275,-1)</f>
        <v>433340</v>
      </c>
      <c r="E33" s="60">
        <f t="shared" si="0"/>
        <v>1432530</v>
      </c>
    </row>
    <row r="34" spans="1:7" x14ac:dyDescent="0.3">
      <c r="C34" s="35" t="s">
        <v>112</v>
      </c>
      <c r="D34" s="44">
        <f>SUM(D24:D33)</f>
        <v>2009150</v>
      </c>
      <c r="E34" s="44">
        <f>SUM(E24:E33)</f>
        <v>6641800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TRUNC(72514,-1)</f>
        <v>72510</v>
      </c>
      <c r="E40" s="62">
        <f t="shared" ref="E40:E59" si="1">TRUNC(+D40*3.3058,-1)</f>
        <v>239700</v>
      </c>
    </row>
    <row r="41" spans="1:7" x14ac:dyDescent="0.3">
      <c r="A41" s="2">
        <v>2</v>
      </c>
      <c r="C41" s="38" t="s">
        <v>13</v>
      </c>
      <c r="D41" s="42">
        <f>TRUNC(187850,-1)</f>
        <v>187850</v>
      </c>
      <c r="E41" s="63">
        <f t="shared" si="1"/>
        <v>620990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TRUNC(64070,-1)</f>
        <v>64070</v>
      </c>
      <c r="E43" s="63">
        <f t="shared" si="1"/>
        <v>211800</v>
      </c>
    </row>
    <row r="44" spans="1:7" x14ac:dyDescent="0.3">
      <c r="A44" s="2">
        <v>5</v>
      </c>
      <c r="C44" s="38" t="s">
        <v>17</v>
      </c>
      <c r="D44" s="42">
        <f>TRUNC(20428,-1)</f>
        <v>20420</v>
      </c>
      <c r="E44" s="63">
        <f t="shared" si="1"/>
        <v>67500</v>
      </c>
    </row>
    <row r="45" spans="1:7" x14ac:dyDescent="0.3">
      <c r="A45" s="2">
        <v>6</v>
      </c>
      <c r="C45" s="38" t="s">
        <v>18</v>
      </c>
      <c r="D45" s="42">
        <f>TRUNC(12582,-1)</f>
        <v>12580</v>
      </c>
      <c r="E45" s="63">
        <f t="shared" si="1"/>
        <v>41580</v>
      </c>
    </row>
    <row r="46" spans="1:7" x14ac:dyDescent="0.3">
      <c r="A46" s="2">
        <v>7</v>
      </c>
      <c r="C46" s="38" t="s">
        <v>19</v>
      </c>
      <c r="D46" s="42">
        <f>TRUNC(5098,-1)</f>
        <v>5090</v>
      </c>
      <c r="E46" s="63">
        <f t="shared" si="1"/>
        <v>16820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TRUNC(43980,-1)</f>
        <v>43980</v>
      </c>
      <c r="E48" s="63">
        <f t="shared" si="1"/>
        <v>145380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TRUNC(15334,-1)</f>
        <v>15330</v>
      </c>
      <c r="E49" s="63">
        <f t="shared" si="1"/>
        <v>50670</v>
      </c>
    </row>
    <row r="50" spans="1:7" x14ac:dyDescent="0.3">
      <c r="A50" s="2">
        <v>11</v>
      </c>
      <c r="C50" s="38" t="s">
        <v>155</v>
      </c>
      <c r="D50" s="42">
        <f>TRUNC(46269,-1)</f>
        <v>46260</v>
      </c>
      <c r="E50" s="63">
        <f t="shared" si="1"/>
        <v>152920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TRUNC(14059,-1)</f>
        <v>14050</v>
      </c>
      <c r="E52" s="63">
        <f t="shared" si="1"/>
        <v>46440</v>
      </c>
    </row>
    <row r="53" spans="1:7" x14ac:dyDescent="0.3">
      <c r="A53" s="2">
        <v>14</v>
      </c>
      <c r="C53" s="38" t="s">
        <v>25</v>
      </c>
      <c r="D53" s="42">
        <f>TRUNC(103897,-1)</f>
        <v>103890</v>
      </c>
      <c r="E53" s="63">
        <f t="shared" si="1"/>
        <v>343430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TRUNC(14532+444+8465-160+3627+736,-1)</f>
        <v>27640</v>
      </c>
      <c r="E58" s="63">
        <f t="shared" si="1"/>
        <v>91370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TRUNC(372381,-1)</f>
        <v>372380</v>
      </c>
      <c r="E59" s="64">
        <f t="shared" si="1"/>
        <v>1231010</v>
      </c>
    </row>
    <row r="60" spans="1:7" x14ac:dyDescent="0.3">
      <c r="A60" s="2">
        <v>21</v>
      </c>
      <c r="C60" s="27" t="s">
        <v>112</v>
      </c>
      <c r="D60" s="39">
        <f>SUM(D40:D59)</f>
        <v>986050</v>
      </c>
      <c r="E60" s="39">
        <f>SUM(E40:E59)</f>
        <v>3259610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TRUNC(21629,-1)</f>
        <v>21620</v>
      </c>
      <c r="E63" s="62">
        <f>TRUNC(+D63*3.3058,-1)</f>
        <v>71470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TRUNC(16192,-1)</f>
        <v>16190</v>
      </c>
      <c r="E65" s="64">
        <f>TRUNC(+D65*3.3058,-1)</f>
        <v>53520</v>
      </c>
    </row>
    <row r="66" spans="1:7" x14ac:dyDescent="0.3">
      <c r="A66" s="2">
        <v>4</v>
      </c>
      <c r="C66" s="27" t="s">
        <v>112</v>
      </c>
      <c r="D66" s="39">
        <f>SUM(D63:D65)</f>
        <v>37810</v>
      </c>
      <c r="E66" s="65">
        <f>SUM(E63:E65)</f>
        <v>124990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TRUNC(24450,-1)</f>
        <v>24450</v>
      </c>
      <c r="E69" s="62">
        <f t="shared" ref="E69:E94" si="2">TRUNC(+D69*3.3058,-1)</f>
        <v>80820</v>
      </c>
    </row>
    <row r="70" spans="1:7" ht="16.5" customHeight="1" x14ac:dyDescent="0.3">
      <c r="A70" s="2">
        <v>2</v>
      </c>
      <c r="C70" s="38" t="s">
        <v>31</v>
      </c>
      <c r="D70" s="42">
        <f>TRUNC(1392,-1)</f>
        <v>1390</v>
      </c>
      <c r="E70" s="63">
        <f t="shared" si="2"/>
        <v>4590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TRUNC(461,-1)</f>
        <v>460</v>
      </c>
      <c r="E72" s="63">
        <f t="shared" si="2"/>
        <v>1520</v>
      </c>
    </row>
    <row r="73" spans="1:7" x14ac:dyDescent="0.3">
      <c r="A73" s="2">
        <v>5</v>
      </c>
      <c r="C73" s="38" t="s">
        <v>34</v>
      </c>
      <c r="D73" s="42">
        <f>TRUNC(22657,-1)</f>
        <v>22650</v>
      </c>
      <c r="E73" s="63">
        <f t="shared" si="2"/>
        <v>74870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TRUNC(71757,-1)</f>
        <v>71750</v>
      </c>
      <c r="E76" s="63">
        <f t="shared" si="2"/>
        <v>237190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TRUNC(7439,-1)</f>
        <v>7430</v>
      </c>
      <c r="E89" s="63">
        <f t="shared" si="2"/>
        <v>24560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TRUNC(9515,-1)</f>
        <v>9510</v>
      </c>
      <c r="E91" s="63">
        <f t="shared" si="2"/>
        <v>31430</v>
      </c>
    </row>
    <row r="92" spans="1:7" x14ac:dyDescent="0.3">
      <c r="A92" s="2">
        <v>24</v>
      </c>
      <c r="C92" s="38" t="s">
        <v>38</v>
      </c>
      <c r="D92" s="42">
        <f>TRUNC(8910,-1)</f>
        <v>8910</v>
      </c>
      <c r="E92" s="63">
        <f t="shared" si="2"/>
        <v>29450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TRUNC(1977+533+5160+3460,-1)</f>
        <v>11130</v>
      </c>
      <c r="E94" s="64">
        <f t="shared" si="2"/>
        <v>36790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157680</v>
      </c>
      <c r="E95" s="39">
        <f>SUM(E69:E94)</f>
        <v>521220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TRUNC(18464,-1)</f>
        <v>18460</v>
      </c>
      <c r="E98" s="62">
        <f t="shared" ref="E98:E118" si="3">TRUNC(+D98*3.3058,-1)</f>
        <v>61020</v>
      </c>
    </row>
    <row r="99" spans="1:7" x14ac:dyDescent="0.3">
      <c r="A99" s="2">
        <v>2</v>
      </c>
      <c r="C99" s="38" t="s">
        <v>40</v>
      </c>
      <c r="D99" s="42">
        <f>TRUNC(11538,-1)</f>
        <v>11530</v>
      </c>
      <c r="E99" s="63">
        <f t="shared" si="3"/>
        <v>38110</v>
      </c>
    </row>
    <row r="100" spans="1:7" x14ac:dyDescent="0.3">
      <c r="A100" s="2">
        <v>3</v>
      </c>
      <c r="C100" s="38" t="s">
        <v>41</v>
      </c>
      <c r="D100" s="42">
        <f>TRUNC(36510,-1)</f>
        <v>36510</v>
      </c>
      <c r="E100" s="63">
        <f t="shared" si="3"/>
        <v>120690</v>
      </c>
    </row>
    <row r="101" spans="1:7" x14ac:dyDescent="0.3">
      <c r="A101" s="2">
        <v>4</v>
      </c>
      <c r="C101" s="38" t="s">
        <v>42</v>
      </c>
      <c r="D101" s="42">
        <f>TRUNC(2281,-1)</f>
        <v>2280</v>
      </c>
      <c r="E101" s="63">
        <f t="shared" si="3"/>
        <v>7530</v>
      </c>
    </row>
    <row r="102" spans="1:7" x14ac:dyDescent="0.3">
      <c r="A102" s="2">
        <v>5</v>
      </c>
      <c r="C102" s="38" t="s">
        <v>43</v>
      </c>
      <c r="D102" s="42">
        <f>TRUNC(22232,-1)</f>
        <v>22230</v>
      </c>
      <c r="E102" s="63">
        <f t="shared" si="3"/>
        <v>73480</v>
      </c>
    </row>
    <row r="103" spans="1:7" x14ac:dyDescent="0.3">
      <c r="A103" s="2">
        <v>6</v>
      </c>
      <c r="C103" s="38" t="s">
        <v>44</v>
      </c>
      <c r="D103" s="42">
        <f>TRUNC(4850,-1)</f>
        <v>4850</v>
      </c>
      <c r="E103" s="63">
        <f t="shared" si="3"/>
        <v>16030</v>
      </c>
    </row>
    <row r="104" spans="1:7" x14ac:dyDescent="0.3">
      <c r="A104" s="2">
        <v>7</v>
      </c>
      <c r="C104" s="38" t="s">
        <v>45</v>
      </c>
      <c r="D104" s="42">
        <f>TRUNC(4770,-1)</f>
        <v>4770</v>
      </c>
      <c r="E104" s="63">
        <f t="shared" si="3"/>
        <v>15760</v>
      </c>
    </row>
    <row r="105" spans="1:7" x14ac:dyDescent="0.3">
      <c r="A105" s="2">
        <v>8</v>
      </c>
      <c r="C105" s="38" t="s">
        <v>46</v>
      </c>
      <c r="D105" s="42">
        <f>TRUNC(14954,-1)</f>
        <v>14950</v>
      </c>
      <c r="E105" s="63">
        <f t="shared" si="3"/>
        <v>49420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TRUNC(2472,-1)</f>
        <v>2470</v>
      </c>
      <c r="E114" s="63">
        <f t="shared" si="3"/>
        <v>8160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TRUNC(7496,-1)</f>
        <v>7490</v>
      </c>
      <c r="E116" s="63">
        <f t="shared" si="3"/>
        <v>24760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TRUNC(103944,-1)</f>
        <v>103940</v>
      </c>
      <c r="E117" s="63">
        <f t="shared" si="3"/>
        <v>343600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229480</v>
      </c>
      <c r="E119" s="39">
        <f>SUM(E98:E118)</f>
        <v>758560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TRUNC(5268,-1)</f>
        <v>5260</v>
      </c>
      <c r="E122" s="62">
        <f t="shared" ref="E122:E132" si="4">TRUNC(+D122*3.3058,-1)</f>
        <v>17380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TRUNC(4193,-1)</f>
        <v>4190</v>
      </c>
      <c r="E124" s="63">
        <f t="shared" si="4"/>
        <v>13850</v>
      </c>
    </row>
    <row r="125" spans="1:7" x14ac:dyDescent="0.3">
      <c r="A125" s="2">
        <v>4</v>
      </c>
      <c r="C125" s="38" t="s">
        <v>138</v>
      </c>
      <c r="D125" s="42">
        <f>TRUNC(7443,-1)</f>
        <v>7440</v>
      </c>
      <c r="E125" s="63">
        <f t="shared" si="4"/>
        <v>24590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TRUNC(9768,-1)</f>
        <v>9760</v>
      </c>
      <c r="E128" s="63">
        <f t="shared" si="4"/>
        <v>32260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TRUNC(25609,-1)</f>
        <v>25600</v>
      </c>
      <c r="E130" s="63">
        <f t="shared" si="4"/>
        <v>84620</v>
      </c>
    </row>
    <row r="131" spans="1:7" x14ac:dyDescent="0.3">
      <c r="A131" s="2">
        <v>10</v>
      </c>
      <c r="C131" s="38" t="s">
        <v>148</v>
      </c>
      <c r="D131" s="42">
        <f>TRUNC(23757,-1)</f>
        <v>23750</v>
      </c>
      <c r="E131" s="63">
        <f t="shared" si="4"/>
        <v>78510</v>
      </c>
    </row>
    <row r="132" spans="1:7" ht="18" thickBot="1" x14ac:dyDescent="0.35">
      <c r="A132" s="2">
        <v>11</v>
      </c>
      <c r="C132" s="38" t="s">
        <v>47</v>
      </c>
      <c r="D132" s="43">
        <f>TRUNC(2951+3044,-1)</f>
        <v>5990</v>
      </c>
      <c r="E132" s="64">
        <f t="shared" si="4"/>
        <v>19800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81990</v>
      </c>
      <c r="E133" s="39">
        <f>SUM(E122:E132)</f>
        <v>271010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TRUNC(1269,-1)</f>
        <v>1260</v>
      </c>
      <c r="E139" s="63">
        <f t="shared" si="5"/>
        <v>4160</v>
      </c>
    </row>
    <row r="140" spans="1:7" x14ac:dyDescent="0.3">
      <c r="A140" s="2">
        <v>5</v>
      </c>
      <c r="C140" s="38" t="s">
        <v>57</v>
      </c>
      <c r="D140" s="42">
        <f>TRUNC(1690,-1)</f>
        <v>1690</v>
      </c>
      <c r="E140" s="63">
        <f t="shared" si="5"/>
        <v>5580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TRUNC(10130,-1)</f>
        <v>10130</v>
      </c>
      <c r="E142" s="63">
        <f t="shared" si="5"/>
        <v>33480</v>
      </c>
    </row>
    <row r="143" spans="1:7" x14ac:dyDescent="0.3">
      <c r="A143" s="2">
        <v>8</v>
      </c>
      <c r="C143" s="38" t="s">
        <v>62</v>
      </c>
      <c r="D143" s="42">
        <f>TRUNC(5314,-1)</f>
        <v>5310</v>
      </c>
      <c r="E143" s="63">
        <f t="shared" si="5"/>
        <v>17550</v>
      </c>
    </row>
    <row r="144" spans="1:7" x14ac:dyDescent="0.3">
      <c r="A144" s="2">
        <v>9</v>
      </c>
      <c r="C144" s="38" t="s">
        <v>63</v>
      </c>
      <c r="D144" s="42">
        <f>TRUNC(26880,-1)</f>
        <v>26880</v>
      </c>
      <c r="E144" s="63">
        <f t="shared" si="5"/>
        <v>88850</v>
      </c>
    </row>
    <row r="145" spans="1:7" ht="17.25" thickBot="1" x14ac:dyDescent="0.35">
      <c r="A145" s="2">
        <v>10</v>
      </c>
      <c r="C145" s="38" t="s">
        <v>148</v>
      </c>
      <c r="D145" s="43">
        <f>TRUNC(21271,-1)</f>
        <v>21270</v>
      </c>
      <c r="E145" s="64">
        <f t="shared" si="5"/>
        <v>70310</v>
      </c>
    </row>
    <row r="146" spans="1:7" x14ac:dyDescent="0.3">
      <c r="A146" s="2">
        <v>11</v>
      </c>
      <c r="C146" s="27" t="s">
        <v>112</v>
      </c>
      <c r="D146" s="39">
        <f>SUM(D136:D145)</f>
        <v>66540</v>
      </c>
      <c r="E146" s="39">
        <f>SUM(E136:E145)</f>
        <v>219930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TRUNC(4546+630,-1)</f>
        <v>5170</v>
      </c>
      <c r="E149" s="62">
        <f>TRUNC(+D149*3.3058,-1)</f>
        <v>17090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TRUNC(2885,-1)</f>
        <v>2880</v>
      </c>
      <c r="E150" s="63">
        <f>TRUNC(+D150*3.3058,-1)</f>
        <v>9520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TRUNC(2110+203+255,-1)</f>
        <v>2560</v>
      </c>
      <c r="E152" s="63">
        <f>TRUNC(+D152*3.3058,-1)</f>
        <v>8460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10610</v>
      </c>
      <c r="E154" s="39">
        <f>SUM(E149:E153)</f>
        <v>35070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TRUNC(5653,-1)</f>
        <v>5650</v>
      </c>
      <c r="E157" s="62">
        <f>TRUNC(+D157*3.3058,-1)</f>
        <v>18670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5650</v>
      </c>
      <c r="E161" s="39">
        <f>SUM(E157:E160)</f>
        <v>18670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2020-12-08T02:51:12Z</dcterms:modified>
</cp:coreProperties>
</file>