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7" i="4"/>
  <c r="D152" i="4"/>
  <c r="D151" i="4"/>
  <c r="D150" i="4"/>
  <c r="D149" i="4"/>
  <c r="D137" i="4"/>
  <c r="D144" i="4"/>
  <c r="D143" i="4"/>
  <c r="D139" i="4"/>
  <c r="D141" i="4"/>
  <c r="D142" i="4"/>
  <c r="D132" i="4"/>
  <c r="D128" i="4"/>
  <c r="D125" i="4"/>
  <c r="D122" i="4"/>
  <c r="D130" i="4"/>
  <c r="D105" i="4"/>
  <c r="D103" i="4"/>
  <c r="D102" i="4"/>
  <c r="D100" i="4"/>
  <c r="D98" i="4"/>
  <c r="D94" i="4"/>
  <c r="D84" i="4"/>
  <c r="D92" i="4"/>
  <c r="D89" i="4"/>
  <c r="D73" i="4"/>
  <c r="D72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<sst xmlns="http://schemas.openxmlformats.org/spreadsheetml/2006/main" count="392" uniqueCount="265">
  <si>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</si>
  <si>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</si>
  <si>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</si>
  <si>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</si>
  <si>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</si>
  <si>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</si>
  <si>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</si>
  <si>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</si>
  <si>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</si>
  <si>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</si>
  <si>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</si>
  <si>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</si>
  <si>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</si>
  <si>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</si>
  <si>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</si>
  <si>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</si>
  <si>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</si>
  <si>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</si>
  <si>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</si>
  <si>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</si>
  <si>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</si>
  <si>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</si>
  <si>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</si>
  <si>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</si>
  <si>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</si>
  <si>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</si>
  <si>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</si>
  <si>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</si>
  <si>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</si>
  <si>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</si>
  <si>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</si>
  <si>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</si>
  <si>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</si>
  <si>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</si>
  <si>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</si>
  <si>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</si>
  <si>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</si>
  <si>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</si>
  <si>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</si>
  <si>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</si>
  <si>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</si>
  <si>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</si>
  <si>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</si>
  <si>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</si>
  <si>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</si>
  <si>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</si>
  <si>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</si>
  <si>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</si>
  <si>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</si>
  <si>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</si>
  <si>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</si>
  <si>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</si>
  <si>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</si>
  <si>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</si>
  <si>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</si>
  <si>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</si>
  <si>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</si>
  <si>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</si>
  <si>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</si>
  <si>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</si>
  <si>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</si>
  <si>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</si>
  <si>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</si>
  <si>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</si>
  <si>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</si>
  <si>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</si>
  <si>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</si>
  <si>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</si>
  <si>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</si>
  <si>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</si>
  <si>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</si>
  <si>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</si>
  <si>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</si>
  <si>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</si>
  <si>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</si>
  <si>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</si>
  <si>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</si>
  <si>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</si>
  <si>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</si>
  <si>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</si>
  <si>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</si>
  <si>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</si>
  <si>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</si>
  <si>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</si>
  <si>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</si>
  <si>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</si>
  <si>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</si>
  <si>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</si>
  <si>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</si>
  <si>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</si>
  <si>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</si>
  <si>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</si>
  <si>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</si>
  <si>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</si>
  <si>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</si>
  <si>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</si>
  <si>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</si>
  <si>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</si>
  <si>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</si>
  <si>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</si>
  <si>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</si>
  <si>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</si>
  <si>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</si>
  <si>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</si>
  <si>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</si>
  <si>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</si>
  <si>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</si>
  <si>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</si>
  <si>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</si>
  <si>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</si>
  <si>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</si>
  <si>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</si>
  <si>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</si>
  <si>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</si>
  <si>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</si>
  <si>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</si>
  <si>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</si>
  <si>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</si>
  <si>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</si>
  <si>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</si>
  <si>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</si>
  <si>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</si>
  <si>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</si>
  <si>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</si>
  <si>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</si>
  <si>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</si>
  <si>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</si>
  <si>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</si>
  <si>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</si>
  <si>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</si>
  <si>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</si>
  <si>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</si>
  <si>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</si>
  <si>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</si>
  <si>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</si>
  <si>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</si>
  <si>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</si>
  <si>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</si>
  <si>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</si>
  <si>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</si>
  <si>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</si>
  <si>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</si>
  <si>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</si>
  <si>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</si>
  <si>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</si>
  <si>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</si>
  <si>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</si>
  <si>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</si>
  <si>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</si>
  <si>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</si>
  <si>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</si>
  <si>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</si>
  <si>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</si>
  <si>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</si>
  <si>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</si>
  <si>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</si>
  <si>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</si>
  <si>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</si>
  <si>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</si>
  <si>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</si>
  <si>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</si>
  <si>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</si>
  <si>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</si>
  <si>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</si>
  <si>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</si>
  <si>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</si>
  <si>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</si>
  <si>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</si>
  <si>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</si>
  <si>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</si>
  <si>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</si>
  <si>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</si>
  <si>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</si>
  <si>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</si>
  <si>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</si>
  <si>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</si>
  <si>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</si>
  <si>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</si>
  <si>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</si>
  <si>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</si>
  <si>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</si>
  <si>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</si>
  <si>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</si>
  <si>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</si>
  <si>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</si>
  <si>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</si>
  <si>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</si>
  <si>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</si>
  <si>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</si>
  <si>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</si>
  <si>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</si>
  <si>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</si>
  <si>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</si>
  <si>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</si>
  <si>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</si>
  <si>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</si>
  <si>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</si>
  <si>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</si>
  <si>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</si>
  <si>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</si>
  <si>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</si>
  <si>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</si>
  <si>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</si>
  <si>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</si>
  <si>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</si>
  <si>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</si>
  <si>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</si>
  <si>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</si>
  <si>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</si>
  <si>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</si>
  <si>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</si>
  <si>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</si>
  <si>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</si>
  <si>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</si>
  <si>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</si>
  <si>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</si>
  <si>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</si>
  <si>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</si>
  <si>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</si>
  <si>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</si>
  <si>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</si>
  <si>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</si>
  <si>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</si>
  <si>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</si>
  <si>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</si>
  <si>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</si>
  <si>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</si>
  <si>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</si>
  <si>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</si>
  <si>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</si>
  <si>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</si>
  <si>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</si>
  <si>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</si>
  <si>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</si>
  <si>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</si>
  <si>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</si>
  <si>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</si>
  <si>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</si>
  <si>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</si>
  <si>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</si>
  <si>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</si>
  <si>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</si>
  <si>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</si>
  <si>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</si>
  <si>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</si>
  <si>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</si>
  <si>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</si>
  <si>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</si>
  <si>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오송보건의료행정타운 제2직장어린이집 건립공사(건축·기계)</t>
    <phoneticPr fontId="2" type="noConversion"/>
  </si>
  <si>
    <t>기타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</si>
  <si>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</si>
  <si>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</si>
  <si>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</si>
  <si>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</si>
  <si>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</si>
  <si>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공조배관공사,난방배관공사</t>
    <phoneticPr fontId="2" type="noConversion"/>
  </si>
  <si>
    <t>바닥난방공사</t>
    <phoneticPr fontId="2" type="noConversion"/>
  </si>
  <si>
    <t>CATV 및 TV 설비공사</t>
    <phoneticPr fontId="2" type="noConversion"/>
  </si>
  <si>
    <t>기타공사</t>
    <phoneticPr fontId="2" type="noConversion"/>
  </si>
  <si>
    <t>옥외소화배관공사,기타공사</t>
    <phoneticPr fontId="2" type="noConversion"/>
  </si>
  <si>
    <t>사급자재비,운반비,기타공사</t>
    <phoneticPr fontId="2" type="noConversion"/>
  </si>
  <si>
    <t>우수공사,오수공사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</si>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</sst>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1797.54</v>
      </c>
      <c r="D7" s="36">
        <f>+C7/3.3058</f>
        <v>543.75340310968602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1198080</v>
      </c>
      <c r="E25" s="59">
        <f t="shared" si="0"/>
        <v>3960610</v>
      </c>
    </row>
    <row r="26" spans="1:5" x14ac:dyDescent="0.3">
      <c r="B26" s="2">
        <v>3</v>
      </c>
      <c r="C26" s="35" t="s">
        <v>95</v>
      </c>
      <c r="D26" s="45">
        <f>+D66</f>
        <v>15760</v>
      </c>
      <c r="E26" s="59">
        <f t="shared" si="0"/>
        <v>52090</v>
      </c>
    </row>
    <row r="27" spans="1:5" x14ac:dyDescent="0.3">
      <c r="B27" s="2">
        <v>4</v>
      </c>
      <c r="C27" s="35" t="s">
        <v>96</v>
      </c>
      <c r="D27" s="45">
        <f>+D95</f>
        <v>367690</v>
      </c>
      <c r="E27" s="59">
        <f t="shared" si="0"/>
        <v>1215500</v>
      </c>
    </row>
    <row r="28" spans="1:5" x14ac:dyDescent="0.3">
      <c r="B28" s="2">
        <v>5</v>
      </c>
      <c r="C28" s="35" t="s">
        <v>97</v>
      </c>
      <c r="D28" s="45">
        <f>+D119</f>
        <v>192780</v>
      </c>
      <c r="E28" s="59">
        <f t="shared" si="0"/>
        <v>637290</v>
      </c>
    </row>
    <row r="29" spans="1:5" x14ac:dyDescent="0.3">
      <c r="B29" s="2">
        <v>6</v>
      </c>
      <c r="C29" s="35" t="s">
        <v>98</v>
      </c>
      <c r="D29" s="45">
        <f>+D133</f>
        <v>93070</v>
      </c>
      <c r="E29" s="59">
        <f t="shared" si="0"/>
        <v>307670</v>
      </c>
    </row>
    <row r="30" spans="1:5" x14ac:dyDescent="0.3">
      <c r="B30" s="2">
        <v>7</v>
      </c>
      <c r="C30" s="35" t="s">
        <v>99</v>
      </c>
      <c r="D30" s="45">
        <f>+D146</f>
        <v>112770</v>
      </c>
      <c r="E30" s="59">
        <f t="shared" si="0"/>
        <v>372790</v>
      </c>
    </row>
    <row r="31" spans="1:5" x14ac:dyDescent="0.3">
      <c r="B31" s="2">
        <v>8</v>
      </c>
      <c r="C31" s="35" t="s">
        <v>100</v>
      </c>
      <c r="D31" s="45">
        <f>+D154</f>
        <v>146230</v>
      </c>
      <c r="E31" s="59">
        <f t="shared" si="0"/>
        <v>483400</v>
      </c>
    </row>
    <row r="32" spans="1:5" x14ac:dyDescent="0.3">
      <c r="B32" s="2">
        <v>9</v>
      </c>
      <c r="C32" s="35" t="s">
        <v>101</v>
      </c>
      <c r="D32" s="45">
        <f>+D161</f>
        <v>30060</v>
      </c>
      <c r="E32" s="59">
        <f t="shared" si="0"/>
        <v>99370</v>
      </c>
    </row>
    <row r="33" spans="1:7" x14ac:dyDescent="0.3">
      <c r="B33" s="2">
        <v>10</v>
      </c>
      <c r="C33" s="35" t="s">
        <v>154</v>
      </c>
      <c r="D33" s="53">
        <f>TRUNC(SUM(D24:D32)*0.275,-1)</f>
        <v>593020</v>
      </c>
      <c r="E33" s="60">
        <f t="shared" si="0"/>
        <v>1960400</v>
      </c>
    </row>
    <row r="34" spans="1:7" x14ac:dyDescent="0.3">
      <c r="C34" s="35" t="s">
        <v>112</v>
      </c>
      <c r="D34" s="44">
        <f>SUM(D24:D33)</f>
        <v>2749460</v>
      </c>
      <c r="E34" s="44">
        <f>SUM(E24:E33)</f>
        <v>9089120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TRUNC(72296,-1)</f>
        <v>72290</v>
      </c>
      <c r="E40" s="62">
        <f t="shared" ref="E40:E59" si="1">TRUNC(+D40*3.3058,-1)</f>
        <v>238970</v>
      </c>
    </row>
    <row r="41" spans="1:7" x14ac:dyDescent="0.3">
      <c r="A41" s="2">
        <v>2</v>
      </c>
      <c r="C41" s="38" t="s">
        <v>13</v>
      </c>
      <c r="D41" s="42">
        <f>TRUNC(235836,-1)</f>
        <v>235830</v>
      </c>
      <c r="E41" s="63">
        <f t="shared" si="1"/>
        <v>779600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TRUNC(55539,-1)</f>
        <v>55530</v>
      </c>
      <c r="E43" s="63">
        <f t="shared" si="1"/>
        <v>183570</v>
      </c>
    </row>
    <row r="44" spans="1:7" x14ac:dyDescent="0.3">
      <c r="A44" s="2">
        <v>5</v>
      </c>
      <c r="C44" s="38" t="s">
        <v>17</v>
      </c>
      <c r="D44" s="42">
        <f>TRUNC(46032,-1)</f>
        <v>46030</v>
      </c>
      <c r="E44" s="63">
        <f t="shared" si="1"/>
        <v>152160</v>
      </c>
    </row>
    <row r="45" spans="1:7" x14ac:dyDescent="0.3">
      <c r="A45" s="2">
        <v>6</v>
      </c>
      <c r="C45" s="38" t="s">
        <v>18</v>
      </c>
      <c r="D45" s="42">
        <f>TRUNC(22849,-1)</f>
        <v>22840</v>
      </c>
      <c r="E45" s="63">
        <f t="shared" si="1"/>
        <v>75500</v>
      </c>
    </row>
    <row r="46" spans="1:7" x14ac:dyDescent="0.3">
      <c r="A46" s="2">
        <v>7</v>
      </c>
      <c r="C46" s="38" t="s">
        <v>19</v>
      </c>
      <c r="D46" s="42">
        <f>TRUNC(28735,-1)</f>
        <v>28730</v>
      </c>
      <c r="E46" s="63">
        <f t="shared" si="1"/>
        <v>94970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TRUNC(118580,-1)</f>
        <v>118580</v>
      </c>
      <c r="E48" s="63">
        <f t="shared" si="1"/>
        <v>392000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TRUNC(37055,-1)</f>
        <v>37050</v>
      </c>
      <c r="E49" s="63">
        <f t="shared" si="1"/>
        <v>122470</v>
      </c>
    </row>
    <row r="50" spans="1:7" x14ac:dyDescent="0.3">
      <c r="A50" s="2">
        <v>11</v>
      </c>
      <c r="C50" s="38" t="s">
        <v>155</v>
      </c>
      <c r="D50" s="42">
        <f>TRUNC(55212,-1)</f>
        <v>55210</v>
      </c>
      <c r="E50" s="63">
        <f t="shared" si="1"/>
        <v>182510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TRUNC(17766,-1)</f>
        <v>17760</v>
      </c>
      <c r="E52" s="63">
        <f t="shared" si="1"/>
        <v>58710</v>
      </c>
    </row>
    <row r="53" spans="1:7" x14ac:dyDescent="0.3">
      <c r="A53" s="2">
        <v>14</v>
      </c>
      <c r="C53" s="38" t="s">
        <v>25</v>
      </c>
      <c r="D53" s="42">
        <f>TRUNC(144307,-1)</f>
        <v>144300</v>
      </c>
      <c r="E53" s="63">
        <f t="shared" si="1"/>
        <v>477020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TRUNC(33269+12782-976+2296+3432,-1)</f>
        <v>50800</v>
      </c>
      <c r="E58" s="63">
        <f t="shared" si="1"/>
        <v>167930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TRUNC(313136,-1)</f>
        <v>313130</v>
      </c>
      <c r="E59" s="64">
        <f t="shared" si="1"/>
        <v>1035140</v>
      </c>
    </row>
    <row r="60" spans="1:7" x14ac:dyDescent="0.3">
      <c r="A60" s="2">
        <v>21</v>
      </c>
      <c r="C60" s="27" t="s">
        <v>112</v>
      </c>
      <c r="D60" s="39">
        <f>SUM(D40:D59)</f>
        <v>1198080</v>
      </c>
      <c r="E60" s="39">
        <f>SUM(E40:E59)</f>
        <v>3960550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TRUNC(15764,-1)</f>
        <v>15760</v>
      </c>
      <c r="E63" s="62">
        <f>TRUNC(+D63*3.3058,-1)</f>
        <v>52090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15760</v>
      </c>
      <c r="E66" s="65">
        <f>SUM(E63:E65)</f>
        <v>52090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TRUNC(9374,-1)</f>
        <v>9370</v>
      </c>
      <c r="E69" s="62">
        <f t="shared" ref="E69:E94" si="2">TRUNC(+D69*3.3058,-1)</f>
        <v>30970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TRUNC(8692,-1)</f>
        <v>8690</v>
      </c>
      <c r="E72" s="63">
        <f t="shared" si="2"/>
        <v>28720</v>
      </c>
    </row>
    <row r="73" spans="1:7" x14ac:dyDescent="0.3">
      <c r="A73" s="2">
        <v>5</v>
      </c>
      <c r="C73" s="38" t="s">
        <v>34</v>
      </c>
      <c r="D73" s="42">
        <f>TRUNC(49356,-1)</f>
        <v>49350</v>
      </c>
      <c r="E73" s="63">
        <f t="shared" si="2"/>
        <v>163140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TRUNC(63773,-1)</f>
        <v>63770</v>
      </c>
      <c r="E84" s="63">
        <f t="shared" si="2"/>
        <v>210810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TRUNC(17111,-1)</f>
        <v>17110</v>
      </c>
      <c r="E89" s="63">
        <f t="shared" si="2"/>
        <v>56560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TRUNC(20456,-1)</f>
        <v>20450</v>
      </c>
      <c r="E92" s="63">
        <f t="shared" si="2"/>
        <v>67600</v>
      </c>
    </row>
    <row r="93" spans="1:7" x14ac:dyDescent="0.3">
      <c r="A93" s="2">
        <v>25</v>
      </c>
      <c r="C93" s="38" t="s">
        <v>148</v>
      </c>
      <c r="D93" s="42">
        <f>TRUNC(182651,-1)</f>
        <v>182650</v>
      </c>
      <c r="E93" s="63">
        <f t="shared" si="2"/>
        <v>603800</v>
      </c>
    </row>
    <row r="94" spans="1:7" ht="17.25" thickBot="1" x14ac:dyDescent="0.35">
      <c r="A94" s="2">
        <v>26</v>
      </c>
      <c r="C94" s="38" t="s">
        <v>47</v>
      </c>
      <c r="D94" s="43">
        <f>TRUNC(13338+2967,-1)</f>
        <v>16300</v>
      </c>
      <c r="E94" s="64">
        <f t="shared" si="2"/>
        <v>53880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367690</v>
      </c>
      <c r="E95" s="39">
        <f>SUM(E69:E94)</f>
        <v>1215480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TRUNC(25748,-1)</f>
        <v>25740</v>
      </c>
      <c r="E98" s="62">
        <f t="shared" ref="E98:E118" si="3">TRUNC(+D98*3.3058,-1)</f>
        <v>85090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TRUNC(52564,-1)</f>
        <v>52560</v>
      </c>
      <c r="E100" s="63">
        <f t="shared" si="3"/>
        <v>173750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TRUNC(15055,-1)</f>
        <v>15050</v>
      </c>
      <c r="E102" s="63">
        <f t="shared" si="3"/>
        <v>49750</v>
      </c>
    </row>
    <row r="103" spans="1:7" x14ac:dyDescent="0.3">
      <c r="A103" s="2">
        <v>6</v>
      </c>
      <c r="C103" s="38" t="s">
        <v>44</v>
      </c>
      <c r="D103" s="42">
        <f>TRUNC(15649,-1)</f>
        <v>15640</v>
      </c>
      <c r="E103" s="63">
        <f t="shared" si="3"/>
        <v>51700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TRUNC(11804,-1)</f>
        <v>11800</v>
      </c>
      <c r="E105" s="63">
        <f t="shared" si="3"/>
        <v>39000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TRUNC(71991,-1)</f>
        <v>71990</v>
      </c>
      <c r="E117" s="63">
        <f t="shared" si="3"/>
        <v>237980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192780</v>
      </c>
      <c r="E119" s="39">
        <f>SUM(E98:E118)</f>
        <v>637270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TRUNC(7607,-1)</f>
        <v>7600</v>
      </c>
      <c r="E122" s="62">
        <f t="shared" ref="E122:E132" si="4">TRUNC(+D122*3.3058,-1)</f>
        <v>25120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TRUNC(8360,-1)</f>
        <v>8360</v>
      </c>
      <c r="E125" s="63">
        <f t="shared" si="4"/>
        <v>27630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TRUNC(3682,-1)</f>
        <v>3680</v>
      </c>
      <c r="E128" s="63">
        <f t="shared" si="4"/>
        <v>12160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TRUNC(16787,-1)</f>
        <v>16780</v>
      </c>
      <c r="E130" s="63">
        <f t="shared" si="4"/>
        <v>55470</v>
      </c>
    </row>
    <row r="131" spans="1:7" x14ac:dyDescent="0.3">
      <c r="A131" s="2">
        <v>10</v>
      </c>
      <c r="C131" s="38" t="s">
        <v>148</v>
      </c>
      <c r="D131" s="42">
        <f>TRUNC(46333,-1)</f>
        <v>46330</v>
      </c>
      <c r="E131" s="63">
        <f t="shared" si="4"/>
        <v>153150</v>
      </c>
    </row>
    <row r="132" spans="1:7" ht="18" thickBot="1" x14ac:dyDescent="0.35">
      <c r="A132" s="2">
        <v>11</v>
      </c>
      <c r="C132" s="38" t="s">
        <v>47</v>
      </c>
      <c r="D132" s="43">
        <f>TRUNC(10325,-1)</f>
        <v>10320</v>
      </c>
      <c r="E132" s="64">
        <f t="shared" si="4"/>
        <v>34110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93070</v>
      </c>
      <c r="E133" s="39">
        <f>SUM(E122:E132)</f>
        <v>307640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TRUNC(6619+8422,-1)</f>
        <v>15040</v>
      </c>
      <c r="E137" s="63">
        <f t="shared" si="5"/>
        <v>49710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TRUNC(5153,-1)</f>
        <v>5150</v>
      </c>
      <c r="E139" s="63">
        <f t="shared" si="5"/>
        <v>17020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TRUNC(38764,-1)</f>
        <v>38760</v>
      </c>
      <c r="E141" s="63">
        <f t="shared" si="5"/>
        <v>128130</v>
      </c>
    </row>
    <row r="142" spans="1:7" x14ac:dyDescent="0.3">
      <c r="A142" s="2">
        <v>7</v>
      </c>
      <c r="C142" s="38" t="s">
        <v>58</v>
      </c>
      <c r="D142" s="42">
        <f>TRUNC(31365,-1)</f>
        <v>31360</v>
      </c>
      <c r="E142" s="63">
        <f t="shared" si="5"/>
        <v>103660</v>
      </c>
    </row>
    <row r="143" spans="1:7" x14ac:dyDescent="0.3">
      <c r="A143" s="2">
        <v>8</v>
      </c>
      <c r="C143" s="38" t="s">
        <v>62</v>
      </c>
      <c r="D143" s="42">
        <f>TRUNC(13394,-1)</f>
        <v>13390</v>
      </c>
      <c r="E143" s="63">
        <f t="shared" si="5"/>
        <v>44260</v>
      </c>
    </row>
    <row r="144" spans="1:7" x14ac:dyDescent="0.3">
      <c r="A144" s="2">
        <v>9</v>
      </c>
      <c r="C144" s="38" t="s">
        <v>63</v>
      </c>
      <c r="D144" s="42">
        <f>TRUNC(9072,-1)</f>
        <v>9070</v>
      </c>
      <c r="E144" s="63">
        <f t="shared" si="5"/>
        <v>29980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112770</v>
      </c>
      <c r="E146" s="39">
        <f>SUM(E136:E145)</f>
        <v>372760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TRUNC(5558+865,-1)</f>
        <v>6420</v>
      </c>
      <c r="E149" s="62">
        <f>TRUNC(+D149*3.3058,-1)</f>
        <v>21220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TRUNC(15238,-1)</f>
        <v>15230</v>
      </c>
      <c r="E150" s="63">
        <f>TRUNC(+D150*3.3058,-1)</f>
        <v>50340</v>
      </c>
    </row>
    <row r="151" spans="1:7" x14ac:dyDescent="0.3">
      <c r="A151" s="2">
        <v>3</v>
      </c>
      <c r="C151" s="38" t="s">
        <v>50</v>
      </c>
      <c r="D151" s="42">
        <f>TRUNC(9587,-1)</f>
        <v>9580</v>
      </c>
      <c r="E151" s="63">
        <f>TRUNC(+D151*3.3058,-1)</f>
        <v>31660</v>
      </c>
    </row>
    <row r="152" spans="1:7" x14ac:dyDescent="0.3">
      <c r="A152" s="2">
        <v>4</v>
      </c>
      <c r="C152" s="38" t="s">
        <v>47</v>
      </c>
      <c r="D152" s="42">
        <f>TRUNC(38648+1019+4593,-1)</f>
        <v>44260</v>
      </c>
      <c r="E152" s="63">
        <f>TRUNC(+D152*3.3058,-1)</f>
        <v>146310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TRUNC(70741,-1)</f>
        <v>70740</v>
      </c>
      <c r="E153" s="64">
        <f>TRUNC(+D153*3.3058,-1)</f>
        <v>233850</v>
      </c>
    </row>
    <row r="154" spans="1:7" x14ac:dyDescent="0.3">
      <c r="A154" s="2">
        <v>6</v>
      </c>
      <c r="C154" s="27" t="s">
        <v>112</v>
      </c>
      <c r="D154" s="39">
        <f>SUM(D149:D153)</f>
        <v>146230</v>
      </c>
      <c r="E154" s="39">
        <f>SUM(E149:E153)</f>
        <v>483380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TRUNC(2912,-1)</f>
        <v>2910</v>
      </c>
      <c r="E157" s="62">
        <f>TRUNC(+D157*3.3058,-1)</f>
        <v>9610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f>TRUNC(27159,-1)</f>
        <v>27150</v>
      </c>
      <c r="E160" s="64">
        <f>TRUNC(+D160*3.3058,-1)</f>
        <v>89750</v>
      </c>
    </row>
    <row r="161" spans="1:5" x14ac:dyDescent="0.3">
      <c r="A161" s="2">
        <v>5</v>
      </c>
      <c r="C161" s="27" t="s">
        <v>112</v>
      </c>
      <c r="D161" s="39">
        <f>SUM(D157:D160)</f>
        <v>30060</v>
      </c>
      <c r="E161" s="39">
        <f>SUM(E157:E160)</f>
        <v>99360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2020-12-08T04:48:48Z</dcterms:modified>
</cp:coreProperties>
</file>