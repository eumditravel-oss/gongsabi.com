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37" i="4"/>
  <c r="D144" i="4"/>
  <c r="D143" i="4"/>
  <c r="D145" i="4"/>
  <c r="D139" i="4"/>
  <c r="D141" i="4"/>
  <c r="D142" i="4"/>
  <c r="D140" i="4"/>
  <c r="D128" i="4"/>
  <c r="D127" i="4"/>
  <c r="D132" i="4"/>
  <c r="D124" i="4"/>
  <c r="D125" i="4"/>
  <c r="D122" i="4"/>
  <c r="D130" i="4"/>
  <c r="D118" i="4"/>
  <c r="D105" i="4"/>
  <c r="D104" i="4"/>
  <c r="D103" i="4"/>
  <c r="D102" i="4"/>
  <c r="D101" i="4"/>
  <c r="D100" i="4"/>
  <c r="D99" i="4"/>
  <c r="D114" i="4"/>
  <c r="D98" i="4"/>
  <c r="D116" i="4"/>
  <c r="D94" i="4"/>
  <c r="D92" i="4"/>
  <c r="D91" i="4"/>
  <c r="D90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D131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19" i="4"/>
  <c r="E95" i="4"/>
  <c r="E60" i="4"/>
  <c r="E133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D24" i="4"/>
  <c r="E24" i="4" s="1"/>
  <c r="D27" i="4"/>
  <c r="E27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<sst xmlns="http://schemas.openxmlformats.org/spreadsheetml/2006/main" count="395" uniqueCount="270">
  <si>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</si>
  <si>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</si>
  <si>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</si>
  <si>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</si>
  <si>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</si>
  <si>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</si>
  <si>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</si>
  <si>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</si>
  <si>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</si>
  <si>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</si>
  <si>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</si>
  <si>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</si>
  <si>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</si>
  <si>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</si>
  <si>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</si>
  <si>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</si>
  <si>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</si>
  <si>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</si>
  <si>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</si>
  <si>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</si>
  <si>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</si>
  <si>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</si>
  <si>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</si>
  <si>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</si>
  <si>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</si>
  <si>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</si>
  <si>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</si>
  <si>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</si>
  <si>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</si>
  <si>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</si>
  <si>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</si>
  <si>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</si>
  <si>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</si>
  <si>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</si>
  <si>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</si>
  <si>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</si>
  <si>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</si>
  <si>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</si>
  <si>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</si>
  <si>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</si>
  <si>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</si>
  <si>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</si>
  <si>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</si>
  <si>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</si>
  <si>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</si>
  <si>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</si>
  <si>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</si>
  <si>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</si>
  <si>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</si>
  <si>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</si>
  <si>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</si>
  <si>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</si>
  <si>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</si>
  <si>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</si>
  <si>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</si>
  <si>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</si>
  <si>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</si>
  <si>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</si>
  <si>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</si>
  <si>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</si>
  <si>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</si>
  <si>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</si>
  <si>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</si>
  <si>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</si>
  <si>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</si>
  <si>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</si>
  <si>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</si>
  <si>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</si>
  <si>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</si>
  <si>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</si>
  <si>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</si>
  <si>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</si>
  <si>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</si>
  <si>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</si>
  <si>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</si>
  <si>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</si>
  <si>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</si>
  <si>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</si>
  <si>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</si>
  <si>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</si>
  <si>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</si>
  <si>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</si>
  <si>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</si>
  <si>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</si>
  <si>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</si>
  <si>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</si>
  <si>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</si>
  <si>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</si>
  <si>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</si>
  <si>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</si>
  <si>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</si>
  <si>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</si>
  <si>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</si>
  <si>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</si>
  <si>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</si>
  <si>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</si>
  <si>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</si>
  <si>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</si>
  <si>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</si>
  <si>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</si>
  <si>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</si>
  <si>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</si>
  <si>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</si>
  <si>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</si>
  <si>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</si>
  <si>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</si>
  <si>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</si>
  <si>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</si>
  <si>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</si>
  <si>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</si>
  <si>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</si>
  <si>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</si>
  <si>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</si>
  <si>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</si>
  <si>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</si>
  <si>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</si>
  <si>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</si>
  <si>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</si>
  <si>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</si>
  <si>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</si>
  <si>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</si>
  <si>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</si>
  <si>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</si>
  <si>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</si>
  <si>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</si>
  <si>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</si>
  <si>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</si>
  <si>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</si>
  <si>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</si>
  <si>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</si>
  <si>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</si>
  <si>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</si>
  <si>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</si>
  <si>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</si>
  <si>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</si>
  <si>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</si>
  <si>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</si>
  <si>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</si>
  <si>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</si>
  <si>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</si>
  <si>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</si>
  <si>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</si>
  <si>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</si>
  <si>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</si>
  <si>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</si>
  <si>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</si>
  <si>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</si>
  <si>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</si>
  <si>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</si>
  <si>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</si>
  <si>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</si>
  <si>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</si>
  <si>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</si>
  <si>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</si>
  <si>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</si>
  <si>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</si>
  <si>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</si>
  <si>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</si>
  <si>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</si>
  <si>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</si>
  <si>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</si>
  <si>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</si>
  <si>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</si>
  <si>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</si>
  <si>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</si>
  <si>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</si>
  <si>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</si>
  <si>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</si>
  <si>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</si>
  <si>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</si>
  <si>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</si>
  <si>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</si>
  <si>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</si>
  <si>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</si>
  <si>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</si>
  <si>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</si>
  <si>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</si>
  <si>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</si>
  <si>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</si>
  <si>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</si>
  <si>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</si>
  <si>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</si>
  <si>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</si>
  <si>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</si>
  <si>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</si>
  <si>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</si>
  <si>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</si>
  <si>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</si>
  <si>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</si>
  <si>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</si>
  <si>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</si>
  <si>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</si>
  <si>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</si>
  <si>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</si>
  <si>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</si>
  <si>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</si>
  <si>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</si>
  <si>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</si>
  <si>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</si>
  <si>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</si>
  <si>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</si>
  <si>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</si>
  <si>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</si>
  <si>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</si>
  <si>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</si>
  <si>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</si>
  <si>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</si>
  <si>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</si>
  <si>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</si>
  <si>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</si>
  <si>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</si>
  <si>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</si>
  <si>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</si>
  <si>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</si>
  <si>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</si>
  <si>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</si>
  <si>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</si>
  <si>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</si>
  <si>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</si>
  <si>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</si>
  <si>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</si>
  <si>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</si>
  <si>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</si>
  <si>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</si>
  <si>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</si>
  <si>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</si>
  <si>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</si>
  <si>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</si>
  <si>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</si>
  <si>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</si>
  <si>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</si>
  <si>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</si>
  <si>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</si>
  <si>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</si>
  <si>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</si>
  <si>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</si>
  <si>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</si>
  <si>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</si>
  <si>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</si>
  <si>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</si>
  <si>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</si>
  <si>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</si>
  <si>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</si>
  <si>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</si>
  <si>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</si>
  <si>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</si>
  <si>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</si>
  <si>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</si>
  <si>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정선경찰서 청사 신축사업</t>
    <phoneticPr fontId="2" type="noConversion"/>
  </si>
  <si>
    <t>업무</t>
  </si>
  <si>
    <t>강원도</t>
  </si>
  <si>
    <t>기초공사,해체및철거공사,골재비및운반비,기타공사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</si>
  <si>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</si>
  <si>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</si>
  <si>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</si>
  <si>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난방배관공사,기타공사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</si>
  <si>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</si>
  <si>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</si>
  <si>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</si>
  <si>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</si>
  <si>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</si>
  <si>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</si>
  <si>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</si>
  <si>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포장공사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</si>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</sst>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6926.13</v>
      </c>
      <c r="D7" s="36">
        <f>+C7/3.3058</f>
        <v>2095.144896847964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958310</v>
      </c>
      <c r="E25" s="59">
        <f t="shared" si="0"/>
        <v>3167980</v>
      </c>
    </row>
    <row r="26" spans="1:5" x14ac:dyDescent="0.3">
      <c r="B26" s="2">
        <v>3</v>
      </c>
      <c r="C26" s="35" t="s">
        <v>95</v>
      </c>
      <c r="D26" s="45">
        <f>+D66</f>
        <v>12530</v>
      </c>
      <c r="E26" s="59">
        <f t="shared" si="0"/>
        <v>41420</v>
      </c>
    </row>
    <row r="27" spans="1:5" x14ac:dyDescent="0.3">
      <c r="B27" s="2">
        <v>4</v>
      </c>
      <c r="C27" s="35" t="s">
        <v>96</v>
      </c>
      <c r="D27" s="45">
        <f>+D95</f>
        <v>79260</v>
      </c>
      <c r="E27" s="59">
        <f t="shared" si="0"/>
        <v>262010</v>
      </c>
    </row>
    <row r="28" spans="1:5" x14ac:dyDescent="0.3">
      <c r="B28" s="2">
        <v>5</v>
      </c>
      <c r="C28" s="35" t="s">
        <v>97</v>
      </c>
      <c r="D28" s="45">
        <f>+D119</f>
        <v>242590</v>
      </c>
      <c r="E28" s="59">
        <f t="shared" si="0"/>
        <v>801950</v>
      </c>
    </row>
    <row r="29" spans="1:5" x14ac:dyDescent="0.3">
      <c r="B29" s="2">
        <v>6</v>
      </c>
      <c r="C29" s="35" t="s">
        <v>98</v>
      </c>
      <c r="D29" s="45">
        <f>+D133</f>
        <v>167060</v>
      </c>
      <c r="E29" s="59">
        <f t="shared" si="0"/>
        <v>552260</v>
      </c>
    </row>
    <row r="30" spans="1:5" x14ac:dyDescent="0.3">
      <c r="B30" s="2">
        <v>7</v>
      </c>
      <c r="C30" s="35" t="s">
        <v>99</v>
      </c>
      <c r="D30" s="45">
        <f>+D146</f>
        <v>53430</v>
      </c>
      <c r="E30" s="59">
        <f t="shared" si="0"/>
        <v>176620</v>
      </c>
    </row>
    <row r="31" spans="1:5" x14ac:dyDescent="0.3">
      <c r="B31" s="2">
        <v>8</v>
      </c>
      <c r="C31" s="35" t="s">
        <v>100</v>
      </c>
      <c r="D31" s="45">
        <f>+D154</f>
        <v>43360</v>
      </c>
      <c r="E31" s="59">
        <f t="shared" si="0"/>
        <v>143330</v>
      </c>
    </row>
    <row r="32" spans="1:5" x14ac:dyDescent="0.3">
      <c r="B32" s="2">
        <v>9</v>
      </c>
      <c r="C32" s="35" t="s">
        <v>101</v>
      </c>
      <c r="D32" s="45">
        <f>+D161</f>
        <v>26550</v>
      </c>
      <c r="E32" s="59">
        <f t="shared" si="0"/>
        <v>87760</v>
      </c>
    </row>
    <row r="33" spans="1:7" x14ac:dyDescent="0.3">
      <c r="B33" s="2">
        <v>10</v>
      </c>
      <c r="C33" s="35" t="s">
        <v>154</v>
      </c>
      <c r="D33" s="53">
        <f>TRUNC(SUM(D24:D32)*0.275,-1)</f>
        <v>435340</v>
      </c>
      <c r="E33" s="60">
        <f t="shared" si="0"/>
        <v>1439140</v>
      </c>
    </row>
    <row r="34" spans="1:7" x14ac:dyDescent="0.3">
      <c r="C34" s="35" t="s">
        <v>112</v>
      </c>
      <c r="D34" s="44">
        <f>SUM(D24:D33)</f>
        <v>2018430</v>
      </c>
      <c r="E34" s="44">
        <f>SUM(E24:E33)</f>
        <v>6672470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TRUNC(45810,-1)</f>
        <v>45810</v>
      </c>
      <c r="E40" s="62">
        <f t="shared" ref="E40:E59" si="1">TRUNC(+D40*3.3058,-1)</f>
        <v>151430</v>
      </c>
    </row>
    <row r="41" spans="1:7" x14ac:dyDescent="0.3">
      <c r="A41" s="2">
        <v>2</v>
      </c>
      <c r="C41" s="38" t="s">
        <v>13</v>
      </c>
      <c r="D41" s="42">
        <f>TRUNC(152632,-1)</f>
        <v>152630</v>
      </c>
      <c r="E41" s="63">
        <f t="shared" si="1"/>
        <v>504560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TRUNC(31731,-1)</f>
        <v>31730</v>
      </c>
      <c r="E43" s="63">
        <f t="shared" si="1"/>
        <v>104890</v>
      </c>
    </row>
    <row r="44" spans="1:7" x14ac:dyDescent="0.3">
      <c r="A44" s="2">
        <v>5</v>
      </c>
      <c r="C44" s="38" t="s">
        <v>17</v>
      </c>
      <c r="D44" s="42">
        <f>TRUNC(26479,-1)</f>
        <v>26470</v>
      </c>
      <c r="E44" s="63">
        <f t="shared" si="1"/>
        <v>87500</v>
      </c>
    </row>
    <row r="45" spans="1:7" x14ac:dyDescent="0.3">
      <c r="A45" s="2">
        <v>6</v>
      </c>
      <c r="C45" s="38" t="s">
        <v>18</v>
      </c>
      <c r="D45" s="42">
        <f>TRUNC(14343,-1)</f>
        <v>14340</v>
      </c>
      <c r="E45" s="63">
        <f t="shared" si="1"/>
        <v>47400</v>
      </c>
    </row>
    <row r="46" spans="1:7" x14ac:dyDescent="0.3">
      <c r="A46" s="2">
        <v>7</v>
      </c>
      <c r="C46" s="38" t="s">
        <v>19</v>
      </c>
      <c r="D46" s="42">
        <f>TRUNC(33248,-1)</f>
        <v>33240</v>
      </c>
      <c r="E46" s="63">
        <f t="shared" si="1"/>
        <v>109880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TRUNC(26054,-1)</f>
        <v>26050</v>
      </c>
      <c r="E48" s="63">
        <f t="shared" si="1"/>
        <v>86110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TRUNC(24330,-1)</f>
        <v>24330</v>
      </c>
      <c r="E49" s="63">
        <f t="shared" si="1"/>
        <v>80430</v>
      </c>
    </row>
    <row r="50" spans="1:7" x14ac:dyDescent="0.3">
      <c r="A50" s="2">
        <v>11</v>
      </c>
      <c r="C50" s="38" t="s">
        <v>155</v>
      </c>
      <c r="D50" s="42">
        <f>TRUNC(40989,-1)</f>
        <v>40980</v>
      </c>
      <c r="E50" s="63">
        <f t="shared" si="1"/>
        <v>135470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TRUNC(12658,-1)</f>
        <v>12650</v>
      </c>
      <c r="E52" s="63">
        <f t="shared" si="1"/>
        <v>41810</v>
      </c>
    </row>
    <row r="53" spans="1:7" x14ac:dyDescent="0.3">
      <c r="A53" s="2">
        <v>14</v>
      </c>
      <c r="C53" s="38" t="s">
        <v>25</v>
      </c>
      <c r="D53" s="42">
        <f>TRUNC(79745,-1)</f>
        <v>79740</v>
      </c>
      <c r="E53" s="63">
        <f t="shared" si="1"/>
        <v>263600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TRUNC(23600+31853+10893+24027,-1)</f>
        <v>90370</v>
      </c>
      <c r="E58" s="63">
        <f t="shared" si="1"/>
        <v>298740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TRUNC(379972,-1)</f>
        <v>379970</v>
      </c>
      <c r="E59" s="64">
        <f t="shared" si="1"/>
        <v>1256100</v>
      </c>
    </row>
    <row r="60" spans="1:7" x14ac:dyDescent="0.3">
      <c r="A60" s="2">
        <v>21</v>
      </c>
      <c r="C60" s="27" t="s">
        <v>112</v>
      </c>
      <c r="D60" s="39">
        <f>SUM(D40:D59)</f>
        <v>958310</v>
      </c>
      <c r="E60" s="39">
        <f>SUM(E40:E59)</f>
        <v>3167920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TRUNC(12531,-1)</f>
        <v>12530</v>
      </c>
      <c r="E63" s="62">
        <f>TRUNC(+D63*3.3058,-1)</f>
        <v>41420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12530</v>
      </c>
      <c r="E66" s="65">
        <f>SUM(E63:E65)</f>
        <v>41420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TRUNC(6102,-1)</f>
        <v>6100</v>
      </c>
      <c r="E69" s="62">
        <f t="shared" ref="E69:E94" si="2">TRUNC(+D69*3.3058,-1)</f>
        <v>20160</v>
      </c>
    </row>
    <row r="70" spans="1:7" ht="16.5" customHeight="1" x14ac:dyDescent="0.3">
      <c r="A70" s="2">
        <v>2</v>
      </c>
      <c r="C70" s="38" t="s">
        <v>31</v>
      </c>
      <c r="D70" s="42">
        <f>TRUNC(5845,-1)</f>
        <v>5840</v>
      </c>
      <c r="E70" s="63">
        <f t="shared" si="2"/>
        <v>19300</v>
      </c>
    </row>
    <row r="71" spans="1:7" x14ac:dyDescent="0.3">
      <c r="A71" s="2">
        <v>3</v>
      </c>
      <c r="C71" s="38" t="s">
        <v>32</v>
      </c>
      <c r="D71" s="42">
        <f>TRUNC(12050,-1)</f>
        <v>12050</v>
      </c>
      <c r="E71" s="63">
        <f t="shared" si="2"/>
        <v>39830</v>
      </c>
    </row>
    <row r="72" spans="1:7" x14ac:dyDescent="0.3">
      <c r="A72" s="2">
        <v>4</v>
      </c>
      <c r="C72" s="38" t="s">
        <v>33</v>
      </c>
      <c r="D72" s="42">
        <f>TRUNC(6456,-1)</f>
        <v>6450</v>
      </c>
      <c r="E72" s="63">
        <f t="shared" si="2"/>
        <v>21320</v>
      </c>
    </row>
    <row r="73" spans="1:7" x14ac:dyDescent="0.3">
      <c r="A73" s="2">
        <v>5</v>
      </c>
      <c r="C73" s="38" t="s">
        <v>34</v>
      </c>
      <c r="D73" s="42">
        <f>TRUNC(14252,-1)</f>
        <v>14250</v>
      </c>
      <c r="E73" s="63">
        <f t="shared" si="2"/>
        <v>47100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TRUNC(13340,-1)</f>
        <v>13340</v>
      </c>
      <c r="E89" s="63">
        <f t="shared" si="2"/>
        <v>44090</v>
      </c>
    </row>
    <row r="90" spans="1:7" x14ac:dyDescent="0.3">
      <c r="A90" s="2">
        <v>22</v>
      </c>
      <c r="C90" s="38" t="s">
        <v>36</v>
      </c>
      <c r="D90" s="42">
        <f>TRUNC(1089,-1)</f>
        <v>1080</v>
      </c>
      <c r="E90" s="63">
        <f t="shared" si="2"/>
        <v>3570</v>
      </c>
    </row>
    <row r="91" spans="1:7" x14ac:dyDescent="0.3">
      <c r="A91" s="2">
        <v>23</v>
      </c>
      <c r="C91" s="38" t="s">
        <v>37</v>
      </c>
      <c r="D91" s="42">
        <f>TRUNC(9785,-1)</f>
        <v>9780</v>
      </c>
      <c r="E91" s="63">
        <f t="shared" si="2"/>
        <v>32330</v>
      </c>
    </row>
    <row r="92" spans="1:7" x14ac:dyDescent="0.3">
      <c r="A92" s="2">
        <v>24</v>
      </c>
      <c r="C92" s="38" t="s">
        <v>38</v>
      </c>
      <c r="D92" s="42">
        <f>TRUNC(6931,-1)</f>
        <v>6930</v>
      </c>
      <c r="E92" s="63">
        <f t="shared" si="2"/>
        <v>22900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TRUNC(1687+1762,-1)</f>
        <v>3440</v>
      </c>
      <c r="E94" s="64">
        <f t="shared" si="2"/>
        <v>11370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79260</v>
      </c>
      <c r="E95" s="39">
        <f>SUM(E69:E94)</f>
        <v>261970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TRUNC(11453,-1)</f>
        <v>11450</v>
      </c>
      <c r="E98" s="62">
        <f t="shared" ref="E98:E118" si="3">TRUNC(+D98*3.3058,-1)</f>
        <v>37850</v>
      </c>
    </row>
    <row r="99" spans="1:7" x14ac:dyDescent="0.3">
      <c r="A99" s="2">
        <v>2</v>
      </c>
      <c r="C99" s="38" t="s">
        <v>40</v>
      </c>
      <c r="D99" s="42">
        <f>TRUNC(6665,-1)</f>
        <v>6660</v>
      </c>
      <c r="E99" s="63">
        <f t="shared" si="3"/>
        <v>22010</v>
      </c>
    </row>
    <row r="100" spans="1:7" x14ac:dyDescent="0.3">
      <c r="A100" s="2">
        <v>3</v>
      </c>
      <c r="C100" s="38" t="s">
        <v>41</v>
      </c>
      <c r="D100" s="42">
        <f>TRUNC(30404,-1)</f>
        <v>30400</v>
      </c>
      <c r="E100" s="63">
        <f t="shared" si="3"/>
        <v>100490</v>
      </c>
    </row>
    <row r="101" spans="1:7" x14ac:dyDescent="0.3">
      <c r="A101" s="2">
        <v>4</v>
      </c>
      <c r="C101" s="38" t="s">
        <v>42</v>
      </c>
      <c r="D101" s="42">
        <f>TRUNC(8943,-1)</f>
        <v>8940</v>
      </c>
      <c r="E101" s="63">
        <f t="shared" si="3"/>
        <v>29550</v>
      </c>
    </row>
    <row r="102" spans="1:7" x14ac:dyDescent="0.3">
      <c r="A102" s="2">
        <v>5</v>
      </c>
      <c r="C102" s="38" t="s">
        <v>43</v>
      </c>
      <c r="D102" s="42">
        <f>TRUNC(17227,-1)</f>
        <v>17220</v>
      </c>
      <c r="E102" s="63">
        <f t="shared" si="3"/>
        <v>56920</v>
      </c>
    </row>
    <row r="103" spans="1:7" x14ac:dyDescent="0.3">
      <c r="A103" s="2">
        <v>6</v>
      </c>
      <c r="C103" s="38" t="s">
        <v>44</v>
      </c>
      <c r="D103" s="42">
        <f>TRUNC(6360,-1)</f>
        <v>6360</v>
      </c>
      <c r="E103" s="63">
        <f t="shared" si="3"/>
        <v>21020</v>
      </c>
    </row>
    <row r="104" spans="1:7" x14ac:dyDescent="0.3">
      <c r="A104" s="2">
        <v>7</v>
      </c>
      <c r="C104" s="38" t="s">
        <v>45</v>
      </c>
      <c r="D104" s="42">
        <f>TRUNC(3854,-1)</f>
        <v>3850</v>
      </c>
      <c r="E104" s="63">
        <f t="shared" si="3"/>
        <v>12720</v>
      </c>
    </row>
    <row r="105" spans="1:7" x14ac:dyDescent="0.3">
      <c r="A105" s="2">
        <v>8</v>
      </c>
      <c r="C105" s="38" t="s">
        <v>46</v>
      </c>
      <c r="D105" s="42">
        <f>TRUNC(6577,-1)</f>
        <v>6570</v>
      </c>
      <c r="E105" s="63">
        <f t="shared" si="3"/>
        <v>21710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TRUNC(3623,-1)</f>
        <v>3620</v>
      </c>
      <c r="E114" s="63">
        <f t="shared" si="3"/>
        <v>11960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TRUNC(2853,-1)</f>
        <v>2850</v>
      </c>
      <c r="E116" s="63">
        <f t="shared" si="3"/>
        <v>9420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TRUNC(140621,-1)</f>
        <v>140620</v>
      </c>
      <c r="E117" s="63">
        <f t="shared" si="3"/>
        <v>464860</v>
      </c>
    </row>
    <row r="118" spans="1:7" ht="17.25" thickBot="1" x14ac:dyDescent="0.35">
      <c r="A118" s="2">
        <v>21</v>
      </c>
      <c r="C118" s="38" t="s">
        <v>47</v>
      </c>
      <c r="D118" s="43">
        <f>TRUNC(4050,-1)</f>
        <v>4050</v>
      </c>
      <c r="E118" s="64">
        <f t="shared" si="3"/>
        <v>13380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242590</v>
      </c>
      <c r="E119" s="39">
        <f>SUM(E98:E118)</f>
        <v>801890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TRUNC(5578,-1)</f>
        <v>5570</v>
      </c>
      <c r="E122" s="62">
        <f t="shared" ref="E122:E132" si="4">TRUNC(+D122*3.3058,-1)</f>
        <v>18410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TRUNC(1672,-1)</f>
        <v>1670</v>
      </c>
      <c r="E124" s="63">
        <f t="shared" si="4"/>
        <v>5520</v>
      </c>
    </row>
    <row r="125" spans="1:7" x14ac:dyDescent="0.3">
      <c r="A125" s="2">
        <v>4</v>
      </c>
      <c r="C125" s="38" t="s">
        <v>138</v>
      </c>
      <c r="D125" s="42">
        <f>TRUNC(8649,-1)</f>
        <v>8640</v>
      </c>
      <c r="E125" s="63">
        <f t="shared" si="4"/>
        <v>28560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TRUNC(2786,-1)</f>
        <v>2780</v>
      </c>
      <c r="E127" s="63">
        <f t="shared" si="4"/>
        <v>9190</v>
      </c>
    </row>
    <row r="128" spans="1:7" x14ac:dyDescent="0.3">
      <c r="A128" s="2">
        <v>7</v>
      </c>
      <c r="C128" s="38" t="s">
        <v>46</v>
      </c>
      <c r="D128" s="42">
        <f>TRUNC(4979,-1)</f>
        <v>4970</v>
      </c>
      <c r="E128" s="63">
        <f t="shared" si="4"/>
        <v>16420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TRUNC(23874,-1)</f>
        <v>23870</v>
      </c>
      <c r="E130" s="63">
        <f t="shared" si="4"/>
        <v>78900</v>
      </c>
    </row>
    <row r="131" spans="1:7" x14ac:dyDescent="0.3">
      <c r="A131" s="2">
        <v>10</v>
      </c>
      <c r="C131" s="38" t="s">
        <v>148</v>
      </c>
      <c r="D131" s="42">
        <f>TRUNC(111641,-1)</f>
        <v>111640</v>
      </c>
      <c r="E131" s="63">
        <f t="shared" si="4"/>
        <v>369050</v>
      </c>
    </row>
    <row r="132" spans="1:7" ht="18" thickBot="1" x14ac:dyDescent="0.35">
      <c r="A132" s="2">
        <v>11</v>
      </c>
      <c r="C132" s="38" t="s">
        <v>47</v>
      </c>
      <c r="D132" s="43">
        <f>TRUNC(5389+1009+1526,-1)</f>
        <v>7920</v>
      </c>
      <c r="E132" s="64">
        <f t="shared" si="4"/>
        <v>26180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167060</v>
      </c>
      <c r="E133" s="39">
        <f>SUM(E122:E132)</f>
        <v>552230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TRUNC(307+3827+110,-1)</f>
        <v>4240</v>
      </c>
      <c r="E137" s="63">
        <f t="shared" si="5"/>
        <v>14010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TRUNC(1585,-1)</f>
        <v>1580</v>
      </c>
      <c r="E139" s="63">
        <f t="shared" si="5"/>
        <v>5220</v>
      </c>
    </row>
    <row r="140" spans="1:7" x14ac:dyDescent="0.3">
      <c r="A140" s="2">
        <v>5</v>
      </c>
      <c r="C140" s="38" t="s">
        <v>57</v>
      </c>
      <c r="D140" s="42">
        <f>TRUNC(2985,-1)</f>
        <v>2980</v>
      </c>
      <c r="E140" s="63">
        <f t="shared" si="5"/>
        <v>9850</v>
      </c>
    </row>
    <row r="141" spans="1:7" x14ac:dyDescent="0.3">
      <c r="A141" s="2">
        <v>6</v>
      </c>
      <c r="C141" s="38" t="s">
        <v>59</v>
      </c>
      <c r="D141" s="42">
        <f>TRUNC(14546,-1)</f>
        <v>14540</v>
      </c>
      <c r="E141" s="63">
        <f t="shared" si="5"/>
        <v>48060</v>
      </c>
    </row>
    <row r="142" spans="1:7" x14ac:dyDescent="0.3">
      <c r="A142" s="2">
        <v>7</v>
      </c>
      <c r="C142" s="38" t="s">
        <v>58</v>
      </c>
      <c r="D142" s="42">
        <f>TRUNC(7229,-1)</f>
        <v>7220</v>
      </c>
      <c r="E142" s="63">
        <f t="shared" si="5"/>
        <v>23860</v>
      </c>
    </row>
    <row r="143" spans="1:7" x14ac:dyDescent="0.3">
      <c r="A143" s="2">
        <v>8</v>
      </c>
      <c r="C143" s="38" t="s">
        <v>62</v>
      </c>
      <c r="D143" s="42">
        <f>TRUNC(7159,-1)</f>
        <v>7150</v>
      </c>
      <c r="E143" s="63">
        <f t="shared" si="5"/>
        <v>23630</v>
      </c>
    </row>
    <row r="144" spans="1:7" x14ac:dyDescent="0.3">
      <c r="A144" s="2">
        <v>9</v>
      </c>
      <c r="C144" s="38" t="s">
        <v>63</v>
      </c>
      <c r="D144" s="42">
        <f>TRUNC(10725,-1)</f>
        <v>10720</v>
      </c>
      <c r="E144" s="63">
        <f t="shared" si="5"/>
        <v>35430</v>
      </c>
    </row>
    <row r="145" spans="1:7" ht="17.25" thickBot="1" x14ac:dyDescent="0.35">
      <c r="A145" s="2">
        <v>10</v>
      </c>
      <c r="C145" s="38" t="s">
        <v>148</v>
      </c>
      <c r="D145" s="43">
        <f>TRUNC(5004,-1)</f>
        <v>5000</v>
      </c>
      <c r="E145" s="64">
        <f t="shared" si="5"/>
        <v>16520</v>
      </c>
    </row>
    <row r="146" spans="1:7" x14ac:dyDescent="0.3">
      <c r="A146" s="2">
        <v>11</v>
      </c>
      <c r="C146" s="27" t="s">
        <v>112</v>
      </c>
      <c r="D146" s="39">
        <f>SUM(D136:D145)</f>
        <v>53430</v>
      </c>
      <c r="E146" s="39">
        <f>SUM(E136:E145)</f>
        <v>176580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TRUNC(15169+3790,-1)</f>
        <v>18950</v>
      </c>
      <c r="E149" s="62">
        <f>TRUNC(+D149*3.3058,-1)</f>
        <v>62640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TRUNC(11403,-1)</f>
        <v>11400</v>
      </c>
      <c r="E150" s="63">
        <f>TRUNC(+D150*3.3058,-1)</f>
        <v>37680</v>
      </c>
    </row>
    <row r="151" spans="1:7" x14ac:dyDescent="0.3">
      <c r="A151" s="2">
        <v>3</v>
      </c>
      <c r="C151" s="38" t="s">
        <v>50</v>
      </c>
      <c r="D151" s="42">
        <f>TRUNC(7155,-1)</f>
        <v>7150</v>
      </c>
      <c r="E151" s="63">
        <f>TRUNC(+D151*3.3058,-1)</f>
        <v>23630</v>
      </c>
    </row>
    <row r="152" spans="1:7" x14ac:dyDescent="0.3">
      <c r="A152" s="2">
        <v>4</v>
      </c>
      <c r="C152" s="38" t="s">
        <v>47</v>
      </c>
      <c r="D152" s="42">
        <f>TRUNC(16+5849,-1)</f>
        <v>5860</v>
      </c>
      <c r="E152" s="63">
        <f>TRUNC(+D152*3.3058,-1)</f>
        <v>19370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43360</v>
      </c>
      <c r="E154" s="39">
        <f>SUM(E149:E153)</f>
        <v>143320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TRUNC(18237,-1)</f>
        <v>18230</v>
      </c>
      <c r="E157" s="62">
        <f>TRUNC(+D157*3.3058,-1)</f>
        <v>60260</v>
      </c>
    </row>
    <row r="158" spans="1:7" x14ac:dyDescent="0.3">
      <c r="A158" s="2">
        <v>2</v>
      </c>
      <c r="C158" s="38" t="s">
        <v>52</v>
      </c>
      <c r="D158" s="42">
        <f>TRUNC(2305,-1)</f>
        <v>2300</v>
      </c>
      <c r="E158" s="63">
        <f>TRUNC(+D158*3.3058,-1)</f>
        <v>7600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TRUNC(6029,-1)</f>
        <v>6020</v>
      </c>
      <c r="E159" s="63">
        <f>TRUNC(+D159*3.3058,-1)</f>
        <v>19900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26550</v>
      </c>
      <c r="E161" s="39">
        <f>SUM(E157:E160)</f>
        <v>87760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2020-12-08T04:02:31Z</dcterms:modified>
</cp:coreProperties>
</file>