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1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93" i="4"/>
  <c r="D153" i="4"/>
  <c r="D59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9" i="4"/>
  <c r="E57" i="4"/>
  <c r="E56" i="4"/>
  <c r="E54" i="4"/>
  <c r="E46" i="4"/>
  <c r="E37" i="4"/>
  <c r="E146" i="4" l="1"/>
  <c r="D152" i="4"/>
  <c r="E152" i="4" s="1"/>
  <c r="E154" i="4" s="1"/>
  <c r="D40" i="4"/>
  <c r="E40" i="4" s="1"/>
  <c r="D132" i="4" l="1"/>
  <c r="E132" i="4" s="1"/>
  <c r="E133" i="4" s="1"/>
  <c r="D118" i="4"/>
  <c r="E118" i="4" s="1"/>
  <c r="E119" i="4" s="1"/>
  <c r="D94" i="4"/>
  <c r="E94" i="4" s="1"/>
  <c r="E95" i="4" s="1"/>
  <c r="D63" i="4"/>
  <c r="E63" i="4" s="1"/>
  <c r="E66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3" i="4"/>
  <c r="E43" i="4" s="1"/>
  <c r="D42" i="4"/>
  <c r="E42" i="4" s="1"/>
  <c r="D41" i="4"/>
  <c r="E41" i="4" s="1"/>
  <c r="E60" i="4" s="1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27" i="4" s="1"/>
  <c r="E27" i="4" s="1"/>
  <c r="D133" i="4"/>
  <c r="D29" i="4" s="1"/>
  <c r="E29" i="4" s="1"/>
  <c r="D161" i="4"/>
  <c r="D32" i="4" s="1"/>
  <c r="E32" i="4" s="1"/>
  <c r="D7" i="4"/>
  <c r="O31" i="1"/>
  <c r="M31" i="1"/>
  <c r="D26" i="4" l="1"/>
  <c r="E26" i="4" s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<sst xmlns="http://schemas.openxmlformats.org/spreadsheetml/2006/main" count="384" uniqueCount="320">
  <si>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</si>
  <si>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</si>
  <si>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</si>
  <si>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</si>
  <si>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</si>
  <si>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</si>
  <si>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</si>
  <si>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</si>
  <si>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</si>
  <si>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</si>
  <si>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</si>
  <si>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</si>
  <si>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</si>
  <si>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</si>
  <si>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</si>
  <si>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</si>
  <si>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</si>
  <si>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</si>
  <si>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</si>
  <si>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</si>
  <si>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</si>
  <si>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</si>
  <si>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</si>
  <si>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</si>
  <si>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</si>
  <si>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</si>
  <si>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</si>
  <si>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</si>
  <si>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</si>
  <si>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</si>
  <si>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</si>
  <si>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</si>
  <si>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</si>
  <si>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</si>
  <si>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</si>
  <si>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</si>
  <si>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</si>
  <si>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</si>
  <si>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</si>
  <si>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</si>
  <si>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</si>
  <si>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</si>
  <si>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</si>
  <si>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</si>
  <si>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</si>
  <si>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</si>
  <si>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</si>
  <si>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</si>
  <si>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</si>
  <si>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</si>
  <si>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</si>
  <si>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</si>
  <si>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</si>
  <si>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</si>
  <si>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</si>
  <si>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</si>
  <si>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</si>
  <si>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</si>
  <si>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</si>
  <si>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</si>
  <si>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</si>
  <si>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</si>
  <si>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</si>
  <si>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</si>
  <si>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</si>
  <si>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</si>
  <si>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</si>
  <si>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</si>
  <si>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</si>
  <si>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</si>
  <si>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</si>
  <si>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</si>
  <si>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</si>
  <si>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</si>
  <si>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</si>
  <si>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</si>
  <si>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</si>
  <si>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</si>
  <si>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</si>
  <si>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</si>
  <si>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</si>
  <si>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</si>
  <si>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</si>
  <si>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</si>
  <si>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</si>
  <si>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</si>
  <si>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</si>
  <si>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</si>
  <si>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</si>
  <si>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</si>
  <si>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</si>
  <si>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</si>
  <si>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</si>
  <si>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</si>
  <si>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</si>
  <si>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</si>
  <si>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</si>
  <si>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</si>
  <si>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</si>
  <si>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</si>
  <si>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</si>
  <si>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</si>
  <si>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</si>
  <si>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</si>
  <si>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</si>
  <si>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</si>
  <si>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</si>
  <si>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</si>
  <si>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</si>
  <si>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</si>
  <si>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</si>
  <si>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</si>
  <si>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</si>
  <si>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</si>
  <si>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</si>
  <si>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</si>
  <si>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</si>
  <si>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</si>
  <si>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</si>
  <si>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</si>
  <si>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</si>
  <si>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</si>
  <si>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</si>
  <si>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</si>
  <si>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</si>
  <si>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</si>
  <si>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</si>
  <si>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</si>
  <si>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</si>
  <si>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</si>
  <si>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</si>
  <si>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</si>
  <si>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</si>
  <si>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</si>
  <si>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</si>
  <si>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</si>
  <si>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</si>
  <si>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</si>
  <si>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</si>
  <si>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</si>
  <si>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</si>
  <si>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</si>
  <si>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</si>
  <si>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</si>
  <si>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</si>
  <si>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</si>
  <si>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</si>
  <si>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</si>
  <si>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</si>
  <si>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</si>
  <si>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</si>
  <si>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</si>
  <si>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</si>
  <si>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</si>
  <si>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</si>
  <si>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</si>
  <si>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</si>
  <si>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</si>
  <si>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</si>
  <si>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</si>
  <si>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</si>
  <si>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</si>
  <si>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</si>
  <si>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</si>
  <si>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</si>
  <si>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</si>
  <si>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</si>
  <si>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</si>
  <si>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</si>
  <si>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</si>
  <si>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</si>
  <si>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</si>
  <si>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</si>
  <si>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</si>
  <si>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</si>
  <si>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</si>
  <si>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</si>
  <si>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</si>
  <si>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</si>
  <si>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</si>
  <si>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</si>
  <si>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</si>
  <si>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</si>
  <si>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</si>
  <si>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</si>
  <si>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</si>
  <si>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</si>
  <si>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</si>
  <si>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</si>
  <si>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</si>
  <si>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</si>
  <si>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</si>
  <si>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</si>
  <si>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</si>
  <si>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</si>
  <si>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</si>
  <si>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</si>
  <si>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</si>
  <si>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</si>
  <si>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</si>
  <si>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</si>
  <si>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</si>
  <si>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</si>
  <si>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</si>
  <si>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</si>
  <si>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</si>
  <si>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</si>
  <si>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</si>
  <si>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</si>
  <si>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</si>
  <si>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</si>
  <si>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</si>
  <si>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</si>
  <si>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</si>
  <si>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</si>
  <si>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</si>
  <si>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</si>
  <si>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</si>
  <si>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</si>
  <si>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</si>
  <si>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</si>
  <si>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</si>
  <si>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</si>
  <si>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</si>
  <si>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</si>
  <si>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</si>
  <si>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</si>
  <si>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</si>
  <si>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</si>
  <si>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</si>
  <si>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</si>
  <si>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</si>
  <si>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</si>
  <si>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</si>
  <si>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</si>
  <si>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</si>
  <si>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</si>
  <si>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</si>
  <si>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</si>
  <si>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</si>
  <si>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</si>
  <si>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</si>
  <si>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</si>
  <si>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</si>
  <si>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</si>
  <si>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</si>
  <si>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</si>
  <si>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</si>
  <si>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</si>
  <si>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</si>
  <si>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</si>
  <si>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</si>
  <si>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</si>
  <si>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</si>
  <si>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</si>
  <si>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</si>
  <si>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</si>
  <si>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</si>
  <si>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</si>
  <si>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</si>
  <si>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</si>
  <si>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</si>
  <si>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</si>
  <si>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</si>
  <si>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</si>
  <si>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</si>
  <si>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</si>
  <si>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</si>
  <si>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</si>
  <si>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</si>
  <si>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</si>
  <si>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</si>
  <si>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</si>
  <si>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</si>
  <si>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</si>
  <si>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</si>
  <si>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</si>
  <si>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</si>
  <si>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</si>
  <si>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</si>
  <si>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</si>
  <si>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</si>
  <si>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</si>
  <si>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</si>
  <si>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</si>
  <si>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</si>
  <si>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</si>
  <si>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</si>
  <si>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</si>
  <si>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</si>
  <si>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</si>
  <si>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</si>
  <si>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</si>
  <si>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</si>
  <si>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</si>
  <si>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</si>
  <si>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</si>
  <si>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</si>
  <si>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</si>
  <si>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</si>
  <si>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</si>
  <si>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</si>
  <si>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</si>
  <si>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</si>
  <si>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</si>
  <si>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</si>
  <si>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</si>
  <si>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</si>
  <si>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00검찰청 00지청 신축공사</t>
  </si>
  <si>
    <t>업무</t>
  </si>
  <si>
    <t>경상도</t>
  </si>
  <si>
    <t>기타공사,골재대 및 운반비</t>
  </si>
  <si>
    <t>토공사 및 지정공사</t>
  </si>
  <si>
    <t>작업부산물,부대시설공사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</si>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</sst>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317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13722</v>
      </c>
      <c r="D7" s="36">
        <f>+C7/3.3058</f>
        <v>4150.8863210115551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63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318</v>
      </c>
    </row>
    <row r="19" spans="1:5" x14ac:dyDescent="0.3">
      <c r="A19" s="2">
        <v>9</v>
      </c>
      <c r="B19" s="2" t="s">
        <v>319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45</v>
      </c>
      <c r="D25" s="47">
        <f>+D60</f>
        <v>860410</v>
      </c>
      <c r="E25" s="60">
        <f t="shared" si="0"/>
        <v>2844340</v>
      </c>
    </row>
    <row r="26" spans="1:5" x14ac:dyDescent="0.3">
      <c r="B26" s="2">
        <v>3</v>
      </c>
      <c r="C26" s="35" t="s">
        <v>29</v>
      </c>
      <c r="D26" s="47">
        <f>+D66</f>
        <v>103690</v>
      </c>
      <c r="E26" s="60">
        <f t="shared" si="0"/>
        <v>342770</v>
      </c>
    </row>
    <row r="27" spans="1:5" x14ac:dyDescent="0.3">
      <c r="B27" s="2">
        <v>4</v>
      </c>
      <c r="C27" s="35" t="s">
        <v>30</v>
      </c>
      <c r="D27" s="47">
        <f>+D95</f>
        <v>401610</v>
      </c>
      <c r="E27" s="60">
        <f t="shared" si="0"/>
        <v>1327640</v>
      </c>
    </row>
    <row r="28" spans="1:5" x14ac:dyDescent="0.3">
      <c r="B28" s="2">
        <v>5</v>
      </c>
      <c r="C28" s="35" t="s">
        <v>31</v>
      </c>
      <c r="D28" s="47">
        <f>+D119</f>
        <v>271760</v>
      </c>
      <c r="E28" s="60">
        <f t="shared" si="0"/>
        <v>898380</v>
      </c>
    </row>
    <row r="29" spans="1:5" x14ac:dyDescent="0.3">
      <c r="B29" s="2">
        <v>6</v>
      </c>
      <c r="C29" s="35" t="s">
        <v>32</v>
      </c>
      <c r="D29" s="47">
        <f>+D133</f>
        <v>120240</v>
      </c>
      <c r="E29" s="60">
        <f t="shared" si="0"/>
        <v>397480</v>
      </c>
    </row>
    <row r="30" spans="1:5" x14ac:dyDescent="0.3">
      <c r="B30" s="2">
        <v>7</v>
      </c>
      <c r="C30" s="35" t="s">
        <v>33</v>
      </c>
      <c r="D30" s="47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34</v>
      </c>
      <c r="D31" s="47">
        <f>+D154</f>
        <v>192520</v>
      </c>
      <c r="E31" s="60">
        <f t="shared" si="0"/>
        <v>636430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536310</v>
      </c>
      <c r="E33" s="61">
        <f t="shared" si="0"/>
        <v>1772930</v>
      </c>
    </row>
    <row r="34" spans="1:5" x14ac:dyDescent="0.3">
      <c r="C34" s="35" t="s">
        <v>46</v>
      </c>
      <c r="D34" s="46">
        <f>SUM(D24:D33)</f>
        <v>2486540</v>
      </c>
      <c r="E34" s="46">
        <f>SUM(E24:E33)</f>
        <v>8219970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v>0</v>
      </c>
      <c r="E37" s="62">
        <f>TRUNC(+D37*3.3058,-1)</f>
        <v>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315</v>
      </c>
      <c r="E39" s="68" t="s">
        <v>316</v>
      </c>
    </row>
    <row r="40" spans="1:5" x14ac:dyDescent="0.3">
      <c r="A40" s="2">
        <v>1</v>
      </c>
      <c r="C40" s="39" t="s">
        <v>75</v>
      </c>
      <c r="D40" s="42">
        <f>TRUNC(57513,-1)</f>
        <v>57510</v>
      </c>
      <c r="E40" s="63">
        <f t="shared" ref="E40:E59" si="1">TRUNC(+D40*3.3058,-1)</f>
        <v>190110</v>
      </c>
    </row>
    <row r="41" spans="1:5" x14ac:dyDescent="0.3">
      <c r="A41" s="2">
        <v>2</v>
      </c>
      <c r="C41" s="39" t="s">
        <v>6</v>
      </c>
      <c r="D41" s="44">
        <f>TRUNC(225433,-1)</f>
        <v>225430</v>
      </c>
      <c r="E41" s="64">
        <f t="shared" si="1"/>
        <v>745220</v>
      </c>
    </row>
    <row r="42" spans="1:5" x14ac:dyDescent="0.3">
      <c r="A42" s="2">
        <v>3</v>
      </c>
      <c r="C42" s="39" t="s">
        <v>7</v>
      </c>
      <c r="D42" s="44">
        <f>TRUNC(780,-1)</f>
        <v>780</v>
      </c>
      <c r="E42" s="64">
        <f t="shared" si="1"/>
        <v>2570</v>
      </c>
    </row>
    <row r="43" spans="1:5" x14ac:dyDescent="0.3">
      <c r="A43" s="2">
        <v>4</v>
      </c>
      <c r="C43" s="39" t="s">
        <v>8</v>
      </c>
      <c r="D43" s="44">
        <f>TRUNC(15059,-1)</f>
        <v>15050</v>
      </c>
      <c r="E43" s="64">
        <f t="shared" si="1"/>
        <v>49750</v>
      </c>
    </row>
    <row r="44" spans="1:5" x14ac:dyDescent="0.3">
      <c r="A44" s="2">
        <v>5</v>
      </c>
      <c r="C44" s="39" t="s">
        <v>9</v>
      </c>
      <c r="D44" s="44">
        <f>TRUNC(25291,-1)</f>
        <v>25290</v>
      </c>
      <c r="E44" s="64">
        <f t="shared" si="1"/>
        <v>83600</v>
      </c>
    </row>
    <row r="45" spans="1:5" x14ac:dyDescent="0.3">
      <c r="A45" s="2">
        <v>6</v>
      </c>
      <c r="C45" s="39" t="s">
        <v>10</v>
      </c>
      <c r="D45" s="44">
        <f>TRUNC(5186,-1)</f>
        <v>5180</v>
      </c>
      <c r="E45" s="64">
        <f t="shared" si="1"/>
        <v>17120</v>
      </c>
    </row>
    <row r="46" spans="1:5" x14ac:dyDescent="0.3">
      <c r="A46" s="2">
        <v>7</v>
      </c>
      <c r="C46" s="39" t="s">
        <v>11</v>
      </c>
      <c r="D46" s="44">
        <v>92520</v>
      </c>
      <c r="E46" s="64">
        <f t="shared" si="1"/>
        <v>305850</v>
      </c>
    </row>
    <row r="47" spans="1:5" x14ac:dyDescent="0.3">
      <c r="A47" s="2">
        <v>8</v>
      </c>
      <c r="C47" s="39" t="s">
        <v>12</v>
      </c>
      <c r="D47" s="44">
        <f>TRUNC(792,-1)</f>
        <v>790</v>
      </c>
      <c r="E47" s="64">
        <f t="shared" si="1"/>
        <v>2610</v>
      </c>
    </row>
    <row r="48" spans="1:5" x14ac:dyDescent="0.3">
      <c r="A48" s="2">
        <v>9</v>
      </c>
      <c r="C48" s="39" t="s">
        <v>13</v>
      </c>
      <c r="D48" s="44">
        <f>TRUNC(39528,-1)</f>
        <v>39520</v>
      </c>
      <c r="E48" s="64">
        <f t="shared" si="1"/>
        <v>130640</v>
      </c>
    </row>
    <row r="49" spans="1:6" x14ac:dyDescent="0.3">
      <c r="A49" s="2">
        <v>10</v>
      </c>
      <c r="C49" s="39" t="s">
        <v>14</v>
      </c>
      <c r="D49" s="44">
        <f>TRUNC(30616,-1)</f>
        <v>30610</v>
      </c>
      <c r="E49" s="64">
        <f t="shared" si="1"/>
        <v>101190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TRUNC(63460,-1)</f>
        <v>63460</v>
      </c>
      <c r="E50" s="64">
        <f t="shared" si="1"/>
        <v>209780</v>
      </c>
      <c r="F50" s="2"/>
    </row>
    <row r="51" spans="1:6" x14ac:dyDescent="0.3">
      <c r="A51" s="2">
        <v>12</v>
      </c>
      <c r="C51" s="39" t="s">
        <v>16</v>
      </c>
      <c r="D51" s="44">
        <f>TRUNC(14504,-1)</f>
        <v>14500</v>
      </c>
      <c r="E51" s="64">
        <f t="shared" si="1"/>
        <v>47930</v>
      </c>
    </row>
    <row r="52" spans="1:6" x14ac:dyDescent="0.3">
      <c r="A52" s="2">
        <v>13</v>
      </c>
      <c r="C52" s="39" t="s">
        <v>17</v>
      </c>
      <c r="D52" s="44">
        <f>TRUNC(7692,-1)</f>
        <v>7690</v>
      </c>
      <c r="E52" s="64">
        <f t="shared" si="1"/>
        <v>25420</v>
      </c>
    </row>
    <row r="53" spans="1:6" x14ac:dyDescent="0.3">
      <c r="A53" s="2">
        <v>14</v>
      </c>
      <c r="C53" s="39" t="s">
        <v>18</v>
      </c>
      <c r="D53" s="44">
        <f>TRUNC(51640,-1)</f>
        <v>51640</v>
      </c>
      <c r="E53" s="64">
        <f t="shared" si="1"/>
        <v>170710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TRUNC(528,-1)</f>
        <v>520</v>
      </c>
      <c r="E55" s="64">
        <f t="shared" si="1"/>
        <v>1710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TRUNC(49066+2990,-1)</f>
        <v>52050</v>
      </c>
      <c r="E58" s="64">
        <f t="shared" si="1"/>
        <v>172060</v>
      </c>
      <c r="F58" s="2" t="s">
        <v>311</v>
      </c>
    </row>
    <row r="59" spans="1:6" ht="17.25" thickBot="1" x14ac:dyDescent="0.35">
      <c r="A59" s="2">
        <v>20</v>
      </c>
      <c r="C59" s="39" t="s">
        <v>56</v>
      </c>
      <c r="D59" s="45">
        <f>TRUNC(177879.752441335,-1)</f>
        <v>177870</v>
      </c>
      <c r="E59" s="65">
        <f t="shared" si="1"/>
        <v>588000</v>
      </c>
    </row>
    <row r="60" spans="1:6" x14ac:dyDescent="0.3">
      <c r="A60" s="2">
        <v>21</v>
      </c>
      <c r="C60" s="27" t="s">
        <v>46</v>
      </c>
      <c r="D60" s="40">
        <f>SUM(D40:D59)</f>
        <v>860410</v>
      </c>
      <c r="E60" s="40">
        <f>SUM(E40:E59)</f>
        <v>2844270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314</v>
      </c>
    </row>
    <row r="63" spans="1:6" x14ac:dyDescent="0.3">
      <c r="A63" s="2">
        <v>1</v>
      </c>
      <c r="C63" s="39" t="s">
        <v>20</v>
      </c>
      <c r="D63" s="42">
        <f>TRUNC(103697,-1)</f>
        <v>103690</v>
      </c>
      <c r="E63" s="63">
        <f>TRUNC(+D63*3.3058,-1)</f>
        <v>342770</v>
      </c>
      <c r="F63" s="2" t="s">
        <v>312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103690</v>
      </c>
      <c r="E66" s="66">
        <f>SUM(E63:E65)</f>
        <v>342770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314</v>
      </c>
    </row>
    <row r="69" spans="1:5" x14ac:dyDescent="0.3">
      <c r="A69" s="2">
        <v>1</v>
      </c>
      <c r="C69" s="39" t="s">
        <v>78</v>
      </c>
      <c r="D69" s="42">
        <v>0</v>
      </c>
      <c r="E69" s="63">
        <f t="shared" ref="E69:E94" si="2">TRUNC(+D69*3.3058,-1)</f>
        <v>0</v>
      </c>
    </row>
    <row r="70" spans="1:5" ht="16.5" customHeight="1" x14ac:dyDescent="0.3">
      <c r="A70" s="2">
        <v>2</v>
      </c>
      <c r="C70" s="39" t="s">
        <v>79</v>
      </c>
      <c r="D70" s="44">
        <v>0</v>
      </c>
      <c r="E70" s="64">
        <f t="shared" si="2"/>
        <v>0</v>
      </c>
    </row>
    <row r="71" spans="1:5" x14ac:dyDescent="0.3">
      <c r="A71" s="2">
        <v>3</v>
      </c>
      <c r="C71" s="39" t="s">
        <v>80</v>
      </c>
      <c r="D71" s="44">
        <v>0</v>
      </c>
      <c r="E71" s="64">
        <f t="shared" si="2"/>
        <v>0</v>
      </c>
    </row>
    <row r="72" spans="1:5" x14ac:dyDescent="0.3">
      <c r="A72" s="2">
        <v>4</v>
      </c>
      <c r="C72" s="39" t="s">
        <v>81</v>
      </c>
      <c r="D72" s="44">
        <v>0</v>
      </c>
      <c r="E72" s="64">
        <f t="shared" si="2"/>
        <v>0</v>
      </c>
    </row>
    <row r="73" spans="1:5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84</v>
      </c>
      <c r="D75" s="44">
        <v>0</v>
      </c>
      <c r="E75" s="64">
        <f t="shared" si="2"/>
        <v>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87</v>
      </c>
      <c r="D78" s="44">
        <v>0</v>
      </c>
      <c r="E78" s="64">
        <f t="shared" si="2"/>
        <v>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5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5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5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5" x14ac:dyDescent="0.3">
      <c r="A84" s="2">
        <v>16</v>
      </c>
      <c r="C84" s="39" t="s">
        <v>93</v>
      </c>
      <c r="D84" s="44">
        <v>0</v>
      </c>
      <c r="E84" s="64">
        <f t="shared" si="2"/>
        <v>0</v>
      </c>
    </row>
    <row r="85" spans="1:5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5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5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5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5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5" x14ac:dyDescent="0.3">
      <c r="A90" s="2">
        <v>22</v>
      </c>
      <c r="C90" s="39" t="s">
        <v>99</v>
      </c>
      <c r="D90" s="44">
        <v>0</v>
      </c>
      <c r="E90" s="64">
        <f t="shared" si="2"/>
        <v>0</v>
      </c>
    </row>
    <row r="91" spans="1:5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5" x14ac:dyDescent="0.3">
      <c r="A92" s="2">
        <v>24</v>
      </c>
      <c r="C92" s="39" t="s">
        <v>101</v>
      </c>
      <c r="D92" s="44">
        <v>0</v>
      </c>
      <c r="E92" s="64">
        <f t="shared" si="2"/>
        <v>0</v>
      </c>
    </row>
    <row r="93" spans="1:5" x14ac:dyDescent="0.3">
      <c r="A93" s="2">
        <v>25</v>
      </c>
      <c r="C93" s="39" t="s">
        <v>102</v>
      </c>
      <c r="D93" s="44">
        <f>TRUNC(102068.065879609,-1)</f>
        <v>102060</v>
      </c>
      <c r="E93" s="64">
        <f t="shared" si="2"/>
        <v>337380</v>
      </c>
    </row>
    <row r="94" spans="1:5" ht="17.25" thickBot="1" x14ac:dyDescent="0.35">
      <c r="A94" s="2">
        <v>26</v>
      </c>
      <c r="C94" s="39" t="s">
        <v>103</v>
      </c>
      <c r="D94" s="45">
        <f>TRUNC(299558,-1)</f>
        <v>299550</v>
      </c>
      <c r="E94" s="65">
        <f t="shared" si="2"/>
        <v>990250</v>
      </c>
    </row>
    <row r="95" spans="1:5" x14ac:dyDescent="0.3">
      <c r="A95" s="2">
        <v>27</v>
      </c>
      <c r="C95" s="27" t="s">
        <v>104</v>
      </c>
      <c r="D95" s="40">
        <f>SUM(D69:D94)</f>
        <v>401610</v>
      </c>
      <c r="E95" s="40">
        <f>SUM(E69:E94)</f>
        <v>1327630</v>
      </c>
    </row>
    <row r="96" spans="1:5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5" x14ac:dyDescent="0.3">
      <c r="A98" s="2">
        <v>1</v>
      </c>
      <c r="C98" s="29" t="s">
        <v>106</v>
      </c>
      <c r="D98" s="42">
        <v>0</v>
      </c>
      <c r="E98" s="63">
        <f t="shared" ref="E98:E118" si="3">TRUNC(+D98*3.3058,-1)</f>
        <v>0</v>
      </c>
    </row>
    <row r="99" spans="1:5" x14ac:dyDescent="0.3">
      <c r="A99" s="2">
        <v>2</v>
      </c>
      <c r="C99" s="29" t="s">
        <v>107</v>
      </c>
      <c r="D99" s="44">
        <v>0</v>
      </c>
      <c r="E99" s="64">
        <f t="shared" si="3"/>
        <v>0</v>
      </c>
    </row>
    <row r="100" spans="1:5" x14ac:dyDescent="0.3">
      <c r="A100" s="2">
        <v>3</v>
      </c>
      <c r="C100" s="29" t="s">
        <v>108</v>
      </c>
      <c r="D100" s="44">
        <v>0</v>
      </c>
      <c r="E100" s="64">
        <f t="shared" si="3"/>
        <v>0</v>
      </c>
    </row>
    <row r="101" spans="1:5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5" x14ac:dyDescent="0.3">
      <c r="A102" s="2">
        <v>5</v>
      </c>
      <c r="C102" s="29" t="s">
        <v>110</v>
      </c>
      <c r="D102" s="44">
        <v>0</v>
      </c>
      <c r="E102" s="64">
        <f t="shared" si="3"/>
        <v>0</v>
      </c>
    </row>
    <row r="103" spans="1:5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112</v>
      </c>
      <c r="D104" s="44">
        <v>0</v>
      </c>
      <c r="E104" s="64">
        <f t="shared" si="3"/>
        <v>0</v>
      </c>
    </row>
    <row r="105" spans="1:5" x14ac:dyDescent="0.3">
      <c r="A105" s="2">
        <v>8</v>
      </c>
      <c r="C105" s="29" t="s">
        <v>113</v>
      </c>
      <c r="D105" s="44">
        <v>0</v>
      </c>
      <c r="E105" s="64">
        <f t="shared" si="3"/>
        <v>0</v>
      </c>
    </row>
    <row r="106" spans="1:5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5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5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5" x14ac:dyDescent="0.3">
      <c r="A114" s="2">
        <v>17</v>
      </c>
      <c r="C114" s="29" t="s">
        <v>122</v>
      </c>
      <c r="D114" s="44">
        <v>0</v>
      </c>
      <c r="E114" s="64">
        <f t="shared" si="3"/>
        <v>0</v>
      </c>
    </row>
    <row r="115" spans="1:5" x14ac:dyDescent="0.3">
      <c r="A115" s="2">
        <v>18</v>
      </c>
      <c r="C115" s="29" t="s">
        <v>123</v>
      </c>
      <c r="D115" s="44">
        <v>0</v>
      </c>
      <c r="E115" s="64">
        <f t="shared" si="3"/>
        <v>0</v>
      </c>
    </row>
    <row r="116" spans="1:5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5" x14ac:dyDescent="0.3">
      <c r="A117" s="2">
        <v>20</v>
      </c>
      <c r="C117" s="29" t="s">
        <v>102</v>
      </c>
      <c r="D117" s="44">
        <f>TRUNC(87968.5905844629,-1)</f>
        <v>87960</v>
      </c>
      <c r="E117" s="64">
        <f t="shared" si="3"/>
        <v>290770</v>
      </c>
    </row>
    <row r="118" spans="1:5" ht="17.25" thickBot="1" x14ac:dyDescent="0.35">
      <c r="A118" s="2">
        <v>21</v>
      </c>
      <c r="C118" s="29" t="s">
        <v>103</v>
      </c>
      <c r="D118" s="45">
        <f>TRUNC(183801,-1)</f>
        <v>183800</v>
      </c>
      <c r="E118" s="65">
        <f t="shared" si="3"/>
        <v>607600</v>
      </c>
    </row>
    <row r="119" spans="1:5" x14ac:dyDescent="0.3">
      <c r="A119" s="2">
        <v>22</v>
      </c>
      <c r="C119" s="27" t="s">
        <v>104</v>
      </c>
      <c r="D119" s="40">
        <f>SUM(D98:D118)</f>
        <v>271760</v>
      </c>
      <c r="E119" s="40">
        <f>SUM(E98:E118)</f>
        <v>898370</v>
      </c>
    </row>
    <row r="120" spans="1:5" s="48" customFormat="1" x14ac:dyDescent="0.3">
      <c r="C120" s="49"/>
      <c r="D120" s="49"/>
      <c r="E120" s="49"/>
    </row>
    <row r="121" spans="1:5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5" x14ac:dyDescent="0.3">
      <c r="A122" s="2">
        <v>1</v>
      </c>
      <c r="C122" s="29" t="s">
        <v>126</v>
      </c>
      <c r="D122" s="42">
        <v>0</v>
      </c>
      <c r="E122" s="63">
        <f t="shared" ref="E122:E132" si="4">TRUNC(+D122*3.3058,-1)</f>
        <v>0</v>
      </c>
    </row>
    <row r="123" spans="1:5" x14ac:dyDescent="0.3">
      <c r="A123" s="2">
        <v>2</v>
      </c>
      <c r="C123" s="29" t="s">
        <v>127</v>
      </c>
      <c r="D123" s="44">
        <v>0</v>
      </c>
      <c r="E123" s="64">
        <f t="shared" si="4"/>
        <v>0</v>
      </c>
    </row>
    <row r="124" spans="1:5" x14ac:dyDescent="0.3">
      <c r="A124" s="2">
        <v>3</v>
      </c>
      <c r="C124" s="29" t="s">
        <v>128</v>
      </c>
      <c r="D124" s="44">
        <v>0</v>
      </c>
      <c r="E124" s="64">
        <f t="shared" si="4"/>
        <v>0</v>
      </c>
    </row>
    <row r="125" spans="1:5" x14ac:dyDescent="0.3">
      <c r="A125" s="2">
        <v>4</v>
      </c>
      <c r="C125" s="29" t="s">
        <v>129</v>
      </c>
      <c r="D125" s="44">
        <v>0</v>
      </c>
      <c r="E125" s="64">
        <f t="shared" si="4"/>
        <v>0</v>
      </c>
    </row>
    <row r="126" spans="1:5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5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5" x14ac:dyDescent="0.3">
      <c r="A128" s="2">
        <v>7</v>
      </c>
      <c r="C128" s="29" t="s">
        <v>113</v>
      </c>
      <c r="D128" s="44">
        <v>0</v>
      </c>
      <c r="E128" s="64">
        <f t="shared" si="4"/>
        <v>0</v>
      </c>
    </row>
    <row r="129" spans="1:5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5" ht="17.25" customHeight="1" x14ac:dyDescent="0.3">
      <c r="A130" s="2">
        <v>9</v>
      </c>
      <c r="C130" s="29" t="s">
        <v>133</v>
      </c>
      <c r="D130" s="44">
        <v>0</v>
      </c>
      <c r="E130" s="64">
        <f t="shared" si="4"/>
        <v>0</v>
      </c>
    </row>
    <row r="131" spans="1:5" x14ac:dyDescent="0.3">
      <c r="A131" s="2">
        <v>10</v>
      </c>
      <c r="C131" s="29" t="s">
        <v>102</v>
      </c>
      <c r="D131" s="44">
        <f>TRUNC(32797.3327503279,-1)</f>
        <v>32790</v>
      </c>
      <c r="E131" s="64">
        <f t="shared" si="4"/>
        <v>108390</v>
      </c>
    </row>
    <row r="132" spans="1:5" ht="17.25" thickBot="1" x14ac:dyDescent="0.35">
      <c r="A132" s="2">
        <v>11</v>
      </c>
      <c r="C132" s="29" t="s">
        <v>103</v>
      </c>
      <c r="D132" s="45">
        <f>TRUNC(87452,-1)</f>
        <v>87450</v>
      </c>
      <c r="E132" s="65">
        <f t="shared" si="4"/>
        <v>289090</v>
      </c>
    </row>
    <row r="133" spans="1:5" x14ac:dyDescent="0.3">
      <c r="A133" s="2">
        <v>12</v>
      </c>
      <c r="C133" s="41" t="s">
        <v>104</v>
      </c>
      <c r="D133" s="40">
        <f>SUM(D122:D132)</f>
        <v>120240</v>
      </c>
      <c r="E133" s="40">
        <f>SUM(E122:E132)</f>
        <v>397480</v>
      </c>
    </row>
    <row r="134" spans="1:5" s="48" customFormat="1" x14ac:dyDescent="0.3">
      <c r="C134" s="49"/>
      <c r="D134" s="49"/>
      <c r="E134" s="49"/>
    </row>
    <row r="135" spans="1:5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5" x14ac:dyDescent="0.3">
      <c r="A136" s="2">
        <v>1</v>
      </c>
      <c r="C136" s="39" t="s">
        <v>135</v>
      </c>
      <c r="D136" s="42">
        <v>0</v>
      </c>
      <c r="E136" s="63">
        <f t="shared" ref="E136:E145" si="5">TRUNC(+D136*3.3058,-1)</f>
        <v>0</v>
      </c>
    </row>
    <row r="137" spans="1:5" x14ac:dyDescent="0.3">
      <c r="A137" s="2">
        <v>2</v>
      </c>
      <c r="C137" s="39" t="s">
        <v>103</v>
      </c>
      <c r="D137" s="44">
        <v>0</v>
      </c>
      <c r="E137" s="64">
        <f t="shared" si="5"/>
        <v>0</v>
      </c>
    </row>
    <row r="138" spans="1:5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5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5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5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5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5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5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0</v>
      </c>
      <c r="E146" s="40">
        <f>SUM(E136:E145)</f>
        <v>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TRUNC(-939+153339,-1)</f>
        <v>152400</v>
      </c>
      <c r="E152" s="64">
        <f>TRUNC(+D152*3.3058,-1)</f>
        <v>503800</v>
      </c>
      <c r="F152" s="37" t="s">
        <v>313</v>
      </c>
    </row>
    <row r="153" spans="1:6" ht="17.25" thickBot="1" x14ac:dyDescent="0.35">
      <c r="A153" s="2">
        <v>5</v>
      </c>
      <c r="C153" s="39" t="s">
        <v>102</v>
      </c>
      <c r="D153" s="45">
        <f>TRUNC(40120.4469465093,-1)</f>
        <v>40120</v>
      </c>
      <c r="E153" s="65">
        <f>TRUNC(+D153*3.3058,-1)</f>
        <v>132620</v>
      </c>
    </row>
    <row r="154" spans="1:6" x14ac:dyDescent="0.3">
      <c r="A154" s="2">
        <v>6</v>
      </c>
      <c r="C154" s="27" t="s">
        <v>104</v>
      </c>
      <c r="D154" s="40">
        <f>SUM(D149:D153)</f>
        <v>192520</v>
      </c>
      <c r="E154" s="40">
        <f>SUM(E149:E153)</f>
        <v>636420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2020-12-07T09:31:33Z</dcterms:modified>
</cp:coreProperties>
</file>