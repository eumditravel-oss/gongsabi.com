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5" i="4" l="1"/>
  <c r="D131" i="4"/>
  <c r="D117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90" i="4"/>
  <c r="D89" i="4"/>
  <c r="D76" i="4"/>
  <c r="D73" i="4"/>
  <c r="D72" i="4"/>
  <c r="D71" i="4"/>
  <c r="D70" i="4"/>
  <c r="D69" i="4"/>
  <c r="D101" i="4"/>
  <c r="D100" i="4"/>
  <c r="D99" i="4"/>
  <c r="D98" i="4"/>
  <c r="D116" i="4"/>
  <c r="D105" i="4"/>
  <c r="D104" i="4"/>
  <c r="D102" i="4"/>
  <c r="D118" i="4"/>
  <c r="D132" i="4"/>
  <c r="D128" i="4"/>
  <c r="D127" i="4"/>
  <c r="D124" i="4"/>
  <c r="D125" i="4"/>
  <c r="D122" i="4"/>
  <c r="D130" i="4"/>
  <c r="D126" i="4"/>
  <c r="D144" i="4"/>
  <c r="D143" i="4"/>
  <c r="D139" i="4"/>
  <c r="D141" i="4"/>
  <c r="D142" i="4"/>
  <c r="D140" i="4"/>
  <c r="D137" i="4"/>
  <c r="D63" i="4"/>
  <c r="D152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95" i="4"/>
  <c r="E119" i="4"/>
  <c r="E146" i="4"/>
  <c r="E154" i="4"/>
  <c r="D161" i="4"/>
  <c r="D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2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<sst xmlns="http://schemas.openxmlformats.org/spreadsheetml/2006/main" count="395" uniqueCount="270">
  <si>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</si>
  <si>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</si>
  <si>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</si>
  <si>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</si>
  <si>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</si>
  <si>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</si>
  <si>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</si>
  <si>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</si>
  <si>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</si>
  <si>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</si>
  <si>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</si>
  <si>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</si>
  <si>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</si>
  <si>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</si>
  <si>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</si>
  <si>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</si>
  <si>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</si>
  <si>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</si>
  <si>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</si>
  <si>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</si>
  <si>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</si>
  <si>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</si>
  <si>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</si>
  <si>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</si>
  <si>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</si>
  <si>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</si>
  <si>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</si>
  <si>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</si>
  <si>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</si>
  <si>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</si>
  <si>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</si>
  <si>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</si>
  <si>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</si>
  <si>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</si>
  <si>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</si>
  <si>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</si>
  <si>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</si>
  <si>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</si>
  <si>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</si>
  <si>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</si>
  <si>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</si>
  <si>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</si>
  <si>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</si>
  <si>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</si>
  <si>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</si>
  <si>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</si>
  <si>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</si>
  <si>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</si>
  <si>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</si>
  <si>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</si>
  <si>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</si>
  <si>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</si>
  <si>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</si>
  <si>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</si>
  <si>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</si>
  <si>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</si>
  <si>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</si>
  <si>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</si>
  <si>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</si>
  <si>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</si>
  <si>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</si>
  <si>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</si>
  <si>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</si>
  <si>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</si>
  <si>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</si>
  <si>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</si>
  <si>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</si>
  <si>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</si>
  <si>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</si>
  <si>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</si>
  <si>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</si>
  <si>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</si>
  <si>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</si>
  <si>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</si>
  <si>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</si>
  <si>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</si>
  <si>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</si>
  <si>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</si>
  <si>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</si>
  <si>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</si>
  <si>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</si>
  <si>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</si>
  <si>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</si>
  <si>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</si>
  <si>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</si>
  <si>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</si>
  <si>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</si>
  <si>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</si>
  <si>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</si>
  <si>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</si>
  <si>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</si>
  <si>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</si>
  <si>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</si>
  <si>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</si>
  <si>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</si>
  <si>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</si>
  <si>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</si>
  <si>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</si>
  <si>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</si>
  <si>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</si>
  <si>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</si>
  <si>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</si>
  <si>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</si>
  <si>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</si>
  <si>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</si>
  <si>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</si>
  <si>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</si>
  <si>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</si>
  <si>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</si>
  <si>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</si>
  <si>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</si>
  <si>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</si>
  <si>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</si>
  <si>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</si>
  <si>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</si>
  <si>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</si>
  <si>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</si>
  <si>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</si>
  <si>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</si>
  <si>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</si>
  <si>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</si>
  <si>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</si>
  <si>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</si>
  <si>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</si>
  <si>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</si>
  <si>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</si>
  <si>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</si>
  <si>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</si>
  <si>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</si>
  <si>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</si>
  <si>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</si>
  <si>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</si>
  <si>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</si>
  <si>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</si>
  <si>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</si>
  <si>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</si>
  <si>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</si>
  <si>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</si>
  <si>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</si>
  <si>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</si>
  <si>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</si>
  <si>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</si>
  <si>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</si>
  <si>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</si>
  <si>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</si>
  <si>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</si>
  <si>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</si>
  <si>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</si>
  <si>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</si>
  <si>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</si>
  <si>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</si>
  <si>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</si>
  <si>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</si>
  <si>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</si>
  <si>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</si>
  <si>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</si>
  <si>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</si>
  <si>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</si>
  <si>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</si>
  <si>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</si>
  <si>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</si>
  <si>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</si>
  <si>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</si>
  <si>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</si>
  <si>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</si>
  <si>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</si>
  <si>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</si>
  <si>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</si>
  <si>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</si>
  <si>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</si>
  <si>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</si>
  <si>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</si>
  <si>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</si>
  <si>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</si>
  <si>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</si>
  <si>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</si>
  <si>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</si>
  <si>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</si>
  <si>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</si>
  <si>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</si>
  <si>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</si>
  <si>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</si>
  <si>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</si>
  <si>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</si>
  <si>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</si>
  <si>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</si>
  <si>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</si>
  <si>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</si>
  <si>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</si>
  <si>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</si>
  <si>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</si>
  <si>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</si>
  <si>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</si>
  <si>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</si>
  <si>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</si>
  <si>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</si>
  <si>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</si>
  <si>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</si>
  <si>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</si>
  <si>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</si>
  <si>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</si>
  <si>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</si>
  <si>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</si>
  <si>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</si>
  <si>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</si>
  <si>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</si>
  <si>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</si>
  <si>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</si>
  <si>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</si>
  <si>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</si>
  <si>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</si>
  <si>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</si>
  <si>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</si>
  <si>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</si>
  <si>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</si>
  <si>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</si>
  <si>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</si>
  <si>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</si>
  <si>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</si>
  <si>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</si>
  <si>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</si>
  <si>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</si>
  <si>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</si>
  <si>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</si>
  <si>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</si>
  <si>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</si>
  <si>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</si>
  <si>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</si>
  <si>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</si>
  <si>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</si>
  <si>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</si>
  <si>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</si>
  <si>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</si>
  <si>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</si>
  <si>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</si>
  <si>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</si>
  <si>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</si>
  <si>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</si>
  <si>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</si>
  <si>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</si>
  <si>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</si>
  <si>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</si>
  <si>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</si>
  <si>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</si>
  <si>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</si>
  <si>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</si>
  <si>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</si>
  <si>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</si>
  <si>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한국농수산대학 시설확충 공사</t>
    <phoneticPr fontId="2" type="noConversion"/>
  </si>
  <si>
    <t>기타</t>
  </si>
  <si>
    <t>전라도</t>
  </si>
  <si>
    <t>기초공사,폐기물처리비,골재비및운반비,작업부산물,기타공사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</si>
  <si>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</si>
  <si>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</si>
  <si>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</si>
  <si>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난방배관공사,우수처리시설공사,기타공사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</si>
  <si>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</si>
  <si>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</si>
  <si>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</si>
  <si>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CCTV설비공사.기타공사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</si>
  <si>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</si>
  <si>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</si>
  <si>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상수도공사,기타공사</t>
    <phoneticPr fontId="2" type="noConversion"/>
  </si>
  <si>
    <t>조경시설물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</si>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</sst>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15017.92</v>
      </c>
      <c r="D7" s="36">
        <f>+C7/3.3058</f>
        <v>4542.9003569483939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914990</v>
      </c>
      <c r="E25" s="59">
        <f t="shared" si="0"/>
        <v>3024770</v>
      </c>
    </row>
    <row r="26" spans="1:5" x14ac:dyDescent="0.3">
      <c r="B26" s="2">
        <v>3</v>
      </c>
      <c r="C26" s="35" t="s">
        <v>95</v>
      </c>
      <c r="D26" s="45">
        <f>+D66</f>
        <v>16250</v>
      </c>
      <c r="E26" s="59">
        <f t="shared" si="0"/>
        <v>53710</v>
      </c>
    </row>
    <row r="27" spans="1:5" x14ac:dyDescent="0.3">
      <c r="B27" s="2">
        <v>4</v>
      </c>
      <c r="C27" s="35" t="s">
        <v>96</v>
      </c>
      <c r="D27" s="45">
        <f>+D95</f>
        <v>148860</v>
      </c>
      <c r="E27" s="59">
        <f t="shared" si="0"/>
        <v>492100</v>
      </c>
    </row>
    <row r="28" spans="1:5" x14ac:dyDescent="0.3">
      <c r="B28" s="2">
        <v>5</v>
      </c>
      <c r="C28" s="35" t="s">
        <v>97</v>
      </c>
      <c r="D28" s="45">
        <f>+D119</f>
        <v>281560</v>
      </c>
      <c r="E28" s="59">
        <f t="shared" si="0"/>
        <v>930780</v>
      </c>
    </row>
    <row r="29" spans="1:5" x14ac:dyDescent="0.3">
      <c r="B29" s="2">
        <v>6</v>
      </c>
      <c r="C29" s="35" t="s">
        <v>98</v>
      </c>
      <c r="D29" s="45">
        <f>+D133</f>
        <v>133760</v>
      </c>
      <c r="E29" s="59">
        <f t="shared" si="0"/>
        <v>442180</v>
      </c>
    </row>
    <row r="30" spans="1:5" x14ac:dyDescent="0.3">
      <c r="B30" s="2">
        <v>7</v>
      </c>
      <c r="C30" s="35" t="s">
        <v>99</v>
      </c>
      <c r="D30" s="45">
        <f>+D146</f>
        <v>52260</v>
      </c>
      <c r="E30" s="59">
        <f t="shared" si="0"/>
        <v>172760</v>
      </c>
    </row>
    <row r="31" spans="1:5" x14ac:dyDescent="0.3">
      <c r="B31" s="2">
        <v>8</v>
      </c>
      <c r="C31" s="35" t="s">
        <v>100</v>
      </c>
      <c r="D31" s="45">
        <f>+D154</f>
        <v>15290</v>
      </c>
      <c r="E31" s="59">
        <f t="shared" si="0"/>
        <v>50540</v>
      </c>
    </row>
    <row r="32" spans="1:5" x14ac:dyDescent="0.3">
      <c r="B32" s="2">
        <v>9</v>
      </c>
      <c r="C32" s="35" t="s">
        <v>101</v>
      </c>
      <c r="D32" s="45">
        <f>+D161</f>
        <v>41190</v>
      </c>
      <c r="E32" s="59">
        <f t="shared" si="0"/>
        <v>136160</v>
      </c>
    </row>
    <row r="33" spans="1:7" x14ac:dyDescent="0.3">
      <c r="B33" s="2">
        <v>10</v>
      </c>
      <c r="C33" s="35" t="s">
        <v>154</v>
      </c>
      <c r="D33" s="53">
        <f>TRUNC(SUM(D24:D32)*0.275,-1)</f>
        <v>441140</v>
      </c>
      <c r="E33" s="60">
        <f t="shared" si="0"/>
        <v>1458320</v>
      </c>
    </row>
    <row r="34" spans="1:7" x14ac:dyDescent="0.3">
      <c r="C34" s="35" t="s">
        <v>112</v>
      </c>
      <c r="D34" s="44">
        <f>SUM(D24:D33)</f>
        <v>2045300</v>
      </c>
      <c r="E34" s="44">
        <f>SUM(E24:E33)</f>
        <v>6761320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TRUNC(62504,-1)</f>
        <v>62500</v>
      </c>
      <c r="E40" s="62">
        <f t="shared" ref="E40:E59" si="1">TRUNC(+D40*3.3058,-1)</f>
        <v>206610</v>
      </c>
    </row>
    <row r="41" spans="1:7" x14ac:dyDescent="0.3">
      <c r="A41" s="2">
        <v>2</v>
      </c>
      <c r="C41" s="38" t="s">
        <v>13</v>
      </c>
      <c r="D41" s="42">
        <f>TRUNC(167712,-1)</f>
        <v>167710</v>
      </c>
      <c r="E41" s="63">
        <f t="shared" si="1"/>
        <v>554410</v>
      </c>
    </row>
    <row r="42" spans="1:7" x14ac:dyDescent="0.3">
      <c r="A42" s="2">
        <v>3</v>
      </c>
      <c r="C42" s="38" t="s">
        <v>14</v>
      </c>
      <c r="D42" s="42">
        <f>TRUNC(6134,-1)</f>
        <v>6130</v>
      </c>
      <c r="E42" s="63">
        <f t="shared" si="1"/>
        <v>20260</v>
      </c>
    </row>
    <row r="43" spans="1:7" x14ac:dyDescent="0.3">
      <c r="A43" s="2">
        <v>4</v>
      </c>
      <c r="C43" s="38" t="s">
        <v>16</v>
      </c>
      <c r="D43" s="42">
        <f>TRUNC(24871,-1)</f>
        <v>24870</v>
      </c>
      <c r="E43" s="63">
        <f t="shared" si="1"/>
        <v>82210</v>
      </c>
    </row>
    <row r="44" spans="1:7" x14ac:dyDescent="0.3">
      <c r="A44" s="2">
        <v>5</v>
      </c>
      <c r="C44" s="38" t="s">
        <v>17</v>
      </c>
      <c r="D44" s="42">
        <f>TRUNC(31695,-1)</f>
        <v>31690</v>
      </c>
      <c r="E44" s="63">
        <f t="shared" si="1"/>
        <v>104760</v>
      </c>
    </row>
    <row r="45" spans="1:7" x14ac:dyDescent="0.3">
      <c r="A45" s="2">
        <v>6</v>
      </c>
      <c r="C45" s="38" t="s">
        <v>18</v>
      </c>
      <c r="D45" s="42">
        <f>TRUNC(10541,-1)</f>
        <v>10540</v>
      </c>
      <c r="E45" s="63">
        <f t="shared" si="1"/>
        <v>34840</v>
      </c>
    </row>
    <row r="46" spans="1:7" x14ac:dyDescent="0.3">
      <c r="A46" s="2">
        <v>7</v>
      </c>
      <c r="C46" s="38" t="s">
        <v>19</v>
      </c>
      <c r="D46" s="42">
        <f>TRUNC(26789,-1)</f>
        <v>26780</v>
      </c>
      <c r="E46" s="63">
        <f t="shared" si="1"/>
        <v>88520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TRUNC(36152,-1)</f>
        <v>36150</v>
      </c>
      <c r="E48" s="63">
        <f t="shared" si="1"/>
        <v>119500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TRUNC(16874,-1)</f>
        <v>16870</v>
      </c>
      <c r="E49" s="63">
        <f t="shared" si="1"/>
        <v>55760</v>
      </c>
    </row>
    <row r="50" spans="1:7" x14ac:dyDescent="0.3">
      <c r="A50" s="2">
        <v>11</v>
      </c>
      <c r="C50" s="38" t="s">
        <v>155</v>
      </c>
      <c r="D50" s="42">
        <f>TRUNC(35532,-1)</f>
        <v>35530</v>
      </c>
      <c r="E50" s="63">
        <f t="shared" si="1"/>
        <v>117450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TRUNC(13665,-1)</f>
        <v>13660</v>
      </c>
      <c r="E52" s="63">
        <f t="shared" si="1"/>
        <v>45150</v>
      </c>
    </row>
    <row r="53" spans="1:7" x14ac:dyDescent="0.3">
      <c r="A53" s="2">
        <v>14</v>
      </c>
      <c r="C53" s="38" t="s">
        <v>25</v>
      </c>
      <c r="D53" s="42">
        <f>TRUNC(66487,-1)</f>
        <v>66480</v>
      </c>
      <c r="E53" s="63">
        <f t="shared" si="1"/>
        <v>219760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TRUNC(1890+53+3971-701+10973,-1)</f>
        <v>16180</v>
      </c>
      <c r="E58" s="63">
        <f t="shared" si="1"/>
        <v>53480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TRUNC(399900,-1)</f>
        <v>399900</v>
      </c>
      <c r="E59" s="64">
        <f t="shared" si="1"/>
        <v>1321980</v>
      </c>
    </row>
    <row r="60" spans="1:7" x14ac:dyDescent="0.3">
      <c r="A60" s="2">
        <v>21</v>
      </c>
      <c r="C60" s="27" t="s">
        <v>112</v>
      </c>
      <c r="D60" s="39">
        <f>SUM(D40:D59)</f>
        <v>914990</v>
      </c>
      <c r="E60" s="39">
        <f>SUM(E40:E59)</f>
        <v>3024690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TRUNC(16250,-1)</f>
        <v>16250</v>
      </c>
      <c r="E63" s="62">
        <f>TRUNC(+D63*3.3058,-1)</f>
        <v>53710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16250</v>
      </c>
      <c r="E66" s="65">
        <f>SUM(E63:E65)</f>
        <v>53710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TRUNC(6519,-1)</f>
        <v>6510</v>
      </c>
      <c r="E69" s="62">
        <f t="shared" ref="E69:E94" si="2">TRUNC(+D69*3.3058,-1)</f>
        <v>21520</v>
      </c>
    </row>
    <row r="70" spans="1:7" ht="16.5" customHeight="1" x14ac:dyDescent="0.3">
      <c r="A70" s="2">
        <v>2</v>
      </c>
      <c r="C70" s="38" t="s">
        <v>31</v>
      </c>
      <c r="D70" s="42">
        <f>TRUNC(757,-1)</f>
        <v>750</v>
      </c>
      <c r="E70" s="63">
        <f t="shared" si="2"/>
        <v>2470</v>
      </c>
    </row>
    <row r="71" spans="1:7" x14ac:dyDescent="0.3">
      <c r="A71" s="2">
        <v>3</v>
      </c>
      <c r="C71" s="38" t="s">
        <v>32</v>
      </c>
      <c r="D71" s="42">
        <f>TRUNC(11482,-1)</f>
        <v>11480</v>
      </c>
      <c r="E71" s="63">
        <f t="shared" si="2"/>
        <v>37950</v>
      </c>
    </row>
    <row r="72" spans="1:7" x14ac:dyDescent="0.3">
      <c r="A72" s="2">
        <v>4</v>
      </c>
      <c r="C72" s="38" t="s">
        <v>33</v>
      </c>
      <c r="D72" s="42">
        <f>TRUNC(14058,-1)</f>
        <v>14050</v>
      </c>
      <c r="E72" s="63">
        <f t="shared" si="2"/>
        <v>46440</v>
      </c>
    </row>
    <row r="73" spans="1:7" x14ac:dyDescent="0.3">
      <c r="A73" s="2">
        <v>5</v>
      </c>
      <c r="C73" s="38" t="s">
        <v>34</v>
      </c>
      <c r="D73" s="42">
        <f>TRUNC(19259,-1)</f>
        <v>19250</v>
      </c>
      <c r="E73" s="63">
        <f t="shared" si="2"/>
        <v>63630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TRUNC(29178,-1)</f>
        <v>29170</v>
      </c>
      <c r="E76" s="63">
        <f t="shared" si="2"/>
        <v>96430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TRUNC(18163,-1)</f>
        <v>18160</v>
      </c>
      <c r="E89" s="63">
        <f t="shared" si="2"/>
        <v>60030</v>
      </c>
    </row>
    <row r="90" spans="1:7" x14ac:dyDescent="0.3">
      <c r="A90" s="2">
        <v>22</v>
      </c>
      <c r="C90" s="38" t="s">
        <v>36</v>
      </c>
      <c r="D90" s="42">
        <f>TRUNC(1957,-1)</f>
        <v>1950</v>
      </c>
      <c r="E90" s="63">
        <f t="shared" si="2"/>
        <v>6440</v>
      </c>
    </row>
    <row r="91" spans="1:7" x14ac:dyDescent="0.3">
      <c r="A91" s="2">
        <v>23</v>
      </c>
      <c r="C91" s="38" t="s">
        <v>37</v>
      </c>
      <c r="D91" s="42">
        <f>TRUNC(17613,-1)</f>
        <v>17610</v>
      </c>
      <c r="E91" s="63">
        <f t="shared" si="2"/>
        <v>58210</v>
      </c>
    </row>
    <row r="92" spans="1:7" x14ac:dyDescent="0.3">
      <c r="A92" s="2">
        <v>24</v>
      </c>
      <c r="C92" s="38" t="s">
        <v>38</v>
      </c>
      <c r="D92" s="42">
        <f>TRUNC(13865,-1)</f>
        <v>13860</v>
      </c>
      <c r="E92" s="63">
        <f t="shared" si="2"/>
        <v>45810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TRUNC(9867+3779+2432,-1)</f>
        <v>16070</v>
      </c>
      <c r="E94" s="64">
        <f t="shared" si="2"/>
        <v>53120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148860</v>
      </c>
      <c r="E95" s="39">
        <f>SUM(E69:E94)</f>
        <v>492050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TRUNC(9748,-1)</f>
        <v>9740</v>
      </c>
      <c r="E98" s="62">
        <f t="shared" ref="E98:E118" si="3">TRUNC(+D98*3.3058,-1)</f>
        <v>32190</v>
      </c>
    </row>
    <row r="99" spans="1:7" x14ac:dyDescent="0.3">
      <c r="A99" s="2">
        <v>2</v>
      </c>
      <c r="C99" s="38" t="s">
        <v>40</v>
      </c>
      <c r="D99" s="42">
        <f>TRUNC(12020,-1)</f>
        <v>12020</v>
      </c>
      <c r="E99" s="63">
        <f t="shared" si="3"/>
        <v>39730</v>
      </c>
    </row>
    <row r="100" spans="1:7" x14ac:dyDescent="0.3">
      <c r="A100" s="2">
        <v>3</v>
      </c>
      <c r="C100" s="38" t="s">
        <v>41</v>
      </c>
      <c r="D100" s="42">
        <f>TRUNC(24945,-1)</f>
        <v>24940</v>
      </c>
      <c r="E100" s="63">
        <f t="shared" si="3"/>
        <v>82440</v>
      </c>
    </row>
    <row r="101" spans="1:7" x14ac:dyDescent="0.3">
      <c r="A101" s="2">
        <v>4</v>
      </c>
      <c r="C101" s="38" t="s">
        <v>42</v>
      </c>
      <c r="D101" s="42">
        <f>TRUNC(2673,-1)</f>
        <v>2670</v>
      </c>
      <c r="E101" s="63">
        <f t="shared" si="3"/>
        <v>8820</v>
      </c>
    </row>
    <row r="102" spans="1:7" x14ac:dyDescent="0.3">
      <c r="A102" s="2">
        <v>5</v>
      </c>
      <c r="C102" s="38" t="s">
        <v>43</v>
      </c>
      <c r="D102" s="42">
        <f>TRUNC(14210,-1)</f>
        <v>14210</v>
      </c>
      <c r="E102" s="63">
        <f t="shared" si="3"/>
        <v>46970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TRUNC(6714,-1)</f>
        <v>6710</v>
      </c>
      <c r="E104" s="63">
        <f t="shared" si="3"/>
        <v>22180</v>
      </c>
    </row>
    <row r="105" spans="1:7" x14ac:dyDescent="0.3">
      <c r="A105" s="2">
        <v>8</v>
      </c>
      <c r="C105" s="38" t="s">
        <v>46</v>
      </c>
      <c r="D105" s="42">
        <f>TRUNC(8485,-1)</f>
        <v>8480</v>
      </c>
      <c r="E105" s="63">
        <f t="shared" si="3"/>
        <v>28030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TRUNC(93102,-1)</f>
        <v>93100</v>
      </c>
      <c r="E116" s="63">
        <f t="shared" si="3"/>
        <v>307760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TRUNC(92072,-1)</f>
        <v>92070</v>
      </c>
      <c r="E117" s="63">
        <f t="shared" si="3"/>
        <v>304360</v>
      </c>
    </row>
    <row r="118" spans="1:7" ht="17.25" thickBot="1" x14ac:dyDescent="0.35">
      <c r="A118" s="2">
        <v>21</v>
      </c>
      <c r="C118" s="38" t="s">
        <v>47</v>
      </c>
      <c r="D118" s="43">
        <f>TRUNC(17625,-1)</f>
        <v>17620</v>
      </c>
      <c r="E118" s="64">
        <f t="shared" si="3"/>
        <v>58240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281560</v>
      </c>
      <c r="E119" s="39">
        <f>SUM(E98:E118)</f>
        <v>930720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TRUNC(3272,-1)</f>
        <v>3270</v>
      </c>
      <c r="E122" s="62">
        <f t="shared" ref="E122:E132" si="4">TRUNC(+D122*3.3058,-1)</f>
        <v>10800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TRUNC(2511,-1)</f>
        <v>2510</v>
      </c>
      <c r="E124" s="63">
        <f t="shared" si="4"/>
        <v>8290</v>
      </c>
    </row>
    <row r="125" spans="1:7" x14ac:dyDescent="0.3">
      <c r="A125" s="2">
        <v>4</v>
      </c>
      <c r="C125" s="38" t="s">
        <v>138</v>
      </c>
      <c r="D125" s="42">
        <f>TRUNC(7597,-1)</f>
        <v>7590</v>
      </c>
      <c r="E125" s="63">
        <f t="shared" si="4"/>
        <v>25090</v>
      </c>
    </row>
    <row r="126" spans="1:7" x14ac:dyDescent="0.3">
      <c r="A126" s="2">
        <v>5</v>
      </c>
      <c r="C126" s="38" t="s">
        <v>53</v>
      </c>
      <c r="D126" s="42">
        <f>TRUNC(16553,-1)</f>
        <v>16550</v>
      </c>
      <c r="E126" s="63">
        <f t="shared" si="4"/>
        <v>54710</v>
      </c>
    </row>
    <row r="127" spans="1:7" x14ac:dyDescent="0.3">
      <c r="A127" s="2">
        <v>6</v>
      </c>
      <c r="C127" s="38" t="s">
        <v>56</v>
      </c>
      <c r="D127" s="42">
        <f>TRUNC(2395,-1)</f>
        <v>2390</v>
      </c>
      <c r="E127" s="63">
        <f t="shared" si="4"/>
        <v>7900</v>
      </c>
    </row>
    <row r="128" spans="1:7" x14ac:dyDescent="0.3">
      <c r="A128" s="2">
        <v>7</v>
      </c>
      <c r="C128" s="38" t="s">
        <v>46</v>
      </c>
      <c r="D128" s="42">
        <f>TRUNC(5380,-1)</f>
        <v>5380</v>
      </c>
      <c r="E128" s="63">
        <f t="shared" si="4"/>
        <v>17780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TRUNC(40843,-1)</f>
        <v>40840</v>
      </c>
      <c r="E130" s="63">
        <f t="shared" si="4"/>
        <v>135000</v>
      </c>
    </row>
    <row r="131" spans="1:7" x14ac:dyDescent="0.3">
      <c r="A131" s="2">
        <v>10</v>
      </c>
      <c r="C131" s="38" t="s">
        <v>148</v>
      </c>
      <c r="D131" s="42">
        <f>TRUNC(53062,-1)</f>
        <v>53060</v>
      </c>
      <c r="E131" s="63">
        <f t="shared" si="4"/>
        <v>175400</v>
      </c>
    </row>
    <row r="132" spans="1:7" ht="18" thickBot="1" x14ac:dyDescent="0.35">
      <c r="A132" s="2">
        <v>11</v>
      </c>
      <c r="C132" s="38" t="s">
        <v>47</v>
      </c>
      <c r="D132" s="43">
        <f>TRUNC(1528+648,-1)</f>
        <v>2170</v>
      </c>
      <c r="E132" s="64">
        <f t="shared" si="4"/>
        <v>7170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133760</v>
      </c>
      <c r="E133" s="39">
        <f>SUM(E122:E132)</f>
        <v>442140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TRUNC(5302+875+157,-1)</f>
        <v>6330</v>
      </c>
      <c r="E137" s="63">
        <f t="shared" si="5"/>
        <v>20920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TRUNC(1138,-1)</f>
        <v>1130</v>
      </c>
      <c r="E139" s="63">
        <f t="shared" si="5"/>
        <v>3730</v>
      </c>
    </row>
    <row r="140" spans="1:7" x14ac:dyDescent="0.3">
      <c r="A140" s="2">
        <v>5</v>
      </c>
      <c r="C140" s="38" t="s">
        <v>57</v>
      </c>
      <c r="D140" s="42">
        <f>TRUNC(1938,-1)</f>
        <v>1930</v>
      </c>
      <c r="E140" s="63">
        <f t="shared" si="5"/>
        <v>6380</v>
      </c>
    </row>
    <row r="141" spans="1:7" x14ac:dyDescent="0.3">
      <c r="A141" s="2">
        <v>6</v>
      </c>
      <c r="C141" s="38" t="s">
        <v>59</v>
      </c>
      <c r="D141" s="42">
        <f>TRUNC(13625,-1)</f>
        <v>13620</v>
      </c>
      <c r="E141" s="63">
        <f t="shared" si="5"/>
        <v>45020</v>
      </c>
    </row>
    <row r="142" spans="1:7" x14ac:dyDescent="0.3">
      <c r="A142" s="2">
        <v>7</v>
      </c>
      <c r="C142" s="38" t="s">
        <v>58</v>
      </c>
      <c r="D142" s="42">
        <f>TRUNC(5526,-1)</f>
        <v>5520</v>
      </c>
      <c r="E142" s="63">
        <f t="shared" si="5"/>
        <v>18240</v>
      </c>
    </row>
    <row r="143" spans="1:7" x14ac:dyDescent="0.3">
      <c r="A143" s="2">
        <v>8</v>
      </c>
      <c r="C143" s="38" t="s">
        <v>62</v>
      </c>
      <c r="D143" s="42">
        <f>TRUNC(4121,-1)</f>
        <v>4120</v>
      </c>
      <c r="E143" s="63">
        <f t="shared" si="5"/>
        <v>13610</v>
      </c>
    </row>
    <row r="144" spans="1:7" x14ac:dyDescent="0.3">
      <c r="A144" s="2">
        <v>9</v>
      </c>
      <c r="C144" s="38" t="s">
        <v>63</v>
      </c>
      <c r="D144" s="42">
        <f>TRUNC(17764,-1)</f>
        <v>17760</v>
      </c>
      <c r="E144" s="63">
        <f t="shared" si="5"/>
        <v>58710</v>
      </c>
    </row>
    <row r="145" spans="1:7" ht="17.25" thickBot="1" x14ac:dyDescent="0.35">
      <c r="A145" s="2">
        <v>10</v>
      </c>
      <c r="C145" s="38" t="s">
        <v>148</v>
      </c>
      <c r="D145" s="43">
        <f>TRUNC(1858,-1)</f>
        <v>1850</v>
      </c>
      <c r="E145" s="64">
        <f t="shared" si="5"/>
        <v>6110</v>
      </c>
    </row>
    <row r="146" spans="1:7" x14ac:dyDescent="0.3">
      <c r="A146" s="2">
        <v>11</v>
      </c>
      <c r="C146" s="27" t="s">
        <v>112</v>
      </c>
      <c r="D146" s="39">
        <f>SUM(D136:D145)</f>
        <v>52260</v>
      </c>
      <c r="E146" s="39">
        <f>SUM(E136:E145)</f>
        <v>172720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TRUNC(7993+2235,-1)</f>
        <v>10220</v>
      </c>
      <c r="E149" s="62">
        <f>TRUNC(+D149*3.3058,-1)</f>
        <v>33780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TRUNC(3161,-1)</f>
        <v>3160</v>
      </c>
      <c r="E150" s="63">
        <f>TRUNC(+D150*3.3058,-1)</f>
        <v>10440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TRUNC(419+1500,-1)</f>
        <v>1910</v>
      </c>
      <c r="E152" s="63">
        <f>TRUNC(+D152*3.3058,-1)</f>
        <v>6310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15290</v>
      </c>
      <c r="E154" s="39">
        <f>SUM(E149:E153)</f>
        <v>50530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TRUNC(27821,-1)</f>
        <v>27820</v>
      </c>
      <c r="E157" s="62">
        <f>TRUNC(+D157*3.3058,-1)</f>
        <v>91960</v>
      </c>
    </row>
    <row r="158" spans="1:7" x14ac:dyDescent="0.3">
      <c r="A158" s="2">
        <v>2</v>
      </c>
      <c r="C158" s="38" t="s">
        <v>52</v>
      </c>
      <c r="D158" s="42">
        <f>TRUNC(5358,-1)</f>
        <v>5350</v>
      </c>
      <c r="E158" s="63">
        <f>TRUNC(+D158*3.3058,-1)</f>
        <v>17680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TRUNC(8022,-1)</f>
        <v>8020</v>
      </c>
      <c r="E159" s="63">
        <f>TRUNC(+D159*3.3058,-1)</f>
        <v>26510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41190</v>
      </c>
      <c r="E161" s="39">
        <f>SUM(E157:E160)</f>
        <v>136150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2020-12-08T04:04:22Z</dcterms:modified>
</cp:coreProperties>
</file>