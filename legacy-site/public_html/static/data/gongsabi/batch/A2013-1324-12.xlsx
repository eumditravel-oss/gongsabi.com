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29" i="4"/>
  <c r="E127" i="4"/>
  <c r="E123" i="4"/>
  <c r="E113" i="4"/>
  <c r="E112" i="4"/>
  <c r="E111" i="4"/>
  <c r="E110" i="4"/>
  <c r="E109" i="4"/>
  <c r="E107" i="4"/>
  <c r="E106" i="4"/>
  <c r="E103" i="4"/>
  <c r="E101" i="4"/>
  <c r="E92" i="4"/>
  <c r="E91" i="4"/>
  <c r="E89" i="4"/>
  <c r="E87" i="4"/>
  <c r="E86" i="4"/>
  <c r="E85" i="4"/>
  <c r="E83" i="4"/>
  <c r="E82" i="4"/>
  <c r="E81" i="4"/>
  <c r="E80" i="4"/>
  <c r="E79" i="4"/>
  <c r="E77" i="4"/>
  <c r="E76" i="4"/>
  <c r="E74" i="4"/>
  <c r="E73" i="4"/>
  <c r="E66" i="4"/>
  <c r="E65" i="4"/>
  <c r="E64" i="4"/>
  <c r="E63" i="4"/>
  <c r="E57" i="4"/>
  <c r="E56" i="4"/>
  <c r="E54" i="4"/>
  <c r="E154" i="4" l="1"/>
  <c r="E146" i="4"/>
  <c r="D59" i="4"/>
  <c r="E59" i="4" s="1"/>
  <c r="D93" i="4"/>
  <c r="E93" i="4" s="1"/>
  <c r="D117" i="4"/>
  <c r="E117" i="4" s="1"/>
  <c r="D131" i="4"/>
  <c r="E131" i="4" s="1"/>
  <c r="D132" i="4"/>
  <c r="E132" i="4" s="1"/>
  <c r="D128" i="4"/>
  <c r="E128" i="4" s="1"/>
  <c r="D124" i="4"/>
  <c r="E124" i="4" s="1"/>
  <c r="D125" i="4"/>
  <c r="E125" i="4" s="1"/>
  <c r="D122" i="4"/>
  <c r="E122" i="4" s="1"/>
  <c r="D130" i="4"/>
  <c r="E130" i="4" s="1"/>
  <c r="D126" i="4"/>
  <c r="E126" i="4" s="1"/>
  <c r="D118" i="4"/>
  <c r="E118" i="4" s="1"/>
  <c r="D104" i="4"/>
  <c r="E104" i="4" s="1"/>
  <c r="D105" i="4"/>
  <c r="E105" i="4" s="1"/>
  <c r="D108" i="4"/>
  <c r="E108" i="4" s="1"/>
  <c r="D100" i="4"/>
  <c r="E100" i="4" s="1"/>
  <c r="D102" i="4"/>
  <c r="E102" i="4" s="1"/>
  <c r="D99" i="4"/>
  <c r="E99" i="4" s="1"/>
  <c r="D98" i="4"/>
  <c r="E98" i="4" s="1"/>
  <c r="E119" i="4" s="1"/>
  <c r="D115" i="4"/>
  <c r="E115" i="4" s="1"/>
  <c r="D116" i="4"/>
  <c r="E116" i="4" s="1"/>
  <c r="D114" i="4"/>
  <c r="E114" i="4" s="1"/>
  <c r="D94" i="4"/>
  <c r="E94" i="4" s="1"/>
  <c r="D88" i="4"/>
  <c r="E88" i="4" s="1"/>
  <c r="D84" i="4"/>
  <c r="E84" i="4" s="1"/>
  <c r="D75" i="4"/>
  <c r="E75" i="4" s="1"/>
  <c r="D90" i="4"/>
  <c r="E90" i="4" s="1"/>
  <c r="D72" i="4"/>
  <c r="E72" i="4" s="1"/>
  <c r="D78" i="4"/>
  <c r="E78" i="4" s="1"/>
  <c r="D71" i="4"/>
  <c r="E71" i="4" s="1"/>
  <c r="D70" i="4"/>
  <c r="E70" i="4" s="1"/>
  <c r="D69" i="4"/>
  <c r="E69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159" i="4"/>
  <c r="E159" i="4" s="1"/>
  <c r="E161" i="4" s="1"/>
  <c r="D152" i="4"/>
  <c r="E152" i="4" s="1"/>
  <c r="D58" i="4"/>
  <c r="E58" i="4" s="1"/>
  <c r="D40" i="4"/>
  <c r="E40" i="4" s="1"/>
  <c r="D37" i="4"/>
  <c r="E37" i="4" s="1"/>
  <c r="E133" i="4" l="1"/>
  <c r="E60" i="4"/>
  <c r="E95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<sst xmlns="http://schemas.openxmlformats.org/spreadsheetml/2006/main" count="390" uniqueCount="265">
  <si>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</si>
  <si>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</si>
  <si>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</si>
  <si>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</si>
  <si>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</si>
  <si>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</si>
  <si>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</si>
  <si>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</si>
  <si>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</si>
  <si>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</si>
  <si>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</si>
  <si>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</si>
  <si>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</si>
  <si>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</si>
  <si>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</si>
  <si>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</si>
  <si>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</si>
  <si>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</si>
  <si>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</si>
  <si>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</si>
  <si>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</si>
  <si>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</si>
  <si>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</si>
  <si>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</si>
  <si>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</si>
  <si>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</si>
  <si>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</si>
  <si>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</si>
  <si>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</si>
  <si>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</si>
  <si>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</si>
  <si>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</si>
  <si>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</si>
  <si>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</si>
  <si>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</si>
  <si>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</si>
  <si>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</si>
  <si>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</si>
  <si>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</si>
  <si>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</si>
  <si>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</si>
  <si>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</si>
  <si>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</si>
  <si>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</si>
  <si>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</si>
  <si>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</si>
  <si>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</si>
  <si>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</si>
  <si>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</si>
  <si>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</si>
  <si>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</si>
  <si>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</si>
  <si>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</si>
  <si>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</si>
  <si>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</si>
  <si>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</si>
  <si>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</si>
  <si>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</si>
  <si>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</si>
  <si>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</si>
  <si>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</si>
  <si>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</si>
  <si>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</si>
  <si>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</si>
  <si>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</si>
  <si>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</si>
  <si>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</si>
  <si>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</si>
  <si>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</si>
  <si>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</si>
  <si>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</si>
  <si>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</si>
  <si>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</si>
  <si>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</si>
  <si>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</si>
  <si>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</si>
  <si>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</si>
  <si>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</si>
  <si>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</si>
  <si>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</si>
  <si>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</si>
  <si>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</si>
  <si>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</si>
  <si>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</si>
  <si>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</si>
  <si>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</si>
  <si>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</si>
  <si>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</si>
  <si>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</si>
  <si>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</si>
  <si>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</si>
  <si>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</si>
  <si>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</si>
  <si>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</si>
  <si>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</si>
  <si>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</si>
  <si>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</si>
  <si>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</si>
  <si>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</si>
  <si>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</si>
  <si>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</si>
  <si>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</si>
  <si>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</si>
  <si>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</si>
  <si>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</si>
  <si>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</si>
  <si>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</si>
  <si>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</si>
  <si>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</si>
  <si>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</si>
  <si>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</si>
  <si>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</si>
  <si>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</si>
  <si>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</si>
  <si>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</si>
  <si>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</si>
  <si>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</si>
  <si>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</si>
  <si>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</si>
  <si>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</si>
  <si>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</si>
  <si>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</si>
  <si>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</si>
  <si>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</si>
  <si>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</si>
  <si>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</si>
  <si>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</si>
  <si>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</si>
  <si>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</si>
  <si>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</si>
  <si>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</si>
  <si>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</si>
  <si>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</si>
  <si>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</si>
  <si>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</si>
  <si>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</si>
  <si>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</si>
  <si>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</si>
  <si>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</si>
  <si>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</si>
  <si>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</si>
  <si>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</si>
  <si>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</si>
  <si>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</si>
  <si>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</si>
  <si>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</si>
  <si>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</si>
  <si>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</si>
  <si>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</si>
  <si>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</si>
  <si>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</si>
  <si>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</si>
  <si>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</si>
  <si>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</si>
  <si>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</si>
  <si>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</si>
  <si>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</si>
  <si>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</si>
  <si>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</si>
  <si>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</si>
  <si>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</si>
  <si>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</si>
  <si>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</si>
  <si>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</si>
  <si>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</si>
  <si>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</si>
  <si>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</si>
  <si>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</si>
  <si>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</si>
  <si>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</si>
  <si>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</si>
  <si>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</si>
  <si>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</si>
  <si>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</si>
  <si>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</si>
  <si>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</si>
  <si>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</si>
  <si>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</si>
  <si>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</si>
  <si>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</si>
  <si>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</si>
  <si>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</si>
  <si>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</si>
  <si>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</si>
  <si>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</si>
  <si>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</si>
  <si>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</si>
  <si>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</si>
  <si>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</si>
  <si>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</si>
  <si>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</si>
  <si>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</si>
  <si>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</si>
  <si>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</si>
  <si>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</si>
  <si>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</si>
  <si>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</si>
  <si>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</si>
  <si>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</si>
  <si>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</si>
  <si>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</si>
  <si>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</si>
  <si>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</si>
  <si>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</si>
  <si>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</si>
  <si>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</si>
  <si>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</si>
  <si>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</si>
  <si>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</si>
  <si>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</si>
  <si>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</si>
  <si>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</si>
  <si>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</si>
  <si>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</si>
  <si>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</si>
  <si>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</si>
  <si>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</si>
  <si>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</si>
  <si>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</si>
  <si>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</si>
  <si>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</si>
  <si>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</si>
  <si>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</si>
  <si>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</si>
  <si>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</si>
  <si>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</si>
  <si>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</si>
  <si>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</si>
  <si>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</si>
  <si>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</si>
  <si>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</si>
  <si>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</si>
  <si>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</si>
  <si>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</si>
  <si>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</si>
  <si>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</si>
  <si>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</si>
  <si>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</si>
  <si>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</si>
  <si>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</si>
  <si>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</si>
  <si>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</si>
  <si>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</si>
  <si>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</si>
  <si>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</si>
  <si>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</si>
  <si>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</si>
  <si>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</si>
  <si>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00수산물품질관리원 이전청사 신축공사</t>
    <phoneticPr fontId="2" type="noConversion"/>
  </si>
  <si>
    <t>업무</t>
  </si>
  <si>
    <t>부산시</t>
  </si>
  <si>
    <t>지정공사,패널공사,기타공사,주요자재비,운반비,작업부산물</t>
    <phoneticPr fontId="2" type="noConversion"/>
  </si>
  <si>
    <t>부대토목공사</t>
    <phoneticPr fontId="2" type="noConversion"/>
  </si>
  <si>
    <t>조경공사</t>
    <phoneticPr fontId="2" type="noConversion"/>
  </si>
  <si>
    <t>공조배관공사,위생배관공사,초절전온수방열관설치공사,우수처리시설공사</t>
    <phoneticPr fontId="2" type="noConversion"/>
  </si>
  <si>
    <t>태양광발전설비공사,가설사무소공사</t>
    <phoneticPr fontId="2" type="noConversion"/>
  </si>
  <si>
    <t>CABLE TRAY공사, CABLE DUCT공사</t>
    <phoneticPr fontId="2" type="noConversion"/>
  </si>
  <si>
    <t>CCTV설비공사,가설사무소공사</t>
    <phoneticPr fontId="2" type="noConversion"/>
  </si>
  <si>
    <t>전기 전기소방공사</t>
    <phoneticPr fontId="2" type="noConversion"/>
  </si>
  <si>
    <t>기계 소화설비공사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</si>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</sst>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1:A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4369</v>
      </c>
      <c r="D7" s="36">
        <f>+C7/3.3058</f>
        <v>1321.6165527255127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21430</v>
      </c>
      <c r="E24" s="58">
        <f t="shared" ref="E24:E33" si="0">TRUNC(+D24*3.3058,-1)</f>
        <v>70840</v>
      </c>
    </row>
    <row r="25" spans="1:5" x14ac:dyDescent="0.3">
      <c r="B25" s="2">
        <v>2</v>
      </c>
      <c r="C25" s="35" t="s">
        <v>111</v>
      </c>
      <c r="D25" s="45">
        <f>+D60</f>
        <v>789110</v>
      </c>
      <c r="E25" s="59">
        <f t="shared" si="0"/>
        <v>2608630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458550</v>
      </c>
      <c r="E27" s="59">
        <f t="shared" si="0"/>
        <v>1515870</v>
      </c>
    </row>
    <row r="28" spans="1:5" x14ac:dyDescent="0.3">
      <c r="B28" s="2">
        <v>5</v>
      </c>
      <c r="C28" s="35" t="s">
        <v>97</v>
      </c>
      <c r="D28" s="45">
        <f>+D119</f>
        <v>268900</v>
      </c>
      <c r="E28" s="59">
        <f t="shared" si="0"/>
        <v>888920</v>
      </c>
    </row>
    <row r="29" spans="1:5" x14ac:dyDescent="0.3">
      <c r="B29" s="2">
        <v>6</v>
      </c>
      <c r="C29" s="35" t="s">
        <v>98</v>
      </c>
      <c r="D29" s="45">
        <f>+D133</f>
        <v>40660</v>
      </c>
      <c r="E29" s="59">
        <f t="shared" si="0"/>
        <v>134410</v>
      </c>
    </row>
    <row r="30" spans="1:5" x14ac:dyDescent="0.3">
      <c r="B30" s="2">
        <v>7</v>
      </c>
      <c r="C30" s="35" t="s">
        <v>99</v>
      </c>
      <c r="D30" s="45">
        <f>+D146</f>
        <v>35770</v>
      </c>
      <c r="E30" s="59">
        <f t="shared" si="0"/>
        <v>118240</v>
      </c>
    </row>
    <row r="31" spans="1:5" x14ac:dyDescent="0.3">
      <c r="B31" s="2">
        <v>8</v>
      </c>
      <c r="C31" s="35" t="s">
        <v>100</v>
      </c>
      <c r="D31" s="45">
        <f>+D154</f>
        <v>29940</v>
      </c>
      <c r="E31" s="59">
        <f t="shared" si="0"/>
        <v>98970</v>
      </c>
    </row>
    <row r="32" spans="1:5" x14ac:dyDescent="0.3">
      <c r="B32" s="2">
        <v>9</v>
      </c>
      <c r="C32" s="35" t="s">
        <v>101</v>
      </c>
      <c r="D32" s="45">
        <f>+D161</f>
        <v>76220</v>
      </c>
      <c r="E32" s="59">
        <f t="shared" si="0"/>
        <v>251960</v>
      </c>
    </row>
    <row r="33" spans="1:7" x14ac:dyDescent="0.3">
      <c r="B33" s="2">
        <v>10</v>
      </c>
      <c r="C33" s="35" t="s">
        <v>154</v>
      </c>
      <c r="D33" s="53">
        <f>TRUNC(SUM(D24:D32)*0.275,-1)</f>
        <v>473150</v>
      </c>
      <c r="E33" s="60">
        <f t="shared" si="0"/>
        <v>1564130</v>
      </c>
    </row>
    <row r="34" spans="1:7" x14ac:dyDescent="0.3">
      <c r="C34" s="35" t="s">
        <v>112</v>
      </c>
      <c r="D34" s="44">
        <f>SUM(D24:D33)</f>
        <v>2193730</v>
      </c>
      <c r="E34" s="44">
        <f>SUM(E24:E33)</f>
        <v>7251970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TRUNC(21439,-1)</f>
        <v>21430</v>
      </c>
      <c r="E37" s="61">
        <f>TRUNC(+D37*3.3058,-1)</f>
        <v>70840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TRUNC(30526,-1)</f>
        <v>30520</v>
      </c>
      <c r="E40" s="62">
        <f t="shared" ref="E40:E59" si="1">TRUNC(+D40*3.3058,-1)</f>
        <v>100890</v>
      </c>
    </row>
    <row r="41" spans="1:7" x14ac:dyDescent="0.3">
      <c r="A41" s="2">
        <v>2</v>
      </c>
      <c r="C41" s="38" t="s">
        <v>13</v>
      </c>
      <c r="D41" s="42">
        <f>TRUNC(99150,-1)</f>
        <v>99150</v>
      </c>
      <c r="E41" s="63">
        <f t="shared" si="1"/>
        <v>327770</v>
      </c>
    </row>
    <row r="42" spans="1:7" x14ac:dyDescent="0.3">
      <c r="A42" s="2">
        <v>3</v>
      </c>
      <c r="C42" s="38" t="s">
        <v>14</v>
      </c>
      <c r="D42" s="42">
        <f>TRUNC(3928,-1)</f>
        <v>3920</v>
      </c>
      <c r="E42" s="63">
        <f t="shared" si="1"/>
        <v>12950</v>
      </c>
    </row>
    <row r="43" spans="1:7" x14ac:dyDescent="0.3">
      <c r="A43" s="2">
        <v>4</v>
      </c>
      <c r="C43" s="38" t="s">
        <v>16</v>
      </c>
      <c r="D43" s="42">
        <f>TRUNC(17720,-1)</f>
        <v>17720</v>
      </c>
      <c r="E43" s="63">
        <f t="shared" si="1"/>
        <v>58570</v>
      </c>
    </row>
    <row r="44" spans="1:7" x14ac:dyDescent="0.3">
      <c r="A44" s="2">
        <v>5</v>
      </c>
      <c r="C44" s="38" t="s">
        <v>17</v>
      </c>
      <c r="D44" s="42">
        <f>TRUNC(23078,-1)</f>
        <v>23070</v>
      </c>
      <c r="E44" s="63">
        <f t="shared" si="1"/>
        <v>76260</v>
      </c>
    </row>
    <row r="45" spans="1:7" x14ac:dyDescent="0.3">
      <c r="A45" s="2">
        <v>6</v>
      </c>
      <c r="C45" s="38" t="s">
        <v>18</v>
      </c>
      <c r="D45" s="42">
        <f>TRUNC(9186,-1)</f>
        <v>9180</v>
      </c>
      <c r="E45" s="63">
        <f t="shared" si="1"/>
        <v>30340</v>
      </c>
    </row>
    <row r="46" spans="1:7" x14ac:dyDescent="0.3">
      <c r="A46" s="2">
        <v>7</v>
      </c>
      <c r="C46" s="38" t="s">
        <v>19</v>
      </c>
      <c r="D46" s="42">
        <f>TRUNC(18421,-1)</f>
        <v>18420</v>
      </c>
      <c r="E46" s="63">
        <f t="shared" si="1"/>
        <v>60890</v>
      </c>
    </row>
    <row r="47" spans="1:7" x14ac:dyDescent="0.3">
      <c r="A47" s="2">
        <v>8</v>
      </c>
      <c r="C47" s="38" t="s">
        <v>20</v>
      </c>
      <c r="D47" s="42">
        <f>TRUNC(1550,-1)</f>
        <v>1550</v>
      </c>
      <c r="E47" s="63">
        <f t="shared" si="1"/>
        <v>5120</v>
      </c>
    </row>
    <row r="48" spans="1:7" x14ac:dyDescent="0.3">
      <c r="A48" s="2">
        <v>9</v>
      </c>
      <c r="C48" s="38" t="s">
        <v>21</v>
      </c>
      <c r="D48" s="42">
        <f>TRUNC(40742,-1)</f>
        <v>40740</v>
      </c>
      <c r="E48" s="63">
        <f t="shared" si="1"/>
        <v>134670</v>
      </c>
    </row>
    <row r="49" spans="1:7" x14ac:dyDescent="0.3">
      <c r="A49" s="2">
        <v>10</v>
      </c>
      <c r="C49" s="38" t="s">
        <v>22</v>
      </c>
      <c r="D49" s="42">
        <f>TRUNC(19921,-1)</f>
        <v>19920</v>
      </c>
      <c r="E49" s="63">
        <f t="shared" si="1"/>
        <v>65850</v>
      </c>
    </row>
    <row r="50" spans="1:7" x14ac:dyDescent="0.3">
      <c r="A50" s="2">
        <v>11</v>
      </c>
      <c r="C50" s="38" t="s">
        <v>155</v>
      </c>
      <c r="D50" s="42">
        <f>TRUNC(20355,-1)</f>
        <v>20350</v>
      </c>
      <c r="E50" s="63">
        <f t="shared" si="1"/>
        <v>67270</v>
      </c>
    </row>
    <row r="51" spans="1:7" x14ac:dyDescent="0.3">
      <c r="A51" s="2">
        <v>12</v>
      </c>
      <c r="C51" s="38" t="s">
        <v>23</v>
      </c>
      <c r="D51" s="42">
        <f>TRUNC(24239,-1)</f>
        <v>24230</v>
      </c>
      <c r="E51" s="63">
        <f t="shared" si="1"/>
        <v>80090</v>
      </c>
    </row>
    <row r="52" spans="1:7" x14ac:dyDescent="0.3">
      <c r="A52" s="2">
        <v>13</v>
      </c>
      <c r="C52" s="38" t="s">
        <v>24</v>
      </c>
      <c r="D52" s="42">
        <f>TRUNC(8828,-1)</f>
        <v>8820</v>
      </c>
      <c r="E52" s="63">
        <f t="shared" si="1"/>
        <v>29150</v>
      </c>
    </row>
    <row r="53" spans="1:7" x14ac:dyDescent="0.3">
      <c r="A53" s="2">
        <v>14</v>
      </c>
      <c r="C53" s="38" t="s">
        <v>25</v>
      </c>
      <c r="D53" s="42">
        <f>TRUNC(90335,-1)</f>
        <v>90330</v>
      </c>
      <c r="E53" s="63">
        <f t="shared" si="1"/>
        <v>298610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TRUNC(1507,-1)</f>
        <v>1500</v>
      </c>
      <c r="E55" s="63">
        <f t="shared" si="1"/>
        <v>4950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TRUNC(15355+105651+13025+1881+2763-695,-1)</f>
        <v>137980</v>
      </c>
      <c r="E58" s="63">
        <f t="shared" si="1"/>
        <v>456130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TRUNC(241710,-1)</f>
        <v>241710</v>
      </c>
      <c r="E59" s="64">
        <f t="shared" si="1"/>
        <v>799040</v>
      </c>
    </row>
    <row r="60" spans="1:7" x14ac:dyDescent="0.3">
      <c r="A60" s="2">
        <v>21</v>
      </c>
      <c r="C60" s="27" t="s">
        <v>112</v>
      </c>
      <c r="D60" s="39">
        <f>SUM(D40:D59)</f>
        <v>789110</v>
      </c>
      <c r="E60" s="39">
        <f>SUM(E40:E59)</f>
        <v>2608550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TRUNC(24988,-1)</f>
        <v>24980</v>
      </c>
      <c r="E69" s="62">
        <f t="shared" ref="E69:E94" si="2">TRUNC(+D69*3.3058,-1)</f>
        <v>82570</v>
      </c>
    </row>
    <row r="70" spans="1:7" ht="16.5" customHeight="1" x14ac:dyDescent="0.3">
      <c r="A70" s="2">
        <v>2</v>
      </c>
      <c r="C70" s="38" t="s">
        <v>31</v>
      </c>
      <c r="D70" s="42">
        <f>TRUNC(2172,-1)</f>
        <v>2170</v>
      </c>
      <c r="E70" s="63">
        <f t="shared" si="2"/>
        <v>7170</v>
      </c>
    </row>
    <row r="71" spans="1:7" x14ac:dyDescent="0.3">
      <c r="A71" s="2">
        <v>3</v>
      </c>
      <c r="C71" s="38" t="s">
        <v>32</v>
      </c>
      <c r="D71" s="42">
        <f>TRUNC(25169,-1)</f>
        <v>25160</v>
      </c>
      <c r="E71" s="63">
        <f t="shared" si="2"/>
        <v>83170</v>
      </c>
    </row>
    <row r="72" spans="1:7" x14ac:dyDescent="0.3">
      <c r="A72" s="2">
        <v>4</v>
      </c>
      <c r="C72" s="38" t="s">
        <v>33</v>
      </c>
      <c r="D72" s="42">
        <f>TRUNC(25169,-1)</f>
        <v>25160</v>
      </c>
      <c r="E72" s="63">
        <f t="shared" si="2"/>
        <v>83170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TRUNC(3577,-1)</f>
        <v>3570</v>
      </c>
      <c r="E75" s="63">
        <f t="shared" si="2"/>
        <v>11800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TRUNC(58930,-1)</f>
        <v>58930</v>
      </c>
      <c r="E78" s="63">
        <f t="shared" si="2"/>
        <v>194810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TRUNC(1875,-1)</f>
        <v>1870</v>
      </c>
      <c r="E84" s="63">
        <f t="shared" si="2"/>
        <v>6180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f>TRUNC(6500,-1)</f>
        <v>6500</v>
      </c>
      <c r="E88" s="63">
        <f t="shared" si="2"/>
        <v>21480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TRUNC(7543,-1)</f>
        <v>7540</v>
      </c>
      <c r="E90" s="63">
        <f t="shared" si="2"/>
        <v>24920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TRUNC(216162,-1)</f>
        <v>216160</v>
      </c>
      <c r="E93" s="63">
        <f t="shared" si="2"/>
        <v>714580</v>
      </c>
    </row>
    <row r="94" spans="1:7" ht="17.25" thickBot="1" x14ac:dyDescent="0.35">
      <c r="A94" s="2">
        <v>26</v>
      </c>
      <c r="C94" s="38" t="s">
        <v>47</v>
      </c>
      <c r="D94" s="43">
        <f>TRUNC(37270+25365+514+23369,-1)</f>
        <v>86510</v>
      </c>
      <c r="E94" s="64">
        <f t="shared" si="2"/>
        <v>285980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458550</v>
      </c>
      <c r="E95" s="39">
        <f>SUM(E69:E94)</f>
        <v>1515830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TRUNC(11477,-1)</f>
        <v>11470</v>
      </c>
      <c r="E98" s="62">
        <f t="shared" ref="E98:E118" si="3">TRUNC(+D98*3.3058,-1)</f>
        <v>37910</v>
      </c>
    </row>
    <row r="99" spans="1:7" x14ac:dyDescent="0.3">
      <c r="A99" s="2">
        <v>2</v>
      </c>
      <c r="C99" s="38" t="s">
        <v>40</v>
      </c>
      <c r="D99" s="42">
        <f>TRUNC(4718,-1)</f>
        <v>4710</v>
      </c>
      <c r="E99" s="63">
        <f t="shared" si="3"/>
        <v>15570</v>
      </c>
    </row>
    <row r="100" spans="1:7" x14ac:dyDescent="0.3">
      <c r="A100" s="2">
        <v>3</v>
      </c>
      <c r="C100" s="38" t="s">
        <v>41</v>
      </c>
      <c r="D100" s="42">
        <f>TRUNC(30288,-1)</f>
        <v>30280</v>
      </c>
      <c r="E100" s="63">
        <f t="shared" si="3"/>
        <v>100090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TRUNC(11168,-1)</f>
        <v>11160</v>
      </c>
      <c r="E102" s="63">
        <f t="shared" si="3"/>
        <v>36890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TRUNC(9557,-1)</f>
        <v>9550</v>
      </c>
      <c r="E104" s="63">
        <f t="shared" si="3"/>
        <v>31570</v>
      </c>
    </row>
    <row r="105" spans="1:7" x14ac:dyDescent="0.3">
      <c r="A105" s="2">
        <v>8</v>
      </c>
      <c r="C105" s="38" t="s">
        <v>46</v>
      </c>
      <c r="D105" s="42">
        <f>TRUNC(5110,-1)</f>
        <v>5110</v>
      </c>
      <c r="E105" s="63">
        <f t="shared" si="3"/>
        <v>16890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TRUNC(4523,-1)</f>
        <v>4520</v>
      </c>
      <c r="E108" s="63">
        <f t="shared" si="3"/>
        <v>14940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TRUNC(6749,-1)</f>
        <v>6740</v>
      </c>
      <c r="E114" s="63">
        <f t="shared" si="3"/>
        <v>22280</v>
      </c>
    </row>
    <row r="115" spans="1:7" x14ac:dyDescent="0.3">
      <c r="A115" s="2">
        <v>18</v>
      </c>
      <c r="C115" s="38" t="s">
        <v>116</v>
      </c>
      <c r="D115" s="42">
        <f>TRUNC(4293,-1)</f>
        <v>4290</v>
      </c>
      <c r="E115" s="63">
        <f t="shared" si="3"/>
        <v>14180</v>
      </c>
    </row>
    <row r="116" spans="1:7" x14ac:dyDescent="0.3">
      <c r="A116" s="2">
        <v>19</v>
      </c>
      <c r="C116" s="38" t="s">
        <v>115</v>
      </c>
      <c r="D116" s="42">
        <f>TRUNC(3617,-1)</f>
        <v>3610</v>
      </c>
      <c r="E116" s="63">
        <f t="shared" si="3"/>
        <v>11930</v>
      </c>
    </row>
    <row r="117" spans="1:7" x14ac:dyDescent="0.3">
      <c r="A117" s="2">
        <v>20</v>
      </c>
      <c r="C117" s="38" t="s">
        <v>148</v>
      </c>
      <c r="D117" s="42">
        <f>TRUNC(164831,-1)</f>
        <v>164830</v>
      </c>
      <c r="E117" s="63">
        <f t="shared" si="3"/>
        <v>544890</v>
      </c>
    </row>
    <row r="118" spans="1:7" ht="17.25" thickBot="1" x14ac:dyDescent="0.35">
      <c r="A118" s="2">
        <v>21</v>
      </c>
      <c r="C118" s="38" t="s">
        <v>47</v>
      </c>
      <c r="D118" s="43">
        <f>TRUNC(216+12417,-1)</f>
        <v>12630</v>
      </c>
      <c r="E118" s="64">
        <f t="shared" si="3"/>
        <v>41750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268900</v>
      </c>
      <c r="E119" s="39">
        <f>SUM(E98:E118)</f>
        <v>888890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TRUNC(3628,-1)</f>
        <v>3620</v>
      </c>
      <c r="E122" s="62">
        <f t="shared" ref="E122:E132" si="4">TRUNC(+D122*3.3058,-1)</f>
        <v>11960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TRUNC(681,-1)</f>
        <v>680</v>
      </c>
      <c r="E124" s="63">
        <f t="shared" si="4"/>
        <v>2240</v>
      </c>
    </row>
    <row r="125" spans="1:7" x14ac:dyDescent="0.3">
      <c r="A125" s="2">
        <v>4</v>
      </c>
      <c r="C125" s="38" t="s">
        <v>138</v>
      </c>
      <c r="D125" s="42">
        <f>TRUNC(5281,-1)</f>
        <v>5280</v>
      </c>
      <c r="E125" s="63">
        <f t="shared" si="4"/>
        <v>17450</v>
      </c>
    </row>
    <row r="126" spans="1:7" x14ac:dyDescent="0.3">
      <c r="A126" s="2">
        <v>5</v>
      </c>
      <c r="C126" s="38" t="s">
        <v>53</v>
      </c>
      <c r="D126" s="42">
        <f>TRUNC(2966,-1)</f>
        <v>2960</v>
      </c>
      <c r="E126" s="63">
        <f t="shared" si="4"/>
        <v>9780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TRUNC(4968+453,-1)</f>
        <v>5420</v>
      </c>
      <c r="E128" s="63">
        <f t="shared" si="4"/>
        <v>17910</v>
      </c>
      <c r="F128" s="2" t="s">
        <v>256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TRUNC(16952,-1)</f>
        <v>16950</v>
      </c>
      <c r="E130" s="63">
        <f t="shared" si="4"/>
        <v>56030</v>
      </c>
    </row>
    <row r="131" spans="1:7" x14ac:dyDescent="0.3">
      <c r="A131" s="2">
        <v>10</v>
      </c>
      <c r="C131" s="38" t="s">
        <v>148</v>
      </c>
      <c r="D131" s="42">
        <f>TRUNC(4038,-1)</f>
        <v>4030</v>
      </c>
      <c r="E131" s="63">
        <f t="shared" si="4"/>
        <v>13320</v>
      </c>
    </row>
    <row r="132" spans="1:7" ht="18" thickBot="1" x14ac:dyDescent="0.35">
      <c r="A132" s="2">
        <v>11</v>
      </c>
      <c r="C132" s="38" t="s">
        <v>47</v>
      </c>
      <c r="D132" s="43">
        <f>TRUNC(1301+426,-1)</f>
        <v>1720</v>
      </c>
      <c r="E132" s="64">
        <f t="shared" si="4"/>
        <v>5680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40660</v>
      </c>
      <c r="E133" s="39">
        <f>SUM(E122:E132)</f>
        <v>134370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TRUNC(23369,-1)</f>
        <v>23360</v>
      </c>
      <c r="E136" s="62">
        <f t="shared" ref="E136:E145" si="5">TRUNC(+D136*3.3058,-1)</f>
        <v>77220</v>
      </c>
      <c r="F136" s="2" t="s">
        <v>259</v>
      </c>
    </row>
    <row r="137" spans="1:7" x14ac:dyDescent="0.3">
      <c r="A137" s="2">
        <v>2</v>
      </c>
      <c r="C137" s="38" t="s">
        <v>47</v>
      </c>
      <c r="D137" s="42">
        <f>TRUNC(12417,-1)</f>
        <v>12410</v>
      </c>
      <c r="E137" s="63">
        <f t="shared" si="5"/>
        <v>41020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35770</v>
      </c>
      <c r="E146" s="39">
        <f>SUM(E136:E145)</f>
        <v>118240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TRUNC(29949,-1)</f>
        <v>29940</v>
      </c>
      <c r="E152" s="63">
        <f>TRUNC(+D152*3.3058,-1)</f>
        <v>98970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29940</v>
      </c>
      <c r="E154" s="39">
        <f>SUM(E149:E153)</f>
        <v>98970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TRUNC(76220,-1)</f>
        <v>76220</v>
      </c>
      <c r="E159" s="63">
        <f>TRUNC(+D159*3.3058,-1)</f>
        <v>251960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76220</v>
      </c>
      <c r="E161" s="39">
        <f>SUM(E157:E160)</f>
        <v>251960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2020-12-07T09:35:08Z</dcterms:modified>
</cp:coreProperties>
</file>