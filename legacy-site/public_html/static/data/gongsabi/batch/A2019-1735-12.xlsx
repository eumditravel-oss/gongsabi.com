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1" i="4"/>
  <c r="D150" i="4"/>
  <c r="D149" i="4"/>
  <c r="D144" i="4"/>
  <c r="D143" i="4"/>
  <c r="D142" i="4"/>
  <c r="D140" i="4"/>
  <c r="D139" i="4"/>
  <c r="D137" i="4"/>
  <c r="D132" i="4"/>
  <c r="D131" i="4"/>
  <c r="D130" i="4"/>
  <c r="D127" i="4"/>
  <c r="D126" i="4"/>
  <c r="D125" i="4"/>
  <c r="D124" i="4"/>
  <c r="D122" i="4"/>
  <c r="D118" i="4"/>
  <c r="D117" i="4"/>
  <c r="D114" i="4"/>
  <c r="D105" i="4"/>
  <c r="D104" i="4"/>
  <c r="D103" i="4"/>
  <c r="D102" i="4"/>
  <c r="D101" i="4"/>
  <c r="D100" i="4"/>
  <c r="D98" i="4"/>
  <c r="D94" i="4"/>
  <c r="D93" i="4"/>
  <c r="D92" i="4"/>
  <c r="D91" i="4"/>
  <c r="D89" i="4"/>
  <c r="D84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52" i="4" l="1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<sst xmlns="http://schemas.openxmlformats.org/spreadsheetml/2006/main" count="395" uniqueCount="268">
  <si>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</si>
  <si>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</si>
  <si>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</si>
  <si>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</si>
  <si>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</si>
  <si>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</si>
  <si>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</si>
  <si>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</si>
  <si>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</si>
  <si>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</si>
  <si>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</si>
  <si>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</si>
  <si>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</si>
  <si>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</si>
  <si>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</si>
  <si>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</si>
  <si>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</si>
  <si>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</si>
  <si>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</si>
  <si>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</si>
  <si>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</si>
  <si>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</si>
  <si>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</si>
  <si>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</si>
  <si>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</si>
  <si>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</si>
  <si>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</si>
  <si>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</si>
  <si>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</si>
  <si>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</si>
  <si>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</si>
  <si>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</si>
  <si>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</si>
  <si>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</si>
  <si>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</si>
  <si>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</si>
  <si>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</si>
  <si>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</si>
  <si>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</si>
  <si>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</si>
  <si>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</si>
  <si>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</si>
  <si>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</si>
  <si>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</si>
  <si>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</si>
  <si>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</si>
  <si>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</si>
  <si>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</si>
  <si>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</si>
  <si>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</si>
  <si>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</si>
  <si>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</si>
  <si>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</si>
  <si>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</si>
  <si>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</si>
  <si>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</si>
  <si>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</si>
  <si>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</si>
  <si>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</si>
  <si>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</si>
  <si>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</si>
  <si>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</si>
  <si>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</si>
  <si>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</si>
  <si>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</si>
  <si>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</si>
  <si>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</si>
  <si>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</si>
  <si>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</si>
  <si>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</si>
  <si>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</si>
  <si>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</si>
  <si>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</si>
  <si>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</si>
  <si>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</si>
  <si>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</si>
  <si>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</si>
  <si>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</si>
  <si>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</si>
  <si>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</si>
  <si>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</si>
  <si>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</si>
  <si>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</si>
  <si>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</si>
  <si>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</si>
  <si>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</si>
  <si>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</si>
  <si>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</si>
  <si>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</si>
  <si>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</si>
  <si>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</si>
  <si>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</si>
  <si>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</si>
  <si>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</si>
  <si>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</si>
  <si>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</si>
  <si>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</si>
  <si>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</si>
  <si>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</si>
  <si>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</si>
  <si>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</si>
  <si>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</si>
  <si>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</si>
  <si>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</si>
  <si>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</si>
  <si>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</si>
  <si>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</si>
  <si>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</si>
  <si>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</si>
  <si>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</si>
  <si>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</si>
  <si>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</si>
  <si>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</si>
  <si>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</si>
  <si>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</si>
  <si>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</si>
  <si>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</si>
  <si>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</si>
  <si>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</si>
  <si>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</si>
  <si>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</si>
  <si>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</si>
  <si>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</si>
  <si>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</si>
  <si>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</si>
  <si>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</si>
  <si>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</si>
  <si>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</si>
  <si>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</si>
  <si>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</si>
  <si>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</si>
  <si>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</si>
  <si>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</si>
  <si>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</si>
  <si>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</si>
  <si>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</si>
  <si>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</si>
  <si>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</si>
  <si>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</si>
  <si>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</si>
  <si>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</si>
  <si>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</si>
  <si>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</si>
  <si>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</si>
  <si>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</si>
  <si>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</si>
  <si>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</si>
  <si>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</si>
  <si>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</si>
  <si>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</si>
  <si>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</si>
  <si>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</si>
  <si>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</si>
  <si>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</si>
  <si>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</si>
  <si>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</si>
  <si>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</si>
  <si>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</si>
  <si>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</si>
  <si>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</si>
  <si>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</si>
  <si>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</si>
  <si>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</si>
  <si>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</si>
  <si>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</si>
  <si>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</si>
  <si>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</si>
  <si>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</si>
  <si>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</si>
  <si>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</si>
  <si>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</si>
  <si>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</si>
  <si>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</si>
  <si>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</si>
  <si>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</si>
  <si>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</si>
  <si>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</si>
  <si>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</si>
  <si>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</si>
  <si>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</si>
  <si>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</si>
  <si>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</si>
  <si>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</si>
  <si>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</si>
  <si>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</si>
  <si>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</si>
  <si>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</si>
  <si>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</si>
  <si>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</si>
  <si>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</si>
  <si>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</si>
  <si>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</si>
  <si>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</si>
  <si>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</si>
  <si>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</si>
  <si>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</si>
  <si>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</si>
  <si>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</si>
  <si>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</si>
  <si>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</si>
  <si>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</si>
  <si>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</si>
  <si>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</si>
  <si>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</si>
  <si>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</si>
  <si>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</si>
  <si>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</si>
  <si>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</si>
  <si>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</si>
  <si>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</si>
  <si>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</si>
  <si>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</si>
  <si>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</si>
  <si>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</si>
  <si>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</si>
  <si>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</si>
  <si>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</si>
  <si>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</si>
  <si>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</si>
  <si>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</si>
  <si>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</si>
  <si>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</si>
  <si>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</si>
  <si>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</si>
  <si>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</si>
  <si>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</si>
  <si>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</si>
  <si>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</si>
  <si>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</si>
  <si>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</si>
  <si>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</si>
  <si>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</si>
  <si>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</si>
  <si>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</si>
  <si>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</si>
  <si>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</si>
  <si>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</si>
  <si>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</si>
  <si>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</si>
  <si>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</si>
  <si>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</si>
  <si>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</si>
  <si>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</si>
  <si>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</si>
  <si>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</si>
  <si>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</si>
  <si>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</si>
  <si>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</si>
  <si>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봉안당(충혼당) 건립 건축공사(1차분)</t>
    <phoneticPr fontId="2" type="noConversion"/>
  </si>
  <si>
    <t>기타</t>
  </si>
  <si>
    <t>대전시</t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</si>
  <si>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</si>
  <si>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</si>
  <si>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</si>
  <si>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기초공사,해체및철거공사,골재비및운반비,작업부산물,품질시험비,기타공사</t>
    <phoneticPr fontId="2" type="noConversion"/>
  </si>
  <si>
    <t>공조배관공사,기타공사</t>
    <phoneticPr fontId="2" type="noConversion"/>
  </si>
  <si>
    <t>바닥난방공사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</si>
  <si>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</si>
  <si>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</si>
  <si>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</si>
  <si>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</si>
  <si>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</si>
  <si>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</si>
  <si>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</t>
    <phoneticPr fontId="2" type="noConversion"/>
  </si>
  <si>
    <t>조경시설물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</si>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</sst>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9647.7000000000007</v>
      </c>
      <c r="D7" s="36">
        <f>+C7/3.3058</f>
        <v>2918.4161171274732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1219080</v>
      </c>
      <c r="E25" s="59">
        <f t="shared" si="0"/>
        <v>4030030</v>
      </c>
    </row>
    <row r="26" spans="1:5" x14ac:dyDescent="0.3">
      <c r="B26" s="2">
        <v>3</v>
      </c>
      <c r="C26" s="35" t="s">
        <v>95</v>
      </c>
      <c r="D26" s="45">
        <f>+D66</f>
        <v>20570</v>
      </c>
      <c r="E26" s="59">
        <f t="shared" si="0"/>
        <v>68000</v>
      </c>
    </row>
    <row r="27" spans="1:5" x14ac:dyDescent="0.3">
      <c r="B27" s="2">
        <v>4</v>
      </c>
      <c r="C27" s="35" t="s">
        <v>96</v>
      </c>
      <c r="D27" s="45">
        <f>+D95</f>
        <v>240410</v>
      </c>
      <c r="E27" s="59">
        <f t="shared" si="0"/>
        <v>794740</v>
      </c>
    </row>
    <row r="28" spans="1:5" x14ac:dyDescent="0.3">
      <c r="B28" s="2">
        <v>5</v>
      </c>
      <c r="C28" s="35" t="s">
        <v>97</v>
      </c>
      <c r="D28" s="45">
        <f>+D119</f>
        <v>247810</v>
      </c>
      <c r="E28" s="59">
        <f t="shared" si="0"/>
        <v>819210</v>
      </c>
    </row>
    <row r="29" spans="1:5" x14ac:dyDescent="0.3">
      <c r="B29" s="2">
        <v>6</v>
      </c>
      <c r="C29" s="35" t="s">
        <v>98</v>
      </c>
      <c r="D29" s="45">
        <f>+D133</f>
        <v>168090</v>
      </c>
      <c r="E29" s="59">
        <f t="shared" si="0"/>
        <v>555670</v>
      </c>
    </row>
    <row r="30" spans="1:5" x14ac:dyDescent="0.3">
      <c r="B30" s="2">
        <v>7</v>
      </c>
      <c r="C30" s="35" t="s">
        <v>99</v>
      </c>
      <c r="D30" s="45">
        <f>+D146</f>
        <v>88850</v>
      </c>
      <c r="E30" s="59">
        <f t="shared" si="0"/>
        <v>293720</v>
      </c>
    </row>
    <row r="31" spans="1:5" x14ac:dyDescent="0.3">
      <c r="B31" s="2">
        <v>8</v>
      </c>
      <c r="C31" s="35" t="s">
        <v>100</v>
      </c>
      <c r="D31" s="45">
        <f>+D154</f>
        <v>121890</v>
      </c>
      <c r="E31" s="59">
        <f t="shared" si="0"/>
        <v>402940</v>
      </c>
    </row>
    <row r="32" spans="1:5" x14ac:dyDescent="0.3">
      <c r="B32" s="2">
        <v>9</v>
      </c>
      <c r="C32" s="35" t="s">
        <v>101</v>
      </c>
      <c r="D32" s="45">
        <f>+D161</f>
        <v>17860</v>
      </c>
      <c r="E32" s="59">
        <f t="shared" si="0"/>
        <v>59040</v>
      </c>
    </row>
    <row r="33" spans="1:7" x14ac:dyDescent="0.3">
      <c r="B33" s="2">
        <v>10</v>
      </c>
      <c r="C33" s="35" t="s">
        <v>154</v>
      </c>
      <c r="D33" s="53">
        <f>TRUNC(SUM(D24:D32)*0.275,-1)</f>
        <v>584250</v>
      </c>
      <c r="E33" s="60">
        <f t="shared" si="0"/>
        <v>1931410</v>
      </c>
    </row>
    <row r="34" spans="1:7" x14ac:dyDescent="0.3">
      <c r="C34" s="35" t="s">
        <v>112</v>
      </c>
      <c r="D34" s="44">
        <f>SUM(D24:D33)</f>
        <v>2708810</v>
      </c>
      <c r="E34" s="44">
        <f>SUM(E24:E33)</f>
        <v>8954760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TRUNC(80406,-1)</f>
        <v>80400</v>
      </c>
      <c r="E40" s="62">
        <f t="shared" ref="E40:E59" si="1">TRUNC(+D40*3.3058,-1)</f>
        <v>265780</v>
      </c>
    </row>
    <row r="41" spans="1:7" x14ac:dyDescent="0.3">
      <c r="A41" s="2">
        <v>2</v>
      </c>
      <c r="C41" s="38" t="s">
        <v>13</v>
      </c>
      <c r="D41" s="42">
        <f>TRUNC(157007,-1)</f>
        <v>157000</v>
      </c>
      <c r="E41" s="63">
        <f t="shared" si="1"/>
        <v>519010</v>
      </c>
    </row>
    <row r="42" spans="1:7" x14ac:dyDescent="0.3">
      <c r="A42" s="2">
        <v>3</v>
      </c>
      <c r="C42" s="38" t="s">
        <v>14</v>
      </c>
      <c r="D42" s="42">
        <f>TRUNC(14165,-1)</f>
        <v>14160</v>
      </c>
      <c r="E42" s="63">
        <f t="shared" si="1"/>
        <v>46810</v>
      </c>
    </row>
    <row r="43" spans="1:7" x14ac:dyDescent="0.3">
      <c r="A43" s="2">
        <v>4</v>
      </c>
      <c r="C43" s="38" t="s">
        <v>16</v>
      </c>
      <c r="D43" s="42">
        <f>TRUNC(15246,-1)</f>
        <v>15240</v>
      </c>
      <c r="E43" s="63">
        <f t="shared" si="1"/>
        <v>50380</v>
      </c>
    </row>
    <row r="44" spans="1:7" x14ac:dyDescent="0.3">
      <c r="A44" s="2">
        <v>5</v>
      </c>
      <c r="C44" s="38" t="s">
        <v>17</v>
      </c>
      <c r="D44" s="42">
        <f>TRUNC(26332,-1)</f>
        <v>26330</v>
      </c>
      <c r="E44" s="63">
        <f t="shared" si="1"/>
        <v>87040</v>
      </c>
    </row>
    <row r="45" spans="1:7" x14ac:dyDescent="0.3">
      <c r="A45" s="2">
        <v>6</v>
      </c>
      <c r="C45" s="38" t="s">
        <v>18</v>
      </c>
      <c r="D45" s="42">
        <f>TRUNC(13489,-1)</f>
        <v>13480</v>
      </c>
      <c r="E45" s="63">
        <f t="shared" si="1"/>
        <v>44560</v>
      </c>
    </row>
    <row r="46" spans="1:7" x14ac:dyDescent="0.3">
      <c r="A46" s="2">
        <v>7</v>
      </c>
      <c r="C46" s="38" t="s">
        <v>19</v>
      </c>
      <c r="D46" s="42">
        <f>TRUNC(286078,-1)</f>
        <v>286070</v>
      </c>
      <c r="E46" s="63">
        <f t="shared" si="1"/>
        <v>945690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TRUNC(48573,-1)</f>
        <v>48570</v>
      </c>
      <c r="E48" s="63">
        <f t="shared" si="1"/>
        <v>160560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TRUNC(5706,-1)</f>
        <v>5700</v>
      </c>
      <c r="E49" s="63">
        <f t="shared" si="1"/>
        <v>18840</v>
      </c>
    </row>
    <row r="50" spans="1:7" x14ac:dyDescent="0.3">
      <c r="A50" s="2">
        <v>11</v>
      </c>
      <c r="C50" s="38" t="s">
        <v>155</v>
      </c>
      <c r="D50" s="42">
        <f>TRUNC(53549,-1)</f>
        <v>53540</v>
      </c>
      <c r="E50" s="63">
        <f t="shared" si="1"/>
        <v>176990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TRUNC(12809,-1)</f>
        <v>12800</v>
      </c>
      <c r="E52" s="63">
        <f t="shared" si="1"/>
        <v>42310</v>
      </c>
    </row>
    <row r="53" spans="1:7" x14ac:dyDescent="0.3">
      <c r="A53" s="2">
        <v>14</v>
      </c>
      <c r="C53" s="38" t="s">
        <v>25</v>
      </c>
      <c r="D53" s="42">
        <f>TRUNC(111893,-1)</f>
        <v>111890</v>
      </c>
      <c r="E53" s="63">
        <f t="shared" si="1"/>
        <v>369880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TRUNC(16705+2360+14541-953+1202+35299,-1)</f>
        <v>69150</v>
      </c>
      <c r="E58" s="63">
        <f t="shared" si="1"/>
        <v>228590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TRUNC(324759,-1)</f>
        <v>324750</v>
      </c>
      <c r="E59" s="64">
        <f t="shared" si="1"/>
        <v>1073550</v>
      </c>
    </row>
    <row r="60" spans="1:7" x14ac:dyDescent="0.3">
      <c r="A60" s="2">
        <v>21</v>
      </c>
      <c r="C60" s="27" t="s">
        <v>112</v>
      </c>
      <c r="D60" s="39">
        <f>SUM(D40:D59)</f>
        <v>1219080</v>
      </c>
      <c r="E60" s="39">
        <f>SUM(E40:E59)</f>
        <v>4029990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TRUNC(20572,-1)</f>
        <v>20570</v>
      </c>
      <c r="E63" s="62">
        <f>TRUNC(+D63*3.3058,-1)</f>
        <v>68000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20570</v>
      </c>
      <c r="E66" s="65">
        <f>SUM(E63:E65)</f>
        <v>68000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TRUNC(7115,-1)</f>
        <v>7110</v>
      </c>
      <c r="E69" s="62">
        <f t="shared" ref="E69:E94" si="2">TRUNC(+D69*3.3058,-1)</f>
        <v>23500</v>
      </c>
    </row>
    <row r="70" spans="1:7" ht="16.5" customHeight="1" x14ac:dyDescent="0.3">
      <c r="A70" s="2">
        <v>2</v>
      </c>
      <c r="C70" s="38" t="s">
        <v>31</v>
      </c>
      <c r="D70" s="42">
        <f>TRUNC(93,-1)</f>
        <v>90</v>
      </c>
      <c r="E70" s="63">
        <f t="shared" si="2"/>
        <v>290</v>
      </c>
    </row>
    <row r="71" spans="1:7" x14ac:dyDescent="0.3">
      <c r="A71" s="2">
        <v>3</v>
      </c>
      <c r="C71" s="38" t="s">
        <v>32</v>
      </c>
      <c r="D71" s="42">
        <f>TRUNC(3564,-1)</f>
        <v>3560</v>
      </c>
      <c r="E71" s="63">
        <f t="shared" si="2"/>
        <v>11760</v>
      </c>
    </row>
    <row r="72" spans="1:7" x14ac:dyDescent="0.3">
      <c r="A72" s="2">
        <v>4</v>
      </c>
      <c r="C72" s="38" t="s">
        <v>33</v>
      </c>
      <c r="D72" s="42">
        <f>TRUNC(19737,-1)</f>
        <v>19730</v>
      </c>
      <c r="E72" s="63">
        <f t="shared" si="2"/>
        <v>65220</v>
      </c>
    </row>
    <row r="73" spans="1:7" x14ac:dyDescent="0.3">
      <c r="A73" s="2">
        <v>5</v>
      </c>
      <c r="C73" s="38" t="s">
        <v>34</v>
      </c>
      <c r="D73" s="42">
        <f>TRUNC(5645,-1)</f>
        <v>5640</v>
      </c>
      <c r="E73" s="63">
        <f t="shared" si="2"/>
        <v>18640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TRUNC(2486,-1)</f>
        <v>2480</v>
      </c>
      <c r="E84" s="63">
        <f t="shared" si="2"/>
        <v>8190</v>
      </c>
      <c r="F84" s="2" t="s">
        <v>256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TRUNC(7249,-1)</f>
        <v>7240</v>
      </c>
      <c r="E89" s="63">
        <f t="shared" si="2"/>
        <v>23930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TRUNC(27271,-1)</f>
        <v>27270</v>
      </c>
      <c r="E91" s="63">
        <f t="shared" si="2"/>
        <v>90140</v>
      </c>
    </row>
    <row r="92" spans="1:7" x14ac:dyDescent="0.3">
      <c r="A92" s="2">
        <v>24</v>
      </c>
      <c r="C92" s="38" t="s">
        <v>38</v>
      </c>
      <c r="D92" s="42">
        <f>TRUNC(7672,-1)</f>
        <v>7670</v>
      </c>
      <c r="E92" s="63">
        <f t="shared" si="2"/>
        <v>25350</v>
      </c>
    </row>
    <row r="93" spans="1:7" x14ac:dyDescent="0.3">
      <c r="A93" s="2">
        <v>25</v>
      </c>
      <c r="C93" s="38" t="s">
        <v>148</v>
      </c>
      <c r="D93" s="42">
        <f>TRUNC(156057,-1)</f>
        <v>156050</v>
      </c>
      <c r="E93" s="63">
        <f t="shared" si="2"/>
        <v>515870</v>
      </c>
    </row>
    <row r="94" spans="1:7" ht="17.25" thickBot="1" x14ac:dyDescent="0.35">
      <c r="A94" s="2">
        <v>26</v>
      </c>
      <c r="C94" s="38" t="s">
        <v>47</v>
      </c>
      <c r="D94" s="43">
        <f>TRUNC(158+3420,-1)</f>
        <v>3570</v>
      </c>
      <c r="E94" s="64">
        <f t="shared" si="2"/>
        <v>11800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240410</v>
      </c>
      <c r="E95" s="39">
        <f>SUM(E69:E94)</f>
        <v>794690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TRUNC(26055,-1)</f>
        <v>26050</v>
      </c>
      <c r="E98" s="62">
        <f t="shared" ref="E98:E118" si="3">TRUNC(+D98*3.3058,-1)</f>
        <v>86110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TRUNC(45569,-1)</f>
        <v>45560</v>
      </c>
      <c r="E100" s="63">
        <f t="shared" si="3"/>
        <v>150610</v>
      </c>
    </row>
    <row r="101" spans="1:7" x14ac:dyDescent="0.3">
      <c r="A101" s="2">
        <v>4</v>
      </c>
      <c r="C101" s="38" t="s">
        <v>42</v>
      </c>
      <c r="D101" s="42">
        <f>TRUNC(1103,-1)</f>
        <v>1100</v>
      </c>
      <c r="E101" s="63">
        <f t="shared" si="3"/>
        <v>3630</v>
      </c>
    </row>
    <row r="102" spans="1:7" x14ac:dyDescent="0.3">
      <c r="A102" s="2">
        <v>5</v>
      </c>
      <c r="C102" s="38" t="s">
        <v>43</v>
      </c>
      <c r="D102" s="42">
        <f>TRUNC(13803,-1)</f>
        <v>13800</v>
      </c>
      <c r="E102" s="63">
        <f t="shared" si="3"/>
        <v>45620</v>
      </c>
    </row>
    <row r="103" spans="1:7" x14ac:dyDescent="0.3">
      <c r="A103" s="2">
        <v>6</v>
      </c>
      <c r="C103" s="38" t="s">
        <v>44</v>
      </c>
      <c r="D103" s="42">
        <f>TRUNC(1521,-1)</f>
        <v>1520</v>
      </c>
      <c r="E103" s="63">
        <f t="shared" si="3"/>
        <v>5020</v>
      </c>
    </row>
    <row r="104" spans="1:7" x14ac:dyDescent="0.3">
      <c r="A104" s="2">
        <v>7</v>
      </c>
      <c r="C104" s="38" t="s">
        <v>45</v>
      </c>
      <c r="D104" s="42">
        <f>TRUNC(5215,-1)</f>
        <v>5210</v>
      </c>
      <c r="E104" s="63">
        <f t="shared" si="3"/>
        <v>17220</v>
      </c>
    </row>
    <row r="105" spans="1:7" x14ac:dyDescent="0.3">
      <c r="A105" s="2">
        <v>8</v>
      </c>
      <c r="C105" s="38" t="s">
        <v>46</v>
      </c>
      <c r="D105" s="42">
        <f>TRUNC(5656,-1)</f>
        <v>5650</v>
      </c>
      <c r="E105" s="63">
        <f t="shared" si="3"/>
        <v>18670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TRUNC(7047,-1)</f>
        <v>7040</v>
      </c>
      <c r="E114" s="63">
        <f t="shared" si="3"/>
        <v>23270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TRUNC(135547,-1)</f>
        <v>135540</v>
      </c>
      <c r="E117" s="63">
        <f t="shared" si="3"/>
        <v>448060</v>
      </c>
    </row>
    <row r="118" spans="1:7" ht="17.25" thickBot="1" x14ac:dyDescent="0.35">
      <c r="A118" s="2">
        <v>21</v>
      </c>
      <c r="C118" s="38" t="s">
        <v>47</v>
      </c>
      <c r="D118" s="43">
        <f>TRUNC(6344,-1)</f>
        <v>6340</v>
      </c>
      <c r="E118" s="64">
        <f t="shared" si="3"/>
        <v>20950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247810</v>
      </c>
      <c r="E119" s="39">
        <f>SUM(E98:E118)</f>
        <v>819160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TRUNC(569,-1)</f>
        <v>560</v>
      </c>
      <c r="E122" s="62">
        <f t="shared" ref="E122:E132" si="4">TRUNC(+D122*3.3058,-1)</f>
        <v>1850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TRUNC(816,-1)</f>
        <v>810</v>
      </c>
      <c r="E124" s="63">
        <f t="shared" si="4"/>
        <v>2670</v>
      </c>
    </row>
    <row r="125" spans="1:7" x14ac:dyDescent="0.3">
      <c r="A125" s="2">
        <v>4</v>
      </c>
      <c r="C125" s="38" t="s">
        <v>138</v>
      </c>
      <c r="D125" s="42">
        <f>TRUNC(8518,-1)</f>
        <v>8510</v>
      </c>
      <c r="E125" s="63">
        <f t="shared" si="4"/>
        <v>28130</v>
      </c>
    </row>
    <row r="126" spans="1:7" x14ac:dyDescent="0.3">
      <c r="A126" s="2">
        <v>5</v>
      </c>
      <c r="C126" s="38" t="s">
        <v>53</v>
      </c>
      <c r="D126" s="42">
        <f>TRUNC(14811,-1)</f>
        <v>14810</v>
      </c>
      <c r="E126" s="63">
        <f t="shared" si="4"/>
        <v>48950</v>
      </c>
    </row>
    <row r="127" spans="1:7" x14ac:dyDescent="0.3">
      <c r="A127" s="2">
        <v>6</v>
      </c>
      <c r="C127" s="38" t="s">
        <v>56</v>
      </c>
      <c r="D127" s="42">
        <f>TRUNC(2519,-1)</f>
        <v>2510</v>
      </c>
      <c r="E127" s="63">
        <f t="shared" si="4"/>
        <v>8290</v>
      </c>
    </row>
    <row r="128" spans="1:7" x14ac:dyDescent="0.3">
      <c r="A128" s="2">
        <v>7</v>
      </c>
      <c r="C128" s="38" t="s">
        <v>46</v>
      </c>
      <c r="D128" s="42">
        <v>3380</v>
      </c>
      <c r="E128" s="63">
        <f t="shared" si="4"/>
        <v>11170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TRUNC(11717,-1)</f>
        <v>11710</v>
      </c>
      <c r="E130" s="63">
        <f t="shared" si="4"/>
        <v>38710</v>
      </c>
    </row>
    <row r="131" spans="1:7" x14ac:dyDescent="0.3">
      <c r="A131" s="2">
        <v>10</v>
      </c>
      <c r="C131" s="38" t="s">
        <v>148</v>
      </c>
      <c r="D131" s="42">
        <f>TRUNC(117805,-1)</f>
        <v>117800</v>
      </c>
      <c r="E131" s="63">
        <f t="shared" si="4"/>
        <v>389420</v>
      </c>
    </row>
    <row r="132" spans="1:7" ht="18" thickBot="1" x14ac:dyDescent="0.35">
      <c r="A132" s="2">
        <v>11</v>
      </c>
      <c r="C132" s="38" t="s">
        <v>47</v>
      </c>
      <c r="D132" s="43">
        <f>TRUNC(7849+158,-1)</f>
        <v>8000</v>
      </c>
      <c r="E132" s="64">
        <f t="shared" si="4"/>
        <v>26440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168090</v>
      </c>
      <c r="E133" s="39">
        <f>SUM(E122:E132)</f>
        <v>555630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TRUNC(168+10929,-1)</f>
        <v>11090</v>
      </c>
      <c r="E137" s="63">
        <f t="shared" si="5"/>
        <v>36660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TRUNC(3755,-1)</f>
        <v>3750</v>
      </c>
      <c r="E139" s="63">
        <f t="shared" si="5"/>
        <v>12390</v>
      </c>
    </row>
    <row r="140" spans="1:7" x14ac:dyDescent="0.3">
      <c r="A140" s="2">
        <v>5</v>
      </c>
      <c r="C140" s="38" t="s">
        <v>57</v>
      </c>
      <c r="D140" s="42">
        <f>TRUNC(2708,-1)</f>
        <v>2700</v>
      </c>
      <c r="E140" s="63">
        <f t="shared" si="5"/>
        <v>8920</v>
      </c>
    </row>
    <row r="141" spans="1:7" x14ac:dyDescent="0.3">
      <c r="A141" s="2">
        <v>6</v>
      </c>
      <c r="C141" s="38" t="s">
        <v>59</v>
      </c>
      <c r="D141" s="42">
        <v>29500</v>
      </c>
      <c r="E141" s="63">
        <f t="shared" si="5"/>
        <v>97520</v>
      </c>
    </row>
    <row r="142" spans="1:7" x14ac:dyDescent="0.3">
      <c r="A142" s="2">
        <v>7</v>
      </c>
      <c r="C142" s="38" t="s">
        <v>58</v>
      </c>
      <c r="D142" s="42">
        <f>TRUNC(9733,-1)</f>
        <v>9730</v>
      </c>
      <c r="E142" s="63">
        <f t="shared" si="5"/>
        <v>32160</v>
      </c>
    </row>
    <row r="143" spans="1:7" x14ac:dyDescent="0.3">
      <c r="A143" s="2">
        <v>8</v>
      </c>
      <c r="C143" s="38" t="s">
        <v>62</v>
      </c>
      <c r="D143" s="42">
        <f>TRUNC(15115,-1)</f>
        <v>15110</v>
      </c>
      <c r="E143" s="63">
        <f t="shared" si="5"/>
        <v>49950</v>
      </c>
    </row>
    <row r="144" spans="1:7" x14ac:dyDescent="0.3">
      <c r="A144" s="2">
        <v>9</v>
      </c>
      <c r="C144" s="38" t="s">
        <v>63</v>
      </c>
      <c r="D144" s="42">
        <f>TRUNC(16978,-1)</f>
        <v>16970</v>
      </c>
      <c r="E144" s="63">
        <f t="shared" si="5"/>
        <v>56090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88850</v>
      </c>
      <c r="E146" s="39">
        <f>SUM(E136:E145)</f>
        <v>293690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TRUNC(10541+3951,-1)</f>
        <v>14490</v>
      </c>
      <c r="E149" s="62">
        <f>TRUNC(+D149*3.3058,-1)</f>
        <v>47900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TRUNC(5122,-1)</f>
        <v>5120</v>
      </c>
      <c r="E150" s="63">
        <f>TRUNC(+D150*3.3058,-1)</f>
        <v>16920</v>
      </c>
    </row>
    <row r="151" spans="1:7" x14ac:dyDescent="0.3">
      <c r="A151" s="2">
        <v>3</v>
      </c>
      <c r="C151" s="38" t="s">
        <v>50</v>
      </c>
      <c r="D151" s="42">
        <f>TRUNC(30183,-1)</f>
        <v>30180</v>
      </c>
      <c r="E151" s="63">
        <f>TRUNC(+D151*3.3058,-1)</f>
        <v>99760</v>
      </c>
    </row>
    <row r="152" spans="1:7" x14ac:dyDescent="0.3">
      <c r="A152" s="2">
        <v>4</v>
      </c>
      <c r="C152" s="38" t="s">
        <v>47</v>
      </c>
      <c r="D152" s="42">
        <f>1791+7567+194+1708</f>
        <v>11260</v>
      </c>
      <c r="E152" s="63">
        <f>TRUNC(+D152*3.3058,-1)</f>
        <v>37220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TRUNC(60844,-1)</f>
        <v>60840</v>
      </c>
      <c r="E153" s="64">
        <f>TRUNC(+D153*3.3058,-1)</f>
        <v>201120</v>
      </c>
    </row>
    <row r="154" spans="1:7" x14ac:dyDescent="0.3">
      <c r="A154" s="2">
        <v>6</v>
      </c>
      <c r="C154" s="27" t="s">
        <v>112</v>
      </c>
      <c r="D154" s="39">
        <f>SUM(D149:D153)</f>
        <v>121890</v>
      </c>
      <c r="E154" s="39">
        <f>SUM(E149:E153)</f>
        <v>402920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TRUNC(12368,-1)</f>
        <v>12360</v>
      </c>
      <c r="E157" s="62">
        <f>TRUNC(+D157*3.3058,-1)</f>
        <v>40850</v>
      </c>
    </row>
    <row r="158" spans="1:7" x14ac:dyDescent="0.3">
      <c r="A158" s="2">
        <v>2</v>
      </c>
      <c r="C158" s="38" t="s">
        <v>52</v>
      </c>
      <c r="D158" s="42">
        <f>TRUNC(1828,-1)</f>
        <v>1820</v>
      </c>
      <c r="E158" s="63">
        <f>TRUNC(+D158*3.3058,-1)</f>
        <v>6010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TRUNC(2805,-1)</f>
        <v>2800</v>
      </c>
      <c r="E159" s="63">
        <f>TRUNC(+D159*3.3058,-1)</f>
        <v>9250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f>TRUNC(884,-1)</f>
        <v>880</v>
      </c>
      <c r="E160" s="64">
        <f>TRUNC(+D160*3.3058,-1)</f>
        <v>2900</v>
      </c>
    </row>
    <row r="161" spans="1:5" x14ac:dyDescent="0.3">
      <c r="A161" s="2">
        <v>5</v>
      </c>
      <c r="C161" s="27" t="s">
        <v>112</v>
      </c>
      <c r="D161" s="39">
        <f>SUM(D157:D160)</f>
        <v>17860</v>
      </c>
      <c r="E161" s="39">
        <f>SUM(E157:E160)</f>
        <v>59010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2020-12-08T04:29:00Z</dcterms:modified>
</cp:coreProperties>
</file>