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46" i="4" l="1"/>
  <c r="D40" i="4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<sst xmlns="http://schemas.openxmlformats.org/spreadsheetml/2006/main" count="384" uniqueCount="259">
  <si>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</si>
  <si>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</si>
  <si>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</si>
  <si>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</si>
  <si>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</si>
  <si>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</si>
  <si>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</si>
  <si>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</si>
  <si>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</si>
  <si>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</si>
  <si>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</si>
  <si>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</si>
  <si>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</si>
  <si>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</si>
  <si>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</si>
  <si>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</si>
  <si>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</si>
  <si>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</si>
  <si>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</si>
  <si>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</si>
  <si>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</si>
  <si>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</si>
  <si>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</si>
  <si>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</si>
  <si>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</si>
  <si>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</si>
  <si>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</si>
  <si>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</si>
  <si>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</si>
  <si>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</si>
  <si>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</si>
  <si>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</si>
  <si>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</si>
  <si>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</si>
  <si>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</si>
  <si>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</si>
  <si>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</si>
  <si>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</si>
  <si>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</si>
  <si>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</si>
  <si>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</si>
  <si>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</si>
  <si>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</si>
  <si>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</si>
  <si>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</si>
  <si>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</si>
  <si>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</si>
  <si>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</si>
  <si>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</si>
  <si>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</si>
  <si>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</si>
  <si>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</si>
  <si>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</si>
  <si>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</si>
  <si>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</si>
  <si>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</si>
  <si>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</si>
  <si>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</si>
  <si>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</si>
  <si>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</si>
  <si>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</si>
  <si>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</si>
  <si>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</si>
  <si>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</si>
  <si>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</si>
  <si>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</si>
  <si>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</si>
  <si>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</si>
  <si>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</si>
  <si>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</si>
  <si>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</si>
  <si>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</si>
  <si>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</si>
  <si>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</si>
  <si>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</si>
  <si>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</si>
  <si>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</si>
  <si>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</si>
  <si>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</si>
  <si>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</si>
  <si>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</si>
  <si>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</si>
  <si>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</si>
  <si>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</si>
  <si>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</si>
  <si>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</si>
  <si>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</si>
  <si>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</si>
  <si>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</si>
  <si>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</si>
  <si>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</si>
  <si>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</si>
  <si>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</si>
  <si>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</si>
  <si>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</si>
  <si>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</si>
  <si>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</si>
  <si>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</si>
  <si>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</si>
  <si>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</si>
  <si>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</si>
  <si>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</si>
  <si>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</si>
  <si>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</si>
  <si>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</si>
  <si>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</si>
  <si>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</si>
  <si>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</si>
  <si>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</si>
  <si>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</si>
  <si>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</si>
  <si>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</si>
  <si>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</si>
  <si>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</si>
  <si>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</si>
  <si>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</si>
  <si>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</si>
  <si>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</si>
  <si>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</si>
  <si>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</si>
  <si>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</si>
  <si>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</si>
  <si>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</si>
  <si>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</si>
  <si>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</si>
  <si>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</si>
  <si>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</si>
  <si>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</si>
  <si>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</si>
  <si>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</si>
  <si>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</si>
  <si>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</si>
  <si>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</si>
  <si>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</si>
  <si>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</si>
  <si>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</si>
  <si>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</si>
  <si>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</si>
  <si>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</si>
  <si>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</si>
  <si>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</si>
  <si>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</si>
  <si>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</si>
  <si>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</si>
  <si>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</si>
  <si>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</si>
  <si>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</si>
  <si>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</si>
  <si>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</si>
  <si>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</si>
  <si>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</si>
  <si>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</si>
  <si>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</si>
  <si>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</si>
  <si>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</si>
  <si>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</si>
  <si>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</si>
  <si>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</si>
  <si>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</si>
  <si>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</si>
  <si>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</si>
  <si>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</si>
  <si>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</si>
  <si>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</si>
  <si>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</si>
  <si>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</si>
  <si>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</si>
  <si>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</si>
  <si>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</si>
  <si>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</si>
  <si>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</si>
  <si>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</si>
  <si>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</si>
  <si>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</si>
  <si>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</si>
  <si>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</si>
  <si>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</si>
  <si>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</si>
  <si>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</si>
  <si>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</si>
  <si>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</si>
  <si>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</si>
  <si>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</si>
  <si>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</si>
  <si>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</si>
  <si>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</si>
  <si>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</si>
  <si>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</si>
  <si>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</si>
  <si>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</si>
  <si>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</si>
  <si>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</si>
  <si>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</si>
  <si>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</si>
  <si>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</si>
  <si>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</si>
  <si>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</si>
  <si>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</si>
  <si>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</si>
  <si>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</si>
  <si>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</si>
  <si>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</si>
  <si>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</si>
  <si>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</si>
  <si>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</si>
  <si>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</si>
  <si>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</si>
  <si>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</si>
  <si>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</si>
  <si>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</si>
  <si>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</si>
  <si>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</si>
  <si>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</si>
  <si>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</si>
  <si>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</si>
  <si>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</si>
  <si>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</si>
  <si>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</si>
  <si>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</si>
  <si>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</si>
  <si>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</si>
  <si>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</si>
  <si>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</si>
  <si>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</si>
  <si>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</si>
  <si>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</si>
  <si>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</si>
  <si>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</si>
  <si>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</si>
  <si>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</si>
  <si>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</si>
  <si>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</si>
  <si>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</si>
  <si>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</si>
  <si>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</si>
  <si>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</si>
  <si>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</si>
  <si>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</si>
  <si>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</si>
  <si>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</si>
  <si>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</si>
  <si>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</si>
  <si>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</si>
  <si>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</si>
  <si>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</si>
  <si>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</si>
  <si>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</si>
  <si>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경기경찰청 제2청사 신축공사</t>
  </si>
  <si>
    <t>업무</t>
  </si>
  <si>
    <t>경기도</t>
  </si>
  <si>
    <t>기타공사,골재대 및 운반비</t>
  </si>
  <si>
    <t>토공사 및 지정공사</t>
  </si>
  <si>
    <t>부대시설공사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</si>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</sst>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13553</v>
      </c>
      <c r="D7" s="36">
        <f>+C7/3.3058</f>
        <v>4099.7640510617703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872250</v>
      </c>
      <c r="E25" s="60">
        <f t="shared" si="0"/>
        <v>2883480</v>
      </c>
    </row>
    <row r="26" spans="1:5" x14ac:dyDescent="0.3">
      <c r="B26" s="2">
        <v>3</v>
      </c>
      <c r="C26" s="35" t="s">
        <v>95</v>
      </c>
      <c r="D26" s="45">
        <f>+D66</f>
        <v>16950</v>
      </c>
      <c r="E26" s="60">
        <f t="shared" si="0"/>
        <v>56030</v>
      </c>
    </row>
    <row r="27" spans="1:5" x14ac:dyDescent="0.3">
      <c r="B27" s="2">
        <v>4</v>
      </c>
      <c r="C27" s="35" t="s">
        <v>96</v>
      </c>
      <c r="D27" s="45">
        <f>+D95</f>
        <v>250280</v>
      </c>
      <c r="E27" s="60">
        <f t="shared" si="0"/>
        <v>827370</v>
      </c>
    </row>
    <row r="28" spans="1:5" x14ac:dyDescent="0.3">
      <c r="B28" s="2">
        <v>5</v>
      </c>
      <c r="C28" s="35" t="s">
        <v>97</v>
      </c>
      <c r="D28" s="45">
        <f>+D119</f>
        <v>255800</v>
      </c>
      <c r="E28" s="60">
        <f t="shared" si="0"/>
        <v>845620</v>
      </c>
    </row>
    <row r="29" spans="1:5" x14ac:dyDescent="0.3">
      <c r="B29" s="2">
        <v>6</v>
      </c>
      <c r="C29" s="35" t="s">
        <v>98</v>
      </c>
      <c r="D29" s="45">
        <f>+D133</f>
        <v>176700</v>
      </c>
      <c r="E29" s="60">
        <f t="shared" si="0"/>
        <v>584130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134820</v>
      </c>
      <c r="E31" s="60">
        <f t="shared" si="0"/>
        <v>445680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469370</v>
      </c>
      <c r="E33" s="61">
        <f t="shared" si="0"/>
        <v>1551640</v>
      </c>
    </row>
    <row r="34" spans="1:7" x14ac:dyDescent="0.3">
      <c r="C34" s="35" t="s">
        <v>112</v>
      </c>
      <c r="D34" s="44">
        <f>SUM(D24:D33)</f>
        <v>2176170</v>
      </c>
      <c r="E34" s="44">
        <f>SUM(E24:E33)</f>
        <v>7193950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TRUNC(31384,-1)</f>
        <v>31380</v>
      </c>
      <c r="E40" s="63">
        <f t="shared" ref="E40:E59" si="1">TRUNC(+D40*3.3058,-1)</f>
        <v>103730</v>
      </c>
    </row>
    <row r="41" spans="1:7" x14ac:dyDescent="0.3">
      <c r="A41" s="2">
        <v>2</v>
      </c>
      <c r="C41" s="38" t="s">
        <v>13</v>
      </c>
      <c r="D41" s="42">
        <f>TRUNC(190986,-1)</f>
        <v>190980</v>
      </c>
      <c r="E41" s="64">
        <f t="shared" si="1"/>
        <v>631340</v>
      </c>
    </row>
    <row r="42" spans="1:7" x14ac:dyDescent="0.3">
      <c r="A42" s="2">
        <v>3</v>
      </c>
      <c r="C42" s="38" t="s">
        <v>14</v>
      </c>
      <c r="D42" s="42">
        <f>TRUNC(39273,-1)</f>
        <v>39270</v>
      </c>
      <c r="E42" s="64">
        <f t="shared" si="1"/>
        <v>129810</v>
      </c>
    </row>
    <row r="43" spans="1:7" x14ac:dyDescent="0.3">
      <c r="A43" s="2">
        <v>4</v>
      </c>
      <c r="C43" s="38" t="s">
        <v>16</v>
      </c>
      <c r="D43" s="42">
        <f>TRUNC(9701,-1)</f>
        <v>9700</v>
      </c>
      <c r="E43" s="64">
        <f t="shared" si="1"/>
        <v>32060</v>
      </c>
    </row>
    <row r="44" spans="1:7" x14ac:dyDescent="0.3">
      <c r="A44" s="2">
        <v>5</v>
      </c>
      <c r="C44" s="38" t="s">
        <v>17</v>
      </c>
      <c r="D44" s="42">
        <f>TRUNC(19098,-1)</f>
        <v>19090</v>
      </c>
      <c r="E44" s="64">
        <f t="shared" si="1"/>
        <v>63100</v>
      </c>
    </row>
    <row r="45" spans="1:7" x14ac:dyDescent="0.3">
      <c r="A45" s="2">
        <v>6</v>
      </c>
      <c r="C45" s="38" t="s">
        <v>18</v>
      </c>
      <c r="D45" s="42">
        <f>TRUNC(9089,-1)</f>
        <v>9080</v>
      </c>
      <c r="E45" s="64">
        <f t="shared" si="1"/>
        <v>30010</v>
      </c>
    </row>
    <row r="46" spans="1:7" x14ac:dyDescent="0.3">
      <c r="A46" s="2">
        <v>7</v>
      </c>
      <c r="C46" s="38" t="s">
        <v>19</v>
      </c>
      <c r="D46" s="42">
        <f>TRUNC(24891,-1)</f>
        <v>24890</v>
      </c>
      <c r="E46" s="64">
        <f t="shared" si="1"/>
        <v>82280</v>
      </c>
    </row>
    <row r="47" spans="1:7" x14ac:dyDescent="0.3">
      <c r="A47" s="2">
        <v>8</v>
      </c>
      <c r="C47" s="38" t="s">
        <v>20</v>
      </c>
      <c r="D47" s="42">
        <f>TRUNC(6986,-1)</f>
        <v>6980</v>
      </c>
      <c r="E47" s="64">
        <f t="shared" si="1"/>
        <v>23070</v>
      </c>
    </row>
    <row r="48" spans="1:7" x14ac:dyDescent="0.3">
      <c r="A48" s="2">
        <v>9</v>
      </c>
      <c r="C48" s="38" t="s">
        <v>21</v>
      </c>
      <c r="D48" s="42">
        <f>TRUNC(82051,-1)</f>
        <v>82050</v>
      </c>
      <c r="E48" s="64">
        <f t="shared" si="1"/>
        <v>271240</v>
      </c>
    </row>
    <row r="49" spans="1:7" x14ac:dyDescent="0.3">
      <c r="A49" s="2">
        <v>10</v>
      </c>
      <c r="C49" s="38" t="s">
        <v>22</v>
      </c>
      <c r="D49" s="42">
        <f>TRUNC(16322,-1)</f>
        <v>16320</v>
      </c>
      <c r="E49" s="64">
        <f t="shared" si="1"/>
        <v>53950</v>
      </c>
    </row>
    <row r="50" spans="1:7" x14ac:dyDescent="0.3">
      <c r="A50" s="2">
        <v>11</v>
      </c>
      <c r="C50" s="38" t="s">
        <v>155</v>
      </c>
      <c r="D50" s="42">
        <f>TRUNC(71158,-1)</f>
        <v>71150</v>
      </c>
      <c r="E50" s="64">
        <f t="shared" si="1"/>
        <v>235200</v>
      </c>
    </row>
    <row r="51" spans="1:7" x14ac:dyDescent="0.3">
      <c r="A51" s="2">
        <v>12</v>
      </c>
      <c r="C51" s="38" t="s">
        <v>23</v>
      </c>
      <c r="D51" s="42">
        <f>TRUNC(22568,-1)</f>
        <v>22560</v>
      </c>
      <c r="E51" s="64">
        <f t="shared" si="1"/>
        <v>74570</v>
      </c>
    </row>
    <row r="52" spans="1:7" x14ac:dyDescent="0.3">
      <c r="A52" s="2">
        <v>13</v>
      </c>
      <c r="C52" s="38" t="s">
        <v>24</v>
      </c>
      <c r="D52" s="42">
        <f>TRUNC(10420,-1)</f>
        <v>10420</v>
      </c>
      <c r="E52" s="64">
        <f t="shared" si="1"/>
        <v>34440</v>
      </c>
    </row>
    <row r="53" spans="1:7" x14ac:dyDescent="0.3">
      <c r="A53" s="2">
        <v>14</v>
      </c>
      <c r="C53" s="38" t="s">
        <v>25</v>
      </c>
      <c r="D53" s="42">
        <f>TRUNC(52431,-1)</f>
        <v>52430</v>
      </c>
      <c r="E53" s="64">
        <f t="shared" si="1"/>
        <v>173320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TRUNC(254,-1)</f>
        <v>250</v>
      </c>
      <c r="E55" s="64">
        <f t="shared" si="1"/>
        <v>820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TRUNC(50610+3804,-1)</f>
        <v>54410</v>
      </c>
      <c r="E58" s="64">
        <f t="shared" si="1"/>
        <v>179860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TRUNC(231290.784328193,-1)</f>
        <v>231290</v>
      </c>
      <c r="E59" s="65">
        <f t="shared" si="1"/>
        <v>764590</v>
      </c>
    </row>
    <row r="60" spans="1:7" x14ac:dyDescent="0.3">
      <c r="A60" s="2">
        <v>21</v>
      </c>
      <c r="C60" s="27" t="s">
        <v>112</v>
      </c>
      <c r="D60" s="39">
        <f>SUM(D40:D59)</f>
        <v>872250</v>
      </c>
      <c r="E60" s="39">
        <f>SUM(E40:E59)</f>
        <v>2883390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253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TRUNC(16952,-1)</f>
        <v>16950</v>
      </c>
      <c r="E63" s="63">
        <f>TRUNC(+D63*3.3058,-1)</f>
        <v>56030</v>
      </c>
      <c r="F63" s="2" t="s">
        <v>251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16950</v>
      </c>
      <c r="E66" s="58">
        <f>SUM(E63:E65)</f>
        <v>56030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253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TRUNC(77488.9891536929,-1)</f>
        <v>77480</v>
      </c>
      <c r="E93" s="64">
        <f t="shared" si="2"/>
        <v>256130</v>
      </c>
    </row>
    <row r="94" spans="1:7" ht="17.25" thickBot="1" x14ac:dyDescent="0.35">
      <c r="A94" s="2">
        <v>26</v>
      </c>
      <c r="C94" s="38" t="s">
        <v>47</v>
      </c>
      <c r="D94" s="43">
        <f>TRUNC(172800,-1)</f>
        <v>172800</v>
      </c>
      <c r="E94" s="65">
        <f t="shared" si="2"/>
        <v>571240</v>
      </c>
    </row>
    <row r="95" spans="1:7" x14ac:dyDescent="0.3">
      <c r="A95" s="2">
        <v>27</v>
      </c>
      <c r="C95" s="27" t="s">
        <v>112</v>
      </c>
      <c r="D95" s="39">
        <f>SUM(D69:D94)</f>
        <v>250280</v>
      </c>
      <c r="E95" s="39">
        <f>SUM(E69:E94)</f>
        <v>827370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253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TRUNC(86158.7840330554,-1)</f>
        <v>86150</v>
      </c>
      <c r="E117" s="64">
        <f t="shared" si="3"/>
        <v>284790</v>
      </c>
    </row>
    <row r="118" spans="1:7" ht="17.25" thickBot="1" x14ac:dyDescent="0.35">
      <c r="A118" s="2">
        <v>21</v>
      </c>
      <c r="C118" s="38" t="s">
        <v>47</v>
      </c>
      <c r="D118" s="43">
        <f>TRUNC(169652,-1)</f>
        <v>169650</v>
      </c>
      <c r="E118" s="65">
        <f t="shared" si="3"/>
        <v>560820</v>
      </c>
    </row>
    <row r="119" spans="1:7" x14ac:dyDescent="0.3">
      <c r="A119" s="2">
        <v>22</v>
      </c>
      <c r="C119" s="27" t="s">
        <v>112</v>
      </c>
      <c r="D119" s="39">
        <f>SUM(D98:D118)</f>
        <v>255800</v>
      </c>
      <c r="E119" s="39">
        <f>SUM(E98:E118)</f>
        <v>845610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253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TRUNC(55131.0410979119,-1)</f>
        <v>55130</v>
      </c>
      <c r="E131" s="64">
        <f t="shared" si="4"/>
        <v>182240</v>
      </c>
    </row>
    <row r="132" spans="1:7" ht="18" thickBot="1" x14ac:dyDescent="0.35">
      <c r="A132" s="2">
        <v>11</v>
      </c>
      <c r="C132" s="38" t="s">
        <v>47</v>
      </c>
      <c r="D132" s="43">
        <f>TRUNC(121571,-1)</f>
        <v>121570</v>
      </c>
      <c r="E132" s="65">
        <f t="shared" si="4"/>
        <v>401880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176700</v>
      </c>
      <c r="E133" s="39">
        <f>SUM(E122:E132)</f>
        <v>584120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TRUNC(118153,-1)</f>
        <v>118150</v>
      </c>
      <c r="E152" s="64">
        <f>TRUNC(+D152*3.3058,-1)</f>
        <v>390580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TRUNC(16671.5118423965,-1)</f>
        <v>16670</v>
      </c>
      <c r="E153" s="65">
        <f>TRUNC(+D153*3.3058,-1)</f>
        <v>55100</v>
      </c>
    </row>
    <row r="154" spans="1:7" x14ac:dyDescent="0.3">
      <c r="A154" s="2">
        <v>6</v>
      </c>
      <c r="C154" s="27" t="s">
        <v>112</v>
      </c>
      <c r="D154" s="39">
        <f>SUM(D149:D153)</f>
        <v>134820</v>
      </c>
      <c r="E154" s="39">
        <f>SUM(E149:E153)</f>
        <v>445680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2020-12-07T09:28:19Z</dcterms:modified>
</cp:coreProperties>
</file>