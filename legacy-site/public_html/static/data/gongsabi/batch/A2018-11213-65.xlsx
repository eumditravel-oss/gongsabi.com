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50" i="4"/>
  <c r="D149" i="4"/>
  <c r="D132" i="4"/>
  <c r="D131" i="4"/>
  <c r="D130" i="4"/>
  <c r="D128" i="4"/>
  <c r="D126" i="4"/>
  <c r="D125" i="4"/>
  <c r="D124" i="4"/>
  <c r="D117" i="4"/>
  <c r="D105" i="4"/>
  <c r="D103" i="4"/>
  <c r="D102" i="4"/>
  <c r="D100" i="4"/>
  <c r="D99" i="4"/>
  <c r="D98" i="4"/>
  <c r="D94" i="4"/>
  <c r="D93" i="4"/>
  <c r="D92" i="4"/>
  <c r="D89" i="4"/>
  <c r="D73" i="4"/>
  <c r="D72" i="4"/>
  <c r="D69" i="4"/>
  <c r="D63" i="4"/>
  <c r="D58" i="4"/>
  <c r="D53" i="4"/>
  <c r="D52" i="4"/>
  <c r="D50" i="4"/>
  <c r="D49" i="4"/>
  <c r="D48" i="4"/>
  <c r="D45" i="4"/>
  <c r="D46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46" i="4"/>
  <c r="E154" i="4"/>
  <c r="E133" i="4"/>
  <c r="E119" i="4"/>
  <c r="E95" i="4"/>
  <c r="E60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<sst xmlns="http://schemas.openxmlformats.org/spreadsheetml/2006/main" count="388" uniqueCount="263">
  <si>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</si>
  <si>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</si>
  <si>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</si>
  <si>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</si>
  <si>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</si>
  <si>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</si>
  <si>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</si>
  <si>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</si>
  <si>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</si>
  <si>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</si>
  <si>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</si>
  <si>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</si>
  <si>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</si>
  <si>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</si>
  <si>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</si>
  <si>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</si>
  <si>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</si>
  <si>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</si>
  <si>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</si>
  <si>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</si>
  <si>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</si>
  <si>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</si>
  <si>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</si>
  <si>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</si>
  <si>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</si>
  <si>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</si>
  <si>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</si>
  <si>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</si>
  <si>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</si>
  <si>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</si>
  <si>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</si>
  <si>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</si>
  <si>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</si>
  <si>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</si>
  <si>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</si>
  <si>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</si>
  <si>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</si>
  <si>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</si>
  <si>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</si>
  <si>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</si>
  <si>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</si>
  <si>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</si>
  <si>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</si>
  <si>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</si>
  <si>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</si>
  <si>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</si>
  <si>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</si>
  <si>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</si>
  <si>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</si>
  <si>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</si>
  <si>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</si>
  <si>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</si>
  <si>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</si>
  <si>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</si>
  <si>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</si>
  <si>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</si>
  <si>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</si>
  <si>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</si>
  <si>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</si>
  <si>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</si>
  <si>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</si>
  <si>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</si>
  <si>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</si>
  <si>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</si>
  <si>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</si>
  <si>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</si>
  <si>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</si>
  <si>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</si>
  <si>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</si>
  <si>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</si>
  <si>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</si>
  <si>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</si>
  <si>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</si>
  <si>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</si>
  <si>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</si>
  <si>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</si>
  <si>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</si>
  <si>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</si>
  <si>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</si>
  <si>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</si>
  <si>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</si>
  <si>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</si>
  <si>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</si>
  <si>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</si>
  <si>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</si>
  <si>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</si>
  <si>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</si>
  <si>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</si>
  <si>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</si>
  <si>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</si>
  <si>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</si>
  <si>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</si>
  <si>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</si>
  <si>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</si>
  <si>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</si>
  <si>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</si>
  <si>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</si>
  <si>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</si>
  <si>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</si>
  <si>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</si>
  <si>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</si>
  <si>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</si>
  <si>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</si>
  <si>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</si>
  <si>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</si>
  <si>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</si>
  <si>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</si>
  <si>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</si>
  <si>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</si>
  <si>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</si>
  <si>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</si>
  <si>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</si>
  <si>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</si>
  <si>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</si>
  <si>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</si>
  <si>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</si>
  <si>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</si>
  <si>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</si>
  <si>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</si>
  <si>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</si>
  <si>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</si>
  <si>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</si>
  <si>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</si>
  <si>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</si>
  <si>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</si>
  <si>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</si>
  <si>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</si>
  <si>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</si>
  <si>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</si>
  <si>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</si>
  <si>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</si>
  <si>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</si>
  <si>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</si>
  <si>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</si>
  <si>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</si>
  <si>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</si>
  <si>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</si>
  <si>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</si>
  <si>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</si>
  <si>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</si>
  <si>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</si>
  <si>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</si>
  <si>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</si>
  <si>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</si>
  <si>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</si>
  <si>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</si>
  <si>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</si>
  <si>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</si>
  <si>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</si>
  <si>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</si>
  <si>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</si>
  <si>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</si>
  <si>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</si>
  <si>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</si>
  <si>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</si>
  <si>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</si>
  <si>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</si>
  <si>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</si>
  <si>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</si>
  <si>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</si>
  <si>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</si>
  <si>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</si>
  <si>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</si>
  <si>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</si>
  <si>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</si>
  <si>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</si>
  <si>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</si>
  <si>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</si>
  <si>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</si>
  <si>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</si>
  <si>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</si>
  <si>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</si>
  <si>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</si>
  <si>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</si>
  <si>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</si>
  <si>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</si>
  <si>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</si>
  <si>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</si>
  <si>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</si>
  <si>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</si>
  <si>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</si>
  <si>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</si>
  <si>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</si>
  <si>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</si>
  <si>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</si>
  <si>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</si>
  <si>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</si>
  <si>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</si>
  <si>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</si>
  <si>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</si>
  <si>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</si>
  <si>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</si>
  <si>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</si>
  <si>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</si>
  <si>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</si>
  <si>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</si>
  <si>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</si>
  <si>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</si>
  <si>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</si>
  <si>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</si>
  <si>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</si>
  <si>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</si>
  <si>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</si>
  <si>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</si>
  <si>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</si>
  <si>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</si>
  <si>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</si>
  <si>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</si>
  <si>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</si>
  <si>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</si>
  <si>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</si>
  <si>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</si>
  <si>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</si>
  <si>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</si>
  <si>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</si>
  <si>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</si>
  <si>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</si>
  <si>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</si>
  <si>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</si>
  <si>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</si>
  <si>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</si>
  <si>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</si>
  <si>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</si>
  <si>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</si>
  <si>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</si>
  <si>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</si>
  <si>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</si>
  <si>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</si>
  <si>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</si>
  <si>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</si>
  <si>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</si>
  <si>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</si>
  <si>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</si>
  <si>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</si>
  <si>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</si>
  <si>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</si>
  <si>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</si>
  <si>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</si>
  <si>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</si>
  <si>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</si>
  <si>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</si>
  <si>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</si>
  <si>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</si>
  <si>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</si>
  <si>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</si>
  <si>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</si>
  <si>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</si>
  <si>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</si>
  <si>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</si>
  <si>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기후변화대응 실습교육센터 신축 건축공사</t>
    <phoneticPr fontId="2" type="noConversion"/>
  </si>
  <si>
    <t>전라도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</si>
  <si>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</si>
  <si>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</si>
  <si>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</t>
    <phoneticPr fontId="2" type="noConversion"/>
  </si>
  <si>
    <t>기초공사, 폐기물처리비, 골재비및운반비, 작업부산물, 기타공사</t>
    <phoneticPr fontId="2" type="noConversion"/>
  </si>
  <si>
    <t>공조배관공사</t>
    <phoneticPr fontId="2" type="noConversion"/>
  </si>
  <si>
    <t xml:space="preserve">CCTV설비공사 </t>
    <phoneticPr fontId="2" type="noConversion"/>
  </si>
  <si>
    <t>사급자재비, 운반비,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</si>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</sst>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1375.47</v>
      </c>
      <c r="D7" s="36">
        <f>+C7/3.3058</f>
        <v>416.0778026498881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972800</v>
      </c>
      <c r="E25" s="59">
        <f t="shared" si="0"/>
        <v>3215880</v>
      </c>
    </row>
    <row r="26" spans="1:5" x14ac:dyDescent="0.3">
      <c r="B26" s="2">
        <v>3</v>
      </c>
      <c r="C26" s="35" t="s">
        <v>95</v>
      </c>
      <c r="D26" s="45">
        <f>+D66</f>
        <v>5810</v>
      </c>
      <c r="E26" s="59">
        <f t="shared" si="0"/>
        <v>19200</v>
      </c>
    </row>
    <row r="27" spans="1:5" x14ac:dyDescent="0.3">
      <c r="B27" s="2">
        <v>4</v>
      </c>
      <c r="C27" s="35" t="s">
        <v>96</v>
      </c>
      <c r="D27" s="45">
        <f>+D95</f>
        <v>111150</v>
      </c>
      <c r="E27" s="59">
        <f t="shared" si="0"/>
        <v>367430</v>
      </c>
    </row>
    <row r="28" spans="1:5" x14ac:dyDescent="0.3">
      <c r="B28" s="2">
        <v>5</v>
      </c>
      <c r="C28" s="35" t="s">
        <v>97</v>
      </c>
      <c r="D28" s="45">
        <f>+D119</f>
        <v>452600</v>
      </c>
      <c r="E28" s="59">
        <f t="shared" si="0"/>
        <v>1496200</v>
      </c>
    </row>
    <row r="29" spans="1:5" x14ac:dyDescent="0.3">
      <c r="B29" s="2">
        <v>6</v>
      </c>
      <c r="C29" s="35" t="s">
        <v>98</v>
      </c>
      <c r="D29" s="45">
        <f>+D133</f>
        <v>85410</v>
      </c>
      <c r="E29" s="59">
        <f t="shared" si="0"/>
        <v>282340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69000</v>
      </c>
      <c r="E31" s="59">
        <f t="shared" si="0"/>
        <v>228100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466610</v>
      </c>
      <c r="E33" s="60">
        <f t="shared" si="0"/>
        <v>1542510</v>
      </c>
    </row>
    <row r="34" spans="1:7" x14ac:dyDescent="0.3">
      <c r="C34" s="35" t="s">
        <v>112</v>
      </c>
      <c r="D34" s="44">
        <f>SUM(D24:D33)</f>
        <v>2163380</v>
      </c>
      <c r="E34" s="44">
        <f>SUM(E24:E33)</f>
        <v>7151660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258</v>
      </c>
      <c r="E39" s="67" t="s">
        <v>259</v>
      </c>
      <c r="G39" s="68"/>
    </row>
    <row r="40" spans="1:7" x14ac:dyDescent="0.3">
      <c r="A40" s="2">
        <v>1</v>
      </c>
      <c r="C40" s="38" t="s">
        <v>15</v>
      </c>
      <c r="D40" s="40">
        <f>TRUNC(72206,-1)</f>
        <v>72200</v>
      </c>
      <c r="E40" s="62">
        <f t="shared" ref="E40:E59" si="1">TRUNC(+D40*3.3058,-1)</f>
        <v>238670</v>
      </c>
    </row>
    <row r="41" spans="1:7" x14ac:dyDescent="0.3">
      <c r="A41" s="2">
        <v>2</v>
      </c>
      <c r="C41" s="38" t="s">
        <v>13</v>
      </c>
      <c r="D41" s="42">
        <f>TRUNC(237772,-1)</f>
        <v>237770</v>
      </c>
      <c r="E41" s="63">
        <f t="shared" si="1"/>
        <v>786020</v>
      </c>
    </row>
    <row r="42" spans="1:7" x14ac:dyDescent="0.3">
      <c r="A42" s="2">
        <v>3</v>
      </c>
      <c r="C42" s="38" t="s">
        <v>14</v>
      </c>
      <c r="D42" s="42">
        <f>TRUNC(1427,-1)</f>
        <v>1420</v>
      </c>
      <c r="E42" s="63">
        <f t="shared" si="1"/>
        <v>4690</v>
      </c>
    </row>
    <row r="43" spans="1:7" x14ac:dyDescent="0.3">
      <c r="A43" s="2">
        <v>4</v>
      </c>
      <c r="C43" s="38" t="s">
        <v>16</v>
      </c>
      <c r="D43" s="42">
        <f>TRUNC(84288,-1)</f>
        <v>84280</v>
      </c>
      <c r="E43" s="63">
        <f t="shared" si="1"/>
        <v>278610</v>
      </c>
    </row>
    <row r="44" spans="1:7" x14ac:dyDescent="0.3">
      <c r="A44" s="2">
        <v>5</v>
      </c>
      <c r="C44" s="38" t="s">
        <v>17</v>
      </c>
      <c r="D44" s="42">
        <f>TRUNC(28152,-1)</f>
        <v>28150</v>
      </c>
      <c r="E44" s="63">
        <f t="shared" si="1"/>
        <v>93050</v>
      </c>
    </row>
    <row r="45" spans="1:7" x14ac:dyDescent="0.3">
      <c r="A45" s="2">
        <v>6</v>
      </c>
      <c r="C45" s="38" t="s">
        <v>18</v>
      </c>
      <c r="D45" s="42">
        <f>TRUNC(4458,-1)</f>
        <v>4450</v>
      </c>
      <c r="E45" s="63">
        <f t="shared" si="1"/>
        <v>14710</v>
      </c>
    </row>
    <row r="46" spans="1:7" x14ac:dyDescent="0.3">
      <c r="A46" s="2">
        <v>7</v>
      </c>
      <c r="C46" s="38" t="s">
        <v>19</v>
      </c>
      <c r="D46" s="42">
        <f>TRUNC(9295,-1)</f>
        <v>9290</v>
      </c>
      <c r="E46" s="63">
        <f t="shared" si="1"/>
        <v>30710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TRUNC(36467,-1)</f>
        <v>36460</v>
      </c>
      <c r="E48" s="63">
        <f t="shared" si="1"/>
        <v>120520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TRUNC(19104,-1)</f>
        <v>19100</v>
      </c>
      <c r="E49" s="63">
        <f t="shared" si="1"/>
        <v>63140</v>
      </c>
    </row>
    <row r="50" spans="1:7" x14ac:dyDescent="0.3">
      <c r="A50" s="2">
        <v>11</v>
      </c>
      <c r="C50" s="38" t="s">
        <v>155</v>
      </c>
      <c r="D50" s="42">
        <f>TRUNC(43462,-1)</f>
        <v>43460</v>
      </c>
      <c r="E50" s="63">
        <f t="shared" si="1"/>
        <v>143670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TRUNC(20263,-1)</f>
        <v>20260</v>
      </c>
      <c r="E52" s="63">
        <f t="shared" si="1"/>
        <v>66970</v>
      </c>
    </row>
    <row r="53" spans="1:7" x14ac:dyDescent="0.3">
      <c r="A53" s="2">
        <v>14</v>
      </c>
      <c r="C53" s="38" t="s">
        <v>25</v>
      </c>
      <c r="D53" s="42">
        <f>TRUNC(94339,-1)</f>
        <v>94330</v>
      </c>
      <c r="E53" s="63">
        <f t="shared" si="1"/>
        <v>311830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TRUNC(54976+1295+10445-916+1919,-1)</f>
        <v>67710</v>
      </c>
      <c r="E58" s="63">
        <f t="shared" si="1"/>
        <v>223830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v>253920</v>
      </c>
      <c r="E59" s="64">
        <f t="shared" si="1"/>
        <v>839400</v>
      </c>
    </row>
    <row r="60" spans="1:7" x14ac:dyDescent="0.3">
      <c r="A60" s="2">
        <v>21</v>
      </c>
      <c r="C60" s="27" t="s">
        <v>112</v>
      </c>
      <c r="D60" s="39">
        <f>SUM(D40:D59)</f>
        <v>972800</v>
      </c>
      <c r="E60" s="39">
        <f>SUM(E40:E59)</f>
        <v>3215820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TRUNC(5815,-1)</f>
        <v>5810</v>
      </c>
      <c r="E63" s="62">
        <f>TRUNC(+D63*3.3058,-1)</f>
        <v>19200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5810</v>
      </c>
      <c r="E66" s="65">
        <f>SUM(E63:E65)</f>
        <v>19200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TRUNC(8905,-1)</f>
        <v>8900</v>
      </c>
      <c r="E69" s="62">
        <f t="shared" ref="E69:E94" si="2">TRUNC(+D69*3.3058,-1)</f>
        <v>29420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TRUNC(9273,-1)</f>
        <v>9270</v>
      </c>
      <c r="E72" s="63">
        <f t="shared" si="2"/>
        <v>30640</v>
      </c>
    </row>
    <row r="73" spans="1:7" x14ac:dyDescent="0.3">
      <c r="A73" s="2">
        <v>5</v>
      </c>
      <c r="C73" s="38" t="s">
        <v>34</v>
      </c>
      <c r="D73" s="42">
        <f>TRUNC(15748,-1)</f>
        <v>15740</v>
      </c>
      <c r="E73" s="63">
        <f t="shared" si="2"/>
        <v>52030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TRUNC(12654,-1)</f>
        <v>12650</v>
      </c>
      <c r="E89" s="63">
        <f t="shared" si="2"/>
        <v>41810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TRUNC(6035,-1)</f>
        <v>6030</v>
      </c>
      <c r="E92" s="63">
        <f t="shared" si="2"/>
        <v>19930</v>
      </c>
    </row>
    <row r="93" spans="1:7" x14ac:dyDescent="0.3">
      <c r="A93" s="2">
        <v>25</v>
      </c>
      <c r="C93" s="38" t="s">
        <v>148</v>
      </c>
      <c r="D93" s="42">
        <f>TRUNC(57199,-1)</f>
        <v>57190</v>
      </c>
      <c r="E93" s="63">
        <f t="shared" si="2"/>
        <v>189050</v>
      </c>
    </row>
    <row r="94" spans="1:7" ht="17.25" thickBot="1" x14ac:dyDescent="0.35">
      <c r="A94" s="2">
        <v>26</v>
      </c>
      <c r="C94" s="38" t="s">
        <v>47</v>
      </c>
      <c r="D94" s="43">
        <f>TRUNC(1376,-1)</f>
        <v>1370</v>
      </c>
      <c r="E94" s="64">
        <f t="shared" si="2"/>
        <v>4520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111150</v>
      </c>
      <c r="E95" s="39">
        <f>SUM(E69:E94)</f>
        <v>367400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TRUNC(96147,-1)</f>
        <v>96140</v>
      </c>
      <c r="E98" s="62">
        <f t="shared" ref="E98:E118" si="3">TRUNC(+D98*3.3058,-1)</f>
        <v>317810</v>
      </c>
    </row>
    <row r="99" spans="1:7" x14ac:dyDescent="0.3">
      <c r="A99" s="2">
        <v>2</v>
      </c>
      <c r="C99" s="38" t="s">
        <v>40</v>
      </c>
      <c r="D99" s="42">
        <f>TRUNC(23895,-1)</f>
        <v>23890</v>
      </c>
      <c r="E99" s="63">
        <f t="shared" si="3"/>
        <v>78970</v>
      </c>
    </row>
    <row r="100" spans="1:7" x14ac:dyDescent="0.3">
      <c r="A100" s="2">
        <v>3</v>
      </c>
      <c r="C100" s="38" t="s">
        <v>41</v>
      </c>
      <c r="D100" s="42">
        <f>TRUNC(17599,-1)</f>
        <v>17590</v>
      </c>
      <c r="E100" s="63">
        <f t="shared" si="3"/>
        <v>58140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TRUNC(6519,-1)</f>
        <v>6510</v>
      </c>
      <c r="E102" s="63">
        <f t="shared" si="3"/>
        <v>21520</v>
      </c>
    </row>
    <row r="103" spans="1:7" x14ac:dyDescent="0.3">
      <c r="A103" s="2">
        <v>6</v>
      </c>
      <c r="C103" s="38" t="s">
        <v>44</v>
      </c>
      <c r="D103" s="42">
        <f>TRUNC(4216,-1)</f>
        <v>4210</v>
      </c>
      <c r="E103" s="63">
        <f t="shared" si="3"/>
        <v>13910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TRUNC(8376,-1)</f>
        <v>8370</v>
      </c>
      <c r="E105" s="63">
        <f t="shared" si="3"/>
        <v>27660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TRUNC(295892,-1)</f>
        <v>295890</v>
      </c>
      <c r="E117" s="63">
        <f t="shared" si="3"/>
        <v>978150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452600</v>
      </c>
      <c r="E119" s="39">
        <f>SUM(E98:E118)</f>
        <v>1496160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TRUNC(877,-1)</f>
        <v>870</v>
      </c>
      <c r="E124" s="63">
        <f t="shared" si="4"/>
        <v>2870</v>
      </c>
    </row>
    <row r="125" spans="1:7" x14ac:dyDescent="0.3">
      <c r="A125" s="2">
        <v>4</v>
      </c>
      <c r="C125" s="38" t="s">
        <v>138</v>
      </c>
      <c r="D125" s="42">
        <f>TRUNC(2318,-1)</f>
        <v>2310</v>
      </c>
      <c r="E125" s="63">
        <f t="shared" si="4"/>
        <v>7630</v>
      </c>
    </row>
    <row r="126" spans="1:7" x14ac:dyDescent="0.3">
      <c r="A126" s="2">
        <v>5</v>
      </c>
      <c r="C126" s="38" t="s">
        <v>53</v>
      </c>
      <c r="D126" s="42">
        <f>TRUNC(7014,-1)</f>
        <v>7010</v>
      </c>
      <c r="E126" s="63">
        <f t="shared" si="4"/>
        <v>23170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TRUNC(1116,-1)</f>
        <v>1110</v>
      </c>
      <c r="E128" s="63">
        <f t="shared" si="4"/>
        <v>3660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TRUNC(39228,-1)</f>
        <v>39220</v>
      </c>
      <c r="E130" s="63">
        <f t="shared" si="4"/>
        <v>129650</v>
      </c>
    </row>
    <row r="131" spans="1:7" x14ac:dyDescent="0.3">
      <c r="A131" s="2">
        <v>10</v>
      </c>
      <c r="C131" s="38" t="s">
        <v>148</v>
      </c>
      <c r="D131" s="42">
        <f>TRUNC(28923,-1)</f>
        <v>28920</v>
      </c>
      <c r="E131" s="63">
        <f t="shared" si="4"/>
        <v>95600</v>
      </c>
    </row>
    <row r="132" spans="1:7" ht="18" thickBot="1" x14ac:dyDescent="0.35">
      <c r="A132" s="2">
        <v>11</v>
      </c>
      <c r="C132" s="38" t="s">
        <v>47</v>
      </c>
      <c r="D132" s="43">
        <f>TRUNC(5974,-1)</f>
        <v>5970</v>
      </c>
      <c r="E132" s="64">
        <f t="shared" si="4"/>
        <v>19730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85410</v>
      </c>
      <c r="E133" s="39">
        <f>SUM(E122:E132)</f>
        <v>282310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TRUNC(3814+308,-1)</f>
        <v>4120</v>
      </c>
      <c r="E149" s="62">
        <f>TRUNC(+D149*3.3058,-1)</f>
        <v>13610</v>
      </c>
    </row>
    <row r="150" spans="1:7" x14ac:dyDescent="0.3">
      <c r="A150" s="2">
        <v>2</v>
      </c>
      <c r="C150" s="38" t="s">
        <v>49</v>
      </c>
      <c r="D150" s="42">
        <f>TRUNC(14733,-1)</f>
        <v>14730</v>
      </c>
      <c r="E150" s="63">
        <f>TRUNC(+D150*3.3058,-1)</f>
        <v>48690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TRUNC(32316+4518+2647,-1)</f>
        <v>39480</v>
      </c>
      <c r="E152" s="63">
        <f>TRUNC(+D152*3.3058,-1)</f>
        <v>130510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f>TRUNC(10671,-1)</f>
        <v>10670</v>
      </c>
      <c r="E153" s="64">
        <f>TRUNC(+D153*3.3058,-1)</f>
        <v>35270</v>
      </c>
    </row>
    <row r="154" spans="1:7" x14ac:dyDescent="0.3">
      <c r="A154" s="2">
        <v>6</v>
      </c>
      <c r="C154" s="27" t="s">
        <v>112</v>
      </c>
      <c r="D154" s="39">
        <f>SUM(D149:D153)</f>
        <v>69000</v>
      </c>
      <c r="E154" s="39">
        <f>SUM(E149:E153)</f>
        <v>228080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2020-12-08T02:32:08Z</dcterms:modified>
</cp:coreProperties>
</file>