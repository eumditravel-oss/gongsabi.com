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4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4" i="4" l="1"/>
  <c r="D132" i="4" l="1"/>
  <c r="D128" i="4"/>
  <c r="D125" i="4"/>
  <c r="D122" i="4"/>
  <c r="D123" i="4"/>
  <c r="D137" i="4"/>
  <c r="D118" i="4"/>
  <c r="D105" i="4"/>
  <c r="D104" i="4"/>
  <c r="D101" i="4"/>
  <c r="D108" i="4"/>
  <c r="D100" i="4"/>
  <c r="D102" i="4"/>
  <c r="D99" i="4"/>
  <c r="D98" i="4"/>
  <c r="D116" i="4"/>
  <c r="D114" i="4"/>
  <c r="D136" i="4"/>
  <c r="D74" i="4"/>
  <c r="D69" i="4"/>
  <c r="D85" i="4"/>
  <c r="D75" i="4"/>
  <c r="D90" i="4"/>
  <c r="D78" i="4"/>
  <c r="D72" i="4"/>
  <c r="D71" i="4"/>
  <c r="D70" i="4"/>
  <c r="D58" i="4"/>
  <c r="D159" i="4"/>
  <c r="D152" i="4"/>
  <c r="D55" i="4"/>
  <c r="D53" i="4"/>
  <c r="D52" i="4"/>
  <c r="D51" i="4"/>
  <c r="D50" i="4"/>
  <c r="D49" i="4"/>
  <c r="D48" i="4"/>
  <c r="D46" i="4"/>
  <c r="D45" i="4"/>
  <c r="D44" i="4"/>
  <c r="D43" i="4"/>
  <c r="D42" i="4"/>
  <c r="D41" i="4"/>
  <c r="D40" i="4"/>
  <c r="D37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33" i="4" l="1"/>
  <c r="E146" i="4"/>
  <c r="E119" i="4"/>
  <c r="E95" i="4"/>
  <c r="E154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60" i="4"/>
  <c r="D25" i="4" s="1"/>
  <c r="D24" i="4"/>
  <c r="E24" i="4" s="1"/>
  <c r="D26" i="4"/>
  <c r="E26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<sst xmlns="http://schemas.openxmlformats.org/spreadsheetml/2006/main" count="393" uniqueCount="268">
  <si>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</si>
  <si>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</si>
  <si>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</si>
  <si>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</si>
  <si>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</si>
  <si>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</si>
  <si>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</si>
  <si>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</si>
  <si>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</si>
  <si>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</si>
  <si>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</si>
  <si>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</si>
  <si>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</si>
  <si>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</si>
  <si>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</si>
  <si>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</si>
  <si>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</si>
  <si>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</si>
  <si>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</si>
  <si>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</si>
  <si>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</si>
  <si>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</si>
  <si>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</si>
  <si>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</si>
  <si>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</si>
  <si>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</si>
  <si>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</si>
  <si>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</si>
  <si>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</si>
  <si>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</si>
  <si>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</si>
  <si>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</si>
  <si>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</si>
  <si>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</si>
  <si>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</si>
  <si>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</si>
  <si>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</si>
  <si>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</si>
  <si>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</si>
  <si>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</si>
  <si>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</si>
  <si>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</si>
  <si>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</si>
  <si>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</si>
  <si>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</si>
  <si>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</si>
  <si>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</si>
  <si>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</si>
  <si>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</si>
  <si>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</si>
  <si>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</si>
  <si>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</si>
  <si>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</si>
  <si>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</si>
  <si>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</si>
  <si>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</si>
  <si>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</si>
  <si>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</si>
  <si>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</si>
  <si>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</si>
  <si>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</si>
  <si>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</si>
  <si>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</si>
  <si>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</si>
  <si>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</si>
  <si>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</si>
  <si>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</si>
  <si>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</si>
  <si>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</si>
  <si>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</si>
  <si>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</si>
  <si>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</si>
  <si>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</si>
  <si>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</si>
  <si>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</si>
  <si>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</si>
  <si>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</si>
  <si>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</si>
  <si>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</si>
  <si>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</si>
  <si>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</si>
  <si>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</si>
  <si>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</si>
  <si>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</si>
  <si>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</si>
  <si>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</si>
  <si>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</si>
  <si>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</si>
  <si>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</si>
  <si>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</si>
  <si>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</si>
  <si>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</si>
  <si>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</si>
  <si>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</si>
  <si>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</si>
  <si>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</si>
  <si>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</si>
  <si>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</si>
  <si>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</si>
  <si>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</si>
  <si>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</si>
  <si>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</si>
  <si>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</si>
  <si>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</si>
  <si>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</si>
  <si>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</si>
  <si>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</si>
  <si>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</si>
  <si>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</si>
  <si>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</si>
  <si>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</si>
  <si>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</si>
  <si>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</si>
  <si>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</si>
  <si>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</si>
  <si>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</si>
  <si>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</si>
  <si>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</si>
  <si>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</si>
  <si>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</si>
  <si>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</si>
  <si>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</si>
  <si>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</si>
  <si>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</si>
  <si>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</si>
  <si>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</si>
  <si>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</si>
  <si>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</si>
  <si>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</si>
  <si>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</si>
  <si>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</si>
  <si>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</si>
  <si>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</si>
  <si>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</si>
  <si>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</si>
  <si>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</si>
  <si>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</si>
  <si>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</si>
  <si>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</si>
  <si>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</si>
  <si>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</si>
  <si>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</si>
  <si>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</si>
  <si>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</si>
  <si>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</si>
  <si>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</si>
  <si>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</si>
  <si>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</si>
  <si>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</si>
  <si>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</si>
  <si>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</si>
  <si>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</si>
  <si>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</si>
  <si>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</si>
  <si>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</si>
  <si>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</si>
  <si>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</si>
  <si>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</si>
  <si>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</si>
  <si>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</si>
  <si>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</si>
  <si>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</si>
  <si>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</si>
  <si>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</si>
  <si>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</si>
  <si>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</si>
  <si>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</si>
  <si>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</si>
  <si>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</si>
  <si>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</si>
  <si>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</si>
  <si>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</si>
  <si>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</si>
  <si>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</si>
  <si>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</si>
  <si>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</si>
  <si>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</si>
  <si>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</si>
  <si>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</si>
  <si>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</si>
  <si>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</si>
  <si>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</si>
  <si>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</si>
  <si>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</si>
  <si>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</si>
  <si>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</si>
  <si>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</si>
  <si>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</si>
  <si>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</si>
  <si>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</si>
  <si>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</si>
  <si>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</si>
  <si>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</si>
  <si>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</si>
  <si>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</si>
  <si>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</si>
  <si>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</si>
  <si>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</si>
  <si>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</si>
  <si>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</si>
  <si>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</si>
  <si>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</si>
  <si>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</si>
  <si>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</si>
  <si>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</si>
  <si>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</si>
  <si>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</si>
  <si>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</si>
  <si>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</si>
  <si>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</si>
  <si>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</si>
  <si>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</si>
  <si>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</si>
  <si>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</si>
  <si>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</si>
  <si>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</si>
  <si>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</si>
  <si>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</si>
  <si>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</si>
  <si>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</si>
  <si>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</si>
  <si>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</si>
  <si>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</si>
  <si>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</si>
  <si>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</si>
  <si>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</si>
  <si>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</si>
  <si>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</si>
  <si>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</si>
  <si>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</si>
  <si>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</si>
  <si>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</si>
  <si>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</si>
  <si>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</si>
  <si>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</si>
  <si>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</si>
  <si>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</si>
  <si>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</si>
  <si>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</si>
  <si>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</si>
  <si>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</si>
  <si>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</si>
  <si>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</si>
  <si>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</si>
  <si>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</si>
  <si>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</si>
  <si>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</si>
  <si>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</si>
  <si>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0000시험시설 증축공사</t>
    <phoneticPr fontId="2" type="noConversion"/>
  </si>
  <si>
    <t>교육연구</t>
  </si>
  <si>
    <t>대전시</t>
  </si>
  <si>
    <t>부대토목공사(흙막이공사포함)</t>
    <phoneticPr fontId="2" type="noConversion"/>
  </si>
  <si>
    <t>부대조경공사</t>
    <phoneticPr fontId="2" type="noConversion"/>
  </si>
  <si>
    <t>토및지정공사,철거공사,기타공사,폐수조공사,골재비,운반비</t>
    <phoneticPr fontId="2" type="noConversion"/>
  </si>
  <si>
    <t>장비설치공사,실험실장비설치공사</t>
    <phoneticPr fontId="2" type="noConversion"/>
  </si>
  <si>
    <t>실험실가스설치공사</t>
    <phoneticPr fontId="2" type="noConversion"/>
  </si>
  <si>
    <t>기계 소화설비공사</t>
    <phoneticPr fontId="2" type="noConversion"/>
  </si>
  <si>
    <t>전기인입및전기실설비공사</t>
    <phoneticPr fontId="2" type="noConversion"/>
  </si>
  <si>
    <t>태양광설비공사,가설사무실및창고설비공사</t>
    <phoneticPr fontId="2" type="noConversion"/>
  </si>
  <si>
    <t>전기 소방공사</t>
    <phoneticPr fontId="2" type="noConversion"/>
  </si>
  <si>
    <t>CATV설비공사</t>
    <phoneticPr fontId="2" type="noConversion"/>
  </si>
  <si>
    <t>가설사무실및창고설비공사</t>
  </si>
  <si>
    <t>공조배관공사,위생배관공사,압축공기설치공사,RO설비공사,우수설비공사, 바닥난방공사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</si>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</sst>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265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6294</v>
      </c>
      <c r="D7" s="36">
        <f>+C7/3.3058</f>
        <v>1903.9264323310545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201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266</v>
      </c>
    </row>
    <row r="19" spans="1:5" x14ac:dyDescent="0.3">
      <c r="A19" s="2">
        <v>9</v>
      </c>
      <c r="B19" s="2" t="s">
        <v>267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10150</v>
      </c>
      <c r="E24" s="58">
        <f t="shared" ref="E24:E33" si="0">TRUNC(+D24*3.3058,-1)</f>
        <v>33550</v>
      </c>
    </row>
    <row r="25" spans="1:5" x14ac:dyDescent="0.3">
      <c r="B25" s="2">
        <v>2</v>
      </c>
      <c r="C25" s="35" t="s">
        <v>111</v>
      </c>
      <c r="D25" s="45">
        <f>+D60</f>
        <v>406040</v>
      </c>
      <c r="E25" s="59">
        <f t="shared" si="0"/>
        <v>1342280</v>
      </c>
    </row>
    <row r="26" spans="1:5" x14ac:dyDescent="0.3">
      <c r="B26" s="2">
        <v>3</v>
      </c>
      <c r="C26" s="35" t="s">
        <v>95</v>
      </c>
      <c r="D26" s="45">
        <f>+D66</f>
        <v>0</v>
      </c>
      <c r="E26" s="59">
        <f t="shared" si="0"/>
        <v>0</v>
      </c>
    </row>
    <row r="27" spans="1:5" x14ac:dyDescent="0.3">
      <c r="B27" s="2">
        <v>4</v>
      </c>
      <c r="C27" s="35" t="s">
        <v>96</v>
      </c>
      <c r="D27" s="45">
        <f>+D95</f>
        <v>221770</v>
      </c>
      <c r="E27" s="59">
        <f t="shared" si="0"/>
        <v>733120</v>
      </c>
    </row>
    <row r="28" spans="1:5" x14ac:dyDescent="0.3">
      <c r="B28" s="2">
        <v>5</v>
      </c>
      <c r="C28" s="35" t="s">
        <v>97</v>
      </c>
      <c r="D28" s="45">
        <f>+D119</f>
        <v>148200</v>
      </c>
      <c r="E28" s="59">
        <f t="shared" si="0"/>
        <v>489910</v>
      </c>
    </row>
    <row r="29" spans="1:5" x14ac:dyDescent="0.3">
      <c r="B29" s="2">
        <v>6</v>
      </c>
      <c r="C29" s="35" t="s">
        <v>98</v>
      </c>
      <c r="D29" s="45">
        <f>+D133</f>
        <v>28980</v>
      </c>
      <c r="E29" s="59">
        <f t="shared" si="0"/>
        <v>95800</v>
      </c>
    </row>
    <row r="30" spans="1:5" x14ac:dyDescent="0.3">
      <c r="B30" s="2">
        <v>7</v>
      </c>
      <c r="C30" s="35" t="s">
        <v>99</v>
      </c>
      <c r="D30" s="45">
        <f>+D146</f>
        <v>51620</v>
      </c>
      <c r="E30" s="59">
        <f t="shared" si="0"/>
        <v>170640</v>
      </c>
    </row>
    <row r="31" spans="1:5" x14ac:dyDescent="0.3">
      <c r="B31" s="2">
        <v>8</v>
      </c>
      <c r="C31" s="35" t="s">
        <v>100</v>
      </c>
      <c r="D31" s="45">
        <f>+D154</f>
        <v>171910</v>
      </c>
      <c r="E31" s="59">
        <f t="shared" si="0"/>
        <v>568300</v>
      </c>
    </row>
    <row r="32" spans="1:5" x14ac:dyDescent="0.3">
      <c r="B32" s="2">
        <v>9</v>
      </c>
      <c r="C32" s="35" t="s">
        <v>101</v>
      </c>
      <c r="D32" s="45">
        <f>+D161</f>
        <v>8860</v>
      </c>
      <c r="E32" s="59">
        <f t="shared" si="0"/>
        <v>29280</v>
      </c>
    </row>
    <row r="33" spans="1:7" x14ac:dyDescent="0.3">
      <c r="B33" s="2">
        <v>10</v>
      </c>
      <c r="C33" s="35" t="s">
        <v>154</v>
      </c>
      <c r="D33" s="53">
        <f>TRUNC(SUM(D24:D32)*0.275,-1)</f>
        <v>288070</v>
      </c>
      <c r="E33" s="60">
        <f t="shared" si="0"/>
        <v>952300</v>
      </c>
    </row>
    <row r="34" spans="1:7" x14ac:dyDescent="0.3">
      <c r="C34" s="35" t="s">
        <v>112</v>
      </c>
      <c r="D34" s="44">
        <f>SUM(D24:D33)</f>
        <v>1335600</v>
      </c>
      <c r="E34" s="44">
        <f>SUM(E24:E33)</f>
        <v>4415180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f>TRUNC(10150,-1)</f>
        <v>10150</v>
      </c>
      <c r="E37" s="61">
        <f>TRUNC(+D37*3.3058,-1)</f>
        <v>33550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263</v>
      </c>
      <c r="E39" s="67" t="s">
        <v>264</v>
      </c>
      <c r="G39" s="68"/>
    </row>
    <row r="40" spans="1:7" x14ac:dyDescent="0.3">
      <c r="A40" s="2">
        <v>1</v>
      </c>
      <c r="C40" s="38" t="s">
        <v>15</v>
      </c>
      <c r="D40" s="40">
        <f>TRUNC(39557,-1)</f>
        <v>39550</v>
      </c>
      <c r="E40" s="62">
        <f t="shared" ref="E40:E59" si="1">TRUNC(+D40*3.3058,-1)</f>
        <v>130740</v>
      </c>
    </row>
    <row r="41" spans="1:7" x14ac:dyDescent="0.3">
      <c r="A41" s="2">
        <v>2</v>
      </c>
      <c r="C41" s="38" t="s">
        <v>13</v>
      </c>
      <c r="D41" s="42">
        <f>TRUNC(143462,-1)</f>
        <v>143460</v>
      </c>
      <c r="E41" s="63">
        <f t="shared" si="1"/>
        <v>474250</v>
      </c>
    </row>
    <row r="42" spans="1:7" x14ac:dyDescent="0.3">
      <c r="A42" s="2">
        <v>3</v>
      </c>
      <c r="C42" s="38" t="s">
        <v>14</v>
      </c>
      <c r="D42" s="42">
        <f>TRUNC(1006,-1)</f>
        <v>1000</v>
      </c>
      <c r="E42" s="63">
        <f t="shared" si="1"/>
        <v>3300</v>
      </c>
    </row>
    <row r="43" spans="1:7" x14ac:dyDescent="0.3">
      <c r="A43" s="2">
        <v>4</v>
      </c>
      <c r="C43" s="38" t="s">
        <v>16</v>
      </c>
      <c r="D43" s="42">
        <f>TRUNC(17194,-1)</f>
        <v>17190</v>
      </c>
      <c r="E43" s="63">
        <f t="shared" si="1"/>
        <v>56820</v>
      </c>
    </row>
    <row r="44" spans="1:7" x14ac:dyDescent="0.3">
      <c r="A44" s="2">
        <v>5</v>
      </c>
      <c r="C44" s="38" t="s">
        <v>17</v>
      </c>
      <c r="D44" s="42">
        <f>TRUNC(32420,-1)</f>
        <v>32420</v>
      </c>
      <c r="E44" s="63">
        <f t="shared" si="1"/>
        <v>107170</v>
      </c>
    </row>
    <row r="45" spans="1:7" x14ac:dyDescent="0.3">
      <c r="A45" s="2">
        <v>6</v>
      </c>
      <c r="C45" s="38" t="s">
        <v>18</v>
      </c>
      <c r="D45" s="42">
        <f>TRUNC(3130,-1)</f>
        <v>3130</v>
      </c>
      <c r="E45" s="63">
        <f t="shared" si="1"/>
        <v>10340</v>
      </c>
    </row>
    <row r="46" spans="1:7" x14ac:dyDescent="0.3">
      <c r="A46" s="2">
        <v>7</v>
      </c>
      <c r="C46" s="38" t="s">
        <v>19</v>
      </c>
      <c r="D46" s="42">
        <f>TRUNC(42890,-1)</f>
        <v>42890</v>
      </c>
      <c r="E46" s="63">
        <f t="shared" si="1"/>
        <v>141780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TRUNC(28692,-1)</f>
        <v>28690</v>
      </c>
      <c r="E48" s="63">
        <f t="shared" si="1"/>
        <v>94840</v>
      </c>
    </row>
    <row r="49" spans="1:7" x14ac:dyDescent="0.3">
      <c r="A49" s="2">
        <v>10</v>
      </c>
      <c r="C49" s="38" t="s">
        <v>22</v>
      </c>
      <c r="D49" s="42">
        <f>TRUNC(23744,-1)</f>
        <v>23740</v>
      </c>
      <c r="E49" s="63">
        <f t="shared" si="1"/>
        <v>78470</v>
      </c>
    </row>
    <row r="50" spans="1:7" x14ac:dyDescent="0.3">
      <c r="A50" s="2">
        <v>11</v>
      </c>
      <c r="C50" s="38" t="s">
        <v>155</v>
      </c>
      <c r="D50" s="42">
        <f>TRUNC(11883,-1)</f>
        <v>11880</v>
      </c>
      <c r="E50" s="63">
        <f t="shared" si="1"/>
        <v>39270</v>
      </c>
    </row>
    <row r="51" spans="1:7" x14ac:dyDescent="0.3">
      <c r="A51" s="2">
        <v>12</v>
      </c>
      <c r="C51" s="38" t="s">
        <v>23</v>
      </c>
      <c r="D51" s="42">
        <f>TRUNC(11063,-1)</f>
        <v>11060</v>
      </c>
      <c r="E51" s="63">
        <f t="shared" si="1"/>
        <v>36560</v>
      </c>
    </row>
    <row r="52" spans="1:7" x14ac:dyDescent="0.3">
      <c r="A52" s="2">
        <v>13</v>
      </c>
      <c r="C52" s="38" t="s">
        <v>24</v>
      </c>
      <c r="D52" s="42">
        <f>TRUNC(12303,-1)</f>
        <v>12300</v>
      </c>
      <c r="E52" s="63">
        <f t="shared" si="1"/>
        <v>40660</v>
      </c>
    </row>
    <row r="53" spans="1:7" x14ac:dyDescent="0.3">
      <c r="A53" s="2">
        <v>14</v>
      </c>
      <c r="C53" s="38" t="s">
        <v>25</v>
      </c>
      <c r="D53" s="42">
        <f>TRUNC(26415,-1)</f>
        <v>26410</v>
      </c>
      <c r="E53" s="63">
        <f t="shared" si="1"/>
        <v>87300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TRUNC(2629,-1)</f>
        <v>2620</v>
      </c>
      <c r="E55" s="63">
        <f t="shared" si="1"/>
        <v>8660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TRUNC(1464+433+768+1394+4550-1117+2217,-1)</f>
        <v>9700</v>
      </c>
      <c r="E58" s="63">
        <f t="shared" si="1"/>
        <v>32060</v>
      </c>
      <c r="F58" s="2" t="s">
        <v>253</v>
      </c>
    </row>
    <row r="59" spans="1:7" ht="17.25" thickBot="1" x14ac:dyDescent="0.35">
      <c r="A59" s="2">
        <v>20</v>
      </c>
      <c r="C59" s="38" t="s">
        <v>148</v>
      </c>
      <c r="D59" s="43">
        <v>0</v>
      </c>
      <c r="E59" s="64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406040</v>
      </c>
      <c r="E60" s="39">
        <f>SUM(E40:E59)</f>
        <v>1342220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v>0</v>
      </c>
      <c r="E63" s="62">
        <f>TRUNC(+D63*3.3058,-1)</f>
        <v>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0</v>
      </c>
      <c r="E66" s="65">
        <f>SUM(E63:E65)</f>
        <v>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TRUNC(25657+37678,-1)</f>
        <v>63330</v>
      </c>
      <c r="E69" s="62">
        <f t="shared" ref="E69:E94" si="2">TRUNC(+D69*3.3058,-1)</f>
        <v>209350</v>
      </c>
      <c r="F69" s="2" t="s">
        <v>254</v>
      </c>
    </row>
    <row r="70" spans="1:7" ht="16.5" customHeight="1" x14ac:dyDescent="0.3">
      <c r="A70" s="2">
        <v>2</v>
      </c>
      <c r="C70" s="38" t="s">
        <v>31</v>
      </c>
      <c r="D70" s="42">
        <f>TRUNC(1540,-1)</f>
        <v>1540</v>
      </c>
      <c r="E70" s="63">
        <f t="shared" si="2"/>
        <v>5090</v>
      </c>
    </row>
    <row r="71" spans="1:7" x14ac:dyDescent="0.3">
      <c r="A71" s="2">
        <v>3</v>
      </c>
      <c r="C71" s="38" t="s">
        <v>32</v>
      </c>
      <c r="D71" s="42">
        <f>TRUNC(49366,-1)</f>
        <v>49360</v>
      </c>
      <c r="E71" s="63">
        <f t="shared" si="2"/>
        <v>163170</v>
      </c>
    </row>
    <row r="72" spans="1:7" x14ac:dyDescent="0.3">
      <c r="A72" s="2">
        <v>4</v>
      </c>
      <c r="C72" s="38" t="s">
        <v>33</v>
      </c>
      <c r="D72" s="42">
        <f>TRUNC(3635,-1)</f>
        <v>3630</v>
      </c>
      <c r="E72" s="63">
        <f t="shared" si="2"/>
        <v>12000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176</v>
      </c>
      <c r="D74" s="42">
        <f>TRUNC(4627,-1)</f>
        <v>4620</v>
      </c>
      <c r="E74" s="63">
        <f t="shared" si="2"/>
        <v>15270</v>
      </c>
      <c r="F74" s="2" t="s">
        <v>255</v>
      </c>
    </row>
    <row r="75" spans="1:7" x14ac:dyDescent="0.3">
      <c r="A75" s="2">
        <v>7</v>
      </c>
      <c r="C75" s="38" t="s">
        <v>140</v>
      </c>
      <c r="D75" s="42">
        <f>TRUNC(5776,-1)</f>
        <v>5770</v>
      </c>
      <c r="E75" s="63">
        <f t="shared" si="2"/>
        <v>19070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f>TRUNC(47199,-1)</f>
        <v>47190</v>
      </c>
      <c r="E78" s="63">
        <f t="shared" si="2"/>
        <v>156000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f>TRUNC(682,-1)</f>
        <v>680</v>
      </c>
      <c r="E85" s="63">
        <f t="shared" si="2"/>
        <v>2240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f>TRUNC(6134,-1)</f>
        <v>6130</v>
      </c>
      <c r="E90" s="63">
        <f t="shared" si="2"/>
        <v>20260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v>0</v>
      </c>
      <c r="E92" s="63">
        <f t="shared" si="2"/>
        <v>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TRUNC(4897+8638+2303+12933+10405+351,-1)</f>
        <v>39520</v>
      </c>
      <c r="E94" s="64">
        <f t="shared" si="2"/>
        <v>130640</v>
      </c>
      <c r="F94" s="2" t="s">
        <v>262</v>
      </c>
    </row>
    <row r="95" spans="1:7" x14ac:dyDescent="0.3">
      <c r="A95" s="2">
        <v>27</v>
      </c>
      <c r="C95" s="27" t="s">
        <v>112</v>
      </c>
      <c r="D95" s="39">
        <f>SUM(D69:D94)</f>
        <v>221770</v>
      </c>
      <c r="E95" s="39">
        <f>SUM(E69:E94)</f>
        <v>733090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TRUNC(27051,-1)</f>
        <v>27050</v>
      </c>
      <c r="E98" s="62">
        <f t="shared" ref="E98:E118" si="3">TRUNC(+D98*3.3058,-1)</f>
        <v>89420</v>
      </c>
    </row>
    <row r="99" spans="1:7" x14ac:dyDescent="0.3">
      <c r="A99" s="2">
        <v>2</v>
      </c>
      <c r="C99" s="38" t="s">
        <v>40</v>
      </c>
      <c r="D99" s="42">
        <f>TRUNC(11894,-1)</f>
        <v>11890</v>
      </c>
      <c r="E99" s="63">
        <f t="shared" si="3"/>
        <v>39300</v>
      </c>
    </row>
    <row r="100" spans="1:7" x14ac:dyDescent="0.3">
      <c r="A100" s="2">
        <v>3</v>
      </c>
      <c r="C100" s="38" t="s">
        <v>41</v>
      </c>
      <c r="D100" s="42">
        <f>TRUNC(31881,-1)</f>
        <v>31880</v>
      </c>
      <c r="E100" s="63">
        <f t="shared" si="3"/>
        <v>105380</v>
      </c>
    </row>
    <row r="101" spans="1:7" x14ac:dyDescent="0.3">
      <c r="A101" s="2">
        <v>4</v>
      </c>
      <c r="C101" s="38" t="s">
        <v>42</v>
      </c>
      <c r="D101" s="42">
        <f>TRUNC(5606,-1)</f>
        <v>5600</v>
      </c>
      <c r="E101" s="63">
        <f t="shared" si="3"/>
        <v>18510</v>
      </c>
    </row>
    <row r="102" spans="1:7" x14ac:dyDescent="0.3">
      <c r="A102" s="2">
        <v>5</v>
      </c>
      <c r="C102" s="38" t="s">
        <v>43</v>
      </c>
      <c r="D102" s="42">
        <f>TRUNC(8369,-1)</f>
        <v>8360</v>
      </c>
      <c r="E102" s="63">
        <f t="shared" si="3"/>
        <v>27630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TRUNC(4019,-1)</f>
        <v>4010</v>
      </c>
      <c r="E104" s="63">
        <f t="shared" si="3"/>
        <v>13250</v>
      </c>
    </row>
    <row r="105" spans="1:7" x14ac:dyDescent="0.3">
      <c r="A105" s="2">
        <v>8</v>
      </c>
      <c r="C105" s="38" t="s">
        <v>46</v>
      </c>
      <c r="D105" s="42">
        <f>TRUNC(8553,-1)</f>
        <v>8550</v>
      </c>
      <c r="E105" s="63">
        <f t="shared" si="3"/>
        <v>28260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f>TRUNC(1994,-1)</f>
        <v>1990</v>
      </c>
      <c r="E108" s="63">
        <f t="shared" si="3"/>
        <v>6570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TRUNC(4466,-1)</f>
        <v>4460</v>
      </c>
      <c r="E114" s="63">
        <f t="shared" si="3"/>
        <v>14740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TRUNC(42120,-1)</f>
        <v>42120</v>
      </c>
      <c r="E116" s="63">
        <f t="shared" si="3"/>
        <v>139240</v>
      </c>
      <c r="F116" s="2" t="s">
        <v>257</v>
      </c>
    </row>
    <row r="117" spans="1:7" x14ac:dyDescent="0.3">
      <c r="A117" s="2">
        <v>20</v>
      </c>
      <c r="C117" s="38" t="s">
        <v>148</v>
      </c>
      <c r="D117" s="42">
        <v>0</v>
      </c>
      <c r="E117" s="63">
        <f t="shared" si="3"/>
        <v>0</v>
      </c>
    </row>
    <row r="118" spans="1:7" ht="17.25" thickBot="1" x14ac:dyDescent="0.35">
      <c r="A118" s="2">
        <v>21</v>
      </c>
      <c r="C118" s="38" t="s">
        <v>47</v>
      </c>
      <c r="D118" s="43">
        <f>TRUNC(1962+333,-1)</f>
        <v>2290</v>
      </c>
      <c r="E118" s="64">
        <f t="shared" si="3"/>
        <v>7570</v>
      </c>
      <c r="F118" s="2" t="s">
        <v>258</v>
      </c>
    </row>
    <row r="119" spans="1:7" x14ac:dyDescent="0.3">
      <c r="A119" s="2">
        <v>22</v>
      </c>
      <c r="C119" s="27" t="s">
        <v>112</v>
      </c>
      <c r="D119" s="39">
        <f>SUM(D98:D118)</f>
        <v>148200</v>
      </c>
      <c r="E119" s="39">
        <f>SUM(E98:E118)</f>
        <v>489870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TRUNC(1689,-1)</f>
        <v>1680</v>
      </c>
      <c r="E122" s="62">
        <f t="shared" ref="E122:E132" si="4">TRUNC(+D122*3.3058,-1)</f>
        <v>5550</v>
      </c>
      <c r="F122" s="2" t="s">
        <v>260</v>
      </c>
    </row>
    <row r="123" spans="1:7" x14ac:dyDescent="0.3">
      <c r="A123" s="2">
        <v>2</v>
      </c>
      <c r="C123" s="38" t="s">
        <v>124</v>
      </c>
      <c r="D123" s="42">
        <f>TRUNC(14070,-1)</f>
        <v>14070</v>
      </c>
      <c r="E123" s="63">
        <f t="shared" si="4"/>
        <v>46510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TRUNC(6325,-1)</f>
        <v>6320</v>
      </c>
      <c r="E125" s="63">
        <f t="shared" si="4"/>
        <v>20890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TRUNC(6588,-1)</f>
        <v>6580</v>
      </c>
      <c r="E128" s="63">
        <f t="shared" si="4"/>
        <v>21750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3">
        <f t="shared" si="4"/>
        <v>0</v>
      </c>
    </row>
    <row r="131" spans="1:7" x14ac:dyDescent="0.3">
      <c r="A131" s="2">
        <v>10</v>
      </c>
      <c r="C131" s="38" t="s">
        <v>148</v>
      </c>
      <c r="D131" s="42">
        <v>0</v>
      </c>
      <c r="E131" s="63">
        <f t="shared" si="4"/>
        <v>0</v>
      </c>
    </row>
    <row r="132" spans="1:7" ht="18" thickBot="1" x14ac:dyDescent="0.35">
      <c r="A132" s="2">
        <v>11</v>
      </c>
      <c r="C132" s="38" t="s">
        <v>47</v>
      </c>
      <c r="D132" s="43">
        <f>TRUNC(333,-1)</f>
        <v>330</v>
      </c>
      <c r="E132" s="64">
        <f t="shared" si="4"/>
        <v>1090</v>
      </c>
      <c r="F132" s="54" t="s">
        <v>261</v>
      </c>
    </row>
    <row r="133" spans="1:7" x14ac:dyDescent="0.3">
      <c r="A133" s="2">
        <v>12</v>
      </c>
      <c r="C133" s="27" t="s">
        <v>112</v>
      </c>
      <c r="D133" s="39">
        <f>SUM(D122:D132)</f>
        <v>28980</v>
      </c>
      <c r="E133" s="39">
        <f>SUM(E122:E132)</f>
        <v>95790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f>TRUNC(28559,-1)</f>
        <v>28550</v>
      </c>
      <c r="E136" s="62">
        <f t="shared" ref="E136:E145" si="5">TRUNC(+D136*3.3058,-1)</f>
        <v>94380</v>
      </c>
      <c r="F136" s="2" t="s">
        <v>256</v>
      </c>
    </row>
    <row r="137" spans="1:7" x14ac:dyDescent="0.3">
      <c r="A137" s="2">
        <v>2</v>
      </c>
      <c r="C137" s="38" t="s">
        <v>47</v>
      </c>
      <c r="D137" s="42">
        <f>TRUNC(23070,-1)</f>
        <v>23070</v>
      </c>
      <c r="E137" s="63">
        <f t="shared" si="5"/>
        <v>76260</v>
      </c>
      <c r="F137" s="2" t="s">
        <v>259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51620</v>
      </c>
      <c r="E146" s="39">
        <f>SUM(E136:E145)</f>
        <v>170640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TRUNC(171917,-1)</f>
        <v>171910</v>
      </c>
      <c r="E152" s="63">
        <f>TRUNC(+D152*3.3058,-1)</f>
        <v>568300</v>
      </c>
      <c r="F152" s="2" t="s">
        <v>251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171910</v>
      </c>
      <c r="E154" s="39">
        <f>SUM(E149:E153)</f>
        <v>568300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f>TRUNC(8865,-1)</f>
        <v>8860</v>
      </c>
      <c r="E159" s="63">
        <f>TRUNC(+D159*3.3058,-1)</f>
        <v>29280</v>
      </c>
      <c r="F159" s="2" t="s">
        <v>252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8860</v>
      </c>
      <c r="E161" s="39">
        <f>SUM(E157:E160)</f>
        <v>29280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2020-12-07T09:42:47Z</dcterms:modified>
</cp:coreProperties>
</file>