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99" i="4"/>
  <c r="D118" i="4"/>
  <c r="D79" i="4"/>
  <c r="D94" i="4"/>
  <c r="D84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0" i="4"/>
  <c r="E129" i="4"/>
  <c r="E127" i="4"/>
  <c r="E126" i="4"/>
  <c r="E123" i="4"/>
  <c r="E118" i="4"/>
  <c r="E113" i="4"/>
  <c r="E112" i="4"/>
  <c r="E111" i="4"/>
  <c r="E110" i="4"/>
  <c r="E109" i="4"/>
  <c r="E107" i="4"/>
  <c r="E106" i="4"/>
  <c r="E103" i="4"/>
  <c r="E101" i="4"/>
  <c r="E99" i="4"/>
  <c r="E94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65" i="4"/>
  <c r="E64" i="4"/>
  <c r="E63" i="4"/>
  <c r="E66" i="4" s="1"/>
  <c r="E57" i="4"/>
  <c r="E56" i="4"/>
  <c r="E54" i="4"/>
  <c r="E146" i="4" l="1"/>
  <c r="D132" i="4"/>
  <c r="E132" i="4" s="1"/>
  <c r="D117" i="4"/>
  <c r="E117" i="4" s="1"/>
  <c r="D131" i="4"/>
  <c r="E131" i="4" s="1"/>
  <c r="D128" i="4"/>
  <c r="E128" i="4" s="1"/>
  <c r="D125" i="4"/>
  <c r="E125" i="4" s="1"/>
  <c r="D124" i="4"/>
  <c r="E124" i="4" s="1"/>
  <c r="D122" i="4"/>
  <c r="E122" i="4" s="1"/>
  <c r="D116" i="4"/>
  <c r="E116" i="4" s="1"/>
  <c r="D115" i="4"/>
  <c r="E115" i="4" s="1"/>
  <c r="D114" i="4"/>
  <c r="E114" i="4" s="1"/>
  <c r="D108" i="4"/>
  <c r="E108" i="4" s="1"/>
  <c r="D105" i="4"/>
  <c r="E105" i="4" s="1"/>
  <c r="D104" i="4"/>
  <c r="E104" i="4" s="1"/>
  <c r="D102" i="4"/>
  <c r="E102" i="4" s="1"/>
  <c r="D100" i="4"/>
  <c r="E100" i="4" s="1"/>
  <c r="D98" i="4"/>
  <c r="E98" i="4" s="1"/>
  <c r="E119" i="4" s="1"/>
  <c r="D93" i="4"/>
  <c r="E93" i="4" s="1"/>
  <c r="D72" i="4"/>
  <c r="E72" i="4" s="1"/>
  <c r="D71" i="4"/>
  <c r="E71" i="4" s="1"/>
  <c r="D70" i="4"/>
  <c r="E70" i="4" s="1"/>
  <c r="D69" i="4"/>
  <c r="E69" i="4" s="1"/>
  <c r="E95" i="4" s="1"/>
  <c r="D58" i="4"/>
  <c r="E58" i="4" s="1"/>
  <c r="D59" i="4"/>
  <c r="E59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159" i="4"/>
  <c r="E159" i="4" s="1"/>
  <c r="E161" i="4" s="1"/>
  <c r="D152" i="4"/>
  <c r="E152" i="4" s="1"/>
  <c r="E154" i="4" s="1"/>
  <c r="E133" i="4" l="1"/>
  <c r="E60" i="4"/>
  <c r="D161" i="4"/>
  <c r="D154" i="4"/>
  <c r="D146" i="4"/>
  <c r="D30" i="4" s="1"/>
  <c r="E30" i="4" s="1"/>
  <c r="D133" i="4"/>
  <c r="D29" i="4" s="1"/>
  <c r="E29" i="4" s="1"/>
  <c r="D119" i="4"/>
  <c r="D28" i="4" s="1"/>
  <c r="D95" i="4"/>
  <c r="D27" i="4" s="1"/>
  <c r="D66" i="4"/>
  <c r="D26" i="4" s="1"/>
  <c r="E26" i="4" s="1"/>
  <c r="D60" i="4"/>
  <c r="D25" i="4" s="1"/>
  <c r="E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8" i="4" l="1"/>
  <c r="E27" i="4"/>
  <c r="D33" i="4"/>
  <c r="E33" i="4" l="1"/>
  <c r="E34" i="4" s="1"/>
  <c r="D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<sst xmlns="http://schemas.openxmlformats.org/spreadsheetml/2006/main" count="391" uniqueCount="266">
  <si>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</si>
  <si>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</si>
  <si>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</si>
  <si>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</si>
  <si>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</si>
  <si>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</si>
  <si>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</si>
  <si>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</si>
  <si>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</si>
  <si>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</si>
  <si>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</si>
  <si>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</si>
  <si>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</si>
  <si>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</si>
  <si>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</si>
  <si>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</si>
  <si>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</si>
  <si>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</si>
  <si>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</si>
  <si>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</si>
  <si>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</si>
  <si>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</si>
  <si>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</si>
  <si>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</si>
  <si>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</si>
  <si>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</si>
  <si>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</si>
  <si>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</si>
  <si>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</si>
  <si>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</si>
  <si>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</si>
  <si>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</si>
  <si>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</si>
  <si>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</si>
  <si>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</si>
  <si>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</si>
  <si>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</si>
  <si>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</si>
  <si>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</si>
  <si>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</si>
  <si>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</si>
  <si>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</si>
  <si>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</si>
  <si>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</si>
  <si>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</si>
  <si>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</si>
  <si>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</si>
  <si>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</si>
  <si>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</si>
  <si>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</si>
  <si>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</si>
  <si>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</si>
  <si>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</si>
  <si>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</si>
  <si>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</si>
  <si>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</si>
  <si>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</si>
  <si>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</si>
  <si>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</si>
  <si>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</si>
  <si>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</si>
  <si>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</si>
  <si>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</si>
  <si>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</si>
  <si>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</si>
  <si>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</si>
  <si>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</si>
  <si>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</si>
  <si>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</si>
  <si>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</si>
  <si>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</si>
  <si>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</si>
  <si>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</si>
  <si>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</si>
  <si>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</si>
  <si>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</si>
  <si>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</si>
  <si>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</si>
  <si>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</si>
  <si>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</si>
  <si>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</si>
  <si>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</si>
  <si>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</si>
  <si>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</si>
  <si>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</si>
  <si>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</si>
  <si>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</si>
  <si>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</si>
  <si>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</si>
  <si>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</si>
  <si>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</si>
  <si>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</si>
  <si>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</si>
  <si>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</si>
  <si>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</si>
  <si>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</si>
  <si>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</si>
  <si>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</si>
  <si>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</si>
  <si>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</si>
  <si>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</si>
  <si>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</si>
  <si>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</si>
  <si>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</si>
  <si>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</si>
  <si>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</si>
  <si>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</si>
  <si>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</si>
  <si>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</si>
  <si>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</si>
  <si>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</si>
  <si>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</si>
  <si>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</si>
  <si>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</si>
  <si>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</si>
  <si>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</si>
  <si>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</si>
  <si>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</si>
  <si>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</si>
  <si>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</si>
  <si>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</si>
  <si>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</si>
  <si>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</si>
  <si>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</si>
  <si>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</si>
  <si>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</si>
  <si>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</si>
  <si>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</si>
  <si>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</si>
  <si>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</si>
  <si>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</si>
  <si>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</si>
  <si>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</si>
  <si>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</si>
  <si>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</si>
  <si>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</si>
  <si>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</si>
  <si>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</si>
  <si>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</si>
  <si>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</si>
  <si>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</si>
  <si>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</si>
  <si>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</si>
  <si>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</si>
  <si>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</si>
  <si>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</si>
  <si>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</si>
  <si>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</si>
  <si>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</si>
  <si>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</si>
  <si>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</si>
  <si>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</si>
  <si>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</si>
  <si>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</si>
  <si>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</si>
  <si>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</si>
  <si>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</si>
  <si>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</si>
  <si>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</si>
  <si>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</si>
  <si>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</si>
  <si>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</si>
  <si>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</si>
  <si>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</si>
  <si>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</si>
  <si>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</si>
  <si>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</si>
  <si>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</si>
  <si>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</si>
  <si>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</si>
  <si>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</si>
  <si>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</si>
  <si>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</si>
  <si>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</si>
  <si>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</si>
  <si>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</si>
  <si>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</si>
  <si>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</si>
  <si>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</si>
  <si>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</si>
  <si>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</si>
  <si>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</si>
  <si>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</si>
  <si>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</si>
  <si>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</si>
  <si>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</si>
  <si>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</si>
  <si>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</si>
  <si>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</si>
  <si>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</si>
  <si>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</si>
  <si>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</si>
  <si>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</si>
  <si>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</si>
  <si>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</si>
  <si>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</si>
  <si>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</si>
  <si>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</si>
  <si>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</si>
  <si>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</si>
  <si>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</si>
  <si>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</si>
  <si>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</si>
  <si>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</si>
  <si>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</si>
  <si>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</si>
  <si>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</si>
  <si>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</si>
  <si>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</si>
  <si>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</si>
  <si>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</si>
  <si>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</si>
  <si>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</si>
  <si>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</si>
  <si>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</si>
  <si>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</si>
  <si>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</si>
  <si>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</si>
  <si>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</si>
  <si>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</si>
  <si>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</si>
  <si>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</si>
  <si>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</si>
  <si>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</si>
  <si>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</si>
  <si>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</si>
  <si>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</si>
  <si>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</si>
  <si>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</si>
  <si>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</si>
  <si>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</si>
  <si>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</si>
  <si>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</si>
  <si>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</si>
  <si>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</si>
  <si>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</si>
  <si>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</si>
  <si>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</si>
  <si>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</si>
  <si>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</si>
  <si>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</si>
  <si>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</si>
  <si>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</si>
  <si>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</si>
  <si>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</si>
  <si>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</si>
  <si>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</si>
  <si>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</si>
  <si>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0000000관리원 청사 신축공사</t>
    <phoneticPr fontId="2" type="noConversion"/>
  </si>
  <si>
    <t>업무</t>
  </si>
  <si>
    <t>경상도</t>
  </si>
  <si>
    <t>부대조경공사</t>
    <phoneticPr fontId="2" type="noConversion"/>
  </si>
  <si>
    <t>부대토목공사</t>
    <phoneticPr fontId="2" type="noConversion"/>
  </si>
  <si>
    <t>골재비,기타공사,운반비,작업부산물,토및지정공사</t>
    <phoneticPr fontId="2" type="noConversion"/>
  </si>
  <si>
    <t>정보통신설비공사,CCTV설비공사</t>
    <phoneticPr fontId="2" type="noConversion"/>
  </si>
  <si>
    <t>바닥난방설치공사,공조배관공사,위생배관공사</t>
    <phoneticPr fontId="2" type="noConversion"/>
  </si>
  <si>
    <t>환기덕트설치공사</t>
    <phoneticPr fontId="2" type="noConversion"/>
  </si>
  <si>
    <t>태양광설비공사</t>
    <phoneticPr fontId="2" type="noConversion"/>
  </si>
  <si>
    <t>동력설비공사,주방동력설비공사</t>
    <phoneticPr fontId="2" type="noConversion"/>
  </si>
  <si>
    <t>전기 소방공사</t>
    <phoneticPr fontId="2" type="noConversion"/>
  </si>
  <si>
    <t>기계 소화설비공사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</si>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</sst>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3899</v>
      </c>
      <c r="D7" s="36">
        <f>+C7/3.3058</f>
        <v>1179.4421925101337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3000</v>
      </c>
      <c r="E24" s="58">
        <f t="shared" ref="E24:E33" si="0">TRUNC(+D24*3.3058,-1)</f>
        <v>9910</v>
      </c>
    </row>
    <row r="25" spans="1:5" x14ac:dyDescent="0.3">
      <c r="B25" s="2">
        <v>2</v>
      </c>
      <c r="C25" s="35" t="s">
        <v>111</v>
      </c>
      <c r="D25" s="45">
        <f>+D60</f>
        <v>1258750</v>
      </c>
      <c r="E25" s="59">
        <f t="shared" si="0"/>
        <v>4161170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329270</v>
      </c>
      <c r="E27" s="59">
        <f t="shared" si="0"/>
        <v>1088500</v>
      </c>
    </row>
    <row r="28" spans="1:5" x14ac:dyDescent="0.3">
      <c r="B28" s="2">
        <v>5</v>
      </c>
      <c r="C28" s="35" t="s">
        <v>97</v>
      </c>
      <c r="D28" s="45">
        <f>+D119</f>
        <v>297960</v>
      </c>
      <c r="E28" s="59">
        <f t="shared" si="0"/>
        <v>984990</v>
      </c>
    </row>
    <row r="29" spans="1:5" x14ac:dyDescent="0.3">
      <c r="B29" s="2">
        <v>6</v>
      </c>
      <c r="C29" s="35" t="s">
        <v>98</v>
      </c>
      <c r="D29" s="45">
        <f>+D133</f>
        <v>114030</v>
      </c>
      <c r="E29" s="59">
        <f t="shared" si="0"/>
        <v>376960</v>
      </c>
    </row>
    <row r="30" spans="1:5" x14ac:dyDescent="0.3">
      <c r="B30" s="2">
        <v>7</v>
      </c>
      <c r="C30" s="35" t="s">
        <v>99</v>
      </c>
      <c r="D30" s="45">
        <f>+D146</f>
        <v>26770</v>
      </c>
      <c r="E30" s="59">
        <f t="shared" si="0"/>
        <v>88490</v>
      </c>
    </row>
    <row r="31" spans="1:5" x14ac:dyDescent="0.3">
      <c r="B31" s="2">
        <v>8</v>
      </c>
      <c r="C31" s="35" t="s">
        <v>100</v>
      </c>
      <c r="D31" s="45">
        <f>+D154</f>
        <v>56140</v>
      </c>
      <c r="E31" s="59">
        <f t="shared" si="0"/>
        <v>185580</v>
      </c>
    </row>
    <row r="32" spans="1:5" x14ac:dyDescent="0.3">
      <c r="B32" s="2">
        <v>9</v>
      </c>
      <c r="C32" s="35" t="s">
        <v>101</v>
      </c>
      <c r="D32" s="45">
        <f>+D161</f>
        <v>63610</v>
      </c>
      <c r="E32" s="59">
        <f t="shared" si="0"/>
        <v>210280</v>
      </c>
    </row>
    <row r="33" spans="1:7" x14ac:dyDescent="0.3">
      <c r="B33" s="2">
        <v>10</v>
      </c>
      <c r="C33" s="35" t="s">
        <v>154</v>
      </c>
      <c r="D33" s="53">
        <f>TRUNC(SUM(D24:D32)*0.275,-1)</f>
        <v>591120</v>
      </c>
      <c r="E33" s="60">
        <f t="shared" si="0"/>
        <v>1954120</v>
      </c>
    </row>
    <row r="34" spans="1:7" x14ac:dyDescent="0.3">
      <c r="C34" s="35" t="s">
        <v>112</v>
      </c>
      <c r="D34" s="44">
        <f>SUM(D24:D33)</f>
        <v>2740650</v>
      </c>
      <c r="E34" s="44">
        <f>SUM(E24:E33)</f>
        <v>9060000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TRUNC(3003,-1)</f>
        <v>3000</v>
      </c>
      <c r="E37" s="61">
        <f>TRUNC(+D37*3.3058,-1)</f>
        <v>9910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TRUNC(55551,-1)</f>
        <v>55550</v>
      </c>
      <c r="E40" s="62">
        <f t="shared" ref="E40:E59" si="1">TRUNC(+D40*3.3058,-1)</f>
        <v>183630</v>
      </c>
    </row>
    <row r="41" spans="1:7" x14ac:dyDescent="0.3">
      <c r="A41" s="2">
        <v>2</v>
      </c>
      <c r="C41" s="38" t="s">
        <v>13</v>
      </c>
      <c r="D41" s="42">
        <f>TRUNC(148042,-1)</f>
        <v>148040</v>
      </c>
      <c r="E41" s="63">
        <f t="shared" si="1"/>
        <v>489390</v>
      </c>
    </row>
    <row r="42" spans="1:7" x14ac:dyDescent="0.3">
      <c r="A42" s="2">
        <v>3</v>
      </c>
      <c r="C42" s="38" t="s">
        <v>14</v>
      </c>
      <c r="D42" s="42">
        <f>TRUNC(1419,-1)</f>
        <v>1410</v>
      </c>
      <c r="E42" s="63">
        <f t="shared" si="1"/>
        <v>4660</v>
      </c>
    </row>
    <row r="43" spans="1:7" x14ac:dyDescent="0.3">
      <c r="A43" s="2">
        <v>4</v>
      </c>
      <c r="C43" s="38" t="s">
        <v>16</v>
      </c>
      <c r="D43" s="42">
        <f>TRUNC(17046,-1)</f>
        <v>17040</v>
      </c>
      <c r="E43" s="63">
        <f t="shared" si="1"/>
        <v>56330</v>
      </c>
    </row>
    <row r="44" spans="1:7" x14ac:dyDescent="0.3">
      <c r="A44" s="2">
        <v>5</v>
      </c>
      <c r="C44" s="38" t="s">
        <v>17</v>
      </c>
      <c r="D44" s="42">
        <f>TRUNC(39270,-1)</f>
        <v>39270</v>
      </c>
      <c r="E44" s="63">
        <f t="shared" si="1"/>
        <v>129810</v>
      </c>
    </row>
    <row r="45" spans="1:7" x14ac:dyDescent="0.3">
      <c r="A45" s="2">
        <v>6</v>
      </c>
      <c r="C45" s="38" t="s">
        <v>18</v>
      </c>
      <c r="D45" s="42">
        <f>TRUNC(7086,-1)</f>
        <v>7080</v>
      </c>
      <c r="E45" s="63">
        <f t="shared" si="1"/>
        <v>23400</v>
      </c>
    </row>
    <row r="46" spans="1:7" x14ac:dyDescent="0.3">
      <c r="A46" s="2">
        <v>7</v>
      </c>
      <c r="C46" s="38" t="s">
        <v>19</v>
      </c>
      <c r="D46" s="42">
        <f>TRUNC(103090,-1)</f>
        <v>103090</v>
      </c>
      <c r="E46" s="63">
        <f t="shared" si="1"/>
        <v>340790</v>
      </c>
    </row>
    <row r="47" spans="1:7" x14ac:dyDescent="0.3">
      <c r="A47" s="2">
        <v>8</v>
      </c>
      <c r="C47" s="38" t="s">
        <v>20</v>
      </c>
      <c r="D47" s="42">
        <f>TRUNC(2596,-1)</f>
        <v>2590</v>
      </c>
      <c r="E47" s="63">
        <f t="shared" si="1"/>
        <v>8560</v>
      </c>
    </row>
    <row r="48" spans="1:7" x14ac:dyDescent="0.3">
      <c r="A48" s="2">
        <v>9</v>
      </c>
      <c r="C48" s="38" t="s">
        <v>21</v>
      </c>
      <c r="D48" s="42">
        <f>TRUNC(44122,-1)</f>
        <v>44120</v>
      </c>
      <c r="E48" s="63">
        <f t="shared" si="1"/>
        <v>145850</v>
      </c>
    </row>
    <row r="49" spans="1:7" x14ac:dyDescent="0.3">
      <c r="A49" s="2">
        <v>10</v>
      </c>
      <c r="C49" s="38" t="s">
        <v>22</v>
      </c>
      <c r="D49" s="42">
        <f>TRUNC(24376,-1)</f>
        <v>24370</v>
      </c>
      <c r="E49" s="63">
        <f t="shared" si="1"/>
        <v>80560</v>
      </c>
    </row>
    <row r="50" spans="1:7" x14ac:dyDescent="0.3">
      <c r="A50" s="2">
        <v>11</v>
      </c>
      <c r="C50" s="38" t="s">
        <v>155</v>
      </c>
      <c r="D50" s="42">
        <f>TRUNC(22609,-1)</f>
        <v>22600</v>
      </c>
      <c r="E50" s="63">
        <f t="shared" si="1"/>
        <v>74710</v>
      </c>
    </row>
    <row r="51" spans="1:7" x14ac:dyDescent="0.3">
      <c r="A51" s="2">
        <v>12</v>
      </c>
      <c r="C51" s="38" t="s">
        <v>23</v>
      </c>
      <c r="D51" s="42">
        <f>TRUNC(20017,-1)</f>
        <v>20010</v>
      </c>
      <c r="E51" s="63">
        <f t="shared" si="1"/>
        <v>66140</v>
      </c>
    </row>
    <row r="52" spans="1:7" x14ac:dyDescent="0.3">
      <c r="A52" s="2">
        <v>13</v>
      </c>
      <c r="C52" s="38" t="s">
        <v>24</v>
      </c>
      <c r="D52" s="42">
        <f>TRUNC(8243,-1)</f>
        <v>8240</v>
      </c>
      <c r="E52" s="63">
        <f t="shared" si="1"/>
        <v>27230</v>
      </c>
    </row>
    <row r="53" spans="1:7" x14ac:dyDescent="0.3">
      <c r="A53" s="2">
        <v>14</v>
      </c>
      <c r="C53" s="38" t="s">
        <v>25</v>
      </c>
      <c r="D53" s="42">
        <f>TRUNC(69904,-1)</f>
        <v>69900</v>
      </c>
      <c r="E53" s="63">
        <f t="shared" si="1"/>
        <v>231070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TRUNC(1611,-1)</f>
        <v>1610</v>
      </c>
      <c r="E55" s="63">
        <f t="shared" si="1"/>
        <v>5320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TRUNC(1666+3352+2761-1134+45404,-1)</f>
        <v>52040</v>
      </c>
      <c r="E58" s="63">
        <f t="shared" si="1"/>
        <v>172030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TRUNC(641795,-1)</f>
        <v>641790</v>
      </c>
      <c r="E59" s="64">
        <f t="shared" si="1"/>
        <v>2121620</v>
      </c>
    </row>
    <row r="60" spans="1:7" x14ac:dyDescent="0.3">
      <c r="A60" s="2">
        <v>21</v>
      </c>
      <c r="C60" s="27" t="s">
        <v>112</v>
      </c>
      <c r="D60" s="39">
        <f>SUM(D40:D59)</f>
        <v>1258750</v>
      </c>
      <c r="E60" s="39">
        <f>SUM(E40:E59)</f>
        <v>4161100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TRUNC(40646,-1)</f>
        <v>40640</v>
      </c>
      <c r="E69" s="62">
        <f t="shared" ref="E69:E94" si="2">TRUNC(+D69*3.3058,-1)</f>
        <v>134340</v>
      </c>
    </row>
    <row r="70" spans="1:7" ht="16.5" customHeight="1" x14ac:dyDescent="0.3">
      <c r="A70" s="2">
        <v>2</v>
      </c>
      <c r="C70" s="38" t="s">
        <v>31</v>
      </c>
      <c r="D70" s="42">
        <f>TRUNC(10907,-1)</f>
        <v>10900</v>
      </c>
      <c r="E70" s="63">
        <f t="shared" si="2"/>
        <v>36030</v>
      </c>
    </row>
    <row r="71" spans="1:7" x14ac:dyDescent="0.3">
      <c r="A71" s="2">
        <v>3</v>
      </c>
      <c r="C71" s="38" t="s">
        <v>32</v>
      </c>
      <c r="D71" s="42">
        <f>TRUNC(54060,-1)</f>
        <v>54060</v>
      </c>
      <c r="E71" s="63">
        <f t="shared" si="2"/>
        <v>178710</v>
      </c>
    </row>
    <row r="72" spans="1:7" x14ac:dyDescent="0.3">
      <c r="A72" s="2">
        <v>4</v>
      </c>
      <c r="C72" s="38" t="s">
        <v>33</v>
      </c>
      <c r="D72" s="42">
        <f>TRUNC(1897,-1)</f>
        <v>1890</v>
      </c>
      <c r="E72" s="63">
        <f t="shared" si="2"/>
        <v>6240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TRUNC(15180,-1)</f>
        <v>15180</v>
      </c>
      <c r="E79" s="63">
        <f t="shared" si="2"/>
        <v>50180</v>
      </c>
      <c r="F79" s="2" t="s">
        <v>256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TRUNC(0,-1)</f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TRUNC(141512,-1)</f>
        <v>141510</v>
      </c>
      <c r="E93" s="63">
        <f t="shared" si="2"/>
        <v>467800</v>
      </c>
    </row>
    <row r="94" spans="1:7" ht="17.25" thickBot="1" x14ac:dyDescent="0.35">
      <c r="A94" s="2">
        <v>26</v>
      </c>
      <c r="C94" s="38" t="s">
        <v>47</v>
      </c>
      <c r="D94" s="43">
        <f>TRUNC(532+35971+28593,-1)</f>
        <v>65090</v>
      </c>
      <c r="E94" s="64">
        <f t="shared" si="2"/>
        <v>215170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329270</v>
      </c>
      <c r="E95" s="39">
        <f>SUM(E69:E94)</f>
        <v>1088470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TRUNC(17506,-1)</f>
        <v>17500</v>
      </c>
      <c r="E98" s="62">
        <f t="shared" ref="E98:E118" si="3">TRUNC(+D98*3.3058,-1)</f>
        <v>57850</v>
      </c>
    </row>
    <row r="99" spans="1:7" x14ac:dyDescent="0.3">
      <c r="A99" s="2">
        <v>2</v>
      </c>
      <c r="C99" s="38" t="s">
        <v>40</v>
      </c>
      <c r="D99" s="42">
        <f>TRUNC(4392+1892,-1)</f>
        <v>6280</v>
      </c>
      <c r="E99" s="63">
        <f t="shared" si="3"/>
        <v>20760</v>
      </c>
      <c r="F99" s="2" t="s">
        <v>258</v>
      </c>
    </row>
    <row r="100" spans="1:7" x14ac:dyDescent="0.3">
      <c r="A100" s="2">
        <v>3</v>
      </c>
      <c r="C100" s="38" t="s">
        <v>41</v>
      </c>
      <c r="D100" s="42">
        <f>TRUNC(32389,-1)</f>
        <v>32380</v>
      </c>
      <c r="E100" s="63">
        <f t="shared" si="3"/>
        <v>107040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TRUNC(12703,-1)</f>
        <v>12700</v>
      </c>
      <c r="E102" s="63">
        <f t="shared" si="3"/>
        <v>41980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TRUNC(8853,-1)</f>
        <v>8850</v>
      </c>
      <c r="E104" s="63">
        <f t="shared" si="3"/>
        <v>29250</v>
      </c>
    </row>
    <row r="105" spans="1:7" x14ac:dyDescent="0.3">
      <c r="A105" s="2">
        <v>8</v>
      </c>
      <c r="C105" s="38" t="s">
        <v>46</v>
      </c>
      <c r="D105" s="42">
        <f>TRUNC(7264,-1)</f>
        <v>7260</v>
      </c>
      <c r="E105" s="63">
        <f t="shared" si="3"/>
        <v>24000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TRUNC(7690,-1)</f>
        <v>7690</v>
      </c>
      <c r="E108" s="63">
        <f t="shared" si="3"/>
        <v>25420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TRUNC(6621,-1)</f>
        <v>6620</v>
      </c>
      <c r="E114" s="63">
        <f t="shared" si="3"/>
        <v>21880</v>
      </c>
    </row>
    <row r="115" spans="1:7" x14ac:dyDescent="0.3">
      <c r="A115" s="2">
        <v>18</v>
      </c>
      <c r="C115" s="38" t="s">
        <v>116</v>
      </c>
      <c r="D115" s="42">
        <f>TRUNC(1204,-1)</f>
        <v>1200</v>
      </c>
      <c r="E115" s="63">
        <f t="shared" si="3"/>
        <v>3960</v>
      </c>
    </row>
    <row r="116" spans="1:7" x14ac:dyDescent="0.3">
      <c r="A116" s="2">
        <v>19</v>
      </c>
      <c r="C116" s="38" t="s">
        <v>115</v>
      </c>
      <c r="D116" s="42">
        <f>TRUNC(7060,-1)</f>
        <v>7060</v>
      </c>
      <c r="E116" s="63">
        <f t="shared" si="3"/>
        <v>23330</v>
      </c>
    </row>
    <row r="117" spans="1:7" x14ac:dyDescent="0.3">
      <c r="A117" s="2">
        <v>20</v>
      </c>
      <c r="C117" s="38" t="s">
        <v>148</v>
      </c>
      <c r="D117" s="42">
        <f>TRUNC(188572,-1)</f>
        <v>188570</v>
      </c>
      <c r="E117" s="63">
        <f t="shared" si="3"/>
        <v>623370</v>
      </c>
    </row>
    <row r="118" spans="1:7" ht="17.25" thickBot="1" x14ac:dyDescent="0.35">
      <c r="A118" s="2">
        <v>21</v>
      </c>
      <c r="C118" s="38" t="s">
        <v>47</v>
      </c>
      <c r="D118" s="43">
        <f>TRUNC(1850,-1)</f>
        <v>1850</v>
      </c>
      <c r="E118" s="64">
        <f t="shared" si="3"/>
        <v>6110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297960</v>
      </c>
      <c r="E119" s="39">
        <f>SUM(E98:E118)</f>
        <v>984950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TRUNC(4225,-1)</f>
        <v>4220</v>
      </c>
      <c r="E122" s="62">
        <f t="shared" ref="E122:E132" si="4">TRUNC(+D122*3.3058,-1)</f>
        <v>13950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TRUNC(1180,-1)</f>
        <v>1180</v>
      </c>
      <c r="E124" s="63">
        <f t="shared" si="4"/>
        <v>3900</v>
      </c>
    </row>
    <row r="125" spans="1:7" x14ac:dyDescent="0.3">
      <c r="A125" s="2">
        <v>4</v>
      </c>
      <c r="C125" s="38" t="s">
        <v>138</v>
      </c>
      <c r="D125" s="42">
        <f>TRUNC(7970,-1)</f>
        <v>7970</v>
      </c>
      <c r="E125" s="63">
        <f t="shared" si="4"/>
        <v>26340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TRUNC(4264,-1)</f>
        <v>4260</v>
      </c>
      <c r="E128" s="63">
        <f t="shared" si="4"/>
        <v>14080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TRUNC(74059,-1)</f>
        <v>74050</v>
      </c>
      <c r="E131" s="63">
        <f t="shared" si="4"/>
        <v>244790</v>
      </c>
      <c r="F131" s="2" t="s">
        <v>254</v>
      </c>
    </row>
    <row r="132" spans="1:7" ht="18" thickBot="1" x14ac:dyDescent="0.35">
      <c r="A132" s="2">
        <v>11</v>
      </c>
      <c r="C132" s="38" t="s">
        <v>47</v>
      </c>
      <c r="D132" s="43">
        <f>TRUNC(19356+2995,-1)</f>
        <v>22350</v>
      </c>
      <c r="E132" s="64">
        <f t="shared" si="4"/>
        <v>73880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114030</v>
      </c>
      <c r="E133" s="39">
        <f>SUM(E122:E132)</f>
        <v>376940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TRUNC(12348,-1)</f>
        <v>12340</v>
      </c>
      <c r="E136" s="62">
        <f t="shared" ref="E136:E145" si="5">TRUNC(+D136*3.3058,-1)</f>
        <v>40790</v>
      </c>
      <c r="F136" s="2" t="s">
        <v>260</v>
      </c>
    </row>
    <row r="137" spans="1:7" x14ac:dyDescent="0.3">
      <c r="A137" s="2">
        <v>2</v>
      </c>
      <c r="C137" s="38" t="s">
        <v>47</v>
      </c>
      <c r="D137" s="42">
        <f>TRUNC(14430,-1)</f>
        <v>14430</v>
      </c>
      <c r="E137" s="63">
        <f t="shared" si="5"/>
        <v>47700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26770</v>
      </c>
      <c r="E146" s="39">
        <f>SUM(E136:E145)</f>
        <v>88490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TRUNC(56140,-1)</f>
        <v>56140</v>
      </c>
      <c r="E152" s="63">
        <f>TRUNC(+D152*3.3058,-1)</f>
        <v>185580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56140</v>
      </c>
      <c r="E154" s="39">
        <f>SUM(E149:E153)</f>
        <v>185580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TRUNC(63611,-1)</f>
        <v>63610</v>
      </c>
      <c r="E159" s="63">
        <f>TRUNC(+D159*3.3058,-1)</f>
        <v>210280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63610</v>
      </c>
      <c r="E161" s="39">
        <f>SUM(E157:E160)</f>
        <v>210280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2020-12-07T09:49:41Z</dcterms:modified>
</cp:coreProperties>
</file>