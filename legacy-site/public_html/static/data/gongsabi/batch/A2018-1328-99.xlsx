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90" i="4"/>
  <c r="D89" i="4"/>
  <c r="D76" i="4"/>
  <c r="D73" i="4"/>
  <c r="D71" i="4"/>
  <c r="D70" i="4"/>
  <c r="D69" i="4"/>
  <c r="D63" i="4"/>
  <c r="D118" i="4"/>
  <c r="D116" i="4"/>
  <c r="D114" i="4"/>
  <c r="D105" i="4"/>
  <c r="D104" i="4"/>
  <c r="D102" i="4"/>
  <c r="D100" i="4"/>
  <c r="D99" i="4"/>
  <c r="D98" i="4"/>
  <c r="D132" i="4"/>
  <c r="D130" i="4"/>
  <c r="D128" i="4"/>
  <c r="D127" i="4"/>
  <c r="D126" i="4"/>
  <c r="D125" i="4"/>
  <c r="D124" i="4"/>
  <c r="D122" i="4"/>
  <c r="D144" i="4"/>
  <c r="D143" i="4"/>
  <c r="D142" i="4"/>
  <c r="D141" i="4"/>
  <c r="D140" i="4"/>
  <c r="D139" i="4"/>
  <c r="D137" i="4"/>
  <c r="D152" i="4"/>
  <c r="D151" i="4"/>
  <c r="D150" i="4"/>
  <c r="D149" i="4"/>
  <c r="D159" i="4"/>
  <c r="D158" i="4"/>
  <c r="D157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<sst xmlns="http://schemas.openxmlformats.org/spreadsheetml/2006/main" count="393" uniqueCount="268">
  <si>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</si>
  <si>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</si>
  <si>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</si>
  <si>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</si>
  <si>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</si>
  <si>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</si>
  <si>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</si>
  <si>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</si>
  <si>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</si>
  <si>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</si>
  <si>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</si>
  <si>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</si>
  <si>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</si>
  <si>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</si>
  <si>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</si>
  <si>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</si>
  <si>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</si>
  <si>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</si>
  <si>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</si>
  <si>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</si>
  <si>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</si>
  <si>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</si>
  <si>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</si>
  <si>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</si>
  <si>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</si>
  <si>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</si>
  <si>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</si>
  <si>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</si>
  <si>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</si>
  <si>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</si>
  <si>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</si>
  <si>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</si>
  <si>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</si>
  <si>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</si>
  <si>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</si>
  <si>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</si>
  <si>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</si>
  <si>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</si>
  <si>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</si>
  <si>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</si>
  <si>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</si>
  <si>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</si>
  <si>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</si>
  <si>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</si>
  <si>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</si>
  <si>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</si>
  <si>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</si>
  <si>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</si>
  <si>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</si>
  <si>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</si>
  <si>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</si>
  <si>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</si>
  <si>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</si>
  <si>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</si>
  <si>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</si>
  <si>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</si>
  <si>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</si>
  <si>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</si>
  <si>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</si>
  <si>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</si>
  <si>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</si>
  <si>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</si>
  <si>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</si>
  <si>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</si>
  <si>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</si>
  <si>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</si>
  <si>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</si>
  <si>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</si>
  <si>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</si>
  <si>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</si>
  <si>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</si>
  <si>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</si>
  <si>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</si>
  <si>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</si>
  <si>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</si>
  <si>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</si>
  <si>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</si>
  <si>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</si>
  <si>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</si>
  <si>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</si>
  <si>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</si>
  <si>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</si>
  <si>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</si>
  <si>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</si>
  <si>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</si>
  <si>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</si>
  <si>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</si>
  <si>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</si>
  <si>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</si>
  <si>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</si>
  <si>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</si>
  <si>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</si>
  <si>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</si>
  <si>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</si>
  <si>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</si>
  <si>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</si>
  <si>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</si>
  <si>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</si>
  <si>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</si>
  <si>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</si>
  <si>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</si>
  <si>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</si>
  <si>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</si>
  <si>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</si>
  <si>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</si>
  <si>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</si>
  <si>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</si>
  <si>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</si>
  <si>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</si>
  <si>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</si>
  <si>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</si>
  <si>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</si>
  <si>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</si>
  <si>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</si>
  <si>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</si>
  <si>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</si>
  <si>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</si>
  <si>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</si>
  <si>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</si>
  <si>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</si>
  <si>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</si>
  <si>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</si>
  <si>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</si>
  <si>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</si>
  <si>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</si>
  <si>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</si>
  <si>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</si>
  <si>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</si>
  <si>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</si>
  <si>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</si>
  <si>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</si>
  <si>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</si>
  <si>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</si>
  <si>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</si>
  <si>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</si>
  <si>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</si>
  <si>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</si>
  <si>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</si>
  <si>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</si>
  <si>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</si>
  <si>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</si>
  <si>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</si>
  <si>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</si>
  <si>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</si>
  <si>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</si>
  <si>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</si>
  <si>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</si>
  <si>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</si>
  <si>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</si>
  <si>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</si>
  <si>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</si>
  <si>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</si>
  <si>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</si>
  <si>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</si>
  <si>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</si>
  <si>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</si>
  <si>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</si>
  <si>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</si>
  <si>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</si>
  <si>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</si>
  <si>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</si>
  <si>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</si>
  <si>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</si>
  <si>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</si>
  <si>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</si>
  <si>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</si>
  <si>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</si>
  <si>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</si>
  <si>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</si>
  <si>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</si>
  <si>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</si>
  <si>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</si>
  <si>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</si>
  <si>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</si>
  <si>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</si>
  <si>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</si>
  <si>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</si>
  <si>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</si>
  <si>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</si>
  <si>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</si>
  <si>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</si>
  <si>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</si>
  <si>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</si>
  <si>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</si>
  <si>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</si>
  <si>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</si>
  <si>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</si>
  <si>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</si>
  <si>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</si>
  <si>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</si>
  <si>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</si>
  <si>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</si>
  <si>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</si>
  <si>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</si>
  <si>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</si>
  <si>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</si>
  <si>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</si>
  <si>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</si>
  <si>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</si>
  <si>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</si>
  <si>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</si>
  <si>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</si>
  <si>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</si>
  <si>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</si>
  <si>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</si>
  <si>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</si>
  <si>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</si>
  <si>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</si>
  <si>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</si>
  <si>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</si>
  <si>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</si>
  <si>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</si>
  <si>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</si>
  <si>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</si>
  <si>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</si>
  <si>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</si>
  <si>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</si>
  <si>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</si>
  <si>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</si>
  <si>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</si>
  <si>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</si>
  <si>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</si>
  <si>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</si>
  <si>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</si>
  <si>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</si>
  <si>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</si>
  <si>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</si>
  <si>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</si>
  <si>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</si>
  <si>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</si>
  <si>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</si>
  <si>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</si>
  <si>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</si>
  <si>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</si>
  <si>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</si>
  <si>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</si>
  <si>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</si>
  <si>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</si>
  <si>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</si>
  <si>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</si>
  <si>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</si>
  <si>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</si>
  <si>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</si>
  <si>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</si>
  <si>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</si>
  <si>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</si>
  <si>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</si>
  <si>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</si>
  <si>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교육정보시스템 통합재해복구센터 신축공사</t>
    <phoneticPr fontId="2" type="noConversion"/>
  </si>
  <si>
    <t>업무</t>
  </si>
  <si>
    <t>세종시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</si>
  <si>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</si>
  <si>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</si>
  <si>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</si>
  <si>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</si>
  <si>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난방배관공사,우수처리시설공사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</si>
  <si>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</si>
  <si>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</si>
  <si>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</si>
  <si>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우수공사</t>
    <phoneticPr fontId="2" type="noConversion"/>
  </si>
  <si>
    <t>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</si>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</sst>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4126.55</v>
      </c>
      <c r="D7" s="36">
        <f>+C7/3.3058</f>
        <v>1248.2757577590901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1407970</v>
      </c>
      <c r="E25" s="59">
        <f t="shared" si="0"/>
        <v>4654460</v>
      </c>
    </row>
    <row r="26" spans="1:5" x14ac:dyDescent="0.3">
      <c r="B26" s="2">
        <v>3</v>
      </c>
      <c r="C26" s="35" t="s">
        <v>95</v>
      </c>
      <c r="D26" s="45">
        <f>+D66</f>
        <v>28200</v>
      </c>
      <c r="E26" s="59">
        <f t="shared" si="0"/>
        <v>93220</v>
      </c>
    </row>
    <row r="27" spans="1:5" x14ac:dyDescent="0.3">
      <c r="B27" s="2">
        <v>4</v>
      </c>
      <c r="C27" s="35" t="s">
        <v>96</v>
      </c>
      <c r="D27" s="45">
        <f>+D95</f>
        <v>158720</v>
      </c>
      <c r="E27" s="59">
        <f t="shared" si="0"/>
        <v>524690</v>
      </c>
    </row>
    <row r="28" spans="1:5" x14ac:dyDescent="0.3">
      <c r="B28" s="2">
        <v>5</v>
      </c>
      <c r="C28" s="35" t="s">
        <v>97</v>
      </c>
      <c r="D28" s="45">
        <f>+D119</f>
        <v>671750</v>
      </c>
      <c r="E28" s="59">
        <f t="shared" si="0"/>
        <v>2220670</v>
      </c>
    </row>
    <row r="29" spans="1:5" x14ac:dyDescent="0.3">
      <c r="B29" s="2">
        <v>6</v>
      </c>
      <c r="C29" s="35" t="s">
        <v>98</v>
      </c>
      <c r="D29" s="45">
        <f>+D133</f>
        <v>280410</v>
      </c>
      <c r="E29" s="59">
        <f t="shared" si="0"/>
        <v>926970</v>
      </c>
    </row>
    <row r="30" spans="1:5" x14ac:dyDescent="0.3">
      <c r="B30" s="2">
        <v>7</v>
      </c>
      <c r="C30" s="35" t="s">
        <v>99</v>
      </c>
      <c r="D30" s="45">
        <f>+D146</f>
        <v>145530</v>
      </c>
      <c r="E30" s="59">
        <f t="shared" si="0"/>
        <v>481090</v>
      </c>
    </row>
    <row r="31" spans="1:5" x14ac:dyDescent="0.3">
      <c r="B31" s="2">
        <v>8</v>
      </c>
      <c r="C31" s="35" t="s">
        <v>100</v>
      </c>
      <c r="D31" s="45">
        <f>+D154</f>
        <v>36820</v>
      </c>
      <c r="E31" s="59">
        <f t="shared" si="0"/>
        <v>121710</v>
      </c>
    </row>
    <row r="32" spans="1:5" x14ac:dyDescent="0.3">
      <c r="B32" s="2">
        <v>9</v>
      </c>
      <c r="C32" s="35" t="s">
        <v>101</v>
      </c>
      <c r="D32" s="45">
        <f>+D161</f>
        <v>46860</v>
      </c>
      <c r="E32" s="59">
        <f t="shared" si="0"/>
        <v>154900</v>
      </c>
    </row>
    <row r="33" spans="1:7" x14ac:dyDescent="0.3">
      <c r="B33" s="2">
        <v>10</v>
      </c>
      <c r="C33" s="35" t="s">
        <v>154</v>
      </c>
      <c r="D33" s="53">
        <f>TRUNC(SUM(D24:D32)*0.275,-1)</f>
        <v>763470</v>
      </c>
      <c r="E33" s="60">
        <f t="shared" si="0"/>
        <v>2523870</v>
      </c>
    </row>
    <row r="34" spans="1:7" x14ac:dyDescent="0.3">
      <c r="C34" s="35" t="s">
        <v>112</v>
      </c>
      <c r="D34" s="44">
        <f>SUM(D24:D33)</f>
        <v>3539730</v>
      </c>
      <c r="E34" s="44">
        <f>SUM(E24:E33)</f>
        <v>11701580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TRUNC(88839,-1)</f>
        <v>88830</v>
      </c>
      <c r="E40" s="62">
        <f t="shared" ref="E40:E59" si="1">TRUNC(+D40*3.3058,-1)</f>
        <v>293650</v>
      </c>
    </row>
    <row r="41" spans="1:7" x14ac:dyDescent="0.3">
      <c r="A41" s="2">
        <v>2</v>
      </c>
      <c r="C41" s="38" t="s">
        <v>13</v>
      </c>
      <c r="D41" s="42">
        <f>TRUNC(192388,-1)</f>
        <v>192380</v>
      </c>
      <c r="E41" s="63">
        <f t="shared" si="1"/>
        <v>635960</v>
      </c>
    </row>
    <row r="42" spans="1:7" x14ac:dyDescent="0.3">
      <c r="A42" s="2">
        <v>3</v>
      </c>
      <c r="C42" s="38" t="s">
        <v>14</v>
      </c>
      <c r="D42" s="42">
        <f>TRUNC(5723,-1)</f>
        <v>5720</v>
      </c>
      <c r="E42" s="63">
        <f t="shared" si="1"/>
        <v>18900</v>
      </c>
    </row>
    <row r="43" spans="1:7" x14ac:dyDescent="0.3">
      <c r="A43" s="2">
        <v>4</v>
      </c>
      <c r="C43" s="38" t="s">
        <v>16</v>
      </c>
      <c r="D43" s="42">
        <f>TRUNC(29464,-1)</f>
        <v>29460</v>
      </c>
      <c r="E43" s="63">
        <f t="shared" si="1"/>
        <v>97380</v>
      </c>
    </row>
    <row r="44" spans="1:7" x14ac:dyDescent="0.3">
      <c r="A44" s="2">
        <v>5</v>
      </c>
      <c r="C44" s="38" t="s">
        <v>17</v>
      </c>
      <c r="D44" s="42">
        <f>TRUNC(41375,-1)</f>
        <v>41370</v>
      </c>
      <c r="E44" s="63">
        <f t="shared" si="1"/>
        <v>136760</v>
      </c>
    </row>
    <row r="45" spans="1:7" x14ac:dyDescent="0.3">
      <c r="A45" s="2">
        <v>6</v>
      </c>
      <c r="C45" s="38" t="s">
        <v>18</v>
      </c>
      <c r="D45" s="42">
        <f>TRUNC(12834,-1)</f>
        <v>12830</v>
      </c>
      <c r="E45" s="63">
        <f t="shared" si="1"/>
        <v>42410</v>
      </c>
    </row>
    <row r="46" spans="1:7" x14ac:dyDescent="0.3">
      <c r="A46" s="2">
        <v>7</v>
      </c>
      <c r="C46" s="38" t="s">
        <v>19</v>
      </c>
      <c r="D46" s="42">
        <f>TRUNC(24422,-1)</f>
        <v>24420</v>
      </c>
      <c r="E46" s="63">
        <f t="shared" si="1"/>
        <v>80720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TRUNC(54371,-1)</f>
        <v>54370</v>
      </c>
      <c r="E48" s="63">
        <f t="shared" si="1"/>
        <v>179730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TRUNC(21085,-1)</f>
        <v>21080</v>
      </c>
      <c r="E49" s="63">
        <f t="shared" si="1"/>
        <v>69680</v>
      </c>
    </row>
    <row r="50" spans="1:7" x14ac:dyDescent="0.3">
      <c r="A50" s="2">
        <v>11</v>
      </c>
      <c r="C50" s="38" t="s">
        <v>155</v>
      </c>
      <c r="D50" s="42">
        <f>TRUNC(48057,-1)</f>
        <v>48050</v>
      </c>
      <c r="E50" s="63">
        <f t="shared" si="1"/>
        <v>158840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TRUNC(22512,-1)</f>
        <v>22510</v>
      </c>
      <c r="E52" s="63">
        <f t="shared" si="1"/>
        <v>74410</v>
      </c>
    </row>
    <row r="53" spans="1:7" x14ac:dyDescent="0.3">
      <c r="A53" s="2">
        <v>14</v>
      </c>
      <c r="C53" s="38" t="s">
        <v>25</v>
      </c>
      <c r="D53" s="42">
        <f>TRUNC(179203,-1)</f>
        <v>179200</v>
      </c>
      <c r="E53" s="63">
        <f t="shared" si="1"/>
        <v>592390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TRUNC(28808+7962-808+2013+17035,-1)</f>
        <v>55010</v>
      </c>
      <c r="E58" s="63">
        <f t="shared" si="1"/>
        <v>181850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TRUNC(632741,-1)</f>
        <v>632740</v>
      </c>
      <c r="E59" s="64">
        <f t="shared" si="1"/>
        <v>2091710</v>
      </c>
    </row>
    <row r="60" spans="1:7" x14ac:dyDescent="0.3">
      <c r="A60" s="2">
        <v>21</v>
      </c>
      <c r="C60" s="27" t="s">
        <v>112</v>
      </c>
      <c r="D60" s="39">
        <f>SUM(D40:D59)</f>
        <v>1407970</v>
      </c>
      <c r="E60" s="39">
        <f>SUM(E40:E59)</f>
        <v>4654390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TRUNC(28209,-1)</f>
        <v>28200</v>
      </c>
      <c r="E63" s="62">
        <f>TRUNC(+D63*3.3058,-1)</f>
        <v>93220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28200</v>
      </c>
      <c r="E66" s="65">
        <f>SUM(E63:E65)</f>
        <v>93220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TRUNC(37393,-1)</f>
        <v>37390</v>
      </c>
      <c r="E69" s="62">
        <f t="shared" ref="E69:E94" si="2">TRUNC(+D69*3.3058,-1)</f>
        <v>123600</v>
      </c>
    </row>
    <row r="70" spans="1:7" ht="16.5" customHeight="1" x14ac:dyDescent="0.3">
      <c r="A70" s="2">
        <v>2</v>
      </c>
      <c r="C70" s="38" t="s">
        <v>31</v>
      </c>
      <c r="D70" s="42">
        <f>TRUNC(1011,-1)</f>
        <v>1010</v>
      </c>
      <c r="E70" s="63">
        <f t="shared" si="2"/>
        <v>3330</v>
      </c>
    </row>
    <row r="71" spans="1:7" x14ac:dyDescent="0.3">
      <c r="A71" s="2">
        <v>3</v>
      </c>
      <c r="C71" s="38" t="s">
        <v>32</v>
      </c>
      <c r="D71" s="42">
        <f>TRUNC(12770,-1)</f>
        <v>12770</v>
      </c>
      <c r="E71" s="63">
        <f t="shared" si="2"/>
        <v>42210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TRUNC(10203,-1)</f>
        <v>10200</v>
      </c>
      <c r="E73" s="63">
        <f t="shared" si="2"/>
        <v>33710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TRUNC(14209,-1)</f>
        <v>14200</v>
      </c>
      <c r="E76" s="63">
        <f t="shared" si="2"/>
        <v>46940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TRUNC(17049,-1)</f>
        <v>17040</v>
      </c>
      <c r="E89" s="63">
        <f t="shared" si="2"/>
        <v>56330</v>
      </c>
    </row>
    <row r="90" spans="1:7" x14ac:dyDescent="0.3">
      <c r="A90" s="2">
        <v>22</v>
      </c>
      <c r="C90" s="38" t="s">
        <v>36</v>
      </c>
      <c r="D90" s="42">
        <f>TRUNC(11881,-1)</f>
        <v>11880</v>
      </c>
      <c r="E90" s="63">
        <f t="shared" si="2"/>
        <v>39270</v>
      </c>
    </row>
    <row r="91" spans="1:7" x14ac:dyDescent="0.3">
      <c r="A91" s="2">
        <v>23</v>
      </c>
      <c r="C91" s="38" t="s">
        <v>37</v>
      </c>
      <c r="D91" s="42">
        <f>TRUNC(37866,-1)</f>
        <v>37860</v>
      </c>
      <c r="E91" s="63">
        <f t="shared" si="2"/>
        <v>125150</v>
      </c>
    </row>
    <row r="92" spans="1:7" x14ac:dyDescent="0.3">
      <c r="A92" s="2">
        <v>24</v>
      </c>
      <c r="C92" s="38" t="s">
        <v>38</v>
      </c>
      <c r="D92" s="42">
        <f>TRUNC(4832,-1)</f>
        <v>4830</v>
      </c>
      <c r="E92" s="63">
        <f t="shared" si="2"/>
        <v>15960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TRUNC(1034+10513,-1)</f>
        <v>11540</v>
      </c>
      <c r="E94" s="64">
        <f t="shared" si="2"/>
        <v>38140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158720</v>
      </c>
      <c r="E95" s="39">
        <f>SUM(E69:E94)</f>
        <v>524640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TRUNC(49790,-1)</f>
        <v>49790</v>
      </c>
      <c r="E98" s="62">
        <f t="shared" ref="E98:E118" si="3">TRUNC(+D98*3.3058,-1)</f>
        <v>164590</v>
      </c>
    </row>
    <row r="99" spans="1:7" x14ac:dyDescent="0.3">
      <c r="A99" s="2">
        <v>2</v>
      </c>
      <c r="C99" s="38" t="s">
        <v>40</v>
      </c>
      <c r="D99" s="42">
        <f>TRUNC(19016,-1)</f>
        <v>19010</v>
      </c>
      <c r="E99" s="63">
        <f t="shared" si="3"/>
        <v>62840</v>
      </c>
    </row>
    <row r="100" spans="1:7" x14ac:dyDescent="0.3">
      <c r="A100" s="2">
        <v>3</v>
      </c>
      <c r="C100" s="38" t="s">
        <v>41</v>
      </c>
      <c r="D100" s="42">
        <f>TRUNC(31795,-1)</f>
        <v>31790</v>
      </c>
      <c r="E100" s="63">
        <f t="shared" si="3"/>
        <v>105090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TRUNC(10094,-1)</f>
        <v>10090</v>
      </c>
      <c r="E102" s="63">
        <f t="shared" si="3"/>
        <v>33350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TRUNC(4814,-1)</f>
        <v>4810</v>
      </c>
      <c r="E104" s="63">
        <f t="shared" si="3"/>
        <v>15900</v>
      </c>
    </row>
    <row r="105" spans="1:7" x14ac:dyDescent="0.3">
      <c r="A105" s="2">
        <v>8</v>
      </c>
      <c r="C105" s="38" t="s">
        <v>46</v>
      </c>
      <c r="D105" s="42">
        <f>TRUNC(14494,-1)</f>
        <v>14490</v>
      </c>
      <c r="E105" s="63">
        <f t="shared" si="3"/>
        <v>47900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TRUNC(3701,-1)</f>
        <v>3700</v>
      </c>
      <c r="E114" s="63">
        <f t="shared" si="3"/>
        <v>12230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TRUNC(47964,-1)</f>
        <v>47960</v>
      </c>
      <c r="E116" s="63">
        <f t="shared" si="3"/>
        <v>158540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TRUNC(488465,-1)</f>
        <v>488460</v>
      </c>
      <c r="E117" s="63">
        <f t="shared" si="3"/>
        <v>1614750</v>
      </c>
    </row>
    <row r="118" spans="1:7" ht="17.25" thickBot="1" x14ac:dyDescent="0.35">
      <c r="A118" s="2">
        <v>21</v>
      </c>
      <c r="C118" s="38" t="s">
        <v>47</v>
      </c>
      <c r="D118" s="43">
        <f>TRUNC(1655,-1)</f>
        <v>1650</v>
      </c>
      <c r="E118" s="64">
        <f t="shared" si="3"/>
        <v>5450</v>
      </c>
    </row>
    <row r="119" spans="1:7" x14ac:dyDescent="0.3">
      <c r="A119" s="2">
        <v>22</v>
      </c>
      <c r="C119" s="27" t="s">
        <v>112</v>
      </c>
      <c r="D119" s="39">
        <f>SUM(D98:D118)</f>
        <v>671750</v>
      </c>
      <c r="E119" s="39">
        <f>SUM(E98:E118)</f>
        <v>2220640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TRUNC(4686,-1)</f>
        <v>4680</v>
      </c>
      <c r="E122" s="62">
        <f t="shared" ref="E122:E132" si="4">TRUNC(+D122*3.3058,-1)</f>
        <v>15470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TRUNC(1043,-1)</f>
        <v>1040</v>
      </c>
      <c r="E124" s="63">
        <f t="shared" si="4"/>
        <v>3430</v>
      </c>
    </row>
    <row r="125" spans="1:7" x14ac:dyDescent="0.3">
      <c r="A125" s="2">
        <v>4</v>
      </c>
      <c r="C125" s="38" t="s">
        <v>138</v>
      </c>
      <c r="D125" s="42">
        <f>TRUNC(8736,-1)</f>
        <v>8730</v>
      </c>
      <c r="E125" s="63">
        <f t="shared" si="4"/>
        <v>28850</v>
      </c>
    </row>
    <row r="126" spans="1:7" x14ac:dyDescent="0.3">
      <c r="A126" s="2">
        <v>5</v>
      </c>
      <c r="C126" s="38" t="s">
        <v>53</v>
      </c>
      <c r="D126" s="42">
        <f>TRUNC(3791,-1)</f>
        <v>3790</v>
      </c>
      <c r="E126" s="63">
        <f t="shared" si="4"/>
        <v>12520</v>
      </c>
    </row>
    <row r="127" spans="1:7" x14ac:dyDescent="0.3">
      <c r="A127" s="2">
        <v>6</v>
      </c>
      <c r="C127" s="38" t="s">
        <v>56</v>
      </c>
      <c r="D127" s="42">
        <f>TRUNC(11428,-1)</f>
        <v>11420</v>
      </c>
      <c r="E127" s="63">
        <f t="shared" si="4"/>
        <v>37750</v>
      </c>
    </row>
    <row r="128" spans="1:7" x14ac:dyDescent="0.3">
      <c r="A128" s="2">
        <v>7</v>
      </c>
      <c r="C128" s="38" t="s">
        <v>46</v>
      </c>
      <c r="D128" s="42">
        <f>TRUNC(6698,-1)</f>
        <v>6690</v>
      </c>
      <c r="E128" s="63">
        <f t="shared" si="4"/>
        <v>22110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TRUNC(119577,-1)</f>
        <v>119570</v>
      </c>
      <c r="E130" s="63">
        <f t="shared" si="4"/>
        <v>395270</v>
      </c>
    </row>
    <row r="131" spans="1:7" x14ac:dyDescent="0.3">
      <c r="A131" s="2">
        <v>10</v>
      </c>
      <c r="C131" s="38" t="s">
        <v>148</v>
      </c>
      <c r="D131" s="42">
        <f>TRUNC(119990,-1)</f>
        <v>119990</v>
      </c>
      <c r="E131" s="63">
        <f t="shared" si="4"/>
        <v>396660</v>
      </c>
    </row>
    <row r="132" spans="1:7" ht="18" thickBot="1" x14ac:dyDescent="0.35">
      <c r="A132" s="2">
        <v>11</v>
      </c>
      <c r="C132" s="38" t="s">
        <v>47</v>
      </c>
      <c r="D132" s="43">
        <f>TRUNC(3712+401+395,-1)</f>
        <v>4500</v>
      </c>
      <c r="E132" s="64">
        <f t="shared" si="4"/>
        <v>14870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280410</v>
      </c>
      <c r="E133" s="39">
        <f>SUM(E122:E132)</f>
        <v>926930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TRUNC(4541,-1)</f>
        <v>4540</v>
      </c>
      <c r="E137" s="63">
        <f t="shared" si="5"/>
        <v>15000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TRUNC(5110,-1)</f>
        <v>5110</v>
      </c>
      <c r="E139" s="63">
        <f t="shared" si="5"/>
        <v>16890</v>
      </c>
    </row>
    <row r="140" spans="1:7" x14ac:dyDescent="0.3">
      <c r="A140" s="2">
        <v>5</v>
      </c>
      <c r="C140" s="38" t="s">
        <v>57</v>
      </c>
      <c r="D140" s="42">
        <f>TRUNC(65046,-1)</f>
        <v>65040</v>
      </c>
      <c r="E140" s="63">
        <f t="shared" si="5"/>
        <v>215000</v>
      </c>
    </row>
    <row r="141" spans="1:7" x14ac:dyDescent="0.3">
      <c r="A141" s="2">
        <v>6</v>
      </c>
      <c r="C141" s="38" t="s">
        <v>59</v>
      </c>
      <c r="D141" s="42">
        <f>TRUNC(25202,-1)</f>
        <v>25200</v>
      </c>
      <c r="E141" s="63">
        <f t="shared" si="5"/>
        <v>83300</v>
      </c>
    </row>
    <row r="142" spans="1:7" x14ac:dyDescent="0.3">
      <c r="A142" s="2">
        <v>7</v>
      </c>
      <c r="C142" s="38" t="s">
        <v>58</v>
      </c>
      <c r="D142" s="42">
        <f>TRUNC(7785,-1)</f>
        <v>7780</v>
      </c>
      <c r="E142" s="63">
        <f t="shared" si="5"/>
        <v>25710</v>
      </c>
    </row>
    <row r="143" spans="1:7" x14ac:dyDescent="0.3">
      <c r="A143" s="2">
        <v>8</v>
      </c>
      <c r="C143" s="38" t="s">
        <v>62</v>
      </c>
      <c r="D143" s="42">
        <f>TRUNC(7048,-1)</f>
        <v>7040</v>
      </c>
      <c r="E143" s="63">
        <f t="shared" si="5"/>
        <v>23270</v>
      </c>
    </row>
    <row r="144" spans="1:7" x14ac:dyDescent="0.3">
      <c r="A144" s="2">
        <v>9</v>
      </c>
      <c r="C144" s="38" t="s">
        <v>63</v>
      </c>
      <c r="D144" s="42">
        <f>TRUNC(30821,-1)</f>
        <v>30820</v>
      </c>
      <c r="E144" s="63">
        <f t="shared" si="5"/>
        <v>101880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145530</v>
      </c>
      <c r="E146" s="39">
        <f>SUM(E136:E145)</f>
        <v>481050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TRUNC(13535,-1)</f>
        <v>13530</v>
      </c>
      <c r="E149" s="62">
        <f>TRUNC(+D149*3.3058,-1)</f>
        <v>44720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TRUNC(13859,-1)</f>
        <v>13850</v>
      </c>
      <c r="E150" s="63">
        <f>TRUNC(+D150*3.3058,-1)</f>
        <v>45780</v>
      </c>
    </row>
    <row r="151" spans="1:7" x14ac:dyDescent="0.3">
      <c r="A151" s="2">
        <v>3</v>
      </c>
      <c r="C151" s="38" t="s">
        <v>50</v>
      </c>
      <c r="D151" s="42">
        <f>TRUNC(6623,-1)</f>
        <v>6620</v>
      </c>
      <c r="E151" s="63">
        <f>TRUNC(+D151*3.3058,-1)</f>
        <v>21880</v>
      </c>
    </row>
    <row r="152" spans="1:7" x14ac:dyDescent="0.3">
      <c r="A152" s="2">
        <v>4</v>
      </c>
      <c r="C152" s="38" t="s">
        <v>47</v>
      </c>
      <c r="D152" s="42">
        <f>TRUNC(2820,-1)</f>
        <v>2820</v>
      </c>
      <c r="E152" s="63">
        <f>TRUNC(+D152*3.3058,-1)</f>
        <v>9320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36820</v>
      </c>
      <c r="E154" s="39">
        <f>SUM(E149:E153)</f>
        <v>121700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TRUNC(28454,-1)</f>
        <v>28450</v>
      </c>
      <c r="E157" s="62">
        <f>TRUNC(+D157*3.3058,-1)</f>
        <v>94050</v>
      </c>
    </row>
    <row r="158" spans="1:7" x14ac:dyDescent="0.3">
      <c r="A158" s="2">
        <v>2</v>
      </c>
      <c r="C158" s="38" t="s">
        <v>52</v>
      </c>
      <c r="D158" s="42">
        <f>TRUNC(10683,-1)</f>
        <v>10680</v>
      </c>
      <c r="E158" s="63">
        <f>TRUNC(+D158*3.3058,-1)</f>
        <v>35300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TRUNC(3680+4050,-1)</f>
        <v>7730</v>
      </c>
      <c r="E159" s="63">
        <f>TRUNC(+D159*3.3058,-1)</f>
        <v>25550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46860</v>
      </c>
      <c r="E161" s="39">
        <f>SUM(E157:E160)</f>
        <v>154900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2020-12-08T02:23:44Z</dcterms:modified>
</cp:coreProperties>
</file>