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1" i="4" l="1"/>
  <c r="GS39" i="4" l="1"/>
  <c r="GT39" i="4" s="1"/>
  <c r="GU39" i="4" s="1"/>
  <c r="GV39" i="4" s="1"/>
  <c r="GW39" i="4" s="1"/>
  <c r="GX39" i="4" s="1"/>
  <c r="GY39" i="4" s="1"/>
  <c r="GZ39" i="4" s="1"/>
  <c r="HA39" i="4" s="1"/>
  <c r="HB39" i="4" s="1"/>
  <c r="HC39" i="4" s="1"/>
  <c r="HD39" i="4" s="1"/>
  <c r="HE39" i="4" s="1"/>
  <c r="HF39" i="4" s="1"/>
  <c r="HG39" i="4" s="1"/>
  <c r="HH39" i="4" s="1"/>
  <c r="GR39" i="4"/>
  <c r="GQ39" i="4"/>
  <c r="DZ39" i="4"/>
  <c r="EA39" i="4" s="1"/>
  <c r="EB39" i="4" s="1"/>
  <c r="EC39" i="4" s="1"/>
  <c r="ED39" i="4" s="1"/>
  <c r="EE39" i="4" s="1"/>
  <c r="EF39" i="4" s="1"/>
  <c r="EG39" i="4" s="1"/>
  <c r="EH39" i="4" s="1"/>
  <c r="EI39" i="4" s="1"/>
  <c r="EJ39" i="4" s="1"/>
  <c r="EK39" i="4" s="1"/>
  <c r="EL39" i="4" s="1"/>
  <c r="EM39" i="4" s="1"/>
  <c r="EN39" i="4" s="1"/>
  <c r="EO39" i="4" s="1"/>
  <c r="EP39" i="4" s="1"/>
  <c r="DY39" i="4"/>
  <c r="BZ39" i="4"/>
  <c r="ER39" i="4" s="1"/>
  <c r="BG39" i="4"/>
  <c r="BH39" i="4" s="1"/>
  <c r="BI39" i="4" s="1"/>
  <c r="BJ39" i="4" s="1"/>
  <c r="BK39" i="4" s="1"/>
  <c r="BL39" i="4" s="1"/>
  <c r="BM39" i="4" s="1"/>
  <c r="BN39" i="4" s="1"/>
  <c r="BO39" i="4" s="1"/>
  <c r="BP39" i="4" s="1"/>
  <c r="BQ39" i="4" s="1"/>
  <c r="BR39" i="4" s="1"/>
  <c r="BS39" i="4" s="1"/>
  <c r="BT39" i="4" s="1"/>
  <c r="BU39" i="4" s="1"/>
  <c r="BV39" i="4" s="1"/>
  <c r="BW39" i="4" s="1"/>
  <c r="BX39" i="4" s="1"/>
  <c r="GS38" i="4"/>
  <c r="GT38" i="4" s="1"/>
  <c r="GU38" i="4" s="1"/>
  <c r="GV38" i="4" s="1"/>
  <c r="GW38" i="4" s="1"/>
  <c r="GX38" i="4" s="1"/>
  <c r="GY38" i="4" s="1"/>
  <c r="GZ38" i="4" s="1"/>
  <c r="HA38" i="4" s="1"/>
  <c r="HB38" i="4" s="1"/>
  <c r="HC38" i="4" s="1"/>
  <c r="HD38" i="4" s="1"/>
  <c r="HE38" i="4" s="1"/>
  <c r="HF38" i="4" s="1"/>
  <c r="HG38" i="4" s="1"/>
  <c r="HH38" i="4" s="1"/>
  <c r="GR38" i="4"/>
  <c r="GQ38" i="4"/>
  <c r="DZ38" i="4"/>
  <c r="EA38" i="4" s="1"/>
  <c r="EB38" i="4" s="1"/>
  <c r="EC38" i="4" s="1"/>
  <c r="ED38" i="4" s="1"/>
  <c r="EE38" i="4" s="1"/>
  <c r="EF38" i="4" s="1"/>
  <c r="EG38" i="4" s="1"/>
  <c r="EH38" i="4" s="1"/>
  <c r="EI38" i="4" s="1"/>
  <c r="EJ38" i="4" s="1"/>
  <c r="EK38" i="4" s="1"/>
  <c r="EL38" i="4" s="1"/>
  <c r="EM38" i="4" s="1"/>
  <c r="EN38" i="4" s="1"/>
  <c r="EO38" i="4" s="1"/>
  <c r="EP38" i="4" s="1"/>
  <c r="DY38" i="4"/>
  <c r="BZ38" i="4"/>
  <c r="ER38" i="4" s="1"/>
  <c r="BG38" i="4"/>
  <c r="BH38" i="4" s="1"/>
  <c r="BI38" i="4" s="1"/>
  <c r="BJ38" i="4" s="1"/>
  <c r="BK38" i="4" s="1"/>
  <c r="BL38" i="4" s="1"/>
  <c r="BM38" i="4" s="1"/>
  <c r="BN38" i="4" s="1"/>
  <c r="BO38" i="4" s="1"/>
  <c r="BP38" i="4" s="1"/>
  <c r="BQ38" i="4" s="1"/>
  <c r="BR38" i="4" s="1"/>
  <c r="BS38" i="4" s="1"/>
  <c r="BT38" i="4" s="1"/>
  <c r="BU38" i="4" s="1"/>
  <c r="BV38" i="4" s="1"/>
  <c r="BW38" i="4" s="1"/>
  <c r="BX38" i="4" s="1"/>
  <c r="D152" i="4" l="1"/>
  <c r="D151" i="4"/>
  <c r="D150" i="4"/>
  <c r="D149" i="4"/>
  <c r="D144" i="4"/>
  <c r="D143" i="4"/>
  <c r="D139" i="4"/>
  <c r="D141" i="4"/>
  <c r="D137" i="4"/>
  <c r="D142" i="4"/>
  <c r="D140" i="4"/>
  <c r="D128" i="4"/>
  <c r="D132" i="4"/>
  <c r="D124" i="4"/>
  <c r="D125" i="4"/>
  <c r="D130" i="4"/>
  <c r="D126" i="4"/>
  <c r="D118" i="4"/>
  <c r="D105" i="4"/>
  <c r="D104" i="4"/>
  <c r="D103" i="4"/>
  <c r="D102" i="4"/>
  <c r="D101" i="4"/>
  <c r="D100" i="4"/>
  <c r="D99" i="4"/>
  <c r="D114" i="4"/>
  <c r="D98" i="4"/>
  <c r="D116" i="4"/>
  <c r="D94" i="4"/>
  <c r="D92" i="4"/>
  <c r="D89" i="4"/>
  <c r="D73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53" i="4"/>
  <c r="D117" i="4"/>
  <c r="D93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32" i="4"/>
  <c r="E24" i="4"/>
  <c r="E154" i="4" l="1"/>
  <c r="E146" i="4"/>
  <c r="E133" i="4"/>
  <c r="E95" i="4"/>
  <c r="E60" i="4"/>
  <c r="E119" i="4"/>
  <c r="GP156" i="4"/>
  <c r="GQ156" i="4"/>
  <c r="GR156" i="4"/>
  <c r="GS156" i="4"/>
  <c r="GT156" i="4"/>
  <c r="GU156" i="4"/>
  <c r="GV156" i="4"/>
  <c r="GW156" i="4"/>
  <c r="GX156" i="4"/>
  <c r="GY156" i="4"/>
  <c r="GZ156" i="4"/>
  <c r="HA156" i="4"/>
  <c r="HB156" i="4"/>
  <c r="HC156" i="4"/>
  <c r="HD156" i="4"/>
  <c r="HE156" i="4"/>
  <c r="HF156" i="4"/>
  <c r="HG156" i="4"/>
  <c r="BY156" i="4"/>
  <c r="EQ156" i="4"/>
  <c r="DX156" i="4"/>
  <c r="DY156" i="4"/>
  <c r="DZ156" i="4"/>
  <c r="EA156" i="4"/>
  <c r="EB156" i="4"/>
  <c r="EC156" i="4"/>
  <c r="ED156" i="4"/>
  <c r="EE156" i="4"/>
  <c r="EF156" i="4"/>
  <c r="EG156" i="4"/>
  <c r="EH156" i="4"/>
  <c r="EI156" i="4"/>
  <c r="EJ156" i="4"/>
  <c r="EK156" i="4"/>
  <c r="EL156" i="4"/>
  <c r="EM156" i="4"/>
  <c r="EN156" i="4"/>
  <c r="EO156" i="4"/>
  <c r="GP155" i="4"/>
  <c r="GQ155" i="4"/>
  <c r="GR155" i="4"/>
  <c r="GS155" i="4"/>
  <c r="GT155" i="4"/>
  <c r="GU155" i="4"/>
  <c r="GV155" i="4"/>
  <c r="GW155" i="4"/>
  <c r="GX155" i="4"/>
  <c r="GY155" i="4"/>
  <c r="GZ155" i="4"/>
  <c r="HA155" i="4"/>
  <c r="HB155" i="4"/>
  <c r="HC155" i="4"/>
  <c r="HD155" i="4"/>
  <c r="HE155" i="4"/>
  <c r="HF155" i="4"/>
  <c r="HG155" i="4"/>
  <c r="BY155" i="4"/>
  <c r="EQ155" i="4"/>
  <c r="DX155" i="4"/>
  <c r="DY155" i="4"/>
  <c r="DZ155" i="4"/>
  <c r="EA155" i="4"/>
  <c r="EB155" i="4"/>
  <c r="EC155" i="4"/>
  <c r="ED155" i="4"/>
  <c r="EE155" i="4"/>
  <c r="EF155" i="4"/>
  <c r="EG155" i="4"/>
  <c r="EH155" i="4"/>
  <c r="EI155" i="4"/>
  <c r="EJ155" i="4"/>
  <c r="EK155" i="4"/>
  <c r="EL155" i="4"/>
  <c r="EM155" i="4"/>
  <c r="EN155" i="4"/>
  <c r="EO155" i="4"/>
  <c r="GP148" i="4"/>
  <c r="GQ148" i="4"/>
  <c r="GR148" i="4"/>
  <c r="GS148" i="4"/>
  <c r="GT148" i="4"/>
  <c r="GU148" i="4"/>
  <c r="GV148" i="4"/>
  <c r="GW148" i="4"/>
  <c r="GX148" i="4"/>
  <c r="GY148" i="4"/>
  <c r="GZ148" i="4"/>
  <c r="HA148" i="4"/>
  <c r="HB148" i="4"/>
  <c r="HC148" i="4"/>
  <c r="HD148" i="4"/>
  <c r="HE148" i="4"/>
  <c r="HF148" i="4"/>
  <c r="HG148" i="4"/>
  <c r="BY148" i="4"/>
  <c r="EQ148" i="4"/>
  <c r="DX148" i="4"/>
  <c r="DY148" i="4"/>
  <c r="DZ148" i="4"/>
  <c r="EA148" i="4"/>
  <c r="EB148" i="4"/>
  <c r="EC148" i="4"/>
  <c r="ED148" i="4"/>
  <c r="EE148" i="4"/>
  <c r="EF148" i="4"/>
  <c r="EG148" i="4"/>
  <c r="EH148" i="4"/>
  <c r="EI148" i="4"/>
  <c r="EJ148" i="4"/>
  <c r="EK148" i="4"/>
  <c r="EL148" i="4"/>
  <c r="EM148" i="4"/>
  <c r="EN148" i="4"/>
  <c r="EO148" i="4"/>
  <c r="GP147" i="4"/>
  <c r="GQ147" i="4"/>
  <c r="GR147" i="4"/>
  <c r="GS147" i="4"/>
  <c r="GT147" i="4"/>
  <c r="GU147" i="4"/>
  <c r="GV147" i="4"/>
  <c r="GW147" i="4"/>
  <c r="GX147" i="4"/>
  <c r="GY147" i="4"/>
  <c r="GZ147" i="4"/>
  <c r="HA147" i="4"/>
  <c r="HB147" i="4"/>
  <c r="HC147" i="4"/>
  <c r="HD147" i="4"/>
  <c r="HE147" i="4"/>
  <c r="HF147" i="4"/>
  <c r="HG147" i="4"/>
  <c r="BY147" i="4"/>
  <c r="EQ147" i="4"/>
  <c r="DX147" i="4"/>
  <c r="DY147" i="4"/>
  <c r="DZ147" i="4"/>
  <c r="EA147" i="4"/>
  <c r="EB147" i="4"/>
  <c r="EC147" i="4"/>
  <c r="ED147" i="4"/>
  <c r="EE147" i="4"/>
  <c r="EF147" i="4"/>
  <c r="EG147" i="4"/>
  <c r="EH147" i="4"/>
  <c r="EI147" i="4"/>
  <c r="EJ147" i="4"/>
  <c r="EK147" i="4"/>
  <c r="EL147" i="4"/>
  <c r="EM147" i="4"/>
  <c r="EN147" i="4"/>
  <c r="EO147" i="4"/>
  <c r="GP135" i="4"/>
  <c r="GQ135" i="4"/>
  <c r="GR135" i="4"/>
  <c r="GS135" i="4"/>
  <c r="GT135" i="4"/>
  <c r="GU135" i="4"/>
  <c r="GV135" i="4"/>
  <c r="GW135" i="4"/>
  <c r="GX135" i="4"/>
  <c r="GY135" i="4"/>
  <c r="GZ135" i="4"/>
  <c r="HA135" i="4"/>
  <c r="HB135" i="4"/>
  <c r="HC135" i="4"/>
  <c r="HD135" i="4"/>
  <c r="HE135" i="4"/>
  <c r="HF135" i="4"/>
  <c r="HG135" i="4"/>
  <c r="BY135" i="4"/>
  <c r="EQ135" i="4"/>
  <c r="DX135" i="4"/>
  <c r="DY135" i="4"/>
  <c r="DZ135" i="4"/>
  <c r="EA135" i="4"/>
  <c r="EB135" i="4"/>
  <c r="EC135" i="4"/>
  <c r="ED135" i="4"/>
  <c r="EE135" i="4"/>
  <c r="EF135" i="4"/>
  <c r="EG135" i="4"/>
  <c r="EH135" i="4"/>
  <c r="EI135" i="4"/>
  <c r="EJ135" i="4"/>
  <c r="EK135" i="4"/>
  <c r="EL135" i="4"/>
  <c r="EM135" i="4"/>
  <c r="EN135" i="4"/>
  <c r="EO135" i="4"/>
  <c r="GP134" i="4"/>
  <c r="GQ134" i="4"/>
  <c r="GR134" i="4"/>
  <c r="GS134" i="4"/>
  <c r="GT134" i="4"/>
  <c r="GU134" i="4"/>
  <c r="GV134" i="4"/>
  <c r="GW134" i="4"/>
  <c r="GX134" i="4"/>
  <c r="GY134" i="4"/>
  <c r="GZ134" i="4"/>
  <c r="HA134" i="4"/>
  <c r="HB134" i="4"/>
  <c r="HC134" i="4"/>
  <c r="HD134" i="4"/>
  <c r="HE134" i="4"/>
  <c r="HF134" i="4"/>
  <c r="HG134" i="4"/>
  <c r="BY134" i="4"/>
  <c r="EQ134" i="4"/>
  <c r="DX134" i="4"/>
  <c r="DY134" i="4"/>
  <c r="DZ134" i="4"/>
  <c r="EA134" i="4"/>
  <c r="EB134" i="4"/>
  <c r="EC134" i="4"/>
  <c r="ED134" i="4"/>
  <c r="EE134" i="4"/>
  <c r="EF134" i="4"/>
  <c r="EG134" i="4"/>
  <c r="EH134" i="4"/>
  <c r="EI134" i="4"/>
  <c r="EJ134" i="4"/>
  <c r="EK134" i="4"/>
  <c r="EL134" i="4"/>
  <c r="EM134" i="4"/>
  <c r="EN134" i="4"/>
  <c r="EO134" i="4"/>
  <c r="GP121" i="4"/>
  <c r="GQ121" i="4"/>
  <c r="GR121" i="4"/>
  <c r="GS121" i="4"/>
  <c r="GT121" i="4"/>
  <c r="GU121" i="4"/>
  <c r="GV121" i="4"/>
  <c r="GW121" i="4"/>
  <c r="GX121" i="4"/>
  <c r="GY121" i="4"/>
  <c r="GZ121" i="4"/>
  <c r="HA121" i="4"/>
  <c r="HB121" i="4"/>
  <c r="HC121" i="4"/>
  <c r="HD121" i="4"/>
  <c r="HE121" i="4"/>
  <c r="HF121" i="4"/>
  <c r="HG121" i="4"/>
  <c r="BY121" i="4"/>
  <c r="EQ121" i="4"/>
  <c r="DX121" i="4"/>
  <c r="DY121" i="4"/>
  <c r="DZ121" i="4"/>
  <c r="EA121" i="4"/>
  <c r="EB121" i="4"/>
  <c r="EC121" i="4"/>
  <c r="ED121" i="4"/>
  <c r="EE121" i="4"/>
  <c r="EF121" i="4"/>
  <c r="EG121" i="4"/>
  <c r="EH121" i="4"/>
  <c r="EI121" i="4"/>
  <c r="EJ121" i="4"/>
  <c r="EK121" i="4"/>
  <c r="EL121" i="4"/>
  <c r="EM121" i="4"/>
  <c r="EN121" i="4"/>
  <c r="EO121" i="4"/>
  <c r="GP120" i="4"/>
  <c r="GQ120" i="4"/>
  <c r="GR120" i="4"/>
  <c r="GS120" i="4"/>
  <c r="GT120" i="4"/>
  <c r="GU120" i="4"/>
  <c r="GV120" i="4"/>
  <c r="GW120" i="4"/>
  <c r="GX120" i="4"/>
  <c r="GY120" i="4"/>
  <c r="GZ120" i="4"/>
  <c r="HA120" i="4"/>
  <c r="HB120" i="4"/>
  <c r="HC120" i="4"/>
  <c r="HD120" i="4"/>
  <c r="HE120" i="4"/>
  <c r="HF120" i="4"/>
  <c r="HG120" i="4"/>
  <c r="BY120" i="4"/>
  <c r="EQ120" i="4"/>
  <c r="DX120" i="4"/>
  <c r="DY120" i="4"/>
  <c r="DZ120" i="4"/>
  <c r="EA120" i="4"/>
  <c r="EB120" i="4"/>
  <c r="EC120" i="4"/>
  <c r="ED120" i="4"/>
  <c r="EE120" i="4"/>
  <c r="EF120" i="4"/>
  <c r="EG120" i="4"/>
  <c r="EH120" i="4"/>
  <c r="EI120" i="4"/>
  <c r="EJ120" i="4"/>
  <c r="EK120" i="4"/>
  <c r="EL120" i="4"/>
  <c r="EM120" i="4"/>
  <c r="EN120" i="4"/>
  <c r="EO120" i="4"/>
  <c r="GP97" i="4"/>
  <c r="GQ97" i="4"/>
  <c r="GR97" i="4"/>
  <c r="GS97" i="4"/>
  <c r="GT97" i="4"/>
  <c r="GU97" i="4"/>
  <c r="GV97" i="4"/>
  <c r="GW97" i="4"/>
  <c r="GX97" i="4"/>
  <c r="GY97" i="4"/>
  <c r="GZ97" i="4"/>
  <c r="HA97" i="4"/>
  <c r="HB97" i="4"/>
  <c r="HC97" i="4"/>
  <c r="HD97" i="4"/>
  <c r="HE97" i="4"/>
  <c r="HF97" i="4"/>
  <c r="HG97" i="4"/>
  <c r="BY97" i="4"/>
  <c r="EQ97" i="4"/>
  <c r="DX97" i="4"/>
  <c r="DY97" i="4"/>
  <c r="DZ97" i="4"/>
  <c r="EA97" i="4"/>
  <c r="EB97" i="4"/>
  <c r="EC97" i="4"/>
  <c r="ED97" i="4"/>
  <c r="EE97" i="4"/>
  <c r="EF97" i="4"/>
  <c r="EG97" i="4"/>
  <c r="EH97" i="4"/>
  <c r="EI97" i="4"/>
  <c r="EJ97" i="4"/>
  <c r="EK97" i="4"/>
  <c r="EL97" i="4"/>
  <c r="EM97" i="4"/>
  <c r="EN97" i="4"/>
  <c r="EO97" i="4"/>
  <c r="GP96" i="4"/>
  <c r="GQ96" i="4"/>
  <c r="GR96" i="4"/>
  <c r="GS96" i="4"/>
  <c r="GT96" i="4"/>
  <c r="GU96" i="4"/>
  <c r="GV96" i="4"/>
  <c r="GW96" i="4"/>
  <c r="GX96" i="4"/>
  <c r="GY96" i="4"/>
  <c r="GZ96" i="4"/>
  <c r="HA96" i="4"/>
  <c r="HB96" i="4"/>
  <c r="HC96" i="4"/>
  <c r="HD96" i="4"/>
  <c r="HE96" i="4"/>
  <c r="HF96" i="4"/>
  <c r="HG96" i="4"/>
  <c r="BY96" i="4"/>
  <c r="EQ96" i="4"/>
  <c r="DX96" i="4"/>
  <c r="DY96" i="4"/>
  <c r="DZ96" i="4"/>
  <c r="EA96" i="4"/>
  <c r="EB96" i="4"/>
  <c r="EC96" i="4"/>
  <c r="ED96" i="4"/>
  <c r="EE96" i="4"/>
  <c r="EF96" i="4"/>
  <c r="EG96" i="4"/>
  <c r="EH96" i="4"/>
  <c r="EI96" i="4"/>
  <c r="EJ96" i="4"/>
  <c r="EK96" i="4"/>
  <c r="EL96" i="4"/>
  <c r="EM96" i="4"/>
  <c r="EN96" i="4"/>
  <c r="EO96" i="4"/>
  <c r="GP68" i="4"/>
  <c r="GQ68" i="4"/>
  <c r="GR68" i="4"/>
  <c r="GS68" i="4"/>
  <c r="GT68" i="4"/>
  <c r="GU68" i="4"/>
  <c r="GV68" i="4"/>
  <c r="GW68" i="4"/>
  <c r="GX68" i="4"/>
  <c r="GY68" i="4"/>
  <c r="GZ68" i="4"/>
  <c r="HA68" i="4"/>
  <c r="HB68" i="4"/>
  <c r="HC68" i="4"/>
  <c r="HD68" i="4"/>
  <c r="HE68" i="4"/>
  <c r="HF68" i="4"/>
  <c r="HG68" i="4"/>
  <c r="BY68" i="4"/>
  <c r="EQ68" i="4"/>
  <c r="DX68" i="4"/>
  <c r="DY68" i="4"/>
  <c r="DZ68" i="4"/>
  <c r="EA68" i="4"/>
  <c r="EB68" i="4"/>
  <c r="EC68" i="4"/>
  <c r="ED68" i="4"/>
  <c r="EE68" i="4"/>
  <c r="EF68" i="4"/>
  <c r="EG68" i="4"/>
  <c r="EH68" i="4"/>
  <c r="EI68" i="4"/>
  <c r="EJ68" i="4"/>
  <c r="EK68" i="4"/>
  <c r="EL68" i="4"/>
  <c r="EM68" i="4"/>
  <c r="EN68" i="4"/>
  <c r="EO68" i="4"/>
  <c r="GP67" i="4"/>
  <c r="GQ67" i="4"/>
  <c r="GR67" i="4"/>
  <c r="GS67" i="4"/>
  <c r="GT67" i="4"/>
  <c r="GU67" i="4"/>
  <c r="GV67" i="4"/>
  <c r="GW67" i="4"/>
  <c r="GX67" i="4"/>
  <c r="GY67" i="4"/>
  <c r="GZ67" i="4"/>
  <c r="HA67" i="4"/>
  <c r="HB67" i="4"/>
  <c r="HC67" i="4"/>
  <c r="HD67" i="4"/>
  <c r="HE67" i="4"/>
  <c r="HF67" i="4"/>
  <c r="HG67" i="4"/>
  <c r="BY67" i="4"/>
  <c r="EQ67" i="4"/>
  <c r="DX67" i="4"/>
  <c r="DY67" i="4"/>
  <c r="DZ67" i="4"/>
  <c r="EA67" i="4"/>
  <c r="EB67" i="4"/>
  <c r="EC67" i="4"/>
  <c r="ED67" i="4"/>
  <c r="EE67" i="4"/>
  <c r="EF67" i="4"/>
  <c r="EG67" i="4"/>
  <c r="EH67" i="4"/>
  <c r="EI67" i="4"/>
  <c r="EJ67" i="4"/>
  <c r="EK67" i="4"/>
  <c r="EL67" i="4"/>
  <c r="EM67" i="4"/>
  <c r="EN67" i="4"/>
  <c r="EO67" i="4"/>
  <c r="GP62" i="4"/>
  <c r="GQ62" i="4"/>
  <c r="GR62" i="4"/>
  <c r="GS62" i="4"/>
  <c r="GT62" i="4"/>
  <c r="GU62" i="4"/>
  <c r="GV62" i="4"/>
  <c r="GW62" i="4"/>
  <c r="GX62" i="4"/>
  <c r="GY62" i="4"/>
  <c r="GZ62" i="4"/>
  <c r="HA62" i="4"/>
  <c r="HB62" i="4"/>
  <c r="HC62" i="4"/>
  <c r="HD62" i="4"/>
  <c r="HE62" i="4"/>
  <c r="HF62" i="4"/>
  <c r="HG62" i="4"/>
  <c r="BY62" i="4"/>
  <c r="EQ62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EK62" i="4"/>
  <c r="EL62" i="4"/>
  <c r="EM62" i="4"/>
  <c r="EN62" i="4"/>
  <c r="EO62" i="4"/>
  <c r="GP61" i="4"/>
  <c r="GQ61" i="4"/>
  <c r="GR61" i="4"/>
  <c r="GS61" i="4"/>
  <c r="GT61" i="4"/>
  <c r="GU61" i="4"/>
  <c r="GV61" i="4"/>
  <c r="GW61" i="4"/>
  <c r="GX61" i="4"/>
  <c r="GY61" i="4"/>
  <c r="GZ61" i="4"/>
  <c r="HA61" i="4"/>
  <c r="HB61" i="4"/>
  <c r="HC61" i="4"/>
  <c r="HD61" i="4"/>
  <c r="HE61" i="4"/>
  <c r="HF61" i="4"/>
  <c r="HG61" i="4"/>
  <c r="BY61" i="4"/>
  <c r="EQ61" i="4"/>
  <c r="DX61" i="4"/>
  <c r="DY61" i="4"/>
  <c r="DZ61" i="4"/>
  <c r="EA61" i="4"/>
  <c r="EB61" i="4"/>
  <c r="EC61" i="4"/>
  <c r="ED61" i="4"/>
  <c r="EE61" i="4"/>
  <c r="EF61" i="4"/>
  <c r="EG61" i="4"/>
  <c r="EH61" i="4"/>
  <c r="EI61" i="4"/>
  <c r="EJ61" i="4"/>
  <c r="EK61" i="4"/>
  <c r="EL61" i="4"/>
  <c r="EM61" i="4"/>
  <c r="EN61" i="4"/>
  <c r="EO61" i="4"/>
  <c r="D161" i="4"/>
  <c r="D154" i="4"/>
  <c r="D31" i="4" s="1"/>
  <c r="E31" i="4" s="1"/>
  <c r="H31" i="4" s="1"/>
  <c r="I31" i="4" s="1"/>
  <c r="D146" i="4"/>
  <c r="D30" i="4" s="1"/>
  <c r="E30" i="4" s="1"/>
  <c r="H30" i="4" s="1"/>
  <c r="D133" i="4"/>
  <c r="D29" i="4" s="1"/>
  <c r="E29" i="4" s="1"/>
  <c r="H29" i="4" s="1"/>
  <c r="D119" i="4"/>
  <c r="D28" i="4" s="1"/>
  <c r="E28" i="4" s="1"/>
  <c r="H28" i="4" s="1"/>
  <c r="D95" i="4"/>
  <c r="D27" i="4" s="1"/>
  <c r="E27" i="4" s="1"/>
  <c r="H27" i="4" s="1"/>
  <c r="I27" i="4" s="1"/>
  <c r="D66" i="4"/>
  <c r="D60" i="4"/>
  <c r="D25" i="4" s="1"/>
  <c r="D24" i="4"/>
  <c r="D26" i="4"/>
  <c r="E26" i="4" s="1"/>
  <c r="H26" i="4" s="1"/>
  <c r="D32" i="4"/>
  <c r="D7" i="4"/>
  <c r="GQ161" i="4"/>
  <c r="GR161" i="4"/>
  <c r="GS161" i="4"/>
  <c r="GT161" i="4"/>
  <c r="GU161" i="4"/>
  <c r="GV161" i="4"/>
  <c r="GW161" i="4"/>
  <c r="GX161" i="4"/>
  <c r="GY161" i="4"/>
  <c r="GZ161" i="4"/>
  <c r="HA161" i="4"/>
  <c r="HB161" i="4"/>
  <c r="HC161" i="4"/>
  <c r="HD161" i="4"/>
  <c r="HE161" i="4"/>
  <c r="HF161" i="4"/>
  <c r="HG161" i="4"/>
  <c r="HH161" i="4"/>
  <c r="H161" i="4"/>
  <c r="DY161" i="4"/>
  <c r="DZ161" i="4"/>
  <c r="EA161" i="4"/>
  <c r="EB161" i="4"/>
  <c r="EC161" i="4"/>
  <c r="ED161" i="4"/>
  <c r="EE161" i="4"/>
  <c r="EF161" i="4"/>
  <c r="EG161" i="4"/>
  <c r="EH161" i="4"/>
  <c r="EI161" i="4"/>
  <c r="EJ161" i="4"/>
  <c r="EK161" i="4"/>
  <c r="EL161" i="4"/>
  <c r="EM161" i="4"/>
  <c r="EN161" i="4"/>
  <c r="EO161" i="4"/>
  <c r="EP161" i="4"/>
  <c r="BG161" i="4"/>
  <c r="BH161" i="4"/>
  <c r="BI161" i="4"/>
  <c r="BJ161" i="4"/>
  <c r="BK161" i="4"/>
  <c r="BL161" i="4"/>
  <c r="BM161" i="4"/>
  <c r="BN161" i="4"/>
  <c r="BO161" i="4"/>
  <c r="BP161" i="4"/>
  <c r="BQ161" i="4"/>
  <c r="BR161" i="4"/>
  <c r="BS161" i="4"/>
  <c r="BT161" i="4"/>
  <c r="BU161" i="4"/>
  <c r="BV161" i="4"/>
  <c r="BW161" i="4"/>
  <c r="BX161" i="4"/>
  <c r="GQ160" i="4"/>
  <c r="GR160" i="4"/>
  <c r="GS160" i="4"/>
  <c r="GT160" i="4"/>
  <c r="GU160" i="4"/>
  <c r="GV160" i="4"/>
  <c r="GW160" i="4"/>
  <c r="GX160" i="4"/>
  <c r="GY160" i="4"/>
  <c r="GZ160" i="4"/>
  <c r="HA160" i="4"/>
  <c r="HB160" i="4"/>
  <c r="HC160" i="4"/>
  <c r="HD160" i="4"/>
  <c r="HE160" i="4"/>
  <c r="HF160" i="4"/>
  <c r="HG160" i="4"/>
  <c r="HH160" i="4"/>
  <c r="H160" i="4"/>
  <c r="BZ160" i="4" s="1"/>
  <c r="DY160" i="4"/>
  <c r="DZ160" i="4"/>
  <c r="EA160" i="4"/>
  <c r="EB160" i="4"/>
  <c r="EC160" i="4"/>
  <c r="ED160" i="4"/>
  <c r="EE160" i="4"/>
  <c r="EF160" i="4"/>
  <c r="EG160" i="4"/>
  <c r="EH160" i="4"/>
  <c r="EI160" i="4"/>
  <c r="EJ160" i="4"/>
  <c r="EK160" i="4"/>
  <c r="EL160" i="4"/>
  <c r="EM160" i="4"/>
  <c r="EN160" i="4"/>
  <c r="EO160" i="4"/>
  <c r="EP160" i="4"/>
  <c r="BG160" i="4"/>
  <c r="BH160" i="4"/>
  <c r="BI160" i="4"/>
  <c r="BJ160" i="4"/>
  <c r="BK160" i="4"/>
  <c r="BL160" i="4"/>
  <c r="BM160" i="4"/>
  <c r="BN160" i="4"/>
  <c r="BO160" i="4"/>
  <c r="BP160" i="4"/>
  <c r="BQ160" i="4"/>
  <c r="BR160" i="4"/>
  <c r="BS160" i="4"/>
  <c r="BT160" i="4"/>
  <c r="BU160" i="4"/>
  <c r="BV160" i="4"/>
  <c r="BW160" i="4"/>
  <c r="BX160" i="4"/>
  <c r="I160" i="4"/>
  <c r="GQ159" i="4"/>
  <c r="GR159" i="4"/>
  <c r="GS159" i="4"/>
  <c r="GT159" i="4"/>
  <c r="GU159" i="4"/>
  <c r="GV159" i="4"/>
  <c r="GW159" i="4"/>
  <c r="GX159" i="4"/>
  <c r="GY159" i="4"/>
  <c r="GZ159" i="4"/>
  <c r="HA159" i="4"/>
  <c r="HB159" i="4"/>
  <c r="HC159" i="4"/>
  <c r="HD159" i="4"/>
  <c r="HE159" i="4"/>
  <c r="HF159" i="4"/>
  <c r="HG159" i="4"/>
  <c r="HH159" i="4"/>
  <c r="H159" i="4"/>
  <c r="BZ159" i="4" s="1"/>
  <c r="DY159" i="4"/>
  <c r="DZ159" i="4"/>
  <c r="EA159" i="4"/>
  <c r="EB159" i="4"/>
  <c r="EC159" i="4"/>
  <c r="ED159" i="4"/>
  <c r="EE159" i="4"/>
  <c r="EF159" i="4"/>
  <c r="EG159" i="4"/>
  <c r="EH159" i="4"/>
  <c r="EI159" i="4"/>
  <c r="EJ159" i="4"/>
  <c r="EK159" i="4"/>
  <c r="EL159" i="4"/>
  <c r="EM159" i="4"/>
  <c r="EN159" i="4"/>
  <c r="EO159" i="4"/>
  <c r="EP159" i="4"/>
  <c r="BG159" i="4"/>
  <c r="BH159" i="4"/>
  <c r="BI159" i="4"/>
  <c r="BJ159" i="4"/>
  <c r="BK159" i="4"/>
  <c r="BL159" i="4"/>
  <c r="BM159" i="4"/>
  <c r="BN159" i="4"/>
  <c r="BO159" i="4"/>
  <c r="BP159" i="4"/>
  <c r="BQ159" i="4"/>
  <c r="BR159" i="4"/>
  <c r="BS159" i="4"/>
  <c r="BT159" i="4"/>
  <c r="BU159" i="4"/>
  <c r="BV159" i="4"/>
  <c r="BW159" i="4"/>
  <c r="BX159" i="4"/>
  <c r="I159" i="4"/>
  <c r="AW159" i="4" s="1"/>
  <c r="AX159" i="4" s="1"/>
  <c r="AY159" i="4"/>
  <c r="AZ159" i="4" s="1"/>
  <c r="AU159" i="4"/>
  <c r="AV159" i="4" s="1"/>
  <c r="AS159" i="4"/>
  <c r="AT159" i="4" s="1"/>
  <c r="AQ159" i="4"/>
  <c r="AR159" i="4" s="1"/>
  <c r="AO159" i="4"/>
  <c r="AP159" i="4" s="1"/>
  <c r="AM159" i="4"/>
  <c r="AN159" i="4" s="1"/>
  <c r="AK159" i="4"/>
  <c r="AL159" i="4" s="1"/>
  <c r="AI159" i="4"/>
  <c r="AJ159" i="4" s="1"/>
  <c r="AG159" i="4"/>
  <c r="AH159" i="4" s="1"/>
  <c r="AE159" i="4"/>
  <c r="AF159" i="4" s="1"/>
  <c r="AC159" i="4"/>
  <c r="AD159" i="4" s="1"/>
  <c r="AA159" i="4"/>
  <c r="AB159" i="4" s="1"/>
  <c r="Y159" i="4"/>
  <c r="Z159" i="4" s="1"/>
  <c r="W159" i="4"/>
  <c r="X159" i="4" s="1"/>
  <c r="U159" i="4"/>
  <c r="V159" i="4" s="1"/>
  <c r="S159" i="4"/>
  <c r="T159" i="4" s="1"/>
  <c r="Q159" i="4"/>
  <c r="R159" i="4" s="1"/>
  <c r="O159" i="4"/>
  <c r="P159" i="4" s="1"/>
  <c r="M159" i="4"/>
  <c r="N159" i="4" s="1"/>
  <c r="K159" i="4"/>
  <c r="L159" i="4" s="1"/>
  <c r="J159" i="4"/>
  <c r="GQ158" i="4"/>
  <c r="GR158" i="4"/>
  <c r="GS158" i="4"/>
  <c r="GT158" i="4"/>
  <c r="GU158" i="4"/>
  <c r="GV158" i="4"/>
  <c r="GW158" i="4"/>
  <c r="GX158" i="4"/>
  <c r="GY158" i="4"/>
  <c r="GZ158" i="4"/>
  <c r="HA158" i="4"/>
  <c r="HB158" i="4"/>
  <c r="HC158" i="4"/>
  <c r="HD158" i="4"/>
  <c r="HE158" i="4"/>
  <c r="HF158" i="4"/>
  <c r="HG158" i="4"/>
  <c r="HH158" i="4"/>
  <c r="H158" i="4"/>
  <c r="BZ158" i="4"/>
  <c r="ER158" i="4" s="1"/>
  <c r="ES158" i="4"/>
  <c r="DY158" i="4"/>
  <c r="DZ158" i="4"/>
  <c r="EA158" i="4"/>
  <c r="EB158" i="4"/>
  <c r="EC158" i="4"/>
  <c r="ED158" i="4"/>
  <c r="EE158" i="4"/>
  <c r="EF158" i="4"/>
  <c r="EG158" i="4"/>
  <c r="EH158" i="4"/>
  <c r="EI158" i="4"/>
  <c r="EJ158" i="4"/>
  <c r="EK158" i="4"/>
  <c r="EL158" i="4"/>
  <c r="EM158" i="4"/>
  <c r="EN158" i="4"/>
  <c r="EO158" i="4"/>
  <c r="EP158" i="4"/>
  <c r="BG158" i="4"/>
  <c r="BH158" i="4"/>
  <c r="BI158" i="4"/>
  <c r="BJ158" i="4"/>
  <c r="BK158" i="4"/>
  <c r="BL158" i="4"/>
  <c r="BM158" i="4"/>
  <c r="BN158" i="4"/>
  <c r="BO158" i="4"/>
  <c r="BP158" i="4"/>
  <c r="BQ158" i="4"/>
  <c r="BR158" i="4"/>
  <c r="BS158" i="4"/>
  <c r="BT158" i="4"/>
  <c r="BU158" i="4"/>
  <c r="BV158" i="4"/>
  <c r="BW158" i="4"/>
  <c r="BX158" i="4"/>
  <c r="I158" i="4"/>
  <c r="AO158" i="4" s="1"/>
  <c r="AP158" i="4" s="1"/>
  <c r="Y158" i="4"/>
  <c r="Z158" i="4" s="1"/>
  <c r="J158" i="4"/>
  <c r="GQ157" i="4"/>
  <c r="GR157" i="4"/>
  <c r="GS157" i="4"/>
  <c r="GT157" i="4"/>
  <c r="GU157" i="4"/>
  <c r="GV157" i="4"/>
  <c r="GW157" i="4"/>
  <c r="GX157" i="4"/>
  <c r="GY157" i="4"/>
  <c r="GZ157" i="4"/>
  <c r="HA157" i="4"/>
  <c r="HB157" i="4"/>
  <c r="HC157" i="4"/>
  <c r="HD157" i="4"/>
  <c r="HE157" i="4"/>
  <c r="HF157" i="4"/>
  <c r="HG157" i="4"/>
  <c r="HH157" i="4"/>
  <c r="H157" i="4"/>
  <c r="BZ157" i="4"/>
  <c r="DY157" i="4"/>
  <c r="DZ157" i="4"/>
  <c r="EA157" i="4"/>
  <c r="EB157" i="4"/>
  <c r="EC157" i="4"/>
  <c r="ED157" i="4"/>
  <c r="EE157" i="4"/>
  <c r="EF157" i="4"/>
  <c r="EG157" i="4"/>
  <c r="EH157" i="4"/>
  <c r="EI157" i="4"/>
  <c r="EJ157" i="4"/>
  <c r="EK157" i="4"/>
  <c r="EL157" i="4"/>
  <c r="EM157" i="4"/>
  <c r="EN157" i="4"/>
  <c r="EO157" i="4"/>
  <c r="EP157" i="4"/>
  <c r="BG157" i="4"/>
  <c r="BH157" i="4"/>
  <c r="BI157" i="4"/>
  <c r="BJ157" i="4"/>
  <c r="BK157" i="4"/>
  <c r="BL157" i="4"/>
  <c r="BM157" i="4"/>
  <c r="BN157" i="4"/>
  <c r="BO157" i="4"/>
  <c r="BP157" i="4"/>
  <c r="BQ157" i="4"/>
  <c r="BR157" i="4"/>
  <c r="BS157" i="4"/>
  <c r="BT157" i="4"/>
  <c r="BU157" i="4"/>
  <c r="BV157" i="4"/>
  <c r="BW157" i="4"/>
  <c r="BX157" i="4"/>
  <c r="I157" i="4"/>
  <c r="AY157" i="4" s="1"/>
  <c r="AZ157" i="4"/>
  <c r="GQ154" i="4"/>
  <c r="GR154" i="4"/>
  <c r="GS154" i="4"/>
  <c r="GT154" i="4"/>
  <c r="GU154" i="4"/>
  <c r="GV154" i="4"/>
  <c r="GW154" i="4"/>
  <c r="GX154" i="4"/>
  <c r="GY154" i="4"/>
  <c r="GZ154" i="4"/>
  <c r="HA154" i="4"/>
  <c r="HB154" i="4"/>
  <c r="HC154" i="4"/>
  <c r="HD154" i="4"/>
  <c r="HE154" i="4"/>
  <c r="HF154" i="4"/>
  <c r="HG154" i="4"/>
  <c r="HH154" i="4"/>
  <c r="H154" i="4"/>
  <c r="DY154" i="4"/>
  <c r="DZ154" i="4"/>
  <c r="EA154" i="4"/>
  <c r="EB154" i="4"/>
  <c r="EC154" i="4"/>
  <c r="ED154" i="4"/>
  <c r="EE154" i="4"/>
  <c r="EF154" i="4"/>
  <c r="EG154" i="4"/>
  <c r="EH154" i="4"/>
  <c r="EI154" i="4"/>
  <c r="EJ154" i="4"/>
  <c r="EK154" i="4"/>
  <c r="EL154" i="4"/>
  <c r="EM154" i="4"/>
  <c r="EN154" i="4"/>
  <c r="EO154" i="4"/>
  <c r="EP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BT154" i="4"/>
  <c r="BU154" i="4"/>
  <c r="BV154" i="4"/>
  <c r="BW154" i="4"/>
  <c r="BX154" i="4"/>
  <c r="GQ153" i="4"/>
  <c r="GR153" i="4"/>
  <c r="GS153" i="4"/>
  <c r="GT153" i="4"/>
  <c r="GU153" i="4"/>
  <c r="GV153" i="4"/>
  <c r="GW153" i="4"/>
  <c r="GX153" i="4"/>
  <c r="GY153" i="4"/>
  <c r="GZ153" i="4"/>
  <c r="HA153" i="4"/>
  <c r="HB153" i="4"/>
  <c r="HC153" i="4"/>
  <c r="HD153" i="4"/>
  <c r="HE153" i="4"/>
  <c r="HF153" i="4"/>
  <c r="HG153" i="4"/>
  <c r="HH153" i="4"/>
  <c r="H153" i="4"/>
  <c r="BZ153" i="4"/>
  <c r="ER153" i="4" s="1"/>
  <c r="ES153" i="4" s="1"/>
  <c r="DY153" i="4"/>
  <c r="DZ153" i="4"/>
  <c r="EA153" i="4"/>
  <c r="EB153" i="4"/>
  <c r="EC153" i="4"/>
  <c r="ED153" i="4"/>
  <c r="EE153" i="4"/>
  <c r="EF153" i="4"/>
  <c r="EG153" i="4"/>
  <c r="EH153" i="4"/>
  <c r="EI153" i="4"/>
  <c r="EJ153" i="4"/>
  <c r="EK153" i="4"/>
  <c r="EL153" i="4"/>
  <c r="EM153" i="4"/>
  <c r="EN153" i="4"/>
  <c r="EO153" i="4"/>
  <c r="EP153" i="4"/>
  <c r="CA153" i="4"/>
  <c r="DA153" i="4" s="1"/>
  <c r="DB153" i="4" s="1"/>
  <c r="CO153" i="4"/>
  <c r="CP153" i="4" s="1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BT153" i="4"/>
  <c r="BU153" i="4"/>
  <c r="BV153" i="4"/>
  <c r="BW153" i="4"/>
  <c r="BX153" i="4"/>
  <c r="I153" i="4"/>
  <c r="AW153" i="4" s="1"/>
  <c r="AX153" i="4" s="1"/>
  <c r="AS153" i="4"/>
  <c r="AT153" i="4" s="1"/>
  <c r="AO153" i="4"/>
  <c r="AP153" i="4" s="1"/>
  <c r="AC153" i="4"/>
  <c r="AD153" i="4" s="1"/>
  <c r="Y153" i="4"/>
  <c r="Z153" i="4" s="1"/>
  <c r="M153" i="4"/>
  <c r="N153" i="4" s="1"/>
  <c r="J153" i="4"/>
  <c r="GQ152" i="4"/>
  <c r="GR152" i="4"/>
  <c r="GS152" i="4"/>
  <c r="GT152" i="4"/>
  <c r="GU152" i="4"/>
  <c r="GV152" i="4"/>
  <c r="GW152" i="4"/>
  <c r="GX152" i="4"/>
  <c r="GY152" i="4"/>
  <c r="GZ152" i="4"/>
  <c r="HA152" i="4"/>
  <c r="HB152" i="4"/>
  <c r="HC152" i="4"/>
  <c r="HD152" i="4"/>
  <c r="HE152" i="4"/>
  <c r="HF152" i="4"/>
  <c r="HG152" i="4"/>
  <c r="HH152" i="4"/>
  <c r="H152" i="4"/>
  <c r="I152" i="4" s="1"/>
  <c r="AW152" i="4" s="1"/>
  <c r="AX152" i="4" s="1"/>
  <c r="BZ152" i="4"/>
  <c r="ER152" i="4" s="1"/>
  <c r="ES152" i="4" s="1"/>
  <c r="DY152" i="4"/>
  <c r="DZ152" i="4"/>
  <c r="EA152" i="4"/>
  <c r="EB152" i="4"/>
  <c r="EC152" i="4"/>
  <c r="ED152" i="4"/>
  <c r="EE152" i="4"/>
  <c r="EF152" i="4"/>
  <c r="EG152" i="4"/>
  <c r="EH152" i="4"/>
  <c r="EI152" i="4"/>
  <c r="EJ152" i="4"/>
  <c r="EK152" i="4"/>
  <c r="EL152" i="4"/>
  <c r="EM152" i="4"/>
  <c r="EN152" i="4"/>
  <c r="EO152" i="4"/>
  <c r="EP152" i="4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BX152" i="4"/>
  <c r="AY152" i="4"/>
  <c r="AZ152" i="4"/>
  <c r="AU152" i="4"/>
  <c r="AV152" i="4"/>
  <c r="AS152" i="4"/>
  <c r="AT152" i="4" s="1"/>
  <c r="AO152" i="4"/>
  <c r="AP152" i="4" s="1"/>
  <c r="AM152" i="4"/>
  <c r="AN152" i="4" s="1"/>
  <c r="AK152" i="4"/>
  <c r="AL152" i="4" s="1"/>
  <c r="AI152" i="4"/>
  <c r="AJ152" i="4"/>
  <c r="AE152" i="4"/>
  <c r="AF152" i="4"/>
  <c r="AC152" i="4"/>
  <c r="AD152" i="4" s="1"/>
  <c r="Y152" i="4"/>
  <c r="Z152" i="4" s="1"/>
  <c r="W152" i="4"/>
  <c r="X152" i="4" s="1"/>
  <c r="U152" i="4"/>
  <c r="V152" i="4" s="1"/>
  <c r="S152" i="4"/>
  <c r="T152" i="4"/>
  <c r="O152" i="4"/>
  <c r="P152" i="4"/>
  <c r="M152" i="4"/>
  <c r="N152" i="4" s="1"/>
  <c r="J152" i="4"/>
  <c r="GQ151" i="4"/>
  <c r="GR151" i="4"/>
  <c r="GS151" i="4"/>
  <c r="GT151" i="4"/>
  <c r="GU151" i="4"/>
  <c r="GV151" i="4"/>
  <c r="GW151" i="4"/>
  <c r="GX151" i="4"/>
  <c r="GY151" i="4"/>
  <c r="GZ151" i="4"/>
  <c r="HA151" i="4"/>
  <c r="HB151" i="4"/>
  <c r="HC151" i="4"/>
  <c r="HD151" i="4"/>
  <c r="HE151" i="4"/>
  <c r="HF151" i="4"/>
  <c r="HG151" i="4"/>
  <c r="HH151" i="4"/>
  <c r="H151" i="4"/>
  <c r="BZ151" i="4" s="1"/>
  <c r="DY151" i="4"/>
  <c r="DZ151" i="4"/>
  <c r="EA151" i="4"/>
  <c r="EB151" i="4"/>
  <c r="EC151" i="4"/>
  <c r="ED151" i="4"/>
  <c r="EE151" i="4"/>
  <c r="EF151" i="4"/>
  <c r="EG151" i="4"/>
  <c r="EH151" i="4"/>
  <c r="EI151" i="4"/>
  <c r="EJ151" i="4"/>
  <c r="EK151" i="4"/>
  <c r="EL151" i="4"/>
  <c r="EM151" i="4"/>
  <c r="EN151" i="4"/>
  <c r="EO151" i="4"/>
  <c r="EP151" i="4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BU151" i="4"/>
  <c r="BV151" i="4"/>
  <c r="BW151" i="4"/>
  <c r="BX151" i="4"/>
  <c r="GQ150" i="4"/>
  <c r="GR150" i="4"/>
  <c r="GS150" i="4"/>
  <c r="GT150" i="4"/>
  <c r="GU150" i="4"/>
  <c r="GV150" i="4"/>
  <c r="GW150" i="4"/>
  <c r="GX150" i="4"/>
  <c r="GY150" i="4"/>
  <c r="GZ150" i="4"/>
  <c r="HA150" i="4"/>
  <c r="HB150" i="4"/>
  <c r="HC150" i="4"/>
  <c r="HD150" i="4"/>
  <c r="HE150" i="4"/>
  <c r="HF150" i="4"/>
  <c r="HG150" i="4"/>
  <c r="HH150" i="4"/>
  <c r="H150" i="4"/>
  <c r="BZ150" i="4"/>
  <c r="ER150" i="4"/>
  <c r="ES150" i="4"/>
  <c r="FY150" i="4" s="1"/>
  <c r="FZ150" i="4" s="1"/>
  <c r="DY150" i="4"/>
  <c r="DZ150" i="4"/>
  <c r="EA150" i="4"/>
  <c r="EB150" i="4"/>
  <c r="EC150" i="4"/>
  <c r="ED150" i="4"/>
  <c r="EE150" i="4"/>
  <c r="EF150" i="4"/>
  <c r="EG150" i="4"/>
  <c r="EH150" i="4"/>
  <c r="EI150" i="4"/>
  <c r="EJ150" i="4"/>
  <c r="EK150" i="4"/>
  <c r="EL150" i="4"/>
  <c r="EM150" i="4"/>
  <c r="EN150" i="4"/>
  <c r="EO150" i="4"/>
  <c r="EP150" i="4"/>
  <c r="CA150" i="4"/>
  <c r="DE150" i="4" s="1"/>
  <c r="DF150" i="4" s="1"/>
  <c r="DQ150" i="4"/>
  <c r="DR150" i="4" s="1"/>
  <c r="DM150" i="4"/>
  <c r="DN150" i="4"/>
  <c r="DA150" i="4"/>
  <c r="DB150" i="4" s="1"/>
  <c r="CW150" i="4"/>
  <c r="CX150" i="4"/>
  <c r="CK150" i="4"/>
  <c r="CL150" i="4" s="1"/>
  <c r="CG150" i="4"/>
  <c r="CH150" i="4"/>
  <c r="BG150" i="4"/>
  <c r="BH150" i="4"/>
  <c r="BI150" i="4"/>
  <c r="BJ150" i="4"/>
  <c r="BK150" i="4"/>
  <c r="BL150" i="4"/>
  <c r="BM150" i="4"/>
  <c r="BN150" i="4"/>
  <c r="BO150" i="4"/>
  <c r="BP150" i="4"/>
  <c r="BQ150" i="4"/>
  <c r="BR150" i="4"/>
  <c r="BS150" i="4"/>
  <c r="BT150" i="4"/>
  <c r="BU150" i="4"/>
  <c r="BV150" i="4"/>
  <c r="BW150" i="4"/>
  <c r="BX150" i="4"/>
  <c r="I150" i="4"/>
  <c r="AK150" i="4" s="1"/>
  <c r="AL150" i="4" s="1"/>
  <c r="AW150" i="4"/>
  <c r="AX150" i="4" s="1"/>
  <c r="AS150" i="4"/>
  <c r="AT150" i="4"/>
  <c r="AO150" i="4"/>
  <c r="AP150" i="4" s="1"/>
  <c r="AG150" i="4"/>
  <c r="AH150" i="4" s="1"/>
  <c r="AC150" i="4"/>
  <c r="AD150" i="4" s="1"/>
  <c r="Y150" i="4"/>
  <c r="Z150" i="4"/>
  <c r="Q150" i="4"/>
  <c r="R150" i="4" s="1"/>
  <c r="M150" i="4"/>
  <c r="N150" i="4"/>
  <c r="J150" i="4"/>
  <c r="GQ149" i="4"/>
  <c r="GR149" i="4"/>
  <c r="GS149" i="4"/>
  <c r="GT149" i="4"/>
  <c r="GU149" i="4"/>
  <c r="GV149" i="4"/>
  <c r="GW149" i="4"/>
  <c r="GX149" i="4"/>
  <c r="GY149" i="4"/>
  <c r="GZ149" i="4"/>
  <c r="HA149" i="4"/>
  <c r="HB149" i="4"/>
  <c r="HC149" i="4"/>
  <c r="HD149" i="4"/>
  <c r="HE149" i="4"/>
  <c r="HF149" i="4"/>
  <c r="HG149" i="4"/>
  <c r="HH149" i="4"/>
  <c r="H149" i="4"/>
  <c r="I149" i="4" s="1"/>
  <c r="BZ149" i="4"/>
  <c r="ER149" i="4" s="1"/>
  <c r="ES149" i="4" s="1"/>
  <c r="DY149" i="4"/>
  <c r="DZ149" i="4"/>
  <c r="EA149" i="4"/>
  <c r="EB149" i="4"/>
  <c r="EC149" i="4"/>
  <c r="ED149" i="4"/>
  <c r="EE149" i="4"/>
  <c r="EF149" i="4"/>
  <c r="EG149" i="4"/>
  <c r="EH149" i="4"/>
  <c r="EI149" i="4"/>
  <c r="EJ149" i="4"/>
  <c r="EK149" i="4"/>
  <c r="EL149" i="4"/>
  <c r="EM149" i="4"/>
  <c r="EN149" i="4"/>
  <c r="EO149" i="4"/>
  <c r="EP149" i="4"/>
  <c r="BG149" i="4"/>
  <c r="BH149" i="4"/>
  <c r="BI149" i="4"/>
  <c r="BJ149" i="4"/>
  <c r="BK149" i="4"/>
  <c r="BL149" i="4"/>
  <c r="BM149" i="4"/>
  <c r="BN149" i="4"/>
  <c r="BO149" i="4"/>
  <c r="BP149" i="4"/>
  <c r="BQ149" i="4"/>
  <c r="BR149" i="4"/>
  <c r="BS149" i="4"/>
  <c r="BT149" i="4"/>
  <c r="BU149" i="4"/>
  <c r="BV149" i="4"/>
  <c r="BW149" i="4"/>
  <c r="BX149" i="4"/>
  <c r="AY149" i="4"/>
  <c r="AZ149" i="4"/>
  <c r="AW149" i="4"/>
  <c r="AX149" i="4" s="1"/>
  <c r="AU149" i="4"/>
  <c r="AV149" i="4" s="1"/>
  <c r="AS149" i="4"/>
  <c r="AT149" i="4" s="1"/>
  <c r="AQ149" i="4"/>
  <c r="AR149" i="4" s="1"/>
  <c r="AO149" i="4"/>
  <c r="AP149" i="4" s="1"/>
  <c r="AM149" i="4"/>
  <c r="AN149" i="4"/>
  <c r="AK149" i="4"/>
  <c r="AL149" i="4" s="1"/>
  <c r="AI149" i="4"/>
  <c r="AJ149" i="4" s="1"/>
  <c r="AG149" i="4"/>
  <c r="AH149" i="4" s="1"/>
  <c r="AE149" i="4"/>
  <c r="AF149" i="4"/>
  <c r="AC149" i="4"/>
  <c r="AD149" i="4" s="1"/>
  <c r="AA149" i="4"/>
  <c r="AB149" i="4" s="1"/>
  <c r="Y149" i="4"/>
  <c r="Z149" i="4" s="1"/>
  <c r="W149" i="4"/>
  <c r="X149" i="4" s="1"/>
  <c r="U149" i="4"/>
  <c r="V149" i="4" s="1"/>
  <c r="S149" i="4"/>
  <c r="T149" i="4"/>
  <c r="Q149" i="4"/>
  <c r="R149" i="4" s="1"/>
  <c r="O149" i="4"/>
  <c r="P149" i="4" s="1"/>
  <c r="M149" i="4"/>
  <c r="N149" i="4" s="1"/>
  <c r="K149" i="4"/>
  <c r="L149" i="4" s="1"/>
  <c r="J149" i="4"/>
  <c r="GQ146" i="4"/>
  <c r="GR146" i="4"/>
  <c r="GS146" i="4"/>
  <c r="GT146" i="4"/>
  <c r="GU146" i="4"/>
  <c r="GV146" i="4"/>
  <c r="GW146" i="4"/>
  <c r="GX146" i="4"/>
  <c r="GY146" i="4"/>
  <c r="GZ146" i="4"/>
  <c r="HA146" i="4"/>
  <c r="HB146" i="4"/>
  <c r="HC146" i="4"/>
  <c r="HD146" i="4"/>
  <c r="HE146" i="4"/>
  <c r="HF146" i="4"/>
  <c r="HG146" i="4"/>
  <c r="HH146" i="4"/>
  <c r="H146" i="4"/>
  <c r="BZ146" i="4" s="1"/>
  <c r="ER146" i="4" s="1"/>
  <c r="ES146" i="4" s="1"/>
  <c r="DY146" i="4"/>
  <c r="DZ146" i="4"/>
  <c r="EA146" i="4"/>
  <c r="EB146" i="4"/>
  <c r="EC146" i="4"/>
  <c r="ED146" i="4"/>
  <c r="EE146" i="4"/>
  <c r="EF146" i="4"/>
  <c r="EG146" i="4"/>
  <c r="EH146" i="4"/>
  <c r="EI146" i="4"/>
  <c r="EJ146" i="4"/>
  <c r="EK146" i="4"/>
  <c r="EL146" i="4"/>
  <c r="EM146" i="4"/>
  <c r="EN146" i="4"/>
  <c r="EO146" i="4"/>
  <c r="EP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BV146" i="4"/>
  <c r="BW146" i="4"/>
  <c r="BX146" i="4"/>
  <c r="I146" i="4"/>
  <c r="AW146" i="4" s="1"/>
  <c r="AX146" i="4" s="1"/>
  <c r="GQ145" i="4"/>
  <c r="GR145" i="4"/>
  <c r="GS145" i="4"/>
  <c r="GT145" i="4"/>
  <c r="GU145" i="4"/>
  <c r="GV145" i="4"/>
  <c r="GW145" i="4"/>
  <c r="GX145" i="4"/>
  <c r="GY145" i="4"/>
  <c r="GZ145" i="4"/>
  <c r="HA145" i="4"/>
  <c r="HB145" i="4"/>
  <c r="HC145" i="4"/>
  <c r="HD145" i="4"/>
  <c r="HE145" i="4"/>
  <c r="HF145" i="4"/>
  <c r="HG145" i="4"/>
  <c r="HH145" i="4"/>
  <c r="H145" i="4"/>
  <c r="BZ145" i="4"/>
  <c r="ER145" i="4"/>
  <c r="ES145" i="4"/>
  <c r="DY145" i="4"/>
  <c r="DZ145" i="4"/>
  <c r="EA145" i="4"/>
  <c r="EB145" i="4"/>
  <c r="EC145" i="4"/>
  <c r="ED145" i="4"/>
  <c r="EE145" i="4"/>
  <c r="EF145" i="4"/>
  <c r="EG145" i="4"/>
  <c r="EH145" i="4"/>
  <c r="EI145" i="4"/>
  <c r="EJ145" i="4"/>
  <c r="EK145" i="4"/>
  <c r="EL145" i="4"/>
  <c r="EM145" i="4"/>
  <c r="EN145" i="4"/>
  <c r="EO145" i="4"/>
  <c r="EP145" i="4"/>
  <c r="CA145" i="4"/>
  <c r="DO145" i="4" s="1"/>
  <c r="DP145" i="4" s="1"/>
  <c r="DQ145" i="4"/>
  <c r="DR145" i="4"/>
  <c r="DM145" i="4"/>
  <c r="DN145" i="4"/>
  <c r="DI145" i="4"/>
  <c r="DJ145" i="4"/>
  <c r="DE145" i="4"/>
  <c r="DF145" i="4"/>
  <c r="DA145" i="4"/>
  <c r="DB145" i="4"/>
  <c r="CW145" i="4"/>
  <c r="CX145" i="4"/>
  <c r="CS145" i="4"/>
  <c r="CT145" i="4"/>
  <c r="CO145" i="4"/>
  <c r="CP145" i="4"/>
  <c r="CK145" i="4"/>
  <c r="CL145" i="4"/>
  <c r="CG145" i="4"/>
  <c r="CH145" i="4"/>
  <c r="CC145" i="4"/>
  <c r="CD145" i="4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X145" i="4"/>
  <c r="I145" i="4"/>
  <c r="GQ144" i="4"/>
  <c r="GR144" i="4"/>
  <c r="GS144" i="4"/>
  <c r="GT144" i="4"/>
  <c r="GU144" i="4"/>
  <c r="GV144" i="4"/>
  <c r="GW144" i="4"/>
  <c r="GX144" i="4"/>
  <c r="GY144" i="4"/>
  <c r="GZ144" i="4"/>
  <c r="HA144" i="4"/>
  <c r="HB144" i="4"/>
  <c r="HC144" i="4"/>
  <c r="HD144" i="4"/>
  <c r="HE144" i="4"/>
  <c r="HF144" i="4"/>
  <c r="HG144" i="4"/>
  <c r="HH144" i="4"/>
  <c r="H144" i="4"/>
  <c r="I144" i="4" s="1"/>
  <c r="U144" i="4" s="1"/>
  <c r="V144" i="4" s="1"/>
  <c r="BZ144" i="4"/>
  <c r="ER144" i="4" s="1"/>
  <c r="ES144" i="4" s="1"/>
  <c r="DY144" i="4"/>
  <c r="DZ144" i="4"/>
  <c r="EA144" i="4"/>
  <c r="EB144" i="4"/>
  <c r="EC144" i="4"/>
  <c r="ED144" i="4"/>
  <c r="EE144" i="4"/>
  <c r="EF144" i="4"/>
  <c r="EG144" i="4"/>
  <c r="EH144" i="4"/>
  <c r="EI144" i="4"/>
  <c r="EJ144" i="4"/>
  <c r="EK144" i="4"/>
  <c r="EL144" i="4"/>
  <c r="EM144" i="4"/>
  <c r="EN144" i="4"/>
  <c r="EO144" i="4"/>
  <c r="EP144" i="4"/>
  <c r="CA144" i="4"/>
  <c r="DO144" i="4" s="1"/>
  <c r="DP144" i="4" s="1"/>
  <c r="CO144" i="4"/>
  <c r="CP144" i="4" s="1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BU144" i="4"/>
  <c r="BV144" i="4"/>
  <c r="BW144" i="4"/>
  <c r="BX144" i="4"/>
  <c r="AS144" i="4"/>
  <c r="AT144" i="4" s="1"/>
  <c r="AK144" i="4"/>
  <c r="AL144" i="4" s="1"/>
  <c r="AC144" i="4"/>
  <c r="AD144" i="4" s="1"/>
  <c r="M144" i="4"/>
  <c r="N144" i="4" s="1"/>
  <c r="GQ143" i="4"/>
  <c r="GR143" i="4"/>
  <c r="GS143" i="4"/>
  <c r="GT143" i="4"/>
  <c r="GU143" i="4"/>
  <c r="GV143" i="4"/>
  <c r="GW143" i="4"/>
  <c r="GX143" i="4"/>
  <c r="GY143" i="4"/>
  <c r="GZ143" i="4"/>
  <c r="HA143" i="4"/>
  <c r="HB143" i="4"/>
  <c r="HC143" i="4"/>
  <c r="HD143" i="4"/>
  <c r="HE143" i="4"/>
  <c r="HF143" i="4"/>
  <c r="HG143" i="4"/>
  <c r="HH143" i="4"/>
  <c r="H143" i="4"/>
  <c r="BZ143" i="4" s="1"/>
  <c r="ER143" i="4" s="1"/>
  <c r="ES143" i="4" s="1"/>
  <c r="DY143" i="4"/>
  <c r="DZ143" i="4"/>
  <c r="EA143" i="4"/>
  <c r="EB143" i="4"/>
  <c r="EC143" i="4"/>
  <c r="ED143" i="4"/>
  <c r="EE143" i="4"/>
  <c r="EF143" i="4"/>
  <c r="EG143" i="4"/>
  <c r="EH143" i="4"/>
  <c r="EI143" i="4"/>
  <c r="EJ143" i="4"/>
  <c r="EK143" i="4"/>
  <c r="EL143" i="4"/>
  <c r="EM143" i="4"/>
  <c r="EN143" i="4"/>
  <c r="EO143" i="4"/>
  <c r="EP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BX143" i="4"/>
  <c r="I143" i="4"/>
  <c r="AE143" i="4" s="1"/>
  <c r="AF143" i="4" s="1"/>
  <c r="GQ142" i="4"/>
  <c r="GR142" i="4"/>
  <c r="GS142" i="4"/>
  <c r="GT142" i="4"/>
  <c r="GU142" i="4"/>
  <c r="GV142" i="4"/>
  <c r="GW142" i="4"/>
  <c r="GX142" i="4"/>
  <c r="GY142" i="4"/>
  <c r="GZ142" i="4"/>
  <c r="HA142" i="4"/>
  <c r="HB142" i="4"/>
  <c r="HC142" i="4"/>
  <c r="HD142" i="4"/>
  <c r="HE142" i="4"/>
  <c r="HF142" i="4"/>
  <c r="HG142" i="4"/>
  <c r="HH142" i="4"/>
  <c r="H142" i="4"/>
  <c r="BZ142" i="4" s="1"/>
  <c r="CA142" i="4" s="1"/>
  <c r="DK142" i="4" s="1"/>
  <c r="DL142" i="4" s="1"/>
  <c r="DY142" i="4"/>
  <c r="DZ142" i="4"/>
  <c r="EA142" i="4"/>
  <c r="EB142" i="4"/>
  <c r="EC142" i="4"/>
  <c r="ED142" i="4"/>
  <c r="EE142" i="4"/>
  <c r="EF142" i="4"/>
  <c r="EG142" i="4"/>
  <c r="EH142" i="4"/>
  <c r="EI142" i="4"/>
  <c r="EJ142" i="4"/>
  <c r="EK142" i="4"/>
  <c r="EL142" i="4"/>
  <c r="EM142" i="4"/>
  <c r="EN142" i="4"/>
  <c r="EO142" i="4"/>
  <c r="EP142" i="4"/>
  <c r="DQ142" i="4"/>
  <c r="DR142" i="4" s="1"/>
  <c r="DO142" i="4"/>
  <c r="DP142" i="4" s="1"/>
  <c r="DM142" i="4"/>
  <c r="DN142" i="4" s="1"/>
  <c r="DI142" i="4"/>
  <c r="DJ142" i="4"/>
  <c r="DG142" i="4"/>
  <c r="DH142" i="4" s="1"/>
  <c r="DC142" i="4"/>
  <c r="DD142" i="4" s="1"/>
  <c r="DA142" i="4"/>
  <c r="DB142" i="4" s="1"/>
  <c r="CY142" i="4"/>
  <c r="CZ142" i="4" s="1"/>
  <c r="CW142" i="4"/>
  <c r="CX142" i="4" s="1"/>
  <c r="CS142" i="4"/>
  <c r="CT142" i="4"/>
  <c r="CQ142" i="4"/>
  <c r="CR142" i="4" s="1"/>
  <c r="CM142" i="4"/>
  <c r="CN142" i="4" s="1"/>
  <c r="CK142" i="4"/>
  <c r="CL142" i="4" s="1"/>
  <c r="CI142" i="4"/>
  <c r="CJ142" i="4" s="1"/>
  <c r="CG142" i="4"/>
  <c r="CH142" i="4" s="1"/>
  <c r="CC142" i="4"/>
  <c r="CD142" i="4"/>
  <c r="CB142" i="4"/>
  <c r="BG142" i="4"/>
  <c r="BH142" i="4"/>
  <c r="BI142" i="4"/>
  <c r="BJ142" i="4"/>
  <c r="BK142" i="4"/>
  <c r="BL142" i="4"/>
  <c r="BM142" i="4"/>
  <c r="BN142" i="4"/>
  <c r="BO142" i="4"/>
  <c r="BP142" i="4"/>
  <c r="BQ142" i="4"/>
  <c r="BR142" i="4"/>
  <c r="BS142" i="4"/>
  <c r="BT142" i="4"/>
  <c r="BU142" i="4"/>
  <c r="BV142" i="4"/>
  <c r="BW142" i="4"/>
  <c r="BX142" i="4"/>
  <c r="I142" i="4"/>
  <c r="AQ142" i="4" s="1"/>
  <c r="AR142" i="4" s="1"/>
  <c r="AY142" i="4"/>
  <c r="AZ142" i="4" s="1"/>
  <c r="AO142" i="4"/>
  <c r="AP142" i="4"/>
  <c r="AC142" i="4"/>
  <c r="AD142" i="4" s="1"/>
  <c r="Y142" i="4"/>
  <c r="Z142" i="4" s="1"/>
  <c r="S142" i="4"/>
  <c r="T142" i="4" s="1"/>
  <c r="O142" i="4"/>
  <c r="P142" i="4" s="1"/>
  <c r="M142" i="4"/>
  <c r="N142" i="4" s="1"/>
  <c r="J142" i="4"/>
  <c r="GQ141" i="4"/>
  <c r="GR141" i="4"/>
  <c r="GS141" i="4"/>
  <c r="GT141" i="4"/>
  <c r="GU141" i="4"/>
  <c r="GV141" i="4"/>
  <c r="GW141" i="4"/>
  <c r="GX141" i="4"/>
  <c r="GY141" i="4"/>
  <c r="GZ141" i="4"/>
  <c r="HA141" i="4"/>
  <c r="HB141" i="4"/>
  <c r="HC141" i="4"/>
  <c r="HD141" i="4"/>
  <c r="HE141" i="4"/>
  <c r="HF141" i="4"/>
  <c r="HG141" i="4"/>
  <c r="HH141" i="4"/>
  <c r="H141" i="4"/>
  <c r="BZ141" i="4" s="1"/>
  <c r="DY141" i="4"/>
  <c r="DZ141" i="4"/>
  <c r="EA141" i="4"/>
  <c r="EB141" i="4"/>
  <c r="EC141" i="4"/>
  <c r="ED141" i="4"/>
  <c r="EE141" i="4"/>
  <c r="EF141" i="4"/>
  <c r="EG141" i="4"/>
  <c r="EH141" i="4"/>
  <c r="EI141" i="4"/>
  <c r="EJ141" i="4"/>
  <c r="EK141" i="4"/>
  <c r="EL141" i="4"/>
  <c r="EM141" i="4"/>
  <c r="EN141" i="4"/>
  <c r="EO141" i="4"/>
  <c r="EP141" i="4"/>
  <c r="BG141" i="4"/>
  <c r="BH141" i="4"/>
  <c r="BI141" i="4"/>
  <c r="BJ141" i="4"/>
  <c r="BK141" i="4"/>
  <c r="BL141" i="4"/>
  <c r="BM141" i="4"/>
  <c r="BN141" i="4"/>
  <c r="BO141" i="4"/>
  <c r="BP141" i="4"/>
  <c r="BQ141" i="4"/>
  <c r="BR141" i="4"/>
  <c r="BS141" i="4"/>
  <c r="BT141" i="4"/>
  <c r="BU141" i="4"/>
  <c r="BV141" i="4"/>
  <c r="BW141" i="4"/>
  <c r="BX141" i="4"/>
  <c r="I141" i="4"/>
  <c r="GQ140" i="4"/>
  <c r="GR140" i="4"/>
  <c r="GS140" i="4"/>
  <c r="GT140" i="4"/>
  <c r="GU140" i="4"/>
  <c r="GV140" i="4"/>
  <c r="GW140" i="4"/>
  <c r="GX140" i="4"/>
  <c r="GY140" i="4"/>
  <c r="GZ140" i="4"/>
  <c r="HA140" i="4"/>
  <c r="HB140" i="4"/>
  <c r="HC140" i="4"/>
  <c r="HD140" i="4"/>
  <c r="HE140" i="4"/>
  <c r="HF140" i="4"/>
  <c r="HG140" i="4"/>
  <c r="HH140" i="4"/>
  <c r="H140" i="4"/>
  <c r="I140" i="4" s="1"/>
  <c r="AS140" i="4" s="1"/>
  <c r="AT140" i="4" s="1"/>
  <c r="DY140" i="4"/>
  <c r="DZ140" i="4"/>
  <c r="EA140" i="4"/>
  <c r="EB140" i="4"/>
  <c r="EC140" i="4"/>
  <c r="ED140" i="4"/>
  <c r="EE140" i="4"/>
  <c r="EF140" i="4"/>
  <c r="EG140" i="4"/>
  <c r="EH140" i="4"/>
  <c r="EI140" i="4"/>
  <c r="EJ140" i="4"/>
  <c r="EK140" i="4"/>
  <c r="EL140" i="4"/>
  <c r="EM140" i="4"/>
  <c r="EN140" i="4"/>
  <c r="EO140" i="4"/>
  <c r="EP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BX140" i="4"/>
  <c r="AW140" i="4"/>
  <c r="AX140" i="4" s="1"/>
  <c r="AG140" i="4"/>
  <c r="AH140" i="4" s="1"/>
  <c r="Q140" i="4"/>
  <c r="R140" i="4" s="1"/>
  <c r="GQ139" i="4"/>
  <c r="GR139" i="4"/>
  <c r="GS139" i="4"/>
  <c r="GT139" i="4"/>
  <c r="GU139" i="4"/>
  <c r="GV139" i="4"/>
  <c r="GW139" i="4"/>
  <c r="GX139" i="4"/>
  <c r="GY139" i="4"/>
  <c r="GZ139" i="4"/>
  <c r="HA139" i="4"/>
  <c r="HB139" i="4"/>
  <c r="HC139" i="4"/>
  <c r="HD139" i="4"/>
  <c r="HE139" i="4"/>
  <c r="HF139" i="4"/>
  <c r="HG139" i="4"/>
  <c r="HH139" i="4"/>
  <c r="H139" i="4"/>
  <c r="I139" i="4" s="1"/>
  <c r="BZ139" i="4"/>
  <c r="ER139" i="4" s="1"/>
  <c r="ES139" i="4" s="1"/>
  <c r="DY139" i="4"/>
  <c r="DZ139" i="4"/>
  <c r="EA139" i="4"/>
  <c r="EB139" i="4"/>
  <c r="EC139" i="4"/>
  <c r="ED139" i="4"/>
  <c r="EE139" i="4"/>
  <c r="EF139" i="4"/>
  <c r="EG139" i="4"/>
  <c r="EH139" i="4"/>
  <c r="EI139" i="4"/>
  <c r="EJ139" i="4"/>
  <c r="EK139" i="4"/>
  <c r="EL139" i="4"/>
  <c r="EM139" i="4"/>
  <c r="EN139" i="4"/>
  <c r="EO139" i="4"/>
  <c r="EP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BV139" i="4"/>
  <c r="BW139" i="4"/>
  <c r="BX139" i="4"/>
  <c r="GQ138" i="4"/>
  <c r="GR138" i="4"/>
  <c r="GS138" i="4"/>
  <c r="GT138" i="4"/>
  <c r="GU138" i="4"/>
  <c r="GV138" i="4"/>
  <c r="GW138" i="4"/>
  <c r="GX138" i="4"/>
  <c r="GY138" i="4"/>
  <c r="GZ138" i="4"/>
  <c r="HA138" i="4"/>
  <c r="HB138" i="4"/>
  <c r="HC138" i="4"/>
  <c r="HD138" i="4"/>
  <c r="HE138" i="4"/>
  <c r="HF138" i="4"/>
  <c r="HG138" i="4"/>
  <c r="HH138" i="4"/>
  <c r="H138" i="4"/>
  <c r="DY138" i="4"/>
  <c r="DZ138" i="4"/>
  <c r="EA138" i="4"/>
  <c r="EB138" i="4"/>
  <c r="EC138" i="4"/>
  <c r="ED138" i="4"/>
  <c r="EE138" i="4"/>
  <c r="EF138" i="4"/>
  <c r="EG138" i="4"/>
  <c r="EH138" i="4"/>
  <c r="EI138" i="4"/>
  <c r="EJ138" i="4"/>
  <c r="EK138" i="4"/>
  <c r="EL138" i="4"/>
  <c r="EM138" i="4"/>
  <c r="EN138" i="4"/>
  <c r="EO138" i="4"/>
  <c r="EP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BV138" i="4"/>
  <c r="BW138" i="4"/>
  <c r="BX138" i="4"/>
  <c r="GQ137" i="4"/>
  <c r="GR137" i="4"/>
  <c r="GS137" i="4"/>
  <c r="GT137" i="4"/>
  <c r="GU137" i="4"/>
  <c r="GV137" i="4"/>
  <c r="GW137" i="4"/>
  <c r="GX137" i="4"/>
  <c r="GY137" i="4"/>
  <c r="GZ137" i="4"/>
  <c r="HA137" i="4"/>
  <c r="HB137" i="4"/>
  <c r="HC137" i="4"/>
  <c r="HD137" i="4"/>
  <c r="HE137" i="4"/>
  <c r="HF137" i="4"/>
  <c r="HG137" i="4"/>
  <c r="HH137" i="4"/>
  <c r="H137" i="4"/>
  <c r="BZ137" i="4" s="1"/>
  <c r="DY137" i="4"/>
  <c r="DZ137" i="4"/>
  <c r="EA137" i="4"/>
  <c r="EB137" i="4"/>
  <c r="EC137" i="4"/>
  <c r="ED137" i="4"/>
  <c r="EE137" i="4"/>
  <c r="EF137" i="4"/>
  <c r="EG137" i="4"/>
  <c r="EH137" i="4"/>
  <c r="EI137" i="4"/>
  <c r="EJ137" i="4"/>
  <c r="EK137" i="4"/>
  <c r="EL137" i="4"/>
  <c r="EM137" i="4"/>
  <c r="EN137" i="4"/>
  <c r="EO137" i="4"/>
  <c r="EP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X137" i="4"/>
  <c r="GQ136" i="4"/>
  <c r="GR136" i="4"/>
  <c r="GS136" i="4"/>
  <c r="GT136" i="4"/>
  <c r="GU136" i="4"/>
  <c r="GV136" i="4"/>
  <c r="GW136" i="4"/>
  <c r="GX136" i="4"/>
  <c r="GY136" i="4"/>
  <c r="GZ136" i="4"/>
  <c r="HA136" i="4"/>
  <c r="HB136" i="4"/>
  <c r="HC136" i="4"/>
  <c r="HD136" i="4"/>
  <c r="HE136" i="4"/>
  <c r="HF136" i="4"/>
  <c r="HG136" i="4"/>
  <c r="HH136" i="4"/>
  <c r="H136" i="4"/>
  <c r="I136" i="4" s="1"/>
  <c r="AY136" i="4" s="1"/>
  <c r="AZ136" i="4" s="1"/>
  <c r="BZ136" i="4"/>
  <c r="ER136" i="4"/>
  <c r="ES136" i="4" s="1"/>
  <c r="GI136" i="4" s="1"/>
  <c r="GJ136" i="4" s="1"/>
  <c r="GG136" i="4"/>
  <c r="GH136" i="4" s="1"/>
  <c r="GA136" i="4"/>
  <c r="GB136" i="4" s="1"/>
  <c r="FY136" i="4"/>
  <c r="FZ136" i="4" s="1"/>
  <c r="FS136" i="4"/>
  <c r="FT136" i="4" s="1"/>
  <c r="FQ136" i="4"/>
  <c r="FR136" i="4" s="1"/>
  <c r="FK136" i="4"/>
  <c r="FL136" i="4" s="1"/>
  <c r="FI136" i="4"/>
  <c r="FJ136" i="4" s="1"/>
  <c r="FG136" i="4"/>
  <c r="FH136" i="4"/>
  <c r="FC136" i="4"/>
  <c r="FD136" i="4" s="1"/>
  <c r="FA136" i="4"/>
  <c r="FB136" i="4" s="1"/>
  <c r="EW136" i="4"/>
  <c r="EX136" i="4" s="1"/>
  <c r="EU136" i="4"/>
  <c r="EV136" i="4" s="1"/>
  <c r="ET136" i="4"/>
  <c r="DY136" i="4"/>
  <c r="DZ136" i="4"/>
  <c r="EA136" i="4"/>
  <c r="EB136" i="4"/>
  <c r="EC136" i="4"/>
  <c r="ED136" i="4"/>
  <c r="EE136" i="4"/>
  <c r="EF136" i="4"/>
  <c r="EG136" i="4"/>
  <c r="EH136" i="4"/>
  <c r="EI136" i="4"/>
  <c r="EJ136" i="4"/>
  <c r="EK136" i="4"/>
  <c r="EL136" i="4"/>
  <c r="EM136" i="4"/>
  <c r="EN136" i="4"/>
  <c r="EO136" i="4"/>
  <c r="EP136" i="4"/>
  <c r="CA136" i="4"/>
  <c r="DQ136" i="4"/>
  <c r="DR136" i="4" s="1"/>
  <c r="DO136" i="4"/>
  <c r="DP136" i="4"/>
  <c r="DM136" i="4"/>
  <c r="DN136" i="4" s="1"/>
  <c r="DK136" i="4"/>
  <c r="DL136" i="4" s="1"/>
  <c r="DI136" i="4"/>
  <c r="DJ136" i="4" s="1"/>
  <c r="DG136" i="4"/>
  <c r="DH136" i="4"/>
  <c r="DE136" i="4"/>
  <c r="DF136" i="4" s="1"/>
  <c r="DC136" i="4"/>
  <c r="DD136" i="4" s="1"/>
  <c r="DA136" i="4"/>
  <c r="DB136" i="4" s="1"/>
  <c r="CY136" i="4"/>
  <c r="CZ136" i="4"/>
  <c r="CW136" i="4"/>
  <c r="CX136" i="4" s="1"/>
  <c r="CU136" i="4"/>
  <c r="CV136" i="4" s="1"/>
  <c r="CS136" i="4"/>
  <c r="CT136" i="4" s="1"/>
  <c r="CQ136" i="4"/>
  <c r="CR136" i="4"/>
  <c r="CO136" i="4"/>
  <c r="CP136" i="4" s="1"/>
  <c r="CM136" i="4"/>
  <c r="CN136" i="4" s="1"/>
  <c r="CK136" i="4"/>
  <c r="CL136" i="4" s="1"/>
  <c r="CI136" i="4"/>
  <c r="CJ136" i="4"/>
  <c r="CG136" i="4"/>
  <c r="CH136" i="4" s="1"/>
  <c r="CE136" i="4"/>
  <c r="CF136" i="4" s="1"/>
  <c r="CC136" i="4"/>
  <c r="CD136" i="4" s="1"/>
  <c r="CB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X136" i="4"/>
  <c r="AO136" i="4"/>
  <c r="AP136" i="4" s="1"/>
  <c r="AI136" i="4"/>
  <c r="AJ136" i="4" s="1"/>
  <c r="Y136" i="4"/>
  <c r="Z136" i="4" s="1"/>
  <c r="S136" i="4"/>
  <c r="T136" i="4" s="1"/>
  <c r="GQ133" i="4"/>
  <c r="GR133" i="4"/>
  <c r="GS133" i="4"/>
  <c r="GT133" i="4"/>
  <c r="GU133" i="4"/>
  <c r="GV133" i="4"/>
  <c r="GW133" i="4"/>
  <c r="GX133" i="4"/>
  <c r="GY133" i="4"/>
  <c r="GZ133" i="4"/>
  <c r="HA133" i="4"/>
  <c r="HB133" i="4"/>
  <c r="HC133" i="4"/>
  <c r="HD133" i="4"/>
  <c r="HE133" i="4"/>
  <c r="HF133" i="4"/>
  <c r="HG133" i="4"/>
  <c r="HH133" i="4"/>
  <c r="H133" i="4"/>
  <c r="BZ133" i="4" s="1"/>
  <c r="DY133" i="4"/>
  <c r="DZ133" i="4"/>
  <c r="EA133" i="4"/>
  <c r="EB133" i="4"/>
  <c r="EC133" i="4"/>
  <c r="ED133" i="4"/>
  <c r="EE133" i="4"/>
  <c r="EF133" i="4"/>
  <c r="EG133" i="4"/>
  <c r="EH133" i="4"/>
  <c r="EI133" i="4"/>
  <c r="EJ133" i="4"/>
  <c r="EK133" i="4"/>
  <c r="EL133" i="4"/>
  <c r="EM133" i="4"/>
  <c r="EN133" i="4"/>
  <c r="EO133" i="4"/>
  <c r="EP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BX133" i="4"/>
  <c r="GQ132" i="4"/>
  <c r="GR132" i="4"/>
  <c r="GS132" i="4"/>
  <c r="GT132" i="4"/>
  <c r="GU132" i="4"/>
  <c r="GV132" i="4"/>
  <c r="GW132" i="4"/>
  <c r="GX132" i="4"/>
  <c r="GY132" i="4"/>
  <c r="GZ132" i="4"/>
  <c r="HA132" i="4"/>
  <c r="HB132" i="4"/>
  <c r="HC132" i="4"/>
  <c r="HD132" i="4"/>
  <c r="HE132" i="4"/>
  <c r="HF132" i="4"/>
  <c r="HG132" i="4"/>
  <c r="HH132" i="4"/>
  <c r="H132" i="4"/>
  <c r="BZ132" i="4" s="1"/>
  <c r="CA132" i="4" s="1"/>
  <c r="DO132" i="4" s="1"/>
  <c r="DP132" i="4" s="1"/>
  <c r="DY132" i="4"/>
  <c r="DZ132" i="4"/>
  <c r="EA132" i="4"/>
  <c r="EB132" i="4"/>
  <c r="EC132" i="4"/>
  <c r="ED132" i="4"/>
  <c r="EE132" i="4"/>
  <c r="EF132" i="4"/>
  <c r="EG132" i="4"/>
  <c r="EH132" i="4"/>
  <c r="EI132" i="4"/>
  <c r="EJ132" i="4"/>
  <c r="EK132" i="4"/>
  <c r="EL132" i="4"/>
  <c r="EM132" i="4"/>
  <c r="EN132" i="4"/>
  <c r="EO132" i="4"/>
  <c r="EP132" i="4"/>
  <c r="DM132" i="4"/>
  <c r="DN132" i="4" s="1"/>
  <c r="DE132" i="4"/>
  <c r="DF132" i="4" s="1"/>
  <c r="DC132" i="4"/>
  <c r="DD132" i="4" s="1"/>
  <c r="CW132" i="4"/>
  <c r="CX132" i="4" s="1"/>
  <c r="CU132" i="4"/>
  <c r="CV132" i="4" s="1"/>
  <c r="CQ132" i="4"/>
  <c r="CR132" i="4" s="1"/>
  <c r="CO132" i="4"/>
  <c r="CP132" i="4" s="1"/>
  <c r="CM132" i="4"/>
  <c r="CN132" i="4" s="1"/>
  <c r="CK132" i="4"/>
  <c r="CL132" i="4" s="1"/>
  <c r="CG132" i="4"/>
  <c r="CH132" i="4" s="1"/>
  <c r="CE132" i="4"/>
  <c r="CF132" i="4" s="1"/>
  <c r="CB132" i="4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BX132" i="4"/>
  <c r="I132" i="4"/>
  <c r="AY132" i="4" s="1"/>
  <c r="AZ132" i="4" s="1"/>
  <c r="AW132" i="4"/>
  <c r="AX132" i="4" s="1"/>
  <c r="AM132" i="4"/>
  <c r="AN132" i="4" s="1"/>
  <c r="AI132" i="4"/>
  <c r="AJ132" i="4" s="1"/>
  <c r="AC132" i="4"/>
  <c r="AD132" i="4"/>
  <c r="S132" i="4"/>
  <c r="T132" i="4" s="1"/>
  <c r="Q132" i="4"/>
  <c r="R132" i="4" s="1"/>
  <c r="J132" i="4"/>
  <c r="GQ131" i="4"/>
  <c r="GR131" i="4"/>
  <c r="GS131" i="4"/>
  <c r="GT131" i="4"/>
  <c r="GU131" i="4"/>
  <c r="GV131" i="4"/>
  <c r="GW131" i="4"/>
  <c r="GX131" i="4"/>
  <c r="GY131" i="4"/>
  <c r="GZ131" i="4"/>
  <c r="HA131" i="4"/>
  <c r="HB131" i="4"/>
  <c r="HC131" i="4"/>
  <c r="HD131" i="4"/>
  <c r="HE131" i="4"/>
  <c r="HF131" i="4"/>
  <c r="HG131" i="4"/>
  <c r="HH131" i="4"/>
  <c r="H131" i="4"/>
  <c r="BZ131" i="4" s="1"/>
  <c r="CA131" i="4" s="1"/>
  <c r="DQ131" i="4" s="1"/>
  <c r="DR131" i="4" s="1"/>
  <c r="ER131" i="4"/>
  <c r="ES131" i="4" s="1"/>
  <c r="GC131" i="4" s="1"/>
  <c r="GD131" i="4" s="1"/>
  <c r="GG131" i="4"/>
  <c r="GH131" i="4" s="1"/>
  <c r="FU131" i="4"/>
  <c r="FV131" i="4" s="1"/>
  <c r="FQ131" i="4"/>
  <c r="FR131" i="4" s="1"/>
  <c r="FE131" i="4"/>
  <c r="FF131" i="4" s="1"/>
  <c r="FA131" i="4"/>
  <c r="FB131" i="4" s="1"/>
  <c r="DY131" i="4"/>
  <c r="DZ131" i="4"/>
  <c r="EA131" i="4"/>
  <c r="EB131" i="4"/>
  <c r="EC131" i="4"/>
  <c r="ED131" i="4"/>
  <c r="EE131" i="4"/>
  <c r="EF131" i="4"/>
  <c r="EG131" i="4"/>
  <c r="EH131" i="4"/>
  <c r="EI131" i="4"/>
  <c r="EJ131" i="4"/>
  <c r="EK131" i="4"/>
  <c r="EL131" i="4"/>
  <c r="EM131" i="4"/>
  <c r="EN131" i="4"/>
  <c r="EO131" i="4"/>
  <c r="EP131" i="4"/>
  <c r="DM131" i="4"/>
  <c r="DN131" i="4" s="1"/>
  <c r="DI131" i="4"/>
  <c r="DJ131" i="4" s="1"/>
  <c r="DE131" i="4"/>
  <c r="DF131" i="4" s="1"/>
  <c r="CW131" i="4"/>
  <c r="CX131" i="4" s="1"/>
  <c r="CS131" i="4"/>
  <c r="CT131" i="4" s="1"/>
  <c r="CO131" i="4"/>
  <c r="CP131" i="4" s="1"/>
  <c r="CG131" i="4"/>
  <c r="CH131" i="4" s="1"/>
  <c r="CC131" i="4"/>
  <c r="CD131" i="4" s="1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BX131" i="4"/>
  <c r="GQ130" i="4"/>
  <c r="GR130" i="4"/>
  <c r="GS130" i="4"/>
  <c r="GT130" i="4"/>
  <c r="GU130" i="4"/>
  <c r="GV130" i="4"/>
  <c r="GW130" i="4"/>
  <c r="GX130" i="4"/>
  <c r="GY130" i="4"/>
  <c r="GZ130" i="4"/>
  <c r="HA130" i="4"/>
  <c r="HB130" i="4"/>
  <c r="HC130" i="4"/>
  <c r="HD130" i="4"/>
  <c r="HE130" i="4"/>
  <c r="HF130" i="4"/>
  <c r="HG130" i="4"/>
  <c r="HH130" i="4"/>
  <c r="H130" i="4"/>
  <c r="BZ130" i="4"/>
  <c r="DY130" i="4"/>
  <c r="DZ130" i="4"/>
  <c r="EA130" i="4"/>
  <c r="EB130" i="4"/>
  <c r="EC130" i="4"/>
  <c r="ED130" i="4"/>
  <c r="EE130" i="4"/>
  <c r="EF130" i="4"/>
  <c r="EG130" i="4"/>
  <c r="EH130" i="4"/>
  <c r="EI130" i="4"/>
  <c r="EJ130" i="4"/>
  <c r="EK130" i="4"/>
  <c r="EL130" i="4"/>
  <c r="EM130" i="4"/>
  <c r="EN130" i="4"/>
  <c r="EO130" i="4"/>
  <c r="EP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BX130" i="4"/>
  <c r="I130" i="4"/>
  <c r="AW130" i="4" s="1"/>
  <c r="AX130" i="4" s="1"/>
  <c r="AY130" i="4"/>
  <c r="AZ130" i="4" s="1"/>
  <c r="AU130" i="4"/>
  <c r="AV130" i="4"/>
  <c r="AQ130" i="4"/>
  <c r="AR130" i="4" s="1"/>
  <c r="AM130" i="4"/>
  <c r="AN130" i="4"/>
  <c r="AI130" i="4"/>
  <c r="AJ130" i="4" s="1"/>
  <c r="AE130" i="4"/>
  <c r="AF130" i="4"/>
  <c r="AA130" i="4"/>
  <c r="AB130" i="4" s="1"/>
  <c r="W130" i="4"/>
  <c r="X130" i="4"/>
  <c r="S130" i="4"/>
  <c r="T130" i="4" s="1"/>
  <c r="O130" i="4"/>
  <c r="P130" i="4"/>
  <c r="K130" i="4"/>
  <c r="L130" i="4" s="1"/>
  <c r="GQ129" i="4"/>
  <c r="GR129" i="4"/>
  <c r="GS129" i="4"/>
  <c r="GT129" i="4"/>
  <c r="GU129" i="4"/>
  <c r="GV129" i="4"/>
  <c r="GW129" i="4"/>
  <c r="GX129" i="4"/>
  <c r="GY129" i="4"/>
  <c r="GZ129" i="4"/>
  <c r="HA129" i="4"/>
  <c r="HB129" i="4"/>
  <c r="HC129" i="4"/>
  <c r="HD129" i="4"/>
  <c r="HE129" i="4"/>
  <c r="HF129" i="4"/>
  <c r="HG129" i="4"/>
  <c r="HH129" i="4"/>
  <c r="H129" i="4"/>
  <c r="DY129" i="4"/>
  <c r="DZ129" i="4"/>
  <c r="EA129" i="4"/>
  <c r="EB129" i="4"/>
  <c r="EC129" i="4"/>
  <c r="ED129" i="4"/>
  <c r="EE129" i="4"/>
  <c r="EF129" i="4"/>
  <c r="EG129" i="4"/>
  <c r="EH129" i="4"/>
  <c r="EI129" i="4"/>
  <c r="EJ129" i="4"/>
  <c r="EK129" i="4"/>
  <c r="EL129" i="4"/>
  <c r="EM129" i="4"/>
  <c r="EN129" i="4"/>
  <c r="EO129" i="4"/>
  <c r="EP129" i="4"/>
  <c r="BG129" i="4"/>
  <c r="BH129" i="4"/>
  <c r="BI129" i="4"/>
  <c r="BJ129" i="4"/>
  <c r="BK129" i="4"/>
  <c r="BL129" i="4"/>
  <c r="BM129" i="4"/>
  <c r="BN129" i="4"/>
  <c r="BO129" i="4"/>
  <c r="BP129" i="4"/>
  <c r="BQ129" i="4"/>
  <c r="BR129" i="4"/>
  <c r="BS129" i="4"/>
  <c r="BT129" i="4"/>
  <c r="BU129" i="4"/>
  <c r="BV129" i="4"/>
  <c r="BW129" i="4"/>
  <c r="BX129" i="4"/>
  <c r="GQ128" i="4"/>
  <c r="GR128" i="4"/>
  <c r="GS128" i="4"/>
  <c r="GT128" i="4"/>
  <c r="GU128" i="4"/>
  <c r="GV128" i="4"/>
  <c r="GW128" i="4"/>
  <c r="GX128" i="4"/>
  <c r="GY128" i="4"/>
  <c r="GZ128" i="4"/>
  <c r="HA128" i="4"/>
  <c r="HB128" i="4"/>
  <c r="HC128" i="4"/>
  <c r="HD128" i="4"/>
  <c r="HE128" i="4"/>
  <c r="HF128" i="4"/>
  <c r="HG128" i="4"/>
  <c r="HH128" i="4"/>
  <c r="H128" i="4"/>
  <c r="BZ128" i="4" s="1"/>
  <c r="DY128" i="4"/>
  <c r="DZ128" i="4"/>
  <c r="EA128" i="4"/>
  <c r="EB128" i="4"/>
  <c r="EC128" i="4"/>
  <c r="ED128" i="4"/>
  <c r="EE128" i="4"/>
  <c r="EF128" i="4"/>
  <c r="EG128" i="4"/>
  <c r="EH128" i="4"/>
  <c r="EI128" i="4"/>
  <c r="EJ128" i="4"/>
  <c r="EK128" i="4"/>
  <c r="EL128" i="4"/>
  <c r="EM128" i="4"/>
  <c r="EN128" i="4"/>
  <c r="EO128" i="4"/>
  <c r="EP128" i="4"/>
  <c r="BG128" i="4"/>
  <c r="BH128" i="4"/>
  <c r="BI128" i="4"/>
  <c r="BJ128" i="4"/>
  <c r="BK128" i="4"/>
  <c r="BL128" i="4"/>
  <c r="BM128" i="4"/>
  <c r="BN128" i="4"/>
  <c r="BO128" i="4"/>
  <c r="BP128" i="4"/>
  <c r="BQ128" i="4"/>
  <c r="BR128" i="4"/>
  <c r="BS128" i="4"/>
  <c r="BT128" i="4"/>
  <c r="BU128" i="4"/>
  <c r="BV128" i="4"/>
  <c r="BW128" i="4"/>
  <c r="BX128" i="4"/>
  <c r="GQ127" i="4"/>
  <c r="GR127" i="4"/>
  <c r="GS127" i="4"/>
  <c r="GT127" i="4"/>
  <c r="GU127" i="4"/>
  <c r="GV127" i="4"/>
  <c r="GW127" i="4"/>
  <c r="GX127" i="4"/>
  <c r="GY127" i="4"/>
  <c r="GZ127" i="4"/>
  <c r="HA127" i="4"/>
  <c r="HB127" i="4"/>
  <c r="HC127" i="4"/>
  <c r="HD127" i="4"/>
  <c r="HE127" i="4"/>
  <c r="HF127" i="4"/>
  <c r="HG127" i="4"/>
  <c r="HH127" i="4"/>
  <c r="H127" i="4"/>
  <c r="I127" i="4" s="1"/>
  <c r="BZ127" i="4"/>
  <c r="ER127" i="4"/>
  <c r="ES127" i="4" s="1"/>
  <c r="GG127" i="4" s="1"/>
  <c r="GH127" i="4" s="1"/>
  <c r="GI127" i="4"/>
  <c r="GJ127" i="4" s="1"/>
  <c r="GE127" i="4"/>
  <c r="GF127" i="4"/>
  <c r="FY127" i="4"/>
  <c r="FZ127" i="4" s="1"/>
  <c r="FU127" i="4"/>
  <c r="FV127" i="4" s="1"/>
  <c r="FS127" i="4"/>
  <c r="FT127" i="4" s="1"/>
  <c r="FO127" i="4"/>
  <c r="FP127" i="4"/>
  <c r="FI127" i="4"/>
  <c r="FJ127" i="4" s="1"/>
  <c r="FE127" i="4"/>
  <c r="FF127" i="4" s="1"/>
  <c r="FC127" i="4"/>
  <c r="FD127" i="4" s="1"/>
  <c r="EY127" i="4"/>
  <c r="EZ127" i="4"/>
  <c r="ET127" i="4"/>
  <c r="DY127" i="4"/>
  <c r="DZ127" i="4"/>
  <c r="EA127" i="4"/>
  <c r="EB127" i="4"/>
  <c r="EC127" i="4"/>
  <c r="ED127" i="4"/>
  <c r="EE127" i="4"/>
  <c r="EF127" i="4"/>
  <c r="EG127" i="4"/>
  <c r="EH127" i="4"/>
  <c r="EI127" i="4"/>
  <c r="EJ127" i="4"/>
  <c r="EK127" i="4"/>
  <c r="EL127" i="4"/>
  <c r="EM127" i="4"/>
  <c r="EN127" i="4"/>
  <c r="EO127" i="4"/>
  <c r="EP127" i="4"/>
  <c r="CA127" i="4"/>
  <c r="DI127" i="4" s="1"/>
  <c r="DJ127" i="4" s="1"/>
  <c r="DQ127" i="4"/>
  <c r="DR127" i="4" s="1"/>
  <c r="DM127" i="4"/>
  <c r="DN127" i="4" s="1"/>
  <c r="DK127" i="4"/>
  <c r="DL127" i="4" s="1"/>
  <c r="DG127" i="4"/>
  <c r="DH127" i="4"/>
  <c r="DA127" i="4"/>
  <c r="DB127" i="4" s="1"/>
  <c r="CW127" i="4"/>
  <c r="CX127" i="4" s="1"/>
  <c r="CU127" i="4"/>
  <c r="CV127" i="4" s="1"/>
  <c r="CQ127" i="4"/>
  <c r="CR127" i="4"/>
  <c r="CK127" i="4"/>
  <c r="CL127" i="4" s="1"/>
  <c r="CG127" i="4"/>
  <c r="CH127" i="4" s="1"/>
  <c r="CE127" i="4"/>
  <c r="CF127" i="4" s="1"/>
  <c r="CB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X127" i="4"/>
  <c r="AY127" i="4"/>
  <c r="AZ127" i="4"/>
  <c r="AW127" i="4"/>
  <c r="AX127" i="4" s="1"/>
  <c r="AU127" i="4"/>
  <c r="AV127" i="4"/>
  <c r="AS127" i="4"/>
  <c r="AT127" i="4" s="1"/>
  <c r="AQ127" i="4"/>
  <c r="AR127" i="4" s="1"/>
  <c r="AO127" i="4"/>
  <c r="AP127" i="4" s="1"/>
  <c r="AM127" i="4"/>
  <c r="AN127" i="4"/>
  <c r="AK127" i="4"/>
  <c r="AL127" i="4" s="1"/>
  <c r="AI127" i="4"/>
  <c r="AJ127" i="4"/>
  <c r="AG127" i="4"/>
  <c r="AH127" i="4" s="1"/>
  <c r="AE127" i="4"/>
  <c r="AF127" i="4"/>
  <c r="AC127" i="4"/>
  <c r="AD127" i="4" s="1"/>
  <c r="AA127" i="4"/>
  <c r="AB127" i="4" s="1"/>
  <c r="Y127" i="4"/>
  <c r="Z127" i="4" s="1"/>
  <c r="W127" i="4"/>
  <c r="X127" i="4"/>
  <c r="U127" i="4"/>
  <c r="V127" i="4" s="1"/>
  <c r="S127" i="4"/>
  <c r="T127" i="4"/>
  <c r="Q127" i="4"/>
  <c r="R127" i="4" s="1"/>
  <c r="O127" i="4"/>
  <c r="P127" i="4"/>
  <c r="M127" i="4"/>
  <c r="N127" i="4" s="1"/>
  <c r="K127" i="4"/>
  <c r="L127" i="4" s="1"/>
  <c r="J127" i="4"/>
  <c r="GQ126" i="4"/>
  <c r="GR126" i="4"/>
  <c r="GS126" i="4"/>
  <c r="GT126" i="4"/>
  <c r="GU126" i="4"/>
  <c r="GV126" i="4"/>
  <c r="GW126" i="4"/>
  <c r="GX126" i="4"/>
  <c r="GY126" i="4"/>
  <c r="GZ126" i="4"/>
  <c r="HA126" i="4"/>
  <c r="HB126" i="4"/>
  <c r="HC126" i="4"/>
  <c r="HD126" i="4"/>
  <c r="HE126" i="4"/>
  <c r="HF126" i="4"/>
  <c r="HG126" i="4"/>
  <c r="HH126" i="4"/>
  <c r="H126" i="4"/>
  <c r="BZ126" i="4"/>
  <c r="ER126" i="4" s="1"/>
  <c r="ES126" i="4" s="1"/>
  <c r="DY126" i="4"/>
  <c r="DZ126" i="4"/>
  <c r="EA126" i="4"/>
  <c r="EB126" i="4"/>
  <c r="EC126" i="4"/>
  <c r="ED126" i="4"/>
  <c r="EE126" i="4"/>
  <c r="EF126" i="4"/>
  <c r="EG126" i="4"/>
  <c r="EH126" i="4"/>
  <c r="EI126" i="4"/>
  <c r="EJ126" i="4"/>
  <c r="EK126" i="4"/>
  <c r="EL126" i="4"/>
  <c r="EM126" i="4"/>
  <c r="EN126" i="4"/>
  <c r="EO126" i="4"/>
  <c r="EP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BX126" i="4"/>
  <c r="I126" i="4"/>
  <c r="AU126" i="4" s="1"/>
  <c r="AV126" i="4" s="1"/>
  <c r="AM126" i="4"/>
  <c r="AN126" i="4" s="1"/>
  <c r="AI126" i="4"/>
  <c r="AJ126" i="4" s="1"/>
  <c r="AE126" i="4"/>
  <c r="AF126" i="4" s="1"/>
  <c r="AA126" i="4"/>
  <c r="AB126" i="4" s="1"/>
  <c r="W126" i="4"/>
  <c r="X126" i="4"/>
  <c r="S126" i="4"/>
  <c r="T126" i="4"/>
  <c r="O126" i="4"/>
  <c r="P126" i="4"/>
  <c r="K126" i="4"/>
  <c r="L126" i="4" s="1"/>
  <c r="GQ125" i="4"/>
  <c r="GR125" i="4"/>
  <c r="GS125" i="4"/>
  <c r="GT125" i="4"/>
  <c r="GU125" i="4"/>
  <c r="GV125" i="4"/>
  <c r="GW125" i="4"/>
  <c r="GX125" i="4"/>
  <c r="GY125" i="4"/>
  <c r="GZ125" i="4"/>
  <c r="HA125" i="4"/>
  <c r="HB125" i="4"/>
  <c r="HC125" i="4"/>
  <c r="HD125" i="4"/>
  <c r="HE125" i="4"/>
  <c r="HF125" i="4"/>
  <c r="HG125" i="4"/>
  <c r="HH125" i="4"/>
  <c r="H125" i="4"/>
  <c r="DY125" i="4"/>
  <c r="DZ125" i="4"/>
  <c r="EA125" i="4"/>
  <c r="EB125" i="4"/>
  <c r="EC125" i="4"/>
  <c r="ED125" i="4"/>
  <c r="EE125" i="4"/>
  <c r="EF125" i="4"/>
  <c r="EG125" i="4"/>
  <c r="EH125" i="4"/>
  <c r="EI125" i="4"/>
  <c r="EJ125" i="4"/>
  <c r="EK125" i="4"/>
  <c r="EL125" i="4"/>
  <c r="EM125" i="4"/>
  <c r="EN125" i="4"/>
  <c r="EO125" i="4"/>
  <c r="EP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BX125" i="4"/>
  <c r="GQ124" i="4"/>
  <c r="GR124" i="4"/>
  <c r="GS124" i="4"/>
  <c r="GT124" i="4"/>
  <c r="GU124" i="4"/>
  <c r="GV124" i="4"/>
  <c r="GW124" i="4"/>
  <c r="GX124" i="4"/>
  <c r="GY124" i="4"/>
  <c r="GZ124" i="4"/>
  <c r="HA124" i="4"/>
  <c r="HB124" i="4"/>
  <c r="HC124" i="4"/>
  <c r="HD124" i="4"/>
  <c r="HE124" i="4"/>
  <c r="HF124" i="4"/>
  <c r="HG124" i="4"/>
  <c r="HH124" i="4"/>
  <c r="H124" i="4"/>
  <c r="BZ124" i="4"/>
  <c r="ER124" i="4" s="1"/>
  <c r="ES124" i="4" s="1"/>
  <c r="DY124" i="4"/>
  <c r="DZ124" i="4"/>
  <c r="EA124" i="4"/>
  <c r="EB124" i="4"/>
  <c r="EC124" i="4"/>
  <c r="ED124" i="4"/>
  <c r="EE124" i="4"/>
  <c r="EF124" i="4"/>
  <c r="EG124" i="4"/>
  <c r="EH124" i="4"/>
  <c r="EI124" i="4"/>
  <c r="EJ124" i="4"/>
  <c r="EK124" i="4"/>
  <c r="EL124" i="4"/>
  <c r="EM124" i="4"/>
  <c r="EN124" i="4"/>
  <c r="EO124" i="4"/>
  <c r="EP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BX124" i="4"/>
  <c r="I124" i="4"/>
  <c r="AW124" i="4" s="1"/>
  <c r="AX124" i="4" s="1"/>
  <c r="AY124" i="4"/>
  <c r="AZ124" i="4"/>
  <c r="AU124" i="4"/>
  <c r="AV124" i="4" s="1"/>
  <c r="AQ124" i="4"/>
  <c r="AR124" i="4"/>
  <c r="AM124" i="4"/>
  <c r="AN124" i="4" s="1"/>
  <c r="AI124" i="4"/>
  <c r="AJ124" i="4"/>
  <c r="AE124" i="4"/>
  <c r="AF124" i="4" s="1"/>
  <c r="AA124" i="4"/>
  <c r="AB124" i="4"/>
  <c r="W124" i="4"/>
  <c r="X124" i="4" s="1"/>
  <c r="S124" i="4"/>
  <c r="T124" i="4"/>
  <c r="O124" i="4"/>
  <c r="P124" i="4" s="1"/>
  <c r="K124" i="4"/>
  <c r="L124" i="4"/>
  <c r="GQ123" i="4"/>
  <c r="GR123" i="4"/>
  <c r="GS123" i="4"/>
  <c r="GT123" i="4"/>
  <c r="GU123" i="4"/>
  <c r="GV123" i="4"/>
  <c r="GW123" i="4"/>
  <c r="GX123" i="4"/>
  <c r="GY123" i="4"/>
  <c r="GZ123" i="4"/>
  <c r="HA123" i="4"/>
  <c r="HB123" i="4"/>
  <c r="HC123" i="4"/>
  <c r="HD123" i="4"/>
  <c r="HE123" i="4"/>
  <c r="HF123" i="4"/>
  <c r="HG123" i="4"/>
  <c r="HH123" i="4"/>
  <c r="H123" i="4"/>
  <c r="DY123" i="4"/>
  <c r="DZ123" i="4"/>
  <c r="EA123" i="4"/>
  <c r="EB123" i="4"/>
  <c r="EC123" i="4"/>
  <c r="ED123" i="4"/>
  <c r="EE123" i="4"/>
  <c r="EF123" i="4"/>
  <c r="EG123" i="4"/>
  <c r="EH123" i="4"/>
  <c r="EI123" i="4"/>
  <c r="EJ123" i="4"/>
  <c r="EK123" i="4"/>
  <c r="EL123" i="4"/>
  <c r="EM123" i="4"/>
  <c r="EN123" i="4"/>
  <c r="EO123" i="4"/>
  <c r="EP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BX123" i="4"/>
  <c r="GQ122" i="4"/>
  <c r="GR122" i="4"/>
  <c r="GS122" i="4"/>
  <c r="GT122" i="4"/>
  <c r="GU122" i="4"/>
  <c r="GV122" i="4"/>
  <c r="GW122" i="4"/>
  <c r="GX122" i="4"/>
  <c r="GY122" i="4"/>
  <c r="GZ122" i="4"/>
  <c r="HA122" i="4"/>
  <c r="HB122" i="4"/>
  <c r="HC122" i="4"/>
  <c r="HD122" i="4"/>
  <c r="HE122" i="4"/>
  <c r="HF122" i="4"/>
  <c r="HG122" i="4"/>
  <c r="HH122" i="4"/>
  <c r="H122" i="4"/>
  <c r="BZ122" i="4"/>
  <c r="ER122" i="4"/>
  <c r="ES122" i="4"/>
  <c r="DY122" i="4"/>
  <c r="DZ122" i="4"/>
  <c r="EA122" i="4"/>
  <c r="EB122" i="4"/>
  <c r="EC122" i="4"/>
  <c r="ED122" i="4"/>
  <c r="EE122" i="4"/>
  <c r="EF122" i="4"/>
  <c r="EG122" i="4"/>
  <c r="EH122" i="4"/>
  <c r="EI122" i="4"/>
  <c r="EJ122" i="4"/>
  <c r="EK122" i="4"/>
  <c r="EL122" i="4"/>
  <c r="EM122" i="4"/>
  <c r="EN122" i="4"/>
  <c r="EO122" i="4"/>
  <c r="EP122" i="4"/>
  <c r="CA122" i="4"/>
  <c r="DO122" i="4" s="1"/>
  <c r="DP122" i="4" s="1"/>
  <c r="DQ122" i="4"/>
  <c r="DR122" i="4"/>
  <c r="DM122" i="4"/>
  <c r="DN122" i="4"/>
  <c r="DI122" i="4"/>
  <c r="DJ122" i="4"/>
  <c r="DE122" i="4"/>
  <c r="DF122" i="4"/>
  <c r="DA122" i="4"/>
  <c r="DB122" i="4"/>
  <c r="CW122" i="4"/>
  <c r="CX122" i="4"/>
  <c r="CS122" i="4"/>
  <c r="CT122" i="4"/>
  <c r="CO122" i="4"/>
  <c r="CP122" i="4"/>
  <c r="CK122" i="4"/>
  <c r="CL122" i="4"/>
  <c r="CG122" i="4"/>
  <c r="CH122" i="4"/>
  <c r="CC122" i="4"/>
  <c r="CD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I122" i="4"/>
  <c r="GQ119" i="4"/>
  <c r="GR119" i="4"/>
  <c r="GS119" i="4"/>
  <c r="GT119" i="4"/>
  <c r="GU119" i="4"/>
  <c r="GV119" i="4"/>
  <c r="GW119" i="4"/>
  <c r="GX119" i="4"/>
  <c r="GY119" i="4"/>
  <c r="GZ119" i="4"/>
  <c r="HA119" i="4"/>
  <c r="HB119" i="4"/>
  <c r="HC119" i="4"/>
  <c r="HD119" i="4"/>
  <c r="HE119" i="4"/>
  <c r="HF119" i="4"/>
  <c r="HG119" i="4"/>
  <c r="HH119" i="4"/>
  <c r="H119" i="4"/>
  <c r="I119" i="4" s="1"/>
  <c r="U119" i="4" s="1"/>
  <c r="V119" i="4" s="1"/>
  <c r="DY119" i="4"/>
  <c r="DZ119" i="4"/>
  <c r="EA119" i="4"/>
  <c r="EB119" i="4"/>
  <c r="EC119" i="4"/>
  <c r="ED119" i="4"/>
  <c r="EE119" i="4"/>
  <c r="EF119" i="4"/>
  <c r="EG119" i="4"/>
  <c r="EH119" i="4"/>
  <c r="EI119" i="4"/>
  <c r="EJ119" i="4"/>
  <c r="EK119" i="4"/>
  <c r="EL119" i="4"/>
  <c r="EM119" i="4"/>
  <c r="EN119" i="4"/>
  <c r="EO119" i="4"/>
  <c r="EP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BX119" i="4"/>
  <c r="GQ118" i="4"/>
  <c r="GR118" i="4"/>
  <c r="GS118" i="4"/>
  <c r="GT118" i="4"/>
  <c r="GU118" i="4"/>
  <c r="GV118" i="4"/>
  <c r="GW118" i="4"/>
  <c r="GX118" i="4"/>
  <c r="GY118" i="4"/>
  <c r="GZ118" i="4"/>
  <c r="HA118" i="4"/>
  <c r="HB118" i="4"/>
  <c r="HC118" i="4"/>
  <c r="HD118" i="4"/>
  <c r="HE118" i="4"/>
  <c r="HF118" i="4"/>
  <c r="HG118" i="4"/>
  <c r="HH118" i="4"/>
  <c r="H118" i="4"/>
  <c r="BZ118" i="4" s="1"/>
  <c r="ER118" i="4" s="1"/>
  <c r="ES118" i="4" s="1"/>
  <c r="DY118" i="4"/>
  <c r="DZ118" i="4"/>
  <c r="EA118" i="4"/>
  <c r="EB118" i="4"/>
  <c r="EC118" i="4"/>
  <c r="ED118" i="4"/>
  <c r="EE118" i="4"/>
  <c r="EF118" i="4"/>
  <c r="EG118" i="4"/>
  <c r="EH118" i="4"/>
  <c r="EI118" i="4"/>
  <c r="EJ118" i="4"/>
  <c r="EK118" i="4"/>
  <c r="EL118" i="4"/>
  <c r="EM118" i="4"/>
  <c r="EN118" i="4"/>
  <c r="EO118" i="4"/>
  <c r="EP118" i="4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X118" i="4"/>
  <c r="I118" i="4"/>
  <c r="AY118" i="4" s="1"/>
  <c r="AZ118" i="4" s="1"/>
  <c r="AA118" i="4"/>
  <c r="AB118" i="4" s="1"/>
  <c r="S118" i="4"/>
  <c r="T118" i="4" s="1"/>
  <c r="K118" i="4"/>
  <c r="L118" i="4" s="1"/>
  <c r="GQ117" i="4"/>
  <c r="GR117" i="4"/>
  <c r="GS117" i="4"/>
  <c r="GT117" i="4"/>
  <c r="GU117" i="4"/>
  <c r="GV117" i="4"/>
  <c r="GW117" i="4"/>
  <c r="GX117" i="4"/>
  <c r="GY117" i="4"/>
  <c r="GZ117" i="4"/>
  <c r="HA117" i="4"/>
  <c r="HB117" i="4"/>
  <c r="HC117" i="4"/>
  <c r="HD117" i="4"/>
  <c r="HE117" i="4"/>
  <c r="HF117" i="4"/>
  <c r="HG117" i="4"/>
  <c r="HH117" i="4"/>
  <c r="H117" i="4"/>
  <c r="DY117" i="4"/>
  <c r="DZ117" i="4"/>
  <c r="EA117" i="4"/>
  <c r="EB117" i="4"/>
  <c r="EC117" i="4"/>
  <c r="ED117" i="4"/>
  <c r="EE117" i="4"/>
  <c r="EF117" i="4"/>
  <c r="EG117" i="4"/>
  <c r="EH117" i="4"/>
  <c r="EI117" i="4"/>
  <c r="EJ117" i="4"/>
  <c r="EK117" i="4"/>
  <c r="EL117" i="4"/>
  <c r="EM117" i="4"/>
  <c r="EN117" i="4"/>
  <c r="EO117" i="4"/>
  <c r="EP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BX117" i="4"/>
  <c r="GQ116" i="4"/>
  <c r="GR116" i="4"/>
  <c r="GS116" i="4"/>
  <c r="GT116" i="4"/>
  <c r="GU116" i="4"/>
  <c r="GV116" i="4"/>
  <c r="GW116" i="4"/>
  <c r="GX116" i="4"/>
  <c r="GY116" i="4"/>
  <c r="GZ116" i="4"/>
  <c r="HA116" i="4"/>
  <c r="HB116" i="4"/>
  <c r="HC116" i="4"/>
  <c r="HD116" i="4"/>
  <c r="HE116" i="4"/>
  <c r="HF116" i="4"/>
  <c r="HG116" i="4"/>
  <c r="HH116" i="4"/>
  <c r="H116" i="4"/>
  <c r="BZ116" i="4" s="1"/>
  <c r="DY116" i="4"/>
  <c r="DZ116" i="4"/>
  <c r="EA116" i="4"/>
  <c r="EB116" i="4"/>
  <c r="EC116" i="4"/>
  <c r="ED116" i="4"/>
  <c r="EE116" i="4"/>
  <c r="EF116" i="4"/>
  <c r="EG116" i="4"/>
  <c r="EH116" i="4"/>
  <c r="EI116" i="4"/>
  <c r="EJ116" i="4"/>
  <c r="EK116" i="4"/>
  <c r="EL116" i="4"/>
  <c r="EM116" i="4"/>
  <c r="EN116" i="4"/>
  <c r="EO116" i="4"/>
  <c r="EP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X116" i="4"/>
  <c r="GQ115" i="4"/>
  <c r="GR115" i="4"/>
  <c r="GS115" i="4"/>
  <c r="GT115" i="4"/>
  <c r="GU115" i="4"/>
  <c r="GV115" i="4"/>
  <c r="GW115" i="4"/>
  <c r="GX115" i="4"/>
  <c r="GY115" i="4"/>
  <c r="GZ115" i="4"/>
  <c r="HA115" i="4"/>
  <c r="HB115" i="4"/>
  <c r="HC115" i="4"/>
  <c r="HD115" i="4"/>
  <c r="HE115" i="4"/>
  <c r="HF115" i="4"/>
  <c r="HG115" i="4"/>
  <c r="HH115" i="4"/>
  <c r="H115" i="4"/>
  <c r="I115" i="4" s="1"/>
  <c r="AS115" i="4" s="1"/>
  <c r="AT115" i="4" s="1"/>
  <c r="BZ115" i="4"/>
  <c r="DY115" i="4"/>
  <c r="DZ115" i="4"/>
  <c r="EA115" i="4"/>
  <c r="EB115" i="4"/>
  <c r="EC115" i="4"/>
  <c r="ED115" i="4"/>
  <c r="EE115" i="4"/>
  <c r="EF115" i="4"/>
  <c r="EG115" i="4"/>
  <c r="EH115" i="4"/>
  <c r="EI115" i="4"/>
  <c r="EJ115" i="4"/>
  <c r="EK115" i="4"/>
  <c r="EL115" i="4"/>
  <c r="EM115" i="4"/>
  <c r="EN115" i="4"/>
  <c r="EO115" i="4"/>
  <c r="EP115" i="4"/>
  <c r="BG115" i="4"/>
  <c r="BH115" i="4"/>
  <c r="BI115" i="4"/>
  <c r="BJ115" i="4"/>
  <c r="BK115" i="4"/>
  <c r="BL115" i="4"/>
  <c r="BM115" i="4"/>
  <c r="BN115" i="4"/>
  <c r="BO115" i="4"/>
  <c r="BP115" i="4"/>
  <c r="BQ115" i="4"/>
  <c r="BR115" i="4"/>
  <c r="BS115" i="4"/>
  <c r="BT115" i="4"/>
  <c r="BU115" i="4"/>
  <c r="BV115" i="4"/>
  <c r="BW115" i="4"/>
  <c r="BX115" i="4"/>
  <c r="AY115" i="4"/>
  <c r="AZ115" i="4" s="1"/>
  <c r="AW115" i="4"/>
  <c r="AX115" i="4" s="1"/>
  <c r="AU115" i="4"/>
  <c r="AV115" i="4"/>
  <c r="AQ115" i="4"/>
  <c r="AR115" i="4" s="1"/>
  <c r="AO115" i="4"/>
  <c r="AP115" i="4" s="1"/>
  <c r="AK115" i="4"/>
  <c r="AL115" i="4" s="1"/>
  <c r="AI115" i="4"/>
  <c r="AJ115" i="4" s="1"/>
  <c r="AG115" i="4"/>
  <c r="AH115" i="4" s="1"/>
  <c r="AE115" i="4"/>
  <c r="AF115" i="4"/>
  <c r="AA115" i="4"/>
  <c r="AB115" i="4" s="1"/>
  <c r="Y115" i="4"/>
  <c r="Z115" i="4" s="1"/>
  <c r="U115" i="4"/>
  <c r="V115" i="4" s="1"/>
  <c r="S115" i="4"/>
  <c r="T115" i="4" s="1"/>
  <c r="Q115" i="4"/>
  <c r="R115" i="4" s="1"/>
  <c r="O115" i="4"/>
  <c r="P115" i="4"/>
  <c r="K115" i="4"/>
  <c r="L115" i="4" s="1"/>
  <c r="J115" i="4"/>
  <c r="GQ114" i="4"/>
  <c r="GR114" i="4"/>
  <c r="GS114" i="4"/>
  <c r="GT114" i="4"/>
  <c r="GU114" i="4"/>
  <c r="GV114" i="4"/>
  <c r="GW114" i="4"/>
  <c r="GX114" i="4"/>
  <c r="GY114" i="4"/>
  <c r="GZ114" i="4"/>
  <c r="HA114" i="4"/>
  <c r="HB114" i="4"/>
  <c r="HC114" i="4"/>
  <c r="HD114" i="4"/>
  <c r="HE114" i="4"/>
  <c r="HF114" i="4"/>
  <c r="HG114" i="4"/>
  <c r="HH114" i="4"/>
  <c r="H114" i="4"/>
  <c r="BZ114" i="4" s="1"/>
  <c r="ER114" i="4" s="1"/>
  <c r="ES114" i="4" s="1"/>
  <c r="DY114" i="4"/>
  <c r="DZ114" i="4"/>
  <c r="EA114" i="4"/>
  <c r="EB114" i="4"/>
  <c r="EC114" i="4"/>
  <c r="ED114" i="4"/>
  <c r="EE114" i="4"/>
  <c r="EF114" i="4"/>
  <c r="EG114" i="4"/>
  <c r="EH114" i="4"/>
  <c r="EI114" i="4"/>
  <c r="EJ114" i="4"/>
  <c r="EK114" i="4"/>
  <c r="EL114" i="4"/>
  <c r="EM114" i="4"/>
  <c r="EN114" i="4"/>
  <c r="EO114" i="4"/>
  <c r="EP114" i="4"/>
  <c r="BG114" i="4"/>
  <c r="BH114" i="4"/>
  <c r="BI114" i="4"/>
  <c r="BJ114" i="4"/>
  <c r="BK114" i="4"/>
  <c r="BL114" i="4"/>
  <c r="BM114" i="4"/>
  <c r="BN114" i="4"/>
  <c r="BO114" i="4"/>
  <c r="BP114" i="4"/>
  <c r="BQ114" i="4"/>
  <c r="BR114" i="4"/>
  <c r="BS114" i="4"/>
  <c r="BT114" i="4"/>
  <c r="BU114" i="4"/>
  <c r="BV114" i="4"/>
  <c r="BW114" i="4"/>
  <c r="BX114" i="4"/>
  <c r="I114" i="4"/>
  <c r="AM114" i="4" s="1"/>
  <c r="AN114" i="4" s="1"/>
  <c r="AY114" i="4"/>
  <c r="AZ114" i="4" s="1"/>
  <c r="AQ114" i="4"/>
  <c r="AR114" i="4" s="1"/>
  <c r="AI114" i="4"/>
  <c r="AJ114" i="4" s="1"/>
  <c r="AE114" i="4"/>
  <c r="AF114" i="4" s="1"/>
  <c r="AA114" i="4"/>
  <c r="AB114" i="4" s="1"/>
  <c r="S114" i="4"/>
  <c r="T114" i="4" s="1"/>
  <c r="O114" i="4"/>
  <c r="P114" i="4" s="1"/>
  <c r="K114" i="4"/>
  <c r="L114" i="4" s="1"/>
  <c r="GQ113" i="4"/>
  <c r="GR113" i="4"/>
  <c r="GS113" i="4"/>
  <c r="GT113" i="4"/>
  <c r="GU113" i="4"/>
  <c r="GV113" i="4"/>
  <c r="GW113" i="4"/>
  <c r="GX113" i="4"/>
  <c r="GY113" i="4"/>
  <c r="GZ113" i="4"/>
  <c r="HA113" i="4"/>
  <c r="HB113" i="4"/>
  <c r="HC113" i="4"/>
  <c r="HD113" i="4"/>
  <c r="HE113" i="4"/>
  <c r="HF113" i="4"/>
  <c r="HG113" i="4"/>
  <c r="HH113" i="4"/>
  <c r="H113" i="4"/>
  <c r="BZ113" i="4" s="1"/>
  <c r="CA113" i="4" s="1"/>
  <c r="DO113" i="4" s="1"/>
  <c r="DP113" i="4" s="1"/>
  <c r="DY113" i="4"/>
  <c r="DZ113" i="4"/>
  <c r="EA113" i="4"/>
  <c r="EB113" i="4"/>
  <c r="EC113" i="4"/>
  <c r="ED113" i="4"/>
  <c r="EE113" i="4"/>
  <c r="EF113" i="4"/>
  <c r="EG113" i="4"/>
  <c r="EH113" i="4"/>
  <c r="EI113" i="4"/>
  <c r="EJ113" i="4"/>
  <c r="EK113" i="4"/>
  <c r="EL113" i="4"/>
  <c r="EM113" i="4"/>
  <c r="EN113" i="4"/>
  <c r="EO113" i="4"/>
  <c r="EP113" i="4"/>
  <c r="DQ113" i="4"/>
  <c r="DR113" i="4"/>
  <c r="DM113" i="4"/>
  <c r="DN113" i="4" s="1"/>
  <c r="DK113" i="4"/>
  <c r="DL113" i="4" s="1"/>
  <c r="DG113" i="4"/>
  <c r="DH113" i="4" s="1"/>
  <c r="DE113" i="4"/>
  <c r="DF113" i="4" s="1"/>
  <c r="DC113" i="4"/>
  <c r="DD113" i="4" s="1"/>
  <c r="DA113" i="4"/>
  <c r="DB113" i="4"/>
  <c r="CW113" i="4"/>
  <c r="CX113" i="4" s="1"/>
  <c r="CU113" i="4"/>
  <c r="CV113" i="4" s="1"/>
  <c r="CQ113" i="4"/>
  <c r="CR113" i="4" s="1"/>
  <c r="CO113" i="4"/>
  <c r="CP113" i="4" s="1"/>
  <c r="CM113" i="4"/>
  <c r="CN113" i="4" s="1"/>
  <c r="CK113" i="4"/>
  <c r="CL113" i="4"/>
  <c r="CG113" i="4"/>
  <c r="CH113" i="4" s="1"/>
  <c r="CE113" i="4"/>
  <c r="CF113" i="4" s="1"/>
  <c r="CB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X113" i="4"/>
  <c r="I113" i="4"/>
  <c r="AY113" i="4" s="1"/>
  <c r="AZ113" i="4" s="1"/>
  <c r="AW113" i="4"/>
  <c r="AX113" i="4" s="1"/>
  <c r="AU113" i="4"/>
  <c r="AV113" i="4" s="1"/>
  <c r="AO113" i="4"/>
  <c r="AP113" i="4" s="1"/>
  <c r="AM113" i="4"/>
  <c r="AN113" i="4" s="1"/>
  <c r="AI113" i="4"/>
  <c r="AJ113" i="4" s="1"/>
  <c r="AG113" i="4"/>
  <c r="AH113" i="4" s="1"/>
  <c r="AE113" i="4"/>
  <c r="AF113" i="4" s="1"/>
  <c r="AC113" i="4"/>
  <c r="AD113" i="4"/>
  <c r="Y113" i="4"/>
  <c r="Z113" i="4" s="1"/>
  <c r="W113" i="4"/>
  <c r="X113" i="4" s="1"/>
  <c r="S113" i="4"/>
  <c r="T113" i="4" s="1"/>
  <c r="Q113" i="4"/>
  <c r="R113" i="4" s="1"/>
  <c r="O113" i="4"/>
  <c r="P113" i="4" s="1"/>
  <c r="M113" i="4"/>
  <c r="N113" i="4"/>
  <c r="J113" i="4"/>
  <c r="GQ112" i="4"/>
  <c r="GR112" i="4"/>
  <c r="GS112" i="4"/>
  <c r="GT112" i="4"/>
  <c r="GU112" i="4"/>
  <c r="GV112" i="4"/>
  <c r="GW112" i="4"/>
  <c r="GX112" i="4"/>
  <c r="GY112" i="4"/>
  <c r="GZ112" i="4"/>
  <c r="HA112" i="4"/>
  <c r="HB112" i="4"/>
  <c r="HC112" i="4"/>
  <c r="HD112" i="4"/>
  <c r="HE112" i="4"/>
  <c r="HF112" i="4"/>
  <c r="HG112" i="4"/>
  <c r="HH112" i="4"/>
  <c r="H112" i="4"/>
  <c r="BZ112" i="4"/>
  <c r="ER112" i="4" s="1"/>
  <c r="ES112" i="4" s="1"/>
  <c r="DY112" i="4"/>
  <c r="DZ112" i="4"/>
  <c r="EA112" i="4"/>
  <c r="EB112" i="4"/>
  <c r="EC112" i="4"/>
  <c r="ED112" i="4"/>
  <c r="EE112" i="4"/>
  <c r="EF112" i="4"/>
  <c r="EG112" i="4"/>
  <c r="EH112" i="4"/>
  <c r="EI112" i="4"/>
  <c r="EJ112" i="4"/>
  <c r="EK112" i="4"/>
  <c r="EL112" i="4"/>
  <c r="EM112" i="4"/>
  <c r="EN112" i="4"/>
  <c r="EO112" i="4"/>
  <c r="EP112" i="4"/>
  <c r="CA112" i="4"/>
  <c r="DQ112" i="4" s="1"/>
  <c r="DR112" i="4"/>
  <c r="DE112" i="4"/>
  <c r="DF112" i="4"/>
  <c r="DA112" i="4"/>
  <c r="DB112" i="4"/>
  <c r="CW112" i="4"/>
  <c r="CX112" i="4"/>
  <c r="CS112" i="4"/>
  <c r="CT112" i="4"/>
  <c r="CO112" i="4"/>
  <c r="CP112" i="4"/>
  <c r="CK112" i="4"/>
  <c r="CL112" i="4"/>
  <c r="CG112" i="4"/>
  <c r="CH112" i="4"/>
  <c r="CC112" i="4"/>
  <c r="CD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X112" i="4"/>
  <c r="I112" i="4"/>
  <c r="GQ111" i="4"/>
  <c r="GR111" i="4"/>
  <c r="GS111" i="4"/>
  <c r="GT111" i="4"/>
  <c r="GU111" i="4"/>
  <c r="GV111" i="4"/>
  <c r="GW111" i="4"/>
  <c r="GX111" i="4"/>
  <c r="GY111" i="4"/>
  <c r="GZ111" i="4"/>
  <c r="HA111" i="4"/>
  <c r="HB111" i="4"/>
  <c r="HC111" i="4"/>
  <c r="HD111" i="4"/>
  <c r="HE111" i="4"/>
  <c r="HF111" i="4"/>
  <c r="HG111" i="4"/>
  <c r="HH111" i="4"/>
  <c r="H111" i="4"/>
  <c r="I111" i="4" s="1"/>
  <c r="BZ111" i="4"/>
  <c r="ER111" i="4"/>
  <c r="ES111" i="4" s="1"/>
  <c r="GC111" i="4" s="1"/>
  <c r="GD111" i="4" s="1"/>
  <c r="GG111" i="4"/>
  <c r="GH111" i="4" s="1"/>
  <c r="FU111" i="4"/>
  <c r="FV111" i="4" s="1"/>
  <c r="FQ111" i="4"/>
  <c r="FR111" i="4" s="1"/>
  <c r="FE111" i="4"/>
  <c r="FF111" i="4" s="1"/>
  <c r="FA111" i="4"/>
  <c r="FB111" i="4" s="1"/>
  <c r="DY111" i="4"/>
  <c r="DZ111" i="4"/>
  <c r="EA111" i="4"/>
  <c r="EB111" i="4"/>
  <c r="EC111" i="4"/>
  <c r="ED111" i="4"/>
  <c r="EE111" i="4"/>
  <c r="EF111" i="4"/>
  <c r="EG111" i="4"/>
  <c r="EH111" i="4"/>
  <c r="EI111" i="4"/>
  <c r="EJ111" i="4"/>
  <c r="EK111" i="4"/>
  <c r="EL111" i="4"/>
  <c r="EM111" i="4"/>
  <c r="EN111" i="4"/>
  <c r="EO111" i="4"/>
  <c r="EP111" i="4"/>
  <c r="CA111" i="4"/>
  <c r="DO111" i="4" s="1"/>
  <c r="DP111" i="4" s="1"/>
  <c r="DQ111" i="4"/>
  <c r="DR111" i="4" s="1"/>
  <c r="DM111" i="4"/>
  <c r="DN111" i="4" s="1"/>
  <c r="DI111" i="4"/>
  <c r="DJ111" i="4" s="1"/>
  <c r="DE111" i="4"/>
  <c r="DF111" i="4" s="1"/>
  <c r="DC111" i="4"/>
  <c r="DD111" i="4"/>
  <c r="DA111" i="4"/>
  <c r="DB111" i="4" s="1"/>
  <c r="CY111" i="4"/>
  <c r="CZ111" i="4"/>
  <c r="CW111" i="4"/>
  <c r="CX111" i="4" s="1"/>
  <c r="CU111" i="4"/>
  <c r="CV111" i="4"/>
  <c r="CS111" i="4"/>
  <c r="CT111" i="4" s="1"/>
  <c r="CQ111" i="4"/>
  <c r="CR111" i="4"/>
  <c r="CO111" i="4"/>
  <c r="CP111" i="4" s="1"/>
  <c r="CM111" i="4"/>
  <c r="CN111" i="4"/>
  <c r="CK111" i="4"/>
  <c r="CL111" i="4" s="1"/>
  <c r="CI111" i="4"/>
  <c r="CJ111" i="4"/>
  <c r="CG111" i="4"/>
  <c r="CH111" i="4" s="1"/>
  <c r="CE111" i="4"/>
  <c r="CF111" i="4"/>
  <c r="CC111" i="4"/>
  <c r="CD111" i="4" s="1"/>
  <c r="CB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X111" i="4"/>
  <c r="AW111" i="4"/>
  <c r="AX111" i="4" s="1"/>
  <c r="AS111" i="4"/>
  <c r="AT111" i="4" s="1"/>
  <c r="AO111" i="4"/>
  <c r="AP111" i="4" s="1"/>
  <c r="AK111" i="4"/>
  <c r="AL111" i="4" s="1"/>
  <c r="AG111" i="4"/>
  <c r="AH111" i="4" s="1"/>
  <c r="AC111" i="4"/>
  <c r="AD111" i="4" s="1"/>
  <c r="Y111" i="4"/>
  <c r="Z111" i="4" s="1"/>
  <c r="U111" i="4"/>
  <c r="V111" i="4" s="1"/>
  <c r="Q111" i="4"/>
  <c r="R111" i="4" s="1"/>
  <c r="M111" i="4"/>
  <c r="N111" i="4" s="1"/>
  <c r="J111" i="4"/>
  <c r="GQ110" i="4"/>
  <c r="GR110" i="4"/>
  <c r="GS110" i="4"/>
  <c r="GT110" i="4"/>
  <c r="GU110" i="4"/>
  <c r="GV110" i="4"/>
  <c r="GW110" i="4"/>
  <c r="GX110" i="4"/>
  <c r="GY110" i="4"/>
  <c r="GZ110" i="4"/>
  <c r="HA110" i="4"/>
  <c r="HB110" i="4"/>
  <c r="HC110" i="4"/>
  <c r="HD110" i="4"/>
  <c r="HE110" i="4"/>
  <c r="HF110" i="4"/>
  <c r="HG110" i="4"/>
  <c r="HH110" i="4"/>
  <c r="H110" i="4"/>
  <c r="BZ110" i="4"/>
  <c r="DY110" i="4"/>
  <c r="DZ110" i="4"/>
  <c r="EA110" i="4"/>
  <c r="EB110" i="4"/>
  <c r="EC110" i="4"/>
  <c r="ED110" i="4"/>
  <c r="EE110" i="4"/>
  <c r="EF110" i="4"/>
  <c r="EG110" i="4"/>
  <c r="EH110" i="4"/>
  <c r="EI110" i="4"/>
  <c r="EJ110" i="4"/>
  <c r="EK110" i="4"/>
  <c r="EL110" i="4"/>
  <c r="EM110" i="4"/>
  <c r="EN110" i="4"/>
  <c r="EO110" i="4"/>
  <c r="EP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X110" i="4"/>
  <c r="I110" i="4"/>
  <c r="AY110" i="4" s="1"/>
  <c r="AZ110" i="4"/>
  <c r="AQ110" i="4"/>
  <c r="AR110" i="4"/>
  <c r="AM110" i="4"/>
  <c r="AN110" i="4"/>
  <c r="AI110" i="4"/>
  <c r="AJ110" i="4"/>
  <c r="AE110" i="4"/>
  <c r="AF110" i="4"/>
  <c r="AA110" i="4"/>
  <c r="AB110" i="4"/>
  <c r="W110" i="4"/>
  <c r="X110" i="4"/>
  <c r="S110" i="4"/>
  <c r="T110" i="4"/>
  <c r="O110" i="4"/>
  <c r="P110" i="4"/>
  <c r="K110" i="4"/>
  <c r="L110" i="4"/>
  <c r="GQ109" i="4"/>
  <c r="GR109" i="4"/>
  <c r="GS109" i="4"/>
  <c r="GT109" i="4"/>
  <c r="GU109" i="4"/>
  <c r="GV109" i="4"/>
  <c r="GW109" i="4"/>
  <c r="GX109" i="4"/>
  <c r="GY109" i="4"/>
  <c r="GZ109" i="4"/>
  <c r="HA109" i="4"/>
  <c r="HB109" i="4"/>
  <c r="HC109" i="4"/>
  <c r="HD109" i="4"/>
  <c r="HE109" i="4"/>
  <c r="HF109" i="4"/>
  <c r="HG109" i="4"/>
  <c r="HH109" i="4"/>
  <c r="H109" i="4"/>
  <c r="DY109" i="4"/>
  <c r="DZ109" i="4"/>
  <c r="EA109" i="4"/>
  <c r="EB109" i="4"/>
  <c r="EC109" i="4"/>
  <c r="ED109" i="4"/>
  <c r="EE109" i="4"/>
  <c r="EF109" i="4"/>
  <c r="EG109" i="4"/>
  <c r="EH109" i="4"/>
  <c r="EI109" i="4"/>
  <c r="EJ109" i="4"/>
  <c r="EK109" i="4"/>
  <c r="EL109" i="4"/>
  <c r="EM109" i="4"/>
  <c r="EN109" i="4"/>
  <c r="EO109" i="4"/>
  <c r="EP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X109" i="4"/>
  <c r="GQ108" i="4"/>
  <c r="GR108" i="4"/>
  <c r="GS108" i="4"/>
  <c r="GT108" i="4"/>
  <c r="GU108" i="4"/>
  <c r="GV108" i="4"/>
  <c r="GW108" i="4"/>
  <c r="GX108" i="4"/>
  <c r="GY108" i="4"/>
  <c r="GZ108" i="4"/>
  <c r="HA108" i="4"/>
  <c r="HB108" i="4"/>
  <c r="HC108" i="4"/>
  <c r="HD108" i="4"/>
  <c r="HE108" i="4"/>
  <c r="HF108" i="4"/>
  <c r="HG108" i="4"/>
  <c r="HH108" i="4"/>
  <c r="H108" i="4"/>
  <c r="BZ108" i="4"/>
  <c r="ER108" i="4" s="1"/>
  <c r="ES108" i="4"/>
  <c r="DY108" i="4"/>
  <c r="DZ108" i="4"/>
  <c r="EA108" i="4"/>
  <c r="EB108" i="4"/>
  <c r="EC108" i="4"/>
  <c r="ED108" i="4"/>
  <c r="EE108" i="4"/>
  <c r="EF108" i="4"/>
  <c r="EG108" i="4"/>
  <c r="EH108" i="4"/>
  <c r="EI108" i="4"/>
  <c r="EJ108" i="4"/>
  <c r="EK108" i="4"/>
  <c r="EL108" i="4"/>
  <c r="EM108" i="4"/>
  <c r="EN108" i="4"/>
  <c r="EO108" i="4"/>
  <c r="EP108" i="4"/>
  <c r="CA108" i="4"/>
  <c r="DQ108" i="4" s="1"/>
  <c r="DR108" i="4"/>
  <c r="DI108" i="4"/>
  <c r="DJ108" i="4"/>
  <c r="DE108" i="4"/>
  <c r="DF108" i="4"/>
  <c r="DA108" i="4"/>
  <c r="DB108" i="4"/>
  <c r="CW108" i="4"/>
  <c r="CX108" i="4"/>
  <c r="CS108" i="4"/>
  <c r="CT108" i="4"/>
  <c r="CO108" i="4"/>
  <c r="CP108" i="4"/>
  <c r="CK108" i="4"/>
  <c r="CL108" i="4"/>
  <c r="CG108" i="4"/>
  <c r="CH108" i="4"/>
  <c r="CC108" i="4"/>
  <c r="CD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X108" i="4"/>
  <c r="I108" i="4"/>
  <c r="GQ107" i="4"/>
  <c r="GR107" i="4"/>
  <c r="GS107" i="4"/>
  <c r="GT107" i="4"/>
  <c r="GU107" i="4"/>
  <c r="GV107" i="4"/>
  <c r="GW107" i="4"/>
  <c r="GX107" i="4"/>
  <c r="GY107" i="4"/>
  <c r="GZ107" i="4"/>
  <c r="HA107" i="4"/>
  <c r="HB107" i="4"/>
  <c r="HC107" i="4"/>
  <c r="HD107" i="4"/>
  <c r="HE107" i="4"/>
  <c r="HF107" i="4"/>
  <c r="HG107" i="4"/>
  <c r="HH107" i="4"/>
  <c r="H107" i="4"/>
  <c r="BZ107" i="4" s="1"/>
  <c r="CA107" i="4" s="1"/>
  <c r="ER107" i="4"/>
  <c r="ES107" i="4" s="1"/>
  <c r="FY107" i="4" s="1"/>
  <c r="FZ107" i="4" s="1"/>
  <c r="GG107" i="4"/>
  <c r="GH107" i="4" s="1"/>
  <c r="GC107" i="4"/>
  <c r="GD107" i="4" s="1"/>
  <c r="FU107" i="4"/>
  <c r="FV107" i="4" s="1"/>
  <c r="FQ107" i="4"/>
  <c r="FR107" i="4" s="1"/>
  <c r="FM107" i="4"/>
  <c r="FN107" i="4" s="1"/>
  <c r="FE107" i="4"/>
  <c r="FF107" i="4" s="1"/>
  <c r="FA107" i="4"/>
  <c r="FB107" i="4" s="1"/>
  <c r="EW107" i="4"/>
  <c r="EX107" i="4" s="1"/>
  <c r="DY107" i="4"/>
  <c r="DZ107" i="4"/>
  <c r="EA107" i="4"/>
  <c r="EB107" i="4"/>
  <c r="EC107" i="4"/>
  <c r="ED107" i="4"/>
  <c r="EE107" i="4"/>
  <c r="EF107" i="4"/>
  <c r="EG107" i="4"/>
  <c r="EH107" i="4"/>
  <c r="EI107" i="4"/>
  <c r="EJ107" i="4"/>
  <c r="EK107" i="4"/>
  <c r="EL107" i="4"/>
  <c r="EM107" i="4"/>
  <c r="EN107" i="4"/>
  <c r="EO107" i="4"/>
  <c r="EP107" i="4"/>
  <c r="DQ107" i="4"/>
  <c r="DR107" i="4" s="1"/>
  <c r="DM107" i="4"/>
  <c r="DN107" i="4" s="1"/>
  <c r="DI107" i="4"/>
  <c r="DJ107" i="4" s="1"/>
  <c r="DE107" i="4"/>
  <c r="DF107" i="4" s="1"/>
  <c r="DA107" i="4"/>
  <c r="DB107" i="4" s="1"/>
  <c r="CW107" i="4"/>
  <c r="CX107" i="4" s="1"/>
  <c r="CS107" i="4"/>
  <c r="CT107" i="4" s="1"/>
  <c r="CO107" i="4"/>
  <c r="CP107" i="4" s="1"/>
  <c r="CK107" i="4"/>
  <c r="CL107" i="4" s="1"/>
  <c r="CG107" i="4"/>
  <c r="CH107" i="4" s="1"/>
  <c r="CC107" i="4"/>
  <c r="CD107" i="4" s="1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X107" i="4"/>
  <c r="GQ106" i="4"/>
  <c r="GR106" i="4"/>
  <c r="GS106" i="4"/>
  <c r="GT106" i="4"/>
  <c r="GU106" i="4"/>
  <c r="GV106" i="4"/>
  <c r="GW106" i="4"/>
  <c r="GX106" i="4"/>
  <c r="GY106" i="4"/>
  <c r="GZ106" i="4"/>
  <c r="HA106" i="4"/>
  <c r="HB106" i="4"/>
  <c r="HC106" i="4"/>
  <c r="HD106" i="4"/>
  <c r="HE106" i="4"/>
  <c r="HF106" i="4"/>
  <c r="HG106" i="4"/>
  <c r="HH106" i="4"/>
  <c r="H106" i="4"/>
  <c r="BZ106" i="4"/>
  <c r="ER106" i="4" s="1"/>
  <c r="ES106" i="4" s="1"/>
  <c r="DY106" i="4"/>
  <c r="DZ106" i="4"/>
  <c r="EA106" i="4"/>
  <c r="EB106" i="4"/>
  <c r="EC106" i="4"/>
  <c r="ED106" i="4"/>
  <c r="EE106" i="4"/>
  <c r="EF106" i="4"/>
  <c r="EG106" i="4"/>
  <c r="EH106" i="4"/>
  <c r="EI106" i="4"/>
  <c r="EJ106" i="4"/>
  <c r="EK106" i="4"/>
  <c r="EL106" i="4"/>
  <c r="EM106" i="4"/>
  <c r="EN106" i="4"/>
  <c r="EO106" i="4"/>
  <c r="EP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X106" i="4"/>
  <c r="I106" i="4"/>
  <c r="AY106" i="4" s="1"/>
  <c r="AZ106" i="4"/>
  <c r="AU106" i="4"/>
  <c r="AV106" i="4"/>
  <c r="AQ106" i="4"/>
  <c r="AR106" i="4"/>
  <c r="AM106" i="4"/>
  <c r="AN106" i="4"/>
  <c r="AI106" i="4"/>
  <c r="AJ106" i="4"/>
  <c r="AE106" i="4"/>
  <c r="AF106" i="4"/>
  <c r="AA106" i="4"/>
  <c r="AB106" i="4"/>
  <c r="W106" i="4"/>
  <c r="X106" i="4"/>
  <c r="S106" i="4"/>
  <c r="T106" i="4"/>
  <c r="O106" i="4"/>
  <c r="P106" i="4"/>
  <c r="K106" i="4"/>
  <c r="L106" i="4"/>
  <c r="GQ105" i="4"/>
  <c r="GR105" i="4"/>
  <c r="GS105" i="4"/>
  <c r="GT105" i="4"/>
  <c r="GU105" i="4"/>
  <c r="GV105" i="4"/>
  <c r="GW105" i="4"/>
  <c r="GX105" i="4"/>
  <c r="GY105" i="4"/>
  <c r="GZ105" i="4"/>
  <c r="HA105" i="4"/>
  <c r="HB105" i="4"/>
  <c r="HC105" i="4"/>
  <c r="HD105" i="4"/>
  <c r="HE105" i="4"/>
  <c r="HF105" i="4"/>
  <c r="HG105" i="4"/>
  <c r="HH105" i="4"/>
  <c r="H105" i="4"/>
  <c r="DY105" i="4"/>
  <c r="DZ105" i="4"/>
  <c r="EA105" i="4"/>
  <c r="EB105" i="4"/>
  <c r="EC105" i="4"/>
  <c r="ED105" i="4"/>
  <c r="EE105" i="4"/>
  <c r="EF105" i="4"/>
  <c r="EG105" i="4"/>
  <c r="EH105" i="4"/>
  <c r="EI105" i="4"/>
  <c r="EJ105" i="4"/>
  <c r="EK105" i="4"/>
  <c r="EL105" i="4"/>
  <c r="EM105" i="4"/>
  <c r="EN105" i="4"/>
  <c r="EO105" i="4"/>
  <c r="EP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X105" i="4"/>
  <c r="GQ104" i="4"/>
  <c r="GR104" i="4"/>
  <c r="GS104" i="4"/>
  <c r="GT104" i="4"/>
  <c r="GU104" i="4"/>
  <c r="GV104" i="4"/>
  <c r="GW104" i="4"/>
  <c r="GX104" i="4"/>
  <c r="GY104" i="4"/>
  <c r="GZ104" i="4"/>
  <c r="HA104" i="4"/>
  <c r="HB104" i="4"/>
  <c r="HC104" i="4"/>
  <c r="HD104" i="4"/>
  <c r="HE104" i="4"/>
  <c r="HF104" i="4"/>
  <c r="HG104" i="4"/>
  <c r="HH104" i="4"/>
  <c r="H104" i="4"/>
  <c r="I104" i="4" s="1"/>
  <c r="J104" i="4" s="1"/>
  <c r="DY104" i="4"/>
  <c r="DZ104" i="4"/>
  <c r="EA104" i="4"/>
  <c r="EB104" i="4"/>
  <c r="EC104" i="4"/>
  <c r="ED104" i="4"/>
  <c r="EE104" i="4"/>
  <c r="EF104" i="4"/>
  <c r="EG104" i="4"/>
  <c r="EH104" i="4"/>
  <c r="EI104" i="4"/>
  <c r="EJ104" i="4"/>
  <c r="EK104" i="4"/>
  <c r="EL104" i="4"/>
  <c r="EM104" i="4"/>
  <c r="EN104" i="4"/>
  <c r="EO104" i="4"/>
  <c r="EP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X104" i="4"/>
  <c r="GQ103" i="4"/>
  <c r="GR103" i="4"/>
  <c r="GS103" i="4"/>
  <c r="GT103" i="4"/>
  <c r="GU103" i="4"/>
  <c r="GV103" i="4"/>
  <c r="GW103" i="4"/>
  <c r="GX103" i="4"/>
  <c r="GY103" i="4"/>
  <c r="GZ103" i="4"/>
  <c r="HA103" i="4"/>
  <c r="HB103" i="4"/>
  <c r="HC103" i="4"/>
  <c r="HD103" i="4"/>
  <c r="HE103" i="4"/>
  <c r="HF103" i="4"/>
  <c r="HG103" i="4"/>
  <c r="HH103" i="4"/>
  <c r="H103" i="4"/>
  <c r="I103" i="4" s="1"/>
  <c r="AW103" i="4" s="1"/>
  <c r="AX103" i="4" s="1"/>
  <c r="DY103" i="4"/>
  <c r="DZ103" i="4"/>
  <c r="EA103" i="4"/>
  <c r="EB103" i="4"/>
  <c r="EC103" i="4"/>
  <c r="ED103" i="4"/>
  <c r="EE103" i="4"/>
  <c r="EF103" i="4"/>
  <c r="EG103" i="4"/>
  <c r="EH103" i="4"/>
  <c r="EI103" i="4"/>
  <c r="EJ103" i="4"/>
  <c r="EK103" i="4"/>
  <c r="EL103" i="4"/>
  <c r="EM103" i="4"/>
  <c r="EN103" i="4"/>
  <c r="EO103" i="4"/>
  <c r="EP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X103" i="4"/>
  <c r="AY103" i="4"/>
  <c r="AZ103" i="4" s="1"/>
  <c r="AU103" i="4"/>
  <c r="AV103" i="4" s="1"/>
  <c r="AO103" i="4"/>
  <c r="AP103" i="4" s="1"/>
  <c r="AK103" i="4"/>
  <c r="AL103" i="4" s="1"/>
  <c r="AI103" i="4"/>
  <c r="AJ103" i="4" s="1"/>
  <c r="AE103" i="4"/>
  <c r="AF103" i="4" s="1"/>
  <c r="Y103" i="4"/>
  <c r="Z103" i="4" s="1"/>
  <c r="U103" i="4"/>
  <c r="V103" i="4" s="1"/>
  <c r="S103" i="4"/>
  <c r="T103" i="4" s="1"/>
  <c r="Q103" i="4"/>
  <c r="R103" i="4" s="1"/>
  <c r="O103" i="4"/>
  <c r="P103" i="4"/>
  <c r="K103" i="4"/>
  <c r="L103" i="4" s="1"/>
  <c r="J103" i="4"/>
  <c r="GQ102" i="4"/>
  <c r="GR102" i="4"/>
  <c r="GS102" i="4"/>
  <c r="GT102" i="4"/>
  <c r="GU102" i="4"/>
  <c r="GV102" i="4"/>
  <c r="GW102" i="4"/>
  <c r="GX102" i="4"/>
  <c r="GY102" i="4"/>
  <c r="GZ102" i="4"/>
  <c r="HA102" i="4"/>
  <c r="HB102" i="4"/>
  <c r="HC102" i="4"/>
  <c r="HD102" i="4"/>
  <c r="HE102" i="4"/>
  <c r="HF102" i="4"/>
  <c r="HG102" i="4"/>
  <c r="HH102" i="4"/>
  <c r="H102" i="4"/>
  <c r="BZ102" i="4"/>
  <c r="ER102" i="4" s="1"/>
  <c r="ES102" i="4" s="1"/>
  <c r="FK102" i="4" s="1"/>
  <c r="FL102" i="4" s="1"/>
  <c r="DY102" i="4"/>
  <c r="DZ102" i="4"/>
  <c r="EA102" i="4"/>
  <c r="EB102" i="4"/>
  <c r="EC102" i="4"/>
  <c r="ED102" i="4"/>
  <c r="EE102" i="4"/>
  <c r="EF102" i="4"/>
  <c r="EG102" i="4"/>
  <c r="EH102" i="4"/>
  <c r="EI102" i="4"/>
  <c r="EJ102" i="4"/>
  <c r="EK102" i="4"/>
  <c r="EL102" i="4"/>
  <c r="EM102" i="4"/>
  <c r="EN102" i="4"/>
  <c r="EO102" i="4"/>
  <c r="EP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I102" i="4"/>
  <c r="AM102" i="4" s="1"/>
  <c r="AN102" i="4" s="1"/>
  <c r="AY102" i="4"/>
  <c r="AZ102" i="4" s="1"/>
  <c r="AU102" i="4"/>
  <c r="AV102" i="4" s="1"/>
  <c r="AI102" i="4"/>
  <c r="AJ102" i="4" s="1"/>
  <c r="AE102" i="4"/>
  <c r="AF102" i="4"/>
  <c r="S102" i="4"/>
  <c r="T102" i="4" s="1"/>
  <c r="O102" i="4"/>
  <c r="P102" i="4" s="1"/>
  <c r="GQ101" i="4"/>
  <c r="GR101" i="4"/>
  <c r="GS101" i="4"/>
  <c r="GT101" i="4"/>
  <c r="GU101" i="4"/>
  <c r="GV101" i="4"/>
  <c r="GW101" i="4"/>
  <c r="GX101" i="4"/>
  <c r="GY101" i="4"/>
  <c r="GZ101" i="4"/>
  <c r="HA101" i="4"/>
  <c r="HB101" i="4"/>
  <c r="HC101" i="4"/>
  <c r="HD101" i="4"/>
  <c r="HE101" i="4"/>
  <c r="HF101" i="4"/>
  <c r="HG101" i="4"/>
  <c r="HH101" i="4"/>
  <c r="H101" i="4"/>
  <c r="BZ101" i="4" s="1"/>
  <c r="ER101" i="4" s="1"/>
  <c r="ES101" i="4" s="1"/>
  <c r="DY101" i="4"/>
  <c r="DZ101" i="4"/>
  <c r="EA101" i="4"/>
  <c r="EB101" i="4"/>
  <c r="EC101" i="4"/>
  <c r="ED101" i="4"/>
  <c r="EE101" i="4"/>
  <c r="EF101" i="4"/>
  <c r="EG101" i="4"/>
  <c r="EH101" i="4"/>
  <c r="EI101" i="4"/>
  <c r="EJ101" i="4"/>
  <c r="EK101" i="4"/>
  <c r="EL101" i="4"/>
  <c r="EM101" i="4"/>
  <c r="EN101" i="4"/>
  <c r="EO101" i="4"/>
  <c r="EP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GQ100" i="4"/>
  <c r="GR100" i="4"/>
  <c r="GS100" i="4"/>
  <c r="GT100" i="4"/>
  <c r="GU100" i="4"/>
  <c r="GV100" i="4"/>
  <c r="GW100" i="4"/>
  <c r="GX100" i="4"/>
  <c r="GY100" i="4"/>
  <c r="GZ100" i="4"/>
  <c r="HA100" i="4"/>
  <c r="HB100" i="4"/>
  <c r="HC100" i="4"/>
  <c r="HD100" i="4"/>
  <c r="HE100" i="4"/>
  <c r="HF100" i="4"/>
  <c r="HG100" i="4"/>
  <c r="HH100" i="4"/>
  <c r="H100" i="4"/>
  <c r="I100" i="4" s="1"/>
  <c r="BZ100" i="4"/>
  <c r="ER100" i="4" s="1"/>
  <c r="ES100" i="4" s="1"/>
  <c r="DY100" i="4"/>
  <c r="DZ100" i="4"/>
  <c r="EA100" i="4"/>
  <c r="EB100" i="4"/>
  <c r="EC100" i="4"/>
  <c r="ED100" i="4"/>
  <c r="EE100" i="4"/>
  <c r="EF100" i="4"/>
  <c r="EG100" i="4"/>
  <c r="EH100" i="4"/>
  <c r="EI100" i="4"/>
  <c r="EJ100" i="4"/>
  <c r="EK100" i="4"/>
  <c r="EL100" i="4"/>
  <c r="EM100" i="4"/>
  <c r="EN100" i="4"/>
  <c r="EO100" i="4"/>
  <c r="EP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GQ99" i="4"/>
  <c r="GR99" i="4"/>
  <c r="GS99" i="4"/>
  <c r="GT99" i="4"/>
  <c r="GU99" i="4"/>
  <c r="GV99" i="4"/>
  <c r="GW99" i="4"/>
  <c r="GX99" i="4"/>
  <c r="GY99" i="4"/>
  <c r="GZ99" i="4"/>
  <c r="HA99" i="4"/>
  <c r="HB99" i="4"/>
  <c r="HC99" i="4"/>
  <c r="HD99" i="4"/>
  <c r="HE99" i="4"/>
  <c r="HF99" i="4"/>
  <c r="HG99" i="4"/>
  <c r="HH99" i="4"/>
  <c r="H99" i="4"/>
  <c r="DY99" i="4"/>
  <c r="DZ99" i="4"/>
  <c r="EA99" i="4"/>
  <c r="EB99" i="4"/>
  <c r="EC99" i="4"/>
  <c r="ED99" i="4"/>
  <c r="EE99" i="4"/>
  <c r="EF99" i="4"/>
  <c r="EG99" i="4"/>
  <c r="EH99" i="4"/>
  <c r="EI99" i="4"/>
  <c r="EJ99" i="4"/>
  <c r="EK99" i="4"/>
  <c r="EL99" i="4"/>
  <c r="EM99" i="4"/>
  <c r="EN99" i="4"/>
  <c r="EO99" i="4"/>
  <c r="EP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GQ98" i="4"/>
  <c r="GR98" i="4"/>
  <c r="GS98" i="4"/>
  <c r="GT98" i="4"/>
  <c r="GU98" i="4"/>
  <c r="GV98" i="4"/>
  <c r="GW98" i="4"/>
  <c r="GX98" i="4"/>
  <c r="GY98" i="4"/>
  <c r="GZ98" i="4"/>
  <c r="HA98" i="4"/>
  <c r="HB98" i="4"/>
  <c r="HC98" i="4"/>
  <c r="HD98" i="4"/>
  <c r="HE98" i="4"/>
  <c r="HF98" i="4"/>
  <c r="HG98" i="4"/>
  <c r="HH98" i="4"/>
  <c r="H98" i="4"/>
  <c r="BZ98" i="4"/>
  <c r="ER98" i="4" s="1"/>
  <c r="ES98" i="4" s="1"/>
  <c r="DY98" i="4"/>
  <c r="DZ98" i="4"/>
  <c r="EA98" i="4"/>
  <c r="EB98" i="4"/>
  <c r="EC98" i="4"/>
  <c r="ED98" i="4"/>
  <c r="EE98" i="4"/>
  <c r="EF98" i="4"/>
  <c r="EG98" i="4"/>
  <c r="EH98" i="4"/>
  <c r="EI98" i="4"/>
  <c r="EJ98" i="4"/>
  <c r="EK98" i="4"/>
  <c r="EL98" i="4"/>
  <c r="EM98" i="4"/>
  <c r="EN98" i="4"/>
  <c r="EO98" i="4"/>
  <c r="EP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I98" i="4"/>
  <c r="GQ95" i="4"/>
  <c r="GR95" i="4"/>
  <c r="GS95" i="4"/>
  <c r="GT95" i="4"/>
  <c r="GU95" i="4"/>
  <c r="GV95" i="4"/>
  <c r="GW95" i="4"/>
  <c r="GX95" i="4"/>
  <c r="GY95" i="4"/>
  <c r="GZ95" i="4"/>
  <c r="HA95" i="4"/>
  <c r="HB95" i="4"/>
  <c r="HC95" i="4"/>
  <c r="HD95" i="4"/>
  <c r="HE95" i="4"/>
  <c r="HF95" i="4"/>
  <c r="HG95" i="4"/>
  <c r="HH95" i="4"/>
  <c r="H95" i="4"/>
  <c r="I95" i="4" s="1"/>
  <c r="Y95" i="4" s="1"/>
  <c r="Z95" i="4" s="1"/>
  <c r="DY95" i="4"/>
  <c r="DZ95" i="4"/>
  <c r="EA95" i="4"/>
  <c r="EB95" i="4"/>
  <c r="EC95" i="4"/>
  <c r="ED95" i="4"/>
  <c r="EE95" i="4"/>
  <c r="EF95" i="4"/>
  <c r="EG95" i="4"/>
  <c r="EH95" i="4"/>
  <c r="EI95" i="4"/>
  <c r="EJ95" i="4"/>
  <c r="EK95" i="4"/>
  <c r="EL95" i="4"/>
  <c r="EM95" i="4"/>
  <c r="EN95" i="4"/>
  <c r="EO95" i="4"/>
  <c r="EP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GQ94" i="4"/>
  <c r="GR94" i="4"/>
  <c r="GS94" i="4"/>
  <c r="GT94" i="4"/>
  <c r="GU94" i="4"/>
  <c r="GV94" i="4"/>
  <c r="GW94" i="4"/>
  <c r="GX94" i="4"/>
  <c r="GY94" i="4"/>
  <c r="GZ94" i="4"/>
  <c r="HA94" i="4"/>
  <c r="HB94" i="4"/>
  <c r="HC94" i="4"/>
  <c r="HD94" i="4"/>
  <c r="HE94" i="4"/>
  <c r="HF94" i="4"/>
  <c r="HG94" i="4"/>
  <c r="HH94" i="4"/>
  <c r="H94" i="4"/>
  <c r="I94" i="4" s="1"/>
  <c r="BZ94" i="4"/>
  <c r="DY94" i="4"/>
  <c r="DZ94" i="4"/>
  <c r="EA94" i="4"/>
  <c r="EB94" i="4"/>
  <c r="EC94" i="4"/>
  <c r="ED94" i="4"/>
  <c r="EE94" i="4"/>
  <c r="EF94" i="4"/>
  <c r="EG94" i="4"/>
  <c r="EH94" i="4"/>
  <c r="EI94" i="4"/>
  <c r="EJ94" i="4"/>
  <c r="EK94" i="4"/>
  <c r="EL94" i="4"/>
  <c r="EM94" i="4"/>
  <c r="EN94" i="4"/>
  <c r="EO94" i="4"/>
  <c r="EP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GQ93" i="4"/>
  <c r="GR93" i="4"/>
  <c r="GS93" i="4"/>
  <c r="GT93" i="4"/>
  <c r="GU93" i="4"/>
  <c r="GV93" i="4"/>
  <c r="GW93" i="4"/>
  <c r="GX93" i="4"/>
  <c r="GY93" i="4"/>
  <c r="GZ93" i="4"/>
  <c r="HA93" i="4"/>
  <c r="HB93" i="4"/>
  <c r="HC93" i="4"/>
  <c r="HD93" i="4"/>
  <c r="HE93" i="4"/>
  <c r="HF93" i="4"/>
  <c r="HG93" i="4"/>
  <c r="HH93" i="4"/>
  <c r="H93" i="4"/>
  <c r="DY93" i="4"/>
  <c r="DZ93" i="4"/>
  <c r="EA93" i="4"/>
  <c r="EB93" i="4"/>
  <c r="EC93" i="4"/>
  <c r="ED93" i="4"/>
  <c r="EE93" i="4"/>
  <c r="EF93" i="4"/>
  <c r="EG93" i="4"/>
  <c r="EH93" i="4"/>
  <c r="EI93" i="4"/>
  <c r="EJ93" i="4"/>
  <c r="EK93" i="4"/>
  <c r="EL93" i="4"/>
  <c r="EM93" i="4"/>
  <c r="EN93" i="4"/>
  <c r="EO93" i="4"/>
  <c r="EP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GQ92" i="4"/>
  <c r="GR92" i="4"/>
  <c r="GS92" i="4"/>
  <c r="GT92" i="4"/>
  <c r="GU92" i="4"/>
  <c r="GV92" i="4"/>
  <c r="GW92" i="4"/>
  <c r="GX92" i="4"/>
  <c r="GY92" i="4"/>
  <c r="GZ92" i="4"/>
  <c r="HA92" i="4"/>
  <c r="HB92" i="4"/>
  <c r="HC92" i="4"/>
  <c r="HD92" i="4"/>
  <c r="HE92" i="4"/>
  <c r="HF92" i="4"/>
  <c r="HG92" i="4"/>
  <c r="HH92" i="4"/>
  <c r="H92" i="4"/>
  <c r="BZ92" i="4"/>
  <c r="ER92" i="4" s="1"/>
  <c r="ES92" i="4" s="1"/>
  <c r="DY92" i="4"/>
  <c r="DZ92" i="4"/>
  <c r="EA92" i="4"/>
  <c r="EB92" i="4"/>
  <c r="EC92" i="4"/>
  <c r="ED92" i="4"/>
  <c r="EE92" i="4"/>
  <c r="EF92" i="4"/>
  <c r="EG92" i="4"/>
  <c r="EH92" i="4"/>
  <c r="EI92" i="4"/>
  <c r="EJ92" i="4"/>
  <c r="EK92" i="4"/>
  <c r="EL92" i="4"/>
  <c r="EM92" i="4"/>
  <c r="EN92" i="4"/>
  <c r="EO92" i="4"/>
  <c r="EP92" i="4"/>
  <c r="CA92" i="4"/>
  <c r="DO92" i="4" s="1"/>
  <c r="DP92" i="4" s="1"/>
  <c r="DQ92" i="4"/>
  <c r="DR92" i="4" s="1"/>
  <c r="DM92" i="4"/>
  <c r="DN92" i="4"/>
  <c r="DI92" i="4"/>
  <c r="DJ92" i="4" s="1"/>
  <c r="DE92" i="4"/>
  <c r="DF92" i="4"/>
  <c r="DA92" i="4"/>
  <c r="DB92" i="4" s="1"/>
  <c r="CW92" i="4"/>
  <c r="CX92" i="4"/>
  <c r="CS92" i="4"/>
  <c r="CT92" i="4" s="1"/>
  <c r="CO92" i="4"/>
  <c r="CP92" i="4"/>
  <c r="CK92" i="4"/>
  <c r="CL92" i="4" s="1"/>
  <c r="CG92" i="4"/>
  <c r="CH92" i="4"/>
  <c r="CC92" i="4"/>
  <c r="CD92" i="4" s="1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I92" i="4"/>
  <c r="GQ91" i="4"/>
  <c r="GR91" i="4"/>
  <c r="GS91" i="4"/>
  <c r="GT91" i="4"/>
  <c r="GU91" i="4"/>
  <c r="GV91" i="4"/>
  <c r="GW91" i="4"/>
  <c r="GX91" i="4"/>
  <c r="GY91" i="4"/>
  <c r="GZ91" i="4"/>
  <c r="HA91" i="4"/>
  <c r="HB91" i="4"/>
  <c r="HC91" i="4"/>
  <c r="HD91" i="4"/>
  <c r="HE91" i="4"/>
  <c r="HF91" i="4"/>
  <c r="HG91" i="4"/>
  <c r="HH91" i="4"/>
  <c r="H91" i="4"/>
  <c r="I91" i="4" s="1"/>
  <c r="BZ91" i="4"/>
  <c r="ER91" i="4"/>
  <c r="ES91" i="4" s="1"/>
  <c r="GG91" i="4" s="1"/>
  <c r="GH91" i="4" s="1"/>
  <c r="FE91" i="4"/>
  <c r="FF91" i="4" s="1"/>
  <c r="FA91" i="4"/>
  <c r="FB91" i="4" s="1"/>
  <c r="DY91" i="4"/>
  <c r="DZ91" i="4"/>
  <c r="EA91" i="4"/>
  <c r="EB91" i="4"/>
  <c r="EC91" i="4"/>
  <c r="ED91" i="4"/>
  <c r="EE91" i="4"/>
  <c r="EF91" i="4"/>
  <c r="EG91" i="4"/>
  <c r="EH91" i="4"/>
  <c r="EI91" i="4"/>
  <c r="EJ91" i="4"/>
  <c r="EK91" i="4"/>
  <c r="EL91" i="4"/>
  <c r="EM91" i="4"/>
  <c r="EN91" i="4"/>
  <c r="EO91" i="4"/>
  <c r="EP91" i="4"/>
  <c r="CA91" i="4"/>
  <c r="DO91" i="4" s="1"/>
  <c r="DP91" i="4" s="1"/>
  <c r="DQ91" i="4"/>
  <c r="DR91" i="4" s="1"/>
  <c r="DM91" i="4"/>
  <c r="DN91" i="4" s="1"/>
  <c r="DI91" i="4"/>
  <c r="DJ91" i="4" s="1"/>
  <c r="DE91" i="4"/>
  <c r="DF91" i="4" s="1"/>
  <c r="DA91" i="4"/>
  <c r="DB91" i="4" s="1"/>
  <c r="CW91" i="4"/>
  <c r="CX91" i="4" s="1"/>
  <c r="CS91" i="4"/>
  <c r="CT91" i="4" s="1"/>
  <c r="CO91" i="4"/>
  <c r="CP91" i="4" s="1"/>
  <c r="CK91" i="4"/>
  <c r="CL91" i="4" s="1"/>
  <c r="CG91" i="4"/>
  <c r="CH91" i="4" s="1"/>
  <c r="CC91" i="4"/>
  <c r="CD91" i="4" s="1"/>
  <c r="BG91" i="4"/>
  <c r="BH91" i="4"/>
  <c r="BI91" i="4"/>
  <c r="BJ91" i="4"/>
  <c r="BK91" i="4"/>
  <c r="BL91" i="4"/>
  <c r="BM91" i="4"/>
  <c r="BN91" i="4"/>
  <c r="BO91" i="4"/>
  <c r="BP91" i="4"/>
  <c r="BQ91" i="4"/>
  <c r="BR91" i="4"/>
  <c r="BS91" i="4"/>
  <c r="BT91" i="4"/>
  <c r="BU91" i="4"/>
  <c r="BV91" i="4"/>
  <c r="BW91" i="4"/>
  <c r="BX91" i="4"/>
  <c r="AW91" i="4"/>
  <c r="AX91" i="4" s="1"/>
  <c r="AS91" i="4"/>
  <c r="AT91" i="4" s="1"/>
  <c r="AO91" i="4"/>
  <c r="AP91" i="4" s="1"/>
  <c r="AK91" i="4"/>
  <c r="AL91" i="4" s="1"/>
  <c r="AG91" i="4"/>
  <c r="AH91" i="4" s="1"/>
  <c r="AC91" i="4"/>
  <c r="AD91" i="4" s="1"/>
  <c r="Y91" i="4"/>
  <c r="Z91" i="4" s="1"/>
  <c r="U91" i="4"/>
  <c r="V91" i="4" s="1"/>
  <c r="Q91" i="4"/>
  <c r="R91" i="4" s="1"/>
  <c r="M91" i="4"/>
  <c r="N91" i="4" s="1"/>
  <c r="J91" i="4"/>
  <c r="GQ90" i="4"/>
  <c r="GR90" i="4"/>
  <c r="GS90" i="4"/>
  <c r="GT90" i="4"/>
  <c r="GU90" i="4"/>
  <c r="GV90" i="4"/>
  <c r="GW90" i="4"/>
  <c r="GX90" i="4"/>
  <c r="GY90" i="4"/>
  <c r="GZ90" i="4"/>
  <c r="HA90" i="4"/>
  <c r="HB90" i="4"/>
  <c r="HC90" i="4"/>
  <c r="HD90" i="4"/>
  <c r="HE90" i="4"/>
  <c r="HF90" i="4"/>
  <c r="HG90" i="4"/>
  <c r="HH90" i="4"/>
  <c r="H90" i="4"/>
  <c r="I90" i="4" s="1"/>
  <c r="BZ90" i="4"/>
  <c r="ER90" i="4" s="1"/>
  <c r="ES90" i="4" s="1"/>
  <c r="DY90" i="4"/>
  <c r="DZ90" i="4"/>
  <c r="EA90" i="4"/>
  <c r="EB90" i="4"/>
  <c r="EC90" i="4"/>
  <c r="ED90" i="4"/>
  <c r="EE90" i="4"/>
  <c r="EF90" i="4"/>
  <c r="EG90" i="4"/>
  <c r="EH90" i="4"/>
  <c r="EI90" i="4"/>
  <c r="EJ90" i="4"/>
  <c r="EK90" i="4"/>
  <c r="EL90" i="4"/>
  <c r="EM90" i="4"/>
  <c r="EN90" i="4"/>
  <c r="EO90" i="4"/>
  <c r="EP90" i="4"/>
  <c r="CA90" i="4"/>
  <c r="BG90" i="4"/>
  <c r="BH90" i="4"/>
  <c r="BI90" i="4"/>
  <c r="BJ90" i="4"/>
  <c r="BK90" i="4"/>
  <c r="BL90" i="4"/>
  <c r="BM90" i="4"/>
  <c r="BN90" i="4"/>
  <c r="BO90" i="4"/>
  <c r="BP90" i="4"/>
  <c r="BQ90" i="4"/>
  <c r="BR90" i="4"/>
  <c r="BS90" i="4"/>
  <c r="BT90" i="4"/>
  <c r="BU90" i="4"/>
  <c r="BV90" i="4"/>
  <c r="BW90" i="4"/>
  <c r="BX90" i="4"/>
  <c r="GQ89" i="4"/>
  <c r="GR89" i="4"/>
  <c r="GS89" i="4"/>
  <c r="GT89" i="4"/>
  <c r="GU89" i="4"/>
  <c r="GV89" i="4"/>
  <c r="GW89" i="4"/>
  <c r="GX89" i="4"/>
  <c r="GY89" i="4"/>
  <c r="GZ89" i="4"/>
  <c r="HA89" i="4"/>
  <c r="HB89" i="4"/>
  <c r="HC89" i="4"/>
  <c r="HD89" i="4"/>
  <c r="HE89" i="4"/>
  <c r="HF89" i="4"/>
  <c r="HG89" i="4"/>
  <c r="HH89" i="4"/>
  <c r="H89" i="4"/>
  <c r="DY89" i="4"/>
  <c r="DZ89" i="4"/>
  <c r="EA89" i="4"/>
  <c r="EB89" i="4"/>
  <c r="EC89" i="4"/>
  <c r="ED89" i="4"/>
  <c r="EE89" i="4"/>
  <c r="EF89" i="4"/>
  <c r="EG89" i="4"/>
  <c r="EH89" i="4"/>
  <c r="EI89" i="4"/>
  <c r="EJ89" i="4"/>
  <c r="EK89" i="4"/>
  <c r="EL89" i="4"/>
  <c r="EM89" i="4"/>
  <c r="EN89" i="4"/>
  <c r="EO89" i="4"/>
  <c r="EP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GQ88" i="4"/>
  <c r="GR88" i="4"/>
  <c r="GS88" i="4"/>
  <c r="GT88" i="4"/>
  <c r="GU88" i="4"/>
  <c r="GV88" i="4"/>
  <c r="GW88" i="4"/>
  <c r="GX88" i="4"/>
  <c r="GY88" i="4"/>
  <c r="GZ88" i="4"/>
  <c r="HA88" i="4"/>
  <c r="HB88" i="4"/>
  <c r="HC88" i="4"/>
  <c r="HD88" i="4"/>
  <c r="HE88" i="4"/>
  <c r="HF88" i="4"/>
  <c r="HG88" i="4"/>
  <c r="HH88" i="4"/>
  <c r="H88" i="4"/>
  <c r="BZ88" i="4"/>
  <c r="ER88" i="4"/>
  <c r="ES88" i="4"/>
  <c r="DY88" i="4"/>
  <c r="DZ88" i="4"/>
  <c r="EA88" i="4"/>
  <c r="EB88" i="4"/>
  <c r="EC88" i="4"/>
  <c r="ED88" i="4"/>
  <c r="EE88" i="4"/>
  <c r="EF88" i="4"/>
  <c r="EG88" i="4"/>
  <c r="EH88" i="4"/>
  <c r="EI88" i="4"/>
  <c r="EJ88" i="4"/>
  <c r="EK88" i="4"/>
  <c r="EL88" i="4"/>
  <c r="EM88" i="4"/>
  <c r="EN88" i="4"/>
  <c r="EO88" i="4"/>
  <c r="EP88" i="4"/>
  <c r="CA88" i="4"/>
  <c r="DO88" i="4" s="1"/>
  <c r="DP88" i="4" s="1"/>
  <c r="DQ88" i="4"/>
  <c r="DR88" i="4"/>
  <c r="DM88" i="4"/>
  <c r="DN88" i="4"/>
  <c r="DI88" i="4"/>
  <c r="DJ88" i="4"/>
  <c r="DE88" i="4"/>
  <c r="DF88" i="4"/>
  <c r="DA88" i="4"/>
  <c r="DB88" i="4"/>
  <c r="CW88" i="4"/>
  <c r="CX88" i="4"/>
  <c r="CS88" i="4"/>
  <c r="CT88" i="4"/>
  <c r="CO88" i="4"/>
  <c r="CP88" i="4"/>
  <c r="CK88" i="4"/>
  <c r="CL88" i="4"/>
  <c r="CG88" i="4"/>
  <c r="CH88" i="4"/>
  <c r="CC88" i="4"/>
  <c r="CD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I88" i="4"/>
  <c r="GQ87" i="4"/>
  <c r="GR87" i="4"/>
  <c r="GS87" i="4"/>
  <c r="GT87" i="4"/>
  <c r="GU87" i="4"/>
  <c r="GV87" i="4"/>
  <c r="GW87" i="4"/>
  <c r="GX87" i="4"/>
  <c r="GY87" i="4"/>
  <c r="GZ87" i="4"/>
  <c r="HA87" i="4"/>
  <c r="HB87" i="4"/>
  <c r="HC87" i="4"/>
  <c r="HD87" i="4"/>
  <c r="HE87" i="4"/>
  <c r="HF87" i="4"/>
  <c r="HG87" i="4"/>
  <c r="HH87" i="4"/>
  <c r="H87" i="4"/>
  <c r="I87" i="4" s="1"/>
  <c r="AK87" i="4" s="1"/>
  <c r="AL87" i="4" s="1"/>
  <c r="BZ87" i="4"/>
  <c r="ER87" i="4"/>
  <c r="ES87" i="4" s="1"/>
  <c r="GG87" i="4" s="1"/>
  <c r="GH87" i="4" s="1"/>
  <c r="GC87" i="4"/>
  <c r="GD87" i="4" s="1"/>
  <c r="FY87" i="4"/>
  <c r="FZ87" i="4" s="1"/>
  <c r="FU87" i="4"/>
  <c r="FV87" i="4" s="1"/>
  <c r="FM87" i="4"/>
  <c r="FN87" i="4" s="1"/>
  <c r="FI87" i="4"/>
  <c r="FJ87" i="4" s="1"/>
  <c r="FE87" i="4"/>
  <c r="FF87" i="4" s="1"/>
  <c r="EW87" i="4"/>
  <c r="EX87" i="4" s="1"/>
  <c r="ET87" i="4"/>
  <c r="DY87" i="4"/>
  <c r="DZ87" i="4"/>
  <c r="EA87" i="4"/>
  <c r="EB87" i="4"/>
  <c r="EC87" i="4"/>
  <c r="ED87" i="4"/>
  <c r="EE87" i="4"/>
  <c r="EF87" i="4"/>
  <c r="EG87" i="4"/>
  <c r="EH87" i="4"/>
  <c r="EI87" i="4"/>
  <c r="EJ87" i="4"/>
  <c r="EK87" i="4"/>
  <c r="EL87" i="4"/>
  <c r="EM87" i="4"/>
  <c r="EN87" i="4"/>
  <c r="EO87" i="4"/>
  <c r="EP87" i="4"/>
  <c r="CA87" i="4"/>
  <c r="DO87" i="4" s="1"/>
  <c r="DP87" i="4" s="1"/>
  <c r="DQ87" i="4"/>
  <c r="DR87" i="4" s="1"/>
  <c r="DM87" i="4"/>
  <c r="DN87" i="4" s="1"/>
  <c r="DI87" i="4"/>
  <c r="DJ87" i="4" s="1"/>
  <c r="DE87" i="4"/>
  <c r="DF87" i="4" s="1"/>
  <c r="DA87" i="4"/>
  <c r="DB87" i="4" s="1"/>
  <c r="CW87" i="4"/>
  <c r="CX87" i="4" s="1"/>
  <c r="CS87" i="4"/>
  <c r="CT87" i="4" s="1"/>
  <c r="CO87" i="4"/>
  <c r="CP87" i="4" s="1"/>
  <c r="CK87" i="4"/>
  <c r="CL87" i="4" s="1"/>
  <c r="CG87" i="4"/>
  <c r="CH87" i="4" s="1"/>
  <c r="CC87" i="4"/>
  <c r="CD87" i="4" s="1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Y87" i="4"/>
  <c r="Z87" i="4" s="1"/>
  <c r="GQ86" i="4"/>
  <c r="GR86" i="4"/>
  <c r="GS86" i="4"/>
  <c r="GT86" i="4"/>
  <c r="GU86" i="4"/>
  <c r="GV86" i="4"/>
  <c r="GW86" i="4"/>
  <c r="GX86" i="4"/>
  <c r="GY86" i="4"/>
  <c r="GZ86" i="4"/>
  <c r="HA86" i="4"/>
  <c r="HB86" i="4"/>
  <c r="HC86" i="4"/>
  <c r="HD86" i="4"/>
  <c r="HE86" i="4"/>
  <c r="HF86" i="4"/>
  <c r="HG86" i="4"/>
  <c r="HH86" i="4"/>
  <c r="H86" i="4"/>
  <c r="BZ86" i="4"/>
  <c r="DY86" i="4"/>
  <c r="DZ86" i="4"/>
  <c r="EA86" i="4"/>
  <c r="EB86" i="4"/>
  <c r="EC86" i="4"/>
  <c r="ED86" i="4"/>
  <c r="EE86" i="4"/>
  <c r="EF86" i="4"/>
  <c r="EG86" i="4"/>
  <c r="EH86" i="4"/>
  <c r="EI86" i="4"/>
  <c r="EJ86" i="4"/>
  <c r="EK86" i="4"/>
  <c r="EL86" i="4"/>
  <c r="EM86" i="4"/>
  <c r="EN86" i="4"/>
  <c r="EO86" i="4"/>
  <c r="EP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I86" i="4"/>
  <c r="AW86" i="4" s="1"/>
  <c r="AX86" i="4" s="1"/>
  <c r="AY86" i="4"/>
  <c r="AZ86" i="4"/>
  <c r="AU86" i="4"/>
  <c r="AV86" i="4"/>
  <c r="AQ86" i="4"/>
  <c r="AR86" i="4"/>
  <c r="AM86" i="4"/>
  <c r="AN86" i="4"/>
  <c r="AI86" i="4"/>
  <c r="AJ86" i="4"/>
  <c r="AE86" i="4"/>
  <c r="AF86" i="4"/>
  <c r="AA86" i="4"/>
  <c r="AB86" i="4"/>
  <c r="W86" i="4"/>
  <c r="X86" i="4"/>
  <c r="S86" i="4"/>
  <c r="T86" i="4"/>
  <c r="O86" i="4"/>
  <c r="P86" i="4"/>
  <c r="K86" i="4"/>
  <c r="L86" i="4"/>
  <c r="GQ85" i="4"/>
  <c r="GR85" i="4"/>
  <c r="GS85" i="4"/>
  <c r="GT85" i="4"/>
  <c r="GU85" i="4"/>
  <c r="GV85" i="4"/>
  <c r="GW85" i="4"/>
  <c r="GX85" i="4"/>
  <c r="GY85" i="4"/>
  <c r="GZ85" i="4"/>
  <c r="HA85" i="4"/>
  <c r="HB85" i="4"/>
  <c r="HC85" i="4"/>
  <c r="HD85" i="4"/>
  <c r="HE85" i="4"/>
  <c r="HF85" i="4"/>
  <c r="HG85" i="4"/>
  <c r="HH85" i="4"/>
  <c r="H85" i="4"/>
  <c r="BZ85" i="4" s="1"/>
  <c r="DY85" i="4"/>
  <c r="DZ85" i="4"/>
  <c r="EA85" i="4"/>
  <c r="EB85" i="4"/>
  <c r="EC85" i="4"/>
  <c r="ED85" i="4"/>
  <c r="EE85" i="4"/>
  <c r="EF85" i="4"/>
  <c r="EG85" i="4"/>
  <c r="EH85" i="4"/>
  <c r="EI85" i="4"/>
  <c r="EJ85" i="4"/>
  <c r="EK85" i="4"/>
  <c r="EL85" i="4"/>
  <c r="EM85" i="4"/>
  <c r="EN85" i="4"/>
  <c r="EO85" i="4"/>
  <c r="EP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I85" i="4"/>
  <c r="AU85" i="4"/>
  <c r="AV85" i="4" s="1"/>
  <c r="AM85" i="4"/>
  <c r="AN85" i="4" s="1"/>
  <c r="AE85" i="4"/>
  <c r="AF85" i="4" s="1"/>
  <c r="W85" i="4"/>
  <c r="X85" i="4" s="1"/>
  <c r="O85" i="4"/>
  <c r="P85" i="4" s="1"/>
  <c r="GQ84" i="4"/>
  <c r="GR84" i="4"/>
  <c r="GS84" i="4"/>
  <c r="GT84" i="4"/>
  <c r="GU84" i="4"/>
  <c r="GV84" i="4"/>
  <c r="GW84" i="4"/>
  <c r="GX84" i="4"/>
  <c r="GY84" i="4"/>
  <c r="GZ84" i="4"/>
  <c r="HA84" i="4"/>
  <c r="HB84" i="4"/>
  <c r="HC84" i="4"/>
  <c r="HD84" i="4"/>
  <c r="HE84" i="4"/>
  <c r="HF84" i="4"/>
  <c r="HG84" i="4"/>
  <c r="HH84" i="4"/>
  <c r="H84" i="4"/>
  <c r="BZ84" i="4"/>
  <c r="ER84" i="4"/>
  <c r="ES84" i="4"/>
  <c r="GG84" i="4"/>
  <c r="GH84" i="4" s="1"/>
  <c r="GC84" i="4"/>
  <c r="GD84" i="4" s="1"/>
  <c r="FQ84" i="4"/>
  <c r="FR84" i="4" s="1"/>
  <c r="FM84" i="4"/>
  <c r="FN84" i="4"/>
  <c r="FA84" i="4"/>
  <c r="FB84" i="4" s="1"/>
  <c r="EW84" i="4"/>
  <c r="EX84" i="4" s="1"/>
  <c r="DY84" i="4"/>
  <c r="DZ84" i="4"/>
  <c r="EA84" i="4"/>
  <c r="EB84" i="4"/>
  <c r="EC84" i="4"/>
  <c r="ED84" i="4"/>
  <c r="EE84" i="4"/>
  <c r="EF84" i="4"/>
  <c r="EG84" i="4"/>
  <c r="EH84" i="4"/>
  <c r="EI84" i="4"/>
  <c r="EJ84" i="4"/>
  <c r="EK84" i="4"/>
  <c r="EL84" i="4"/>
  <c r="EM84" i="4"/>
  <c r="EN84" i="4"/>
  <c r="EO84" i="4"/>
  <c r="EP84" i="4"/>
  <c r="CA84" i="4"/>
  <c r="DQ84" i="4" s="1"/>
  <c r="DR84" i="4" s="1"/>
  <c r="DM84" i="4"/>
  <c r="DN84" i="4" s="1"/>
  <c r="DI84" i="4"/>
  <c r="DJ84" i="4" s="1"/>
  <c r="DE84" i="4"/>
  <c r="DF84" i="4"/>
  <c r="CW84" i="4"/>
  <c r="CX84" i="4" s="1"/>
  <c r="CS84" i="4"/>
  <c r="CT84" i="4" s="1"/>
  <c r="CO84" i="4"/>
  <c r="CP84" i="4" s="1"/>
  <c r="CG84" i="4"/>
  <c r="CH84" i="4" s="1"/>
  <c r="CC84" i="4"/>
  <c r="CD84" i="4" s="1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I84" i="4"/>
  <c r="AO84" i="4"/>
  <c r="AP84" i="4" s="1"/>
  <c r="AK84" i="4"/>
  <c r="AL84" i="4" s="1"/>
  <c r="Y84" i="4"/>
  <c r="Z84" i="4" s="1"/>
  <c r="U84" i="4"/>
  <c r="V84" i="4" s="1"/>
  <c r="J84" i="4"/>
  <c r="GQ83" i="4"/>
  <c r="GR83" i="4"/>
  <c r="GS83" i="4"/>
  <c r="GT83" i="4"/>
  <c r="GU83" i="4"/>
  <c r="GV83" i="4"/>
  <c r="GW83" i="4"/>
  <c r="GX83" i="4"/>
  <c r="GY83" i="4"/>
  <c r="GZ83" i="4"/>
  <c r="HA83" i="4"/>
  <c r="HB83" i="4"/>
  <c r="HC83" i="4"/>
  <c r="HD83" i="4"/>
  <c r="HE83" i="4"/>
  <c r="HF83" i="4"/>
  <c r="HG83" i="4"/>
  <c r="HH83" i="4"/>
  <c r="H83" i="4"/>
  <c r="I83" i="4" s="1"/>
  <c r="AW83" i="4" s="1"/>
  <c r="AX83" i="4" s="1"/>
  <c r="DY83" i="4"/>
  <c r="DZ83" i="4"/>
  <c r="EA83" i="4"/>
  <c r="EB83" i="4"/>
  <c r="EC83" i="4"/>
  <c r="ED83" i="4"/>
  <c r="EE83" i="4"/>
  <c r="EF83" i="4"/>
  <c r="EG83" i="4"/>
  <c r="EH83" i="4"/>
  <c r="EI83" i="4"/>
  <c r="EJ83" i="4"/>
  <c r="EK83" i="4"/>
  <c r="EL83" i="4"/>
  <c r="EM83" i="4"/>
  <c r="EN83" i="4"/>
  <c r="EO83" i="4"/>
  <c r="EP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AS83" i="4"/>
  <c r="AT83" i="4" s="1"/>
  <c r="AK83" i="4"/>
  <c r="AL83" i="4" s="1"/>
  <c r="AC83" i="4"/>
  <c r="AD83" i="4" s="1"/>
  <c r="U83" i="4"/>
  <c r="V83" i="4" s="1"/>
  <c r="M83" i="4"/>
  <c r="N83" i="4" s="1"/>
  <c r="GQ82" i="4"/>
  <c r="GR82" i="4"/>
  <c r="GS82" i="4"/>
  <c r="GT82" i="4"/>
  <c r="GU82" i="4"/>
  <c r="GV82" i="4"/>
  <c r="GW82" i="4"/>
  <c r="GX82" i="4"/>
  <c r="GY82" i="4"/>
  <c r="GZ82" i="4"/>
  <c r="HA82" i="4"/>
  <c r="HB82" i="4"/>
  <c r="HC82" i="4"/>
  <c r="HD82" i="4"/>
  <c r="HE82" i="4"/>
  <c r="HF82" i="4"/>
  <c r="HG82" i="4"/>
  <c r="HH82" i="4"/>
  <c r="H82" i="4"/>
  <c r="I82" i="4" s="1"/>
  <c r="DY82" i="4"/>
  <c r="DZ82" i="4"/>
  <c r="EA82" i="4"/>
  <c r="EB82" i="4"/>
  <c r="EC82" i="4"/>
  <c r="ED82" i="4"/>
  <c r="EE82" i="4"/>
  <c r="EF82" i="4"/>
  <c r="EG82" i="4"/>
  <c r="EH82" i="4"/>
  <c r="EI82" i="4"/>
  <c r="EJ82" i="4"/>
  <c r="EK82" i="4"/>
  <c r="EL82" i="4"/>
  <c r="EM82" i="4"/>
  <c r="EN82" i="4"/>
  <c r="EO82" i="4"/>
  <c r="EP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AY82" i="4"/>
  <c r="AZ82" i="4" s="1"/>
  <c r="AU82" i="4"/>
  <c r="AV82" i="4" s="1"/>
  <c r="AQ82" i="4"/>
  <c r="AR82" i="4" s="1"/>
  <c r="AM82" i="4"/>
  <c r="AN82" i="4" s="1"/>
  <c r="AI82" i="4"/>
  <c r="AJ82" i="4"/>
  <c r="AE82" i="4"/>
  <c r="AF82" i="4" s="1"/>
  <c r="AA82" i="4"/>
  <c r="AB82" i="4"/>
  <c r="W82" i="4"/>
  <c r="X82" i="4" s="1"/>
  <c r="S82" i="4"/>
  <c r="T82" i="4" s="1"/>
  <c r="O82" i="4"/>
  <c r="P82" i="4" s="1"/>
  <c r="K82" i="4"/>
  <c r="L82" i="4" s="1"/>
  <c r="GQ81" i="4"/>
  <c r="GR81" i="4"/>
  <c r="GS81" i="4"/>
  <c r="GT81" i="4"/>
  <c r="GU81" i="4"/>
  <c r="GV81" i="4"/>
  <c r="GW81" i="4"/>
  <c r="GX81" i="4"/>
  <c r="GY81" i="4"/>
  <c r="GZ81" i="4"/>
  <c r="HA81" i="4"/>
  <c r="HB81" i="4"/>
  <c r="HC81" i="4"/>
  <c r="HD81" i="4"/>
  <c r="HE81" i="4"/>
  <c r="HF81" i="4"/>
  <c r="HG81" i="4"/>
  <c r="HH81" i="4"/>
  <c r="H81" i="4"/>
  <c r="BZ81" i="4" s="1"/>
  <c r="DY81" i="4"/>
  <c r="DZ81" i="4"/>
  <c r="EA81" i="4"/>
  <c r="EB81" i="4"/>
  <c r="EC81" i="4"/>
  <c r="ED81" i="4"/>
  <c r="EE81" i="4"/>
  <c r="EF81" i="4"/>
  <c r="EG81" i="4"/>
  <c r="EH81" i="4"/>
  <c r="EI81" i="4"/>
  <c r="EJ81" i="4"/>
  <c r="EK81" i="4"/>
  <c r="EL81" i="4"/>
  <c r="EM81" i="4"/>
  <c r="EN81" i="4"/>
  <c r="EO81" i="4"/>
  <c r="EP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GQ80" i="4"/>
  <c r="GR80" i="4"/>
  <c r="GS80" i="4"/>
  <c r="GT80" i="4"/>
  <c r="GU80" i="4"/>
  <c r="GV80" i="4"/>
  <c r="GW80" i="4"/>
  <c r="GX80" i="4"/>
  <c r="GY80" i="4"/>
  <c r="GZ80" i="4"/>
  <c r="HA80" i="4"/>
  <c r="HB80" i="4"/>
  <c r="HC80" i="4"/>
  <c r="HD80" i="4"/>
  <c r="HE80" i="4"/>
  <c r="HF80" i="4"/>
  <c r="HG80" i="4"/>
  <c r="HH80" i="4"/>
  <c r="H80" i="4"/>
  <c r="BZ80" i="4" s="1"/>
  <c r="DY80" i="4"/>
  <c r="DZ80" i="4"/>
  <c r="EA80" i="4"/>
  <c r="EB80" i="4"/>
  <c r="EC80" i="4"/>
  <c r="ED80" i="4"/>
  <c r="EE80" i="4"/>
  <c r="EF80" i="4"/>
  <c r="EG80" i="4"/>
  <c r="EH80" i="4"/>
  <c r="EI80" i="4"/>
  <c r="EJ80" i="4"/>
  <c r="EK80" i="4"/>
  <c r="EL80" i="4"/>
  <c r="EM80" i="4"/>
  <c r="EN80" i="4"/>
  <c r="EO80" i="4"/>
  <c r="EP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I80" i="4"/>
  <c r="AW80" i="4"/>
  <c r="AX80" i="4" s="1"/>
  <c r="AS80" i="4"/>
  <c r="AT80" i="4" s="1"/>
  <c r="AO80" i="4"/>
  <c r="AP80" i="4"/>
  <c r="AK80" i="4"/>
  <c r="AL80" i="4" s="1"/>
  <c r="AG80" i="4"/>
  <c r="AH80" i="4"/>
  <c r="AC80" i="4"/>
  <c r="AD80" i="4" s="1"/>
  <c r="Y80" i="4"/>
  <c r="Z80" i="4" s="1"/>
  <c r="U80" i="4"/>
  <c r="V80" i="4" s="1"/>
  <c r="Q80" i="4"/>
  <c r="R80" i="4" s="1"/>
  <c r="M80" i="4"/>
  <c r="N80" i="4" s="1"/>
  <c r="J80" i="4"/>
  <c r="GQ79" i="4"/>
  <c r="GR79" i="4"/>
  <c r="GS79" i="4"/>
  <c r="GT79" i="4"/>
  <c r="GU79" i="4"/>
  <c r="GV79" i="4"/>
  <c r="GW79" i="4"/>
  <c r="GX79" i="4"/>
  <c r="GY79" i="4"/>
  <c r="GZ79" i="4"/>
  <c r="HA79" i="4"/>
  <c r="HB79" i="4"/>
  <c r="HC79" i="4"/>
  <c r="HD79" i="4"/>
  <c r="HE79" i="4"/>
  <c r="HF79" i="4"/>
  <c r="HG79" i="4"/>
  <c r="HH79" i="4"/>
  <c r="H79" i="4"/>
  <c r="BZ79" i="4"/>
  <c r="CA79" i="4" s="1"/>
  <c r="ER79" i="4"/>
  <c r="ES79" i="4" s="1"/>
  <c r="FU79" i="4"/>
  <c r="FV79" i="4" s="1"/>
  <c r="FE79" i="4"/>
  <c r="FF79" i="4" s="1"/>
  <c r="DY79" i="4"/>
  <c r="DZ79" i="4"/>
  <c r="EA79" i="4"/>
  <c r="EB79" i="4"/>
  <c r="EC79" i="4"/>
  <c r="ED79" i="4"/>
  <c r="EE79" i="4"/>
  <c r="EF79" i="4"/>
  <c r="EG79" i="4"/>
  <c r="EH79" i="4"/>
  <c r="EI79" i="4"/>
  <c r="EJ79" i="4"/>
  <c r="EK79" i="4"/>
  <c r="EL79" i="4"/>
  <c r="EM79" i="4"/>
  <c r="EN79" i="4"/>
  <c r="EO79" i="4"/>
  <c r="EP79" i="4"/>
  <c r="DE79" i="4"/>
  <c r="DF79" i="4" s="1"/>
  <c r="CO79" i="4"/>
  <c r="CP79" i="4" s="1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I79" i="4"/>
  <c r="AY79" i="4" s="1"/>
  <c r="AZ79" i="4" s="1"/>
  <c r="AW79" i="4"/>
  <c r="AX79" i="4" s="1"/>
  <c r="AS79" i="4"/>
  <c r="AT79" i="4" s="1"/>
  <c r="AQ79" i="4"/>
  <c r="AR79" i="4"/>
  <c r="AO79" i="4"/>
  <c r="AP79" i="4" s="1"/>
  <c r="AM79" i="4"/>
  <c r="AN79" i="4"/>
  <c r="AK79" i="4"/>
  <c r="AL79" i="4" s="1"/>
  <c r="AI79" i="4"/>
  <c r="AJ79" i="4"/>
  <c r="AG79" i="4"/>
  <c r="AH79" i="4" s="1"/>
  <c r="AE79" i="4"/>
  <c r="AF79" i="4"/>
  <c r="AC79" i="4"/>
  <c r="AD79" i="4" s="1"/>
  <c r="AA79" i="4"/>
  <c r="AB79" i="4"/>
  <c r="Y79" i="4"/>
  <c r="Z79" i="4" s="1"/>
  <c r="W79" i="4"/>
  <c r="X79" i="4"/>
  <c r="U79" i="4"/>
  <c r="V79" i="4" s="1"/>
  <c r="S79" i="4"/>
  <c r="T79" i="4"/>
  <c r="Q79" i="4"/>
  <c r="R79" i="4" s="1"/>
  <c r="O79" i="4"/>
  <c r="P79" i="4"/>
  <c r="M79" i="4"/>
  <c r="N79" i="4" s="1"/>
  <c r="K79" i="4"/>
  <c r="L79" i="4"/>
  <c r="J79" i="4"/>
  <c r="GQ78" i="4"/>
  <c r="GR78" i="4"/>
  <c r="GS78" i="4"/>
  <c r="GT78" i="4"/>
  <c r="GU78" i="4"/>
  <c r="GV78" i="4"/>
  <c r="GW78" i="4"/>
  <c r="GX78" i="4"/>
  <c r="GY78" i="4"/>
  <c r="GZ78" i="4"/>
  <c r="HA78" i="4"/>
  <c r="HB78" i="4"/>
  <c r="HC78" i="4"/>
  <c r="HD78" i="4"/>
  <c r="HE78" i="4"/>
  <c r="HF78" i="4"/>
  <c r="HG78" i="4"/>
  <c r="HH78" i="4"/>
  <c r="H78" i="4"/>
  <c r="I78" i="4" s="1"/>
  <c r="BZ78" i="4"/>
  <c r="DY78" i="4"/>
  <c r="DZ78" i="4"/>
  <c r="EA78" i="4"/>
  <c r="EB78" i="4"/>
  <c r="EC78" i="4"/>
  <c r="ED78" i="4"/>
  <c r="EE78" i="4"/>
  <c r="EF78" i="4"/>
  <c r="EG78" i="4"/>
  <c r="EH78" i="4"/>
  <c r="EI78" i="4"/>
  <c r="EJ78" i="4"/>
  <c r="EK78" i="4"/>
  <c r="EL78" i="4"/>
  <c r="EM78" i="4"/>
  <c r="EN78" i="4"/>
  <c r="EO78" i="4"/>
  <c r="EP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AU78" i="4"/>
  <c r="AV78" i="4" s="1"/>
  <c r="AM78" i="4"/>
  <c r="AN78" i="4"/>
  <c r="AE78" i="4"/>
  <c r="AF78" i="4" s="1"/>
  <c r="W78" i="4"/>
  <c r="X78" i="4"/>
  <c r="O78" i="4"/>
  <c r="P78" i="4" s="1"/>
  <c r="GQ77" i="4"/>
  <c r="GR77" i="4"/>
  <c r="GS77" i="4"/>
  <c r="GT77" i="4"/>
  <c r="GU77" i="4"/>
  <c r="GV77" i="4"/>
  <c r="GW77" i="4"/>
  <c r="GX77" i="4"/>
  <c r="GY77" i="4"/>
  <c r="GZ77" i="4"/>
  <c r="HA77" i="4"/>
  <c r="HB77" i="4"/>
  <c r="HC77" i="4"/>
  <c r="HD77" i="4"/>
  <c r="HE77" i="4"/>
  <c r="HF77" i="4"/>
  <c r="HG77" i="4"/>
  <c r="HH77" i="4"/>
  <c r="H77" i="4"/>
  <c r="BZ77" i="4" s="1"/>
  <c r="DY77" i="4"/>
  <c r="DZ77" i="4"/>
  <c r="EA77" i="4"/>
  <c r="EB77" i="4"/>
  <c r="EC77" i="4"/>
  <c r="ED77" i="4"/>
  <c r="EE77" i="4"/>
  <c r="EF77" i="4"/>
  <c r="EG77" i="4"/>
  <c r="EH77" i="4"/>
  <c r="EI77" i="4"/>
  <c r="EJ77" i="4"/>
  <c r="EK77" i="4"/>
  <c r="EL77" i="4"/>
  <c r="EM77" i="4"/>
  <c r="EN77" i="4"/>
  <c r="EO77" i="4"/>
  <c r="EP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GQ76" i="4"/>
  <c r="GR76" i="4"/>
  <c r="GS76" i="4"/>
  <c r="GT76" i="4"/>
  <c r="GU76" i="4"/>
  <c r="GV76" i="4"/>
  <c r="GW76" i="4"/>
  <c r="GX76" i="4"/>
  <c r="GY76" i="4"/>
  <c r="GZ76" i="4"/>
  <c r="HA76" i="4"/>
  <c r="HB76" i="4"/>
  <c r="HC76" i="4"/>
  <c r="HD76" i="4"/>
  <c r="HE76" i="4"/>
  <c r="HF76" i="4"/>
  <c r="HG76" i="4"/>
  <c r="HH76" i="4"/>
  <c r="H76" i="4"/>
  <c r="BZ76" i="4" s="1"/>
  <c r="CA76" i="4" s="1"/>
  <c r="ER76" i="4"/>
  <c r="ES76" i="4" s="1"/>
  <c r="DY76" i="4"/>
  <c r="DZ76" i="4"/>
  <c r="EA76" i="4"/>
  <c r="EB76" i="4"/>
  <c r="EC76" i="4"/>
  <c r="ED76" i="4"/>
  <c r="EE76" i="4"/>
  <c r="EF76" i="4"/>
  <c r="EG76" i="4"/>
  <c r="EH76" i="4"/>
  <c r="EI76" i="4"/>
  <c r="EJ76" i="4"/>
  <c r="EK76" i="4"/>
  <c r="EL76" i="4"/>
  <c r="EM76" i="4"/>
  <c r="EN76" i="4"/>
  <c r="EO76" i="4"/>
  <c r="EP76" i="4"/>
  <c r="DQ76" i="4"/>
  <c r="DR76" i="4" s="1"/>
  <c r="DM76" i="4"/>
  <c r="DN76" i="4"/>
  <c r="DI76" i="4"/>
  <c r="DJ76" i="4" s="1"/>
  <c r="DE76" i="4"/>
  <c r="DF76" i="4"/>
  <c r="DA76" i="4"/>
  <c r="DB76" i="4" s="1"/>
  <c r="CW76" i="4"/>
  <c r="CX76" i="4"/>
  <c r="CS76" i="4"/>
  <c r="CT76" i="4" s="1"/>
  <c r="CO76" i="4"/>
  <c r="CP76" i="4"/>
  <c r="CK76" i="4"/>
  <c r="CL76" i="4" s="1"/>
  <c r="CG76" i="4"/>
  <c r="CH76" i="4"/>
  <c r="CC76" i="4"/>
  <c r="CD76" i="4" s="1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I76" i="4"/>
  <c r="AS76" i="4" s="1"/>
  <c r="AT76" i="4" s="1"/>
  <c r="AK76" i="4"/>
  <c r="AL76" i="4" s="1"/>
  <c r="U76" i="4"/>
  <c r="V76" i="4" s="1"/>
  <c r="GQ75" i="4"/>
  <c r="GR75" i="4"/>
  <c r="GS75" i="4"/>
  <c r="GT75" i="4"/>
  <c r="GU75" i="4"/>
  <c r="GV75" i="4"/>
  <c r="GW75" i="4"/>
  <c r="GX75" i="4"/>
  <c r="GY75" i="4"/>
  <c r="GZ75" i="4"/>
  <c r="HA75" i="4"/>
  <c r="HB75" i="4"/>
  <c r="HC75" i="4"/>
  <c r="HD75" i="4"/>
  <c r="HE75" i="4"/>
  <c r="HF75" i="4"/>
  <c r="HG75" i="4"/>
  <c r="HH75" i="4"/>
  <c r="H75" i="4"/>
  <c r="BZ75" i="4"/>
  <c r="ER75" i="4" s="1"/>
  <c r="ES75" i="4" s="1"/>
  <c r="FY75" i="4" s="1"/>
  <c r="FZ75" i="4" s="1"/>
  <c r="ET75" i="4"/>
  <c r="DY75" i="4"/>
  <c r="DZ75" i="4"/>
  <c r="EA75" i="4"/>
  <c r="EB75" i="4"/>
  <c r="EC75" i="4"/>
  <c r="ED75" i="4"/>
  <c r="EE75" i="4"/>
  <c r="EF75" i="4"/>
  <c r="EG75" i="4"/>
  <c r="EH75" i="4"/>
  <c r="EI75" i="4"/>
  <c r="EJ75" i="4"/>
  <c r="EK75" i="4"/>
  <c r="EL75" i="4"/>
  <c r="EM75" i="4"/>
  <c r="EN75" i="4"/>
  <c r="EO75" i="4"/>
  <c r="EP75" i="4"/>
  <c r="CA75" i="4"/>
  <c r="DQ75" i="4"/>
  <c r="DR75" i="4" s="1"/>
  <c r="DI75" i="4"/>
  <c r="DJ75" i="4" s="1"/>
  <c r="DA75" i="4"/>
  <c r="DB75" i="4" s="1"/>
  <c r="CS75" i="4"/>
  <c r="CT75" i="4" s="1"/>
  <c r="CK75" i="4"/>
  <c r="CL75" i="4" s="1"/>
  <c r="CC75" i="4"/>
  <c r="CD75" i="4" s="1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I75" i="4"/>
  <c r="AY75" i="4" s="1"/>
  <c r="AZ75" i="4" s="1"/>
  <c r="AW75" i="4"/>
  <c r="AX75" i="4" s="1"/>
  <c r="AU75" i="4"/>
  <c r="AV75" i="4"/>
  <c r="AS75" i="4"/>
  <c r="AT75" i="4" s="1"/>
  <c r="AQ75" i="4"/>
  <c r="AR75" i="4"/>
  <c r="AO75" i="4"/>
  <c r="AP75" i="4" s="1"/>
  <c r="AM75" i="4"/>
  <c r="AN75" i="4"/>
  <c r="AK75" i="4"/>
  <c r="AL75" i="4" s="1"/>
  <c r="AI75" i="4"/>
  <c r="AJ75" i="4"/>
  <c r="AG75" i="4"/>
  <c r="AH75" i="4" s="1"/>
  <c r="AE75" i="4"/>
  <c r="AF75" i="4"/>
  <c r="AC75" i="4"/>
  <c r="AD75" i="4" s="1"/>
  <c r="AA75" i="4"/>
  <c r="AB75" i="4"/>
  <c r="Y75" i="4"/>
  <c r="Z75" i="4" s="1"/>
  <c r="W75" i="4"/>
  <c r="X75" i="4"/>
  <c r="U75" i="4"/>
  <c r="V75" i="4" s="1"/>
  <c r="S75" i="4"/>
  <c r="T75" i="4"/>
  <c r="Q75" i="4"/>
  <c r="R75" i="4" s="1"/>
  <c r="O75" i="4"/>
  <c r="P75" i="4"/>
  <c r="M75" i="4"/>
  <c r="N75" i="4" s="1"/>
  <c r="K75" i="4"/>
  <c r="L75" i="4"/>
  <c r="J75" i="4"/>
  <c r="GQ74" i="4"/>
  <c r="GR74" i="4"/>
  <c r="GS74" i="4"/>
  <c r="GT74" i="4"/>
  <c r="GU74" i="4"/>
  <c r="GV74" i="4"/>
  <c r="GW74" i="4"/>
  <c r="GX74" i="4"/>
  <c r="GY74" i="4"/>
  <c r="GZ74" i="4"/>
  <c r="HA74" i="4"/>
  <c r="HB74" i="4"/>
  <c r="HC74" i="4"/>
  <c r="HD74" i="4"/>
  <c r="HE74" i="4"/>
  <c r="HF74" i="4"/>
  <c r="HG74" i="4"/>
  <c r="HH74" i="4"/>
  <c r="H74" i="4"/>
  <c r="I74" i="4" s="1"/>
  <c r="BZ74" i="4"/>
  <c r="ER74" i="4" s="1"/>
  <c r="ES74" i="4" s="1"/>
  <c r="DY74" i="4"/>
  <c r="DZ74" i="4"/>
  <c r="EA74" i="4"/>
  <c r="EB74" i="4"/>
  <c r="EC74" i="4"/>
  <c r="ED74" i="4"/>
  <c r="EE74" i="4"/>
  <c r="EF74" i="4"/>
  <c r="EG74" i="4"/>
  <c r="EH74" i="4"/>
  <c r="EI74" i="4"/>
  <c r="EJ74" i="4"/>
  <c r="EK74" i="4"/>
  <c r="EL74" i="4"/>
  <c r="EM74" i="4"/>
  <c r="EN74" i="4"/>
  <c r="EO74" i="4"/>
  <c r="EP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AY74" i="4"/>
  <c r="AZ74" i="4" s="1"/>
  <c r="AU74" i="4"/>
  <c r="AV74" i="4"/>
  <c r="AQ74" i="4"/>
  <c r="AR74" i="4" s="1"/>
  <c r="AM74" i="4"/>
  <c r="AN74" i="4"/>
  <c r="AI74" i="4"/>
  <c r="AJ74" i="4" s="1"/>
  <c r="AE74" i="4"/>
  <c r="AF74" i="4"/>
  <c r="AA74" i="4"/>
  <c r="AB74" i="4" s="1"/>
  <c r="W74" i="4"/>
  <c r="X74" i="4"/>
  <c r="S74" i="4"/>
  <c r="T74" i="4" s="1"/>
  <c r="O74" i="4"/>
  <c r="P74" i="4"/>
  <c r="K74" i="4"/>
  <c r="L74" i="4" s="1"/>
  <c r="GQ73" i="4"/>
  <c r="GR73" i="4"/>
  <c r="GS73" i="4"/>
  <c r="GT73" i="4"/>
  <c r="GU73" i="4"/>
  <c r="GV73" i="4"/>
  <c r="GW73" i="4"/>
  <c r="GX73" i="4"/>
  <c r="GY73" i="4"/>
  <c r="GZ73" i="4"/>
  <c r="HA73" i="4"/>
  <c r="HB73" i="4"/>
  <c r="HC73" i="4"/>
  <c r="HD73" i="4"/>
  <c r="HE73" i="4"/>
  <c r="HF73" i="4"/>
  <c r="HG73" i="4"/>
  <c r="HH73" i="4"/>
  <c r="H73" i="4"/>
  <c r="DY73" i="4"/>
  <c r="DZ73" i="4"/>
  <c r="EA73" i="4"/>
  <c r="EB73" i="4"/>
  <c r="EC73" i="4"/>
  <c r="ED73" i="4"/>
  <c r="EE73" i="4"/>
  <c r="EF73" i="4"/>
  <c r="EG73" i="4"/>
  <c r="EH73" i="4"/>
  <c r="EI73" i="4"/>
  <c r="EJ73" i="4"/>
  <c r="EK73" i="4"/>
  <c r="EL73" i="4"/>
  <c r="EM73" i="4"/>
  <c r="EN73" i="4"/>
  <c r="EO73" i="4"/>
  <c r="EP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GQ72" i="4"/>
  <c r="GR72" i="4"/>
  <c r="GS72" i="4"/>
  <c r="GT72" i="4"/>
  <c r="GU72" i="4"/>
  <c r="GV72" i="4"/>
  <c r="GW72" i="4"/>
  <c r="GX72" i="4"/>
  <c r="GY72" i="4"/>
  <c r="GZ72" i="4"/>
  <c r="HA72" i="4"/>
  <c r="HB72" i="4"/>
  <c r="HC72" i="4"/>
  <c r="HD72" i="4"/>
  <c r="HE72" i="4"/>
  <c r="HF72" i="4"/>
  <c r="HG72" i="4"/>
  <c r="HH72" i="4"/>
  <c r="H72" i="4"/>
  <c r="BZ72" i="4"/>
  <c r="ER72" i="4"/>
  <c r="ES72" i="4" s="1"/>
  <c r="DY72" i="4"/>
  <c r="DZ72" i="4"/>
  <c r="EA72" i="4"/>
  <c r="EB72" i="4"/>
  <c r="EC72" i="4"/>
  <c r="ED72" i="4"/>
  <c r="EE72" i="4"/>
  <c r="EF72" i="4"/>
  <c r="EG72" i="4"/>
  <c r="EH72" i="4"/>
  <c r="EI72" i="4"/>
  <c r="EJ72" i="4"/>
  <c r="EK72" i="4"/>
  <c r="EL72" i="4"/>
  <c r="EM72" i="4"/>
  <c r="EN72" i="4"/>
  <c r="EO72" i="4"/>
  <c r="EP72" i="4"/>
  <c r="CA72" i="4"/>
  <c r="DO72" i="4" s="1"/>
  <c r="DP72" i="4" s="1"/>
  <c r="DQ72" i="4"/>
  <c r="DR72" i="4" s="1"/>
  <c r="DM72" i="4"/>
  <c r="DN72" i="4" s="1"/>
  <c r="DK72" i="4"/>
  <c r="DL72" i="4" s="1"/>
  <c r="DI72" i="4"/>
  <c r="DJ72" i="4"/>
  <c r="DG72" i="4"/>
  <c r="DH72" i="4" s="1"/>
  <c r="DE72" i="4"/>
  <c r="DF72" i="4" s="1"/>
  <c r="DC72" i="4"/>
  <c r="DD72" i="4" s="1"/>
  <c r="DA72" i="4"/>
  <c r="DB72" i="4" s="1"/>
  <c r="CY72" i="4"/>
  <c r="CZ72" i="4" s="1"/>
  <c r="CW72" i="4"/>
  <c r="CX72" i="4"/>
  <c r="CU72" i="4"/>
  <c r="CV72" i="4" s="1"/>
  <c r="CS72" i="4"/>
  <c r="CT72" i="4"/>
  <c r="CQ72" i="4"/>
  <c r="CR72" i="4" s="1"/>
  <c r="CO72" i="4"/>
  <c r="CP72" i="4" s="1"/>
  <c r="CM72" i="4"/>
  <c r="CN72" i="4" s="1"/>
  <c r="CK72" i="4"/>
  <c r="CL72" i="4" s="1"/>
  <c r="CI72" i="4"/>
  <c r="CJ72" i="4" s="1"/>
  <c r="CG72" i="4"/>
  <c r="CH72" i="4" s="1"/>
  <c r="CE72" i="4"/>
  <c r="CF72" i="4" s="1"/>
  <c r="CC72" i="4"/>
  <c r="CD72" i="4"/>
  <c r="CB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I72" i="4"/>
  <c r="GQ71" i="4"/>
  <c r="GR71" i="4"/>
  <c r="GS71" i="4"/>
  <c r="GT71" i="4"/>
  <c r="GU71" i="4"/>
  <c r="GV71" i="4"/>
  <c r="GW71" i="4"/>
  <c r="GX71" i="4"/>
  <c r="GY71" i="4"/>
  <c r="GZ71" i="4"/>
  <c r="HA71" i="4"/>
  <c r="HB71" i="4"/>
  <c r="HC71" i="4"/>
  <c r="HD71" i="4"/>
  <c r="HE71" i="4"/>
  <c r="HF71" i="4"/>
  <c r="HG71" i="4"/>
  <c r="HH71" i="4"/>
  <c r="H71" i="4"/>
  <c r="BZ71" i="4"/>
  <c r="DY71" i="4"/>
  <c r="DZ71" i="4"/>
  <c r="EA71" i="4"/>
  <c r="EB71" i="4"/>
  <c r="EC71" i="4"/>
  <c r="ED71" i="4"/>
  <c r="EE71" i="4"/>
  <c r="EF71" i="4"/>
  <c r="EG71" i="4"/>
  <c r="EH71" i="4"/>
  <c r="EI71" i="4"/>
  <c r="EJ71" i="4"/>
  <c r="EK71" i="4"/>
  <c r="EL71" i="4"/>
  <c r="EM71" i="4"/>
  <c r="EN71" i="4"/>
  <c r="EO71" i="4"/>
  <c r="EP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I71" i="4"/>
  <c r="AS71" i="4" s="1"/>
  <c r="AT71" i="4" s="1"/>
  <c r="GQ70" i="4"/>
  <c r="GR70" i="4"/>
  <c r="GS70" i="4"/>
  <c r="GT70" i="4"/>
  <c r="GU70" i="4"/>
  <c r="GV70" i="4"/>
  <c r="GW70" i="4"/>
  <c r="GX70" i="4"/>
  <c r="GY70" i="4"/>
  <c r="GZ70" i="4"/>
  <c r="HA70" i="4"/>
  <c r="HB70" i="4"/>
  <c r="HC70" i="4"/>
  <c r="HD70" i="4"/>
  <c r="HE70" i="4"/>
  <c r="HF70" i="4"/>
  <c r="HG70" i="4"/>
  <c r="HH70" i="4"/>
  <c r="H70" i="4"/>
  <c r="I70" i="4" s="1"/>
  <c r="DY70" i="4"/>
  <c r="DZ70" i="4"/>
  <c r="EA70" i="4"/>
  <c r="EB70" i="4"/>
  <c r="EC70" i="4"/>
  <c r="ED70" i="4"/>
  <c r="EE70" i="4"/>
  <c r="EF70" i="4"/>
  <c r="EG70" i="4"/>
  <c r="EH70" i="4"/>
  <c r="EI70" i="4"/>
  <c r="EJ70" i="4"/>
  <c r="EK70" i="4"/>
  <c r="EL70" i="4"/>
  <c r="EM70" i="4"/>
  <c r="EN70" i="4"/>
  <c r="EO70" i="4"/>
  <c r="EP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AY70" i="4"/>
  <c r="AZ70" i="4" s="1"/>
  <c r="AU70" i="4"/>
  <c r="AV70" i="4" s="1"/>
  <c r="AQ70" i="4"/>
  <c r="AR70" i="4" s="1"/>
  <c r="AM70" i="4"/>
  <c r="AN70" i="4"/>
  <c r="AI70" i="4"/>
  <c r="AJ70" i="4" s="1"/>
  <c r="AE70" i="4"/>
  <c r="AF70" i="4"/>
  <c r="AA70" i="4"/>
  <c r="AB70" i="4" s="1"/>
  <c r="W70" i="4"/>
  <c r="X70" i="4" s="1"/>
  <c r="S70" i="4"/>
  <c r="T70" i="4" s="1"/>
  <c r="O70" i="4"/>
  <c r="P70" i="4" s="1"/>
  <c r="K70" i="4"/>
  <c r="L70" i="4" s="1"/>
  <c r="GQ69" i="4"/>
  <c r="GR69" i="4"/>
  <c r="GS69" i="4"/>
  <c r="GT69" i="4"/>
  <c r="GU69" i="4"/>
  <c r="GV69" i="4"/>
  <c r="GW69" i="4"/>
  <c r="GX69" i="4"/>
  <c r="GY69" i="4"/>
  <c r="GZ69" i="4"/>
  <c r="HA69" i="4"/>
  <c r="HB69" i="4"/>
  <c r="HC69" i="4"/>
  <c r="HD69" i="4"/>
  <c r="HE69" i="4"/>
  <c r="HF69" i="4"/>
  <c r="HG69" i="4"/>
  <c r="HH69" i="4"/>
  <c r="H69" i="4"/>
  <c r="DY69" i="4"/>
  <c r="DZ69" i="4"/>
  <c r="EA69" i="4"/>
  <c r="EB69" i="4"/>
  <c r="EC69" i="4"/>
  <c r="ED69" i="4"/>
  <c r="EE69" i="4"/>
  <c r="EF69" i="4"/>
  <c r="EG69" i="4"/>
  <c r="EH69" i="4"/>
  <c r="EI69" i="4"/>
  <c r="EJ69" i="4"/>
  <c r="EK69" i="4"/>
  <c r="EL69" i="4"/>
  <c r="EM69" i="4"/>
  <c r="EN69" i="4"/>
  <c r="EO69" i="4"/>
  <c r="EP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GQ66" i="4"/>
  <c r="GR66" i="4"/>
  <c r="GS66" i="4"/>
  <c r="GT66" i="4"/>
  <c r="GU66" i="4"/>
  <c r="GV66" i="4"/>
  <c r="GW66" i="4"/>
  <c r="GX66" i="4"/>
  <c r="GY66" i="4"/>
  <c r="GZ66" i="4"/>
  <c r="HA66" i="4"/>
  <c r="HB66" i="4"/>
  <c r="HC66" i="4"/>
  <c r="HD66" i="4"/>
  <c r="HE66" i="4"/>
  <c r="HF66" i="4"/>
  <c r="HG66" i="4"/>
  <c r="HH66" i="4"/>
  <c r="H66" i="4"/>
  <c r="BZ66" i="4" s="1"/>
  <c r="CA66" i="4" s="1"/>
  <c r="DQ66" i="4" s="1"/>
  <c r="DR66" i="4" s="1"/>
  <c r="DY66" i="4"/>
  <c r="DZ66" i="4"/>
  <c r="EA66" i="4"/>
  <c r="EB66" i="4"/>
  <c r="EC66" i="4"/>
  <c r="ED66" i="4"/>
  <c r="EE66" i="4"/>
  <c r="EF66" i="4"/>
  <c r="EG66" i="4"/>
  <c r="EH66" i="4"/>
  <c r="EI66" i="4"/>
  <c r="EJ66" i="4"/>
  <c r="EK66" i="4"/>
  <c r="EL66" i="4"/>
  <c r="EM66" i="4"/>
  <c r="EN66" i="4"/>
  <c r="EO66" i="4"/>
  <c r="EP66" i="4"/>
  <c r="DM66" i="4"/>
  <c r="DN66" i="4" s="1"/>
  <c r="DA66" i="4"/>
  <c r="DB66" i="4" s="1"/>
  <c r="CW66" i="4"/>
  <c r="CX66" i="4" s="1"/>
  <c r="CO66" i="4"/>
  <c r="CP66" i="4" s="1"/>
  <c r="CG66" i="4"/>
  <c r="CH66" i="4" s="1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I66" i="4"/>
  <c r="AG66" i="4" s="1"/>
  <c r="AH66" i="4" s="1"/>
  <c r="AW66" i="4"/>
  <c r="AX66" i="4" s="1"/>
  <c r="Q66" i="4"/>
  <c r="R66" i="4" s="1"/>
  <c r="GQ65" i="4"/>
  <c r="GR65" i="4"/>
  <c r="GS65" i="4"/>
  <c r="GT65" i="4"/>
  <c r="GU65" i="4"/>
  <c r="GV65" i="4"/>
  <c r="GW65" i="4"/>
  <c r="GX65" i="4"/>
  <c r="GY65" i="4"/>
  <c r="GZ65" i="4"/>
  <c r="HA65" i="4"/>
  <c r="HB65" i="4"/>
  <c r="HC65" i="4"/>
  <c r="HD65" i="4"/>
  <c r="HE65" i="4"/>
  <c r="HF65" i="4"/>
  <c r="HG65" i="4"/>
  <c r="HH65" i="4"/>
  <c r="H65" i="4"/>
  <c r="BZ65" i="4"/>
  <c r="DY65" i="4"/>
  <c r="DZ65" i="4"/>
  <c r="EA65" i="4"/>
  <c r="EB65" i="4"/>
  <c r="EC65" i="4"/>
  <c r="ED65" i="4"/>
  <c r="EE65" i="4"/>
  <c r="EF65" i="4"/>
  <c r="EG65" i="4"/>
  <c r="EH65" i="4"/>
  <c r="EI65" i="4"/>
  <c r="EJ65" i="4"/>
  <c r="EK65" i="4"/>
  <c r="EL65" i="4"/>
  <c r="EM65" i="4"/>
  <c r="EN65" i="4"/>
  <c r="EO65" i="4"/>
  <c r="EP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I65" i="4"/>
  <c r="AY65" i="4"/>
  <c r="AZ65" i="4" s="1"/>
  <c r="AW65" i="4"/>
  <c r="AX65" i="4" s="1"/>
  <c r="AU65" i="4"/>
  <c r="AV65" i="4"/>
  <c r="AS65" i="4"/>
  <c r="AT65" i="4" s="1"/>
  <c r="AQ65" i="4"/>
  <c r="AR65" i="4"/>
  <c r="AO65" i="4"/>
  <c r="AP65" i="4" s="1"/>
  <c r="AM65" i="4"/>
  <c r="AN65" i="4" s="1"/>
  <c r="AK65" i="4"/>
  <c r="AL65" i="4" s="1"/>
  <c r="AI65" i="4"/>
  <c r="AJ65" i="4" s="1"/>
  <c r="AG65" i="4"/>
  <c r="AH65" i="4" s="1"/>
  <c r="AE65" i="4"/>
  <c r="AF65" i="4"/>
  <c r="AC65" i="4"/>
  <c r="AD65" i="4" s="1"/>
  <c r="AA65" i="4"/>
  <c r="AB65" i="4"/>
  <c r="Y65" i="4"/>
  <c r="Z65" i="4" s="1"/>
  <c r="W65" i="4"/>
  <c r="X65" i="4" s="1"/>
  <c r="U65" i="4"/>
  <c r="V65" i="4" s="1"/>
  <c r="S65" i="4"/>
  <c r="T65" i="4" s="1"/>
  <c r="Q65" i="4"/>
  <c r="R65" i="4" s="1"/>
  <c r="O65" i="4"/>
  <c r="P65" i="4"/>
  <c r="M65" i="4"/>
  <c r="N65" i="4" s="1"/>
  <c r="K65" i="4"/>
  <c r="L65" i="4"/>
  <c r="J65" i="4"/>
  <c r="GQ64" i="4"/>
  <c r="GR64" i="4"/>
  <c r="GS64" i="4"/>
  <c r="GT64" i="4"/>
  <c r="GU64" i="4"/>
  <c r="GV64" i="4"/>
  <c r="GW64" i="4"/>
  <c r="GX64" i="4"/>
  <c r="GY64" i="4"/>
  <c r="GZ64" i="4"/>
  <c r="HA64" i="4"/>
  <c r="HB64" i="4"/>
  <c r="HC64" i="4"/>
  <c r="HD64" i="4"/>
  <c r="HE64" i="4"/>
  <c r="HF64" i="4"/>
  <c r="HG64" i="4"/>
  <c r="HH64" i="4"/>
  <c r="H64" i="4"/>
  <c r="BZ64" i="4" s="1"/>
  <c r="DY64" i="4"/>
  <c r="DZ64" i="4"/>
  <c r="EA64" i="4"/>
  <c r="EB64" i="4"/>
  <c r="EC64" i="4"/>
  <c r="ED64" i="4"/>
  <c r="EE64" i="4"/>
  <c r="EF64" i="4"/>
  <c r="EG64" i="4"/>
  <c r="EH64" i="4"/>
  <c r="EI64" i="4"/>
  <c r="EJ64" i="4"/>
  <c r="EK64" i="4"/>
  <c r="EL64" i="4"/>
  <c r="EM64" i="4"/>
  <c r="EN64" i="4"/>
  <c r="EO64" i="4"/>
  <c r="EP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I64" i="4"/>
  <c r="GQ63" i="4"/>
  <c r="GR63" i="4"/>
  <c r="GS63" i="4"/>
  <c r="GT63" i="4"/>
  <c r="GU63" i="4"/>
  <c r="GV63" i="4"/>
  <c r="GW63" i="4"/>
  <c r="GX63" i="4"/>
  <c r="GY63" i="4"/>
  <c r="GZ63" i="4"/>
  <c r="HA63" i="4"/>
  <c r="HB63" i="4"/>
  <c r="HC63" i="4"/>
  <c r="HD63" i="4"/>
  <c r="HE63" i="4"/>
  <c r="HF63" i="4"/>
  <c r="HG63" i="4"/>
  <c r="HH63" i="4"/>
  <c r="H63" i="4"/>
  <c r="BZ63" i="4" s="1"/>
  <c r="CA63" i="4" s="1"/>
  <c r="CW63" i="4" s="1"/>
  <c r="CX63" i="4" s="1"/>
  <c r="DY63" i="4"/>
  <c r="DZ63" i="4"/>
  <c r="EA63" i="4"/>
  <c r="EB63" i="4"/>
  <c r="EC63" i="4"/>
  <c r="ED63" i="4"/>
  <c r="EE63" i="4"/>
  <c r="EF63" i="4"/>
  <c r="EG63" i="4"/>
  <c r="EH63" i="4"/>
  <c r="EI63" i="4"/>
  <c r="EJ63" i="4"/>
  <c r="EK63" i="4"/>
  <c r="EL63" i="4"/>
  <c r="EM63" i="4"/>
  <c r="EN63" i="4"/>
  <c r="EO63" i="4"/>
  <c r="EP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GQ60" i="4"/>
  <c r="GR60" i="4"/>
  <c r="GS60" i="4"/>
  <c r="GT60" i="4"/>
  <c r="GU60" i="4"/>
  <c r="GV60" i="4"/>
  <c r="GW60" i="4"/>
  <c r="GX60" i="4"/>
  <c r="GY60" i="4"/>
  <c r="GZ60" i="4"/>
  <c r="HA60" i="4"/>
  <c r="HB60" i="4"/>
  <c r="HC60" i="4"/>
  <c r="HD60" i="4"/>
  <c r="HE60" i="4"/>
  <c r="HF60" i="4"/>
  <c r="HG60" i="4"/>
  <c r="HH60" i="4"/>
  <c r="H60" i="4"/>
  <c r="BZ60" i="4" s="1"/>
  <c r="DY60" i="4"/>
  <c r="DZ60" i="4"/>
  <c r="EA60" i="4"/>
  <c r="EB60" i="4"/>
  <c r="EC60" i="4"/>
  <c r="ED60" i="4"/>
  <c r="EE60" i="4"/>
  <c r="EF60" i="4"/>
  <c r="EG60" i="4"/>
  <c r="EH60" i="4"/>
  <c r="EI60" i="4"/>
  <c r="EJ60" i="4"/>
  <c r="EK60" i="4"/>
  <c r="EL60" i="4"/>
  <c r="EM60" i="4"/>
  <c r="EN60" i="4"/>
  <c r="EO60" i="4"/>
  <c r="EP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GQ59" i="4"/>
  <c r="GR59" i="4"/>
  <c r="GS59" i="4"/>
  <c r="GT59" i="4"/>
  <c r="GU59" i="4"/>
  <c r="GV59" i="4"/>
  <c r="GW59" i="4"/>
  <c r="GX59" i="4"/>
  <c r="GY59" i="4"/>
  <c r="GZ59" i="4"/>
  <c r="HA59" i="4"/>
  <c r="HB59" i="4"/>
  <c r="HC59" i="4"/>
  <c r="HD59" i="4"/>
  <c r="HE59" i="4"/>
  <c r="HF59" i="4"/>
  <c r="HG59" i="4"/>
  <c r="HH59" i="4"/>
  <c r="H59" i="4"/>
  <c r="I59" i="4" s="1"/>
  <c r="AY59" i="4" s="1"/>
  <c r="AZ59" i="4" s="1"/>
  <c r="DY59" i="4"/>
  <c r="DZ59" i="4"/>
  <c r="EA59" i="4"/>
  <c r="EB59" i="4"/>
  <c r="EC59" i="4"/>
  <c r="ED59" i="4"/>
  <c r="EE59" i="4"/>
  <c r="EF59" i="4"/>
  <c r="EG59" i="4"/>
  <c r="EH59" i="4"/>
  <c r="EI59" i="4"/>
  <c r="EJ59" i="4"/>
  <c r="EK59" i="4"/>
  <c r="EL59" i="4"/>
  <c r="EM59" i="4"/>
  <c r="EN59" i="4"/>
  <c r="EO59" i="4"/>
  <c r="EP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AQ59" i="4"/>
  <c r="AR59" i="4" s="1"/>
  <c r="AE59" i="4"/>
  <c r="AF59" i="4" s="1"/>
  <c r="K59" i="4"/>
  <c r="L59" i="4" s="1"/>
  <c r="GQ58" i="4"/>
  <c r="GR58" i="4"/>
  <c r="GS58" i="4"/>
  <c r="GT58" i="4"/>
  <c r="GU58" i="4"/>
  <c r="GV58" i="4"/>
  <c r="GW58" i="4"/>
  <c r="GX58" i="4"/>
  <c r="GY58" i="4"/>
  <c r="GZ58" i="4"/>
  <c r="HA58" i="4"/>
  <c r="HB58" i="4"/>
  <c r="HC58" i="4"/>
  <c r="HD58" i="4"/>
  <c r="HE58" i="4"/>
  <c r="HF58" i="4"/>
  <c r="HG58" i="4"/>
  <c r="HH58" i="4"/>
  <c r="H58" i="4"/>
  <c r="BZ58" i="4" s="1"/>
  <c r="DY58" i="4"/>
  <c r="DZ58" i="4"/>
  <c r="EA58" i="4"/>
  <c r="EB58" i="4"/>
  <c r="EC58" i="4"/>
  <c r="ED58" i="4"/>
  <c r="EE58" i="4"/>
  <c r="EF58" i="4"/>
  <c r="EG58" i="4"/>
  <c r="EH58" i="4"/>
  <c r="EI58" i="4"/>
  <c r="EJ58" i="4"/>
  <c r="EK58" i="4"/>
  <c r="EL58" i="4"/>
  <c r="EM58" i="4"/>
  <c r="EN58" i="4"/>
  <c r="EO58" i="4"/>
  <c r="EP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GQ57" i="4"/>
  <c r="GR57" i="4"/>
  <c r="GS57" i="4"/>
  <c r="GT57" i="4"/>
  <c r="GU57" i="4"/>
  <c r="GV57" i="4"/>
  <c r="GW57" i="4"/>
  <c r="GX57" i="4"/>
  <c r="GY57" i="4"/>
  <c r="GZ57" i="4"/>
  <c r="HA57" i="4"/>
  <c r="HB57" i="4"/>
  <c r="HC57" i="4"/>
  <c r="HD57" i="4"/>
  <c r="HE57" i="4"/>
  <c r="HF57" i="4"/>
  <c r="HG57" i="4"/>
  <c r="HH57" i="4"/>
  <c r="H57" i="4"/>
  <c r="BZ57" i="4" s="1"/>
  <c r="CA57" i="4" s="1"/>
  <c r="DY57" i="4"/>
  <c r="DZ57" i="4"/>
  <c r="EA57" i="4"/>
  <c r="EB57" i="4"/>
  <c r="EC57" i="4"/>
  <c r="ED57" i="4"/>
  <c r="EE57" i="4"/>
  <c r="EF57" i="4"/>
  <c r="EG57" i="4"/>
  <c r="EH57" i="4"/>
  <c r="EI57" i="4"/>
  <c r="EJ57" i="4"/>
  <c r="EK57" i="4"/>
  <c r="EL57" i="4"/>
  <c r="EM57" i="4"/>
  <c r="EN57" i="4"/>
  <c r="EO57" i="4"/>
  <c r="EP57" i="4"/>
  <c r="DQ57" i="4"/>
  <c r="DR57" i="4"/>
  <c r="DM57" i="4"/>
  <c r="DN57" i="4" s="1"/>
  <c r="DI57" i="4"/>
  <c r="DJ57" i="4"/>
  <c r="DE57" i="4"/>
  <c r="DF57" i="4" s="1"/>
  <c r="DA57" i="4"/>
  <c r="DB57" i="4"/>
  <c r="CW57" i="4"/>
  <c r="CX57" i="4" s="1"/>
  <c r="CS57" i="4"/>
  <c r="CT57" i="4"/>
  <c r="CO57" i="4"/>
  <c r="CP57" i="4" s="1"/>
  <c r="CK57" i="4"/>
  <c r="CL57" i="4"/>
  <c r="CG57" i="4"/>
  <c r="CH57" i="4" s="1"/>
  <c r="CC57" i="4"/>
  <c r="CD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I57" i="4"/>
  <c r="AW57" i="4"/>
  <c r="AX57" i="4" s="1"/>
  <c r="AO57" i="4"/>
  <c r="AP57" i="4" s="1"/>
  <c r="AG57" i="4"/>
  <c r="AH57" i="4" s="1"/>
  <c r="Y57" i="4"/>
  <c r="Z57" i="4" s="1"/>
  <c r="Q57" i="4"/>
  <c r="R57" i="4" s="1"/>
  <c r="J57" i="4"/>
  <c r="GQ56" i="4"/>
  <c r="GR56" i="4"/>
  <c r="GS56" i="4"/>
  <c r="GT56" i="4"/>
  <c r="GU56" i="4"/>
  <c r="GV56" i="4"/>
  <c r="GW56" i="4"/>
  <c r="GX56" i="4"/>
  <c r="GY56" i="4"/>
  <c r="GZ56" i="4"/>
  <c r="HA56" i="4"/>
  <c r="HB56" i="4"/>
  <c r="HC56" i="4"/>
  <c r="HD56" i="4"/>
  <c r="HE56" i="4"/>
  <c r="HF56" i="4"/>
  <c r="HG56" i="4"/>
  <c r="HH56" i="4"/>
  <c r="H56" i="4"/>
  <c r="BZ56" i="4"/>
  <c r="ER56" i="4" s="1"/>
  <c r="ES56" i="4" s="1"/>
  <c r="DY56" i="4"/>
  <c r="DZ56" i="4"/>
  <c r="EA56" i="4"/>
  <c r="EB56" i="4"/>
  <c r="EC56" i="4"/>
  <c r="ED56" i="4"/>
  <c r="EE56" i="4"/>
  <c r="EF56" i="4"/>
  <c r="EG56" i="4"/>
  <c r="EH56" i="4"/>
  <c r="EI56" i="4"/>
  <c r="EJ56" i="4"/>
  <c r="EK56" i="4"/>
  <c r="EL56" i="4"/>
  <c r="EM56" i="4"/>
  <c r="EN56" i="4"/>
  <c r="EO56" i="4"/>
  <c r="EP56" i="4"/>
  <c r="BG56" i="4"/>
  <c r="BH56" i="4"/>
  <c r="BI56" i="4"/>
  <c r="BJ56" i="4"/>
  <c r="BK56" i="4"/>
  <c r="BL56" i="4"/>
  <c r="BM56" i="4"/>
  <c r="BN56" i="4"/>
  <c r="BO56" i="4"/>
  <c r="BP56" i="4"/>
  <c r="BQ56" i="4"/>
  <c r="BR56" i="4"/>
  <c r="BS56" i="4"/>
  <c r="BT56" i="4"/>
  <c r="BU56" i="4"/>
  <c r="BV56" i="4"/>
  <c r="BW56" i="4"/>
  <c r="BX56" i="4"/>
  <c r="I56" i="4"/>
  <c r="AY56" i="4" s="1"/>
  <c r="AZ56" i="4"/>
  <c r="AW56" i="4"/>
  <c r="AX56" i="4" s="1"/>
  <c r="AS56" i="4"/>
  <c r="AT56" i="4" s="1"/>
  <c r="AO56" i="4"/>
  <c r="AP56" i="4" s="1"/>
  <c r="AM56" i="4"/>
  <c r="AN56" i="4"/>
  <c r="AK56" i="4"/>
  <c r="AL56" i="4" s="1"/>
  <c r="AI56" i="4"/>
  <c r="AJ56" i="4"/>
  <c r="AG56" i="4"/>
  <c r="AH56" i="4" s="1"/>
  <c r="AE56" i="4"/>
  <c r="AF56" i="4"/>
  <c r="AC56" i="4"/>
  <c r="AD56" i="4" s="1"/>
  <c r="AA56" i="4"/>
  <c r="AB56" i="4"/>
  <c r="Y56" i="4"/>
  <c r="Z56" i="4" s="1"/>
  <c r="W56" i="4"/>
  <c r="X56" i="4"/>
  <c r="U56" i="4"/>
  <c r="V56" i="4" s="1"/>
  <c r="S56" i="4"/>
  <c r="T56" i="4"/>
  <c r="Q56" i="4"/>
  <c r="R56" i="4" s="1"/>
  <c r="O56" i="4"/>
  <c r="P56" i="4"/>
  <c r="M56" i="4"/>
  <c r="N56" i="4" s="1"/>
  <c r="K56" i="4"/>
  <c r="L56" i="4"/>
  <c r="J56" i="4"/>
  <c r="GQ55" i="4"/>
  <c r="GR55" i="4"/>
  <c r="GS55" i="4"/>
  <c r="GT55" i="4"/>
  <c r="GU55" i="4"/>
  <c r="GV55" i="4"/>
  <c r="GW55" i="4"/>
  <c r="GX55" i="4"/>
  <c r="GY55" i="4"/>
  <c r="GZ55" i="4"/>
  <c r="HA55" i="4"/>
  <c r="HB55" i="4"/>
  <c r="HC55" i="4"/>
  <c r="HD55" i="4"/>
  <c r="HE55" i="4"/>
  <c r="HF55" i="4"/>
  <c r="HG55" i="4"/>
  <c r="HH55" i="4"/>
  <c r="H55" i="4"/>
  <c r="I55" i="4" s="1"/>
  <c r="BZ55" i="4"/>
  <c r="ER55" i="4" s="1"/>
  <c r="ES55" i="4" s="1"/>
  <c r="DY55" i="4"/>
  <c r="DZ55" i="4"/>
  <c r="EA55" i="4"/>
  <c r="EB55" i="4"/>
  <c r="EC55" i="4"/>
  <c r="ED55" i="4"/>
  <c r="EE55" i="4"/>
  <c r="EF55" i="4"/>
  <c r="EG55" i="4"/>
  <c r="EH55" i="4"/>
  <c r="EI55" i="4"/>
  <c r="EJ55" i="4"/>
  <c r="EK55" i="4"/>
  <c r="EL55" i="4"/>
  <c r="EM55" i="4"/>
  <c r="EN55" i="4"/>
  <c r="EO55" i="4"/>
  <c r="EP55" i="4"/>
  <c r="BG55" i="4"/>
  <c r="BH55" i="4"/>
  <c r="BI55" i="4"/>
  <c r="BJ55" i="4"/>
  <c r="BK55" i="4"/>
  <c r="BL55" i="4"/>
  <c r="BM55" i="4"/>
  <c r="BN55" i="4"/>
  <c r="BO55" i="4"/>
  <c r="BP55" i="4"/>
  <c r="BQ55" i="4"/>
  <c r="BR55" i="4"/>
  <c r="BS55" i="4"/>
  <c r="BT55" i="4"/>
  <c r="BU55" i="4"/>
  <c r="BV55" i="4"/>
  <c r="BW55" i="4"/>
  <c r="BX55" i="4"/>
  <c r="AU55" i="4"/>
  <c r="AV55" i="4"/>
  <c r="AM55" i="4"/>
  <c r="AN55" i="4"/>
  <c r="AE55" i="4"/>
  <c r="AF55" i="4"/>
  <c r="W55" i="4"/>
  <c r="X55" i="4"/>
  <c r="O55" i="4"/>
  <c r="P55" i="4"/>
  <c r="GQ54" i="4"/>
  <c r="GR54" i="4"/>
  <c r="GS54" i="4"/>
  <c r="GT54" i="4"/>
  <c r="GU54" i="4"/>
  <c r="GV54" i="4"/>
  <c r="GW54" i="4"/>
  <c r="GX54" i="4"/>
  <c r="GY54" i="4"/>
  <c r="GZ54" i="4"/>
  <c r="HA54" i="4"/>
  <c r="HB54" i="4"/>
  <c r="HC54" i="4"/>
  <c r="HD54" i="4"/>
  <c r="HE54" i="4"/>
  <c r="HF54" i="4"/>
  <c r="HG54" i="4"/>
  <c r="HH54" i="4"/>
  <c r="H54" i="4"/>
  <c r="BZ54" i="4" s="1"/>
  <c r="DY54" i="4"/>
  <c r="DZ54" i="4"/>
  <c r="EA54" i="4"/>
  <c r="EB54" i="4"/>
  <c r="EC54" i="4"/>
  <c r="ED54" i="4"/>
  <c r="EE54" i="4"/>
  <c r="EF54" i="4"/>
  <c r="EG54" i="4"/>
  <c r="EH54" i="4"/>
  <c r="EI54" i="4"/>
  <c r="EJ54" i="4"/>
  <c r="EK54" i="4"/>
  <c r="EL54" i="4"/>
  <c r="EM54" i="4"/>
  <c r="EN54" i="4"/>
  <c r="EO54" i="4"/>
  <c r="EP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GQ53" i="4"/>
  <c r="GR53" i="4"/>
  <c r="GS53" i="4"/>
  <c r="GT53" i="4"/>
  <c r="GU53" i="4"/>
  <c r="GV53" i="4"/>
  <c r="GW53" i="4"/>
  <c r="GX53" i="4"/>
  <c r="GY53" i="4"/>
  <c r="GZ53" i="4"/>
  <c r="HA53" i="4"/>
  <c r="HB53" i="4"/>
  <c r="HC53" i="4"/>
  <c r="HD53" i="4"/>
  <c r="HE53" i="4"/>
  <c r="HF53" i="4"/>
  <c r="HG53" i="4"/>
  <c r="HH53" i="4"/>
  <c r="H53" i="4"/>
  <c r="BZ53" i="4" s="1"/>
  <c r="CA53" i="4" s="1"/>
  <c r="DA53" i="4" s="1"/>
  <c r="DB53" i="4" s="1"/>
  <c r="DY53" i="4"/>
  <c r="DZ53" i="4"/>
  <c r="EA53" i="4"/>
  <c r="EB53" i="4"/>
  <c r="EC53" i="4"/>
  <c r="ED53" i="4"/>
  <c r="EE53" i="4"/>
  <c r="EF53" i="4"/>
  <c r="EG53" i="4"/>
  <c r="EH53" i="4"/>
  <c r="EI53" i="4"/>
  <c r="EJ53" i="4"/>
  <c r="EK53" i="4"/>
  <c r="EL53" i="4"/>
  <c r="EM53" i="4"/>
  <c r="EN53" i="4"/>
  <c r="EO53" i="4"/>
  <c r="EP53" i="4"/>
  <c r="DM53" i="4"/>
  <c r="DN53" i="4" s="1"/>
  <c r="DI53" i="4"/>
  <c r="DJ53" i="4" s="1"/>
  <c r="DE53" i="4"/>
  <c r="DF53" i="4"/>
  <c r="CW53" i="4"/>
  <c r="CX53" i="4" s="1"/>
  <c r="CS53" i="4"/>
  <c r="CT53" i="4" s="1"/>
  <c r="CO53" i="4"/>
  <c r="CP53" i="4"/>
  <c r="CK53" i="4"/>
  <c r="CL53" i="4" s="1"/>
  <c r="CG53" i="4"/>
  <c r="CH53" i="4" s="1"/>
  <c r="CC53" i="4"/>
  <c r="CD53" i="4" s="1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I53" i="4"/>
  <c r="GQ52" i="4"/>
  <c r="GR52" i="4"/>
  <c r="GS52" i="4"/>
  <c r="GT52" i="4"/>
  <c r="GU52" i="4"/>
  <c r="GV52" i="4"/>
  <c r="GW52" i="4"/>
  <c r="GX52" i="4"/>
  <c r="GY52" i="4"/>
  <c r="GZ52" i="4"/>
  <c r="HA52" i="4"/>
  <c r="HB52" i="4"/>
  <c r="HC52" i="4"/>
  <c r="HD52" i="4"/>
  <c r="HE52" i="4"/>
  <c r="HF52" i="4"/>
  <c r="HG52" i="4"/>
  <c r="HH52" i="4"/>
  <c r="H52" i="4"/>
  <c r="BZ52" i="4" s="1"/>
  <c r="DY52" i="4"/>
  <c r="DZ52" i="4"/>
  <c r="EA52" i="4"/>
  <c r="EB52" i="4"/>
  <c r="EC52" i="4"/>
  <c r="ED52" i="4"/>
  <c r="EE52" i="4"/>
  <c r="EF52" i="4"/>
  <c r="EG52" i="4"/>
  <c r="EH52" i="4"/>
  <c r="EI52" i="4"/>
  <c r="EJ52" i="4"/>
  <c r="EK52" i="4"/>
  <c r="EL52" i="4"/>
  <c r="EM52" i="4"/>
  <c r="EN52" i="4"/>
  <c r="EO52" i="4"/>
  <c r="EP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I52" i="4"/>
  <c r="AY52" i="4" s="1"/>
  <c r="AZ52" i="4" s="1"/>
  <c r="AS52" i="4"/>
  <c r="AT52" i="4" s="1"/>
  <c r="AO52" i="4"/>
  <c r="AP52" i="4" s="1"/>
  <c r="AK52" i="4"/>
  <c r="AL52" i="4" s="1"/>
  <c r="AG52" i="4"/>
  <c r="AH52" i="4" s="1"/>
  <c r="AE52" i="4"/>
  <c r="AF52" i="4"/>
  <c r="AC52" i="4"/>
  <c r="AD52" i="4" s="1"/>
  <c r="AA52" i="4"/>
  <c r="AB52" i="4" s="1"/>
  <c r="Y52" i="4"/>
  <c r="Z52" i="4" s="1"/>
  <c r="W52" i="4"/>
  <c r="X52" i="4" s="1"/>
  <c r="U52" i="4"/>
  <c r="V52" i="4" s="1"/>
  <c r="S52" i="4"/>
  <c r="T52" i="4"/>
  <c r="Q52" i="4"/>
  <c r="R52" i="4" s="1"/>
  <c r="O52" i="4"/>
  <c r="P52" i="4" s="1"/>
  <c r="M52" i="4"/>
  <c r="N52" i="4" s="1"/>
  <c r="K52" i="4"/>
  <c r="L52" i="4" s="1"/>
  <c r="J52" i="4"/>
  <c r="GQ51" i="4"/>
  <c r="GR51" i="4"/>
  <c r="GS51" i="4"/>
  <c r="GT51" i="4"/>
  <c r="GU51" i="4"/>
  <c r="GV51" i="4"/>
  <c r="GW51" i="4"/>
  <c r="GX51" i="4"/>
  <c r="GY51" i="4"/>
  <c r="GZ51" i="4"/>
  <c r="HA51" i="4"/>
  <c r="HB51" i="4"/>
  <c r="HC51" i="4"/>
  <c r="HD51" i="4"/>
  <c r="HE51" i="4"/>
  <c r="HF51" i="4"/>
  <c r="HG51" i="4"/>
  <c r="HH51" i="4"/>
  <c r="H51" i="4"/>
  <c r="BZ51" i="4"/>
  <c r="ER51" i="4" s="1"/>
  <c r="ES51" i="4" s="1"/>
  <c r="GE51" i="4" s="1"/>
  <c r="GF51" i="4" s="1"/>
  <c r="GI51" i="4"/>
  <c r="GJ51" i="4" s="1"/>
  <c r="GA51" i="4"/>
  <c r="GB51" i="4" s="1"/>
  <c r="FS51" i="4"/>
  <c r="FT51" i="4" s="1"/>
  <c r="FK51" i="4"/>
  <c r="FL51" i="4" s="1"/>
  <c r="FC51" i="4"/>
  <c r="FD51" i="4" s="1"/>
  <c r="EU51" i="4"/>
  <c r="EV51" i="4" s="1"/>
  <c r="DY51" i="4"/>
  <c r="DZ51" i="4"/>
  <c r="EA51" i="4"/>
  <c r="EB51" i="4"/>
  <c r="EC51" i="4"/>
  <c r="ED51" i="4"/>
  <c r="EE51" i="4"/>
  <c r="EF51" i="4"/>
  <c r="EG51" i="4"/>
  <c r="EH51" i="4"/>
  <c r="EI51" i="4"/>
  <c r="EJ51" i="4"/>
  <c r="EK51" i="4"/>
  <c r="EL51" i="4"/>
  <c r="EM51" i="4"/>
  <c r="EN51" i="4"/>
  <c r="EO51" i="4"/>
  <c r="EP51" i="4"/>
  <c r="CA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I51" i="4"/>
  <c r="GQ50" i="4"/>
  <c r="GR50" i="4"/>
  <c r="GS50" i="4"/>
  <c r="GT50" i="4"/>
  <c r="GU50" i="4"/>
  <c r="GV50" i="4"/>
  <c r="GW50" i="4"/>
  <c r="GX50" i="4"/>
  <c r="GY50" i="4"/>
  <c r="GZ50" i="4"/>
  <c r="HA50" i="4"/>
  <c r="HB50" i="4"/>
  <c r="HC50" i="4"/>
  <c r="HD50" i="4"/>
  <c r="HE50" i="4"/>
  <c r="HF50" i="4"/>
  <c r="HG50" i="4"/>
  <c r="HH50" i="4"/>
  <c r="H50" i="4"/>
  <c r="BZ50" i="4" s="1"/>
  <c r="DY50" i="4"/>
  <c r="DZ50" i="4"/>
  <c r="EA50" i="4"/>
  <c r="EB50" i="4"/>
  <c r="EC50" i="4"/>
  <c r="ED50" i="4"/>
  <c r="EE50" i="4"/>
  <c r="EF50" i="4"/>
  <c r="EG50" i="4"/>
  <c r="EH50" i="4"/>
  <c r="EI50" i="4"/>
  <c r="EJ50" i="4"/>
  <c r="EK50" i="4"/>
  <c r="EL50" i="4"/>
  <c r="EM50" i="4"/>
  <c r="EN50" i="4"/>
  <c r="EO50" i="4"/>
  <c r="EP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GQ49" i="4"/>
  <c r="GR49" i="4"/>
  <c r="GS49" i="4"/>
  <c r="GT49" i="4"/>
  <c r="GU49" i="4"/>
  <c r="GV49" i="4"/>
  <c r="GW49" i="4"/>
  <c r="GX49" i="4"/>
  <c r="GY49" i="4"/>
  <c r="GZ49" i="4"/>
  <c r="HA49" i="4"/>
  <c r="HB49" i="4"/>
  <c r="HC49" i="4"/>
  <c r="HD49" i="4"/>
  <c r="HE49" i="4"/>
  <c r="HF49" i="4"/>
  <c r="HG49" i="4"/>
  <c r="HH49" i="4"/>
  <c r="H49" i="4"/>
  <c r="I49" i="4" s="1"/>
  <c r="DY49" i="4"/>
  <c r="DZ49" i="4"/>
  <c r="EA49" i="4"/>
  <c r="EB49" i="4"/>
  <c r="EC49" i="4"/>
  <c r="ED49" i="4"/>
  <c r="EE49" i="4"/>
  <c r="EF49" i="4"/>
  <c r="EG49" i="4"/>
  <c r="EH49" i="4"/>
  <c r="EI49" i="4"/>
  <c r="EJ49" i="4"/>
  <c r="EK49" i="4"/>
  <c r="EL49" i="4"/>
  <c r="EM49" i="4"/>
  <c r="EN49" i="4"/>
  <c r="EO49" i="4"/>
  <c r="EP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GQ48" i="4"/>
  <c r="GR48" i="4"/>
  <c r="GS48" i="4"/>
  <c r="GT48" i="4"/>
  <c r="GU48" i="4"/>
  <c r="GV48" i="4"/>
  <c r="GW48" i="4"/>
  <c r="GX48" i="4"/>
  <c r="GY48" i="4"/>
  <c r="GZ48" i="4"/>
  <c r="HA48" i="4"/>
  <c r="HB48" i="4"/>
  <c r="HC48" i="4"/>
  <c r="HD48" i="4"/>
  <c r="HE48" i="4"/>
  <c r="HF48" i="4"/>
  <c r="HG48" i="4"/>
  <c r="HH48" i="4"/>
  <c r="H48" i="4"/>
  <c r="DY48" i="4"/>
  <c r="DZ48" i="4"/>
  <c r="EA48" i="4"/>
  <c r="EB48" i="4"/>
  <c r="EC48" i="4"/>
  <c r="ED48" i="4"/>
  <c r="EE48" i="4"/>
  <c r="EF48" i="4"/>
  <c r="EG48" i="4"/>
  <c r="EH48" i="4"/>
  <c r="EI48" i="4"/>
  <c r="EJ48" i="4"/>
  <c r="EK48" i="4"/>
  <c r="EL48" i="4"/>
  <c r="EM48" i="4"/>
  <c r="EN48" i="4"/>
  <c r="EO48" i="4"/>
  <c r="EP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GQ47" i="4"/>
  <c r="GR47" i="4"/>
  <c r="GS47" i="4"/>
  <c r="GT47" i="4"/>
  <c r="GU47" i="4"/>
  <c r="GV47" i="4"/>
  <c r="GW47" i="4"/>
  <c r="GX47" i="4"/>
  <c r="GY47" i="4"/>
  <c r="GZ47" i="4"/>
  <c r="HA47" i="4"/>
  <c r="HB47" i="4"/>
  <c r="HC47" i="4"/>
  <c r="HD47" i="4"/>
  <c r="HE47" i="4"/>
  <c r="HF47" i="4"/>
  <c r="HG47" i="4"/>
  <c r="HH47" i="4"/>
  <c r="H47" i="4"/>
  <c r="BZ47" i="4" s="1"/>
  <c r="DY47" i="4"/>
  <c r="DZ47" i="4"/>
  <c r="EA47" i="4"/>
  <c r="EB47" i="4"/>
  <c r="EC47" i="4"/>
  <c r="ED47" i="4"/>
  <c r="EE47" i="4"/>
  <c r="EF47" i="4"/>
  <c r="EG47" i="4"/>
  <c r="EH47" i="4"/>
  <c r="EI47" i="4"/>
  <c r="EJ47" i="4"/>
  <c r="EK47" i="4"/>
  <c r="EL47" i="4"/>
  <c r="EM47" i="4"/>
  <c r="EN47" i="4"/>
  <c r="EO47" i="4"/>
  <c r="EP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I47" i="4"/>
  <c r="GQ46" i="4"/>
  <c r="GR46" i="4"/>
  <c r="GS46" i="4"/>
  <c r="GT46" i="4"/>
  <c r="GU46" i="4"/>
  <c r="GV46" i="4"/>
  <c r="GW46" i="4"/>
  <c r="GX46" i="4"/>
  <c r="GY46" i="4"/>
  <c r="GZ46" i="4"/>
  <c r="HA46" i="4"/>
  <c r="HB46" i="4"/>
  <c r="HC46" i="4"/>
  <c r="HD46" i="4"/>
  <c r="HE46" i="4"/>
  <c r="HF46" i="4"/>
  <c r="HG46" i="4"/>
  <c r="HH46" i="4"/>
  <c r="H46" i="4"/>
  <c r="BZ46" i="4" s="1"/>
  <c r="DY46" i="4"/>
  <c r="DZ46" i="4"/>
  <c r="EA46" i="4"/>
  <c r="EB46" i="4"/>
  <c r="EC46" i="4"/>
  <c r="ED46" i="4"/>
  <c r="EE46" i="4"/>
  <c r="EF46" i="4"/>
  <c r="EG46" i="4"/>
  <c r="EH46" i="4"/>
  <c r="EI46" i="4"/>
  <c r="EJ46" i="4"/>
  <c r="EK46" i="4"/>
  <c r="EL46" i="4"/>
  <c r="EM46" i="4"/>
  <c r="EN46" i="4"/>
  <c r="EO46" i="4"/>
  <c r="EP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GQ45" i="4"/>
  <c r="GR45" i="4"/>
  <c r="GS45" i="4"/>
  <c r="GT45" i="4"/>
  <c r="GU45" i="4"/>
  <c r="GV45" i="4"/>
  <c r="GW45" i="4"/>
  <c r="GX45" i="4"/>
  <c r="GY45" i="4"/>
  <c r="GZ45" i="4"/>
  <c r="HA45" i="4"/>
  <c r="HB45" i="4"/>
  <c r="HC45" i="4"/>
  <c r="HD45" i="4"/>
  <c r="HE45" i="4"/>
  <c r="HF45" i="4"/>
  <c r="HG45" i="4"/>
  <c r="HH45" i="4"/>
  <c r="H45" i="4"/>
  <c r="I45" i="4" s="1"/>
  <c r="DY45" i="4"/>
  <c r="DZ45" i="4"/>
  <c r="EA45" i="4"/>
  <c r="EB45" i="4"/>
  <c r="EC45" i="4"/>
  <c r="ED45" i="4"/>
  <c r="EE45" i="4"/>
  <c r="EF45" i="4"/>
  <c r="EG45" i="4"/>
  <c r="EH45" i="4"/>
  <c r="EI45" i="4"/>
  <c r="EJ45" i="4"/>
  <c r="EK45" i="4"/>
  <c r="EL45" i="4"/>
  <c r="EM45" i="4"/>
  <c r="EN45" i="4"/>
  <c r="EO45" i="4"/>
  <c r="EP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GQ44" i="4"/>
  <c r="GR44" i="4"/>
  <c r="GS44" i="4"/>
  <c r="GT44" i="4"/>
  <c r="GU44" i="4"/>
  <c r="GV44" i="4"/>
  <c r="GW44" i="4"/>
  <c r="GX44" i="4"/>
  <c r="GY44" i="4"/>
  <c r="GZ44" i="4"/>
  <c r="HA44" i="4"/>
  <c r="HB44" i="4"/>
  <c r="HC44" i="4"/>
  <c r="HD44" i="4"/>
  <c r="HE44" i="4"/>
  <c r="HF44" i="4"/>
  <c r="HG44" i="4"/>
  <c r="HH44" i="4"/>
  <c r="H44" i="4"/>
  <c r="DY44" i="4"/>
  <c r="DZ44" i="4"/>
  <c r="EA44" i="4"/>
  <c r="EB44" i="4"/>
  <c r="EC44" i="4"/>
  <c r="ED44" i="4"/>
  <c r="EE44" i="4"/>
  <c r="EF44" i="4"/>
  <c r="EG44" i="4"/>
  <c r="EH44" i="4"/>
  <c r="EI44" i="4"/>
  <c r="EJ44" i="4"/>
  <c r="EK44" i="4"/>
  <c r="EL44" i="4"/>
  <c r="EM44" i="4"/>
  <c r="EN44" i="4"/>
  <c r="EO44" i="4"/>
  <c r="EP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GQ43" i="4"/>
  <c r="GR43" i="4"/>
  <c r="GS43" i="4"/>
  <c r="GT43" i="4"/>
  <c r="GU43" i="4"/>
  <c r="GV43" i="4"/>
  <c r="GW43" i="4"/>
  <c r="GX43" i="4"/>
  <c r="GY43" i="4"/>
  <c r="GZ43" i="4"/>
  <c r="HA43" i="4"/>
  <c r="HB43" i="4"/>
  <c r="HC43" i="4"/>
  <c r="HD43" i="4"/>
  <c r="HE43" i="4"/>
  <c r="HF43" i="4"/>
  <c r="HG43" i="4"/>
  <c r="HH43" i="4"/>
  <c r="H43" i="4"/>
  <c r="BZ43" i="4" s="1"/>
  <c r="DY43" i="4"/>
  <c r="DZ43" i="4"/>
  <c r="EA43" i="4"/>
  <c r="EB43" i="4"/>
  <c r="EC43" i="4"/>
  <c r="ED43" i="4"/>
  <c r="EE43" i="4"/>
  <c r="EF43" i="4"/>
  <c r="EG43" i="4"/>
  <c r="EH43" i="4"/>
  <c r="EI43" i="4"/>
  <c r="EJ43" i="4"/>
  <c r="EK43" i="4"/>
  <c r="EL43" i="4"/>
  <c r="EM43" i="4"/>
  <c r="EN43" i="4"/>
  <c r="EO43" i="4"/>
  <c r="EP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I43" i="4"/>
  <c r="U43" i="4" s="1"/>
  <c r="V43" i="4" s="1"/>
  <c r="GQ42" i="4"/>
  <c r="GR42" i="4"/>
  <c r="GS42" i="4"/>
  <c r="GT42" i="4"/>
  <c r="GU42" i="4"/>
  <c r="GV42" i="4"/>
  <c r="GW42" i="4"/>
  <c r="GX42" i="4"/>
  <c r="GY42" i="4"/>
  <c r="GZ42" i="4"/>
  <c r="HA42" i="4"/>
  <c r="HB42" i="4"/>
  <c r="HC42" i="4"/>
  <c r="HD42" i="4"/>
  <c r="HE42" i="4"/>
  <c r="HF42" i="4"/>
  <c r="HG42" i="4"/>
  <c r="HH42" i="4"/>
  <c r="H42" i="4"/>
  <c r="BZ42" i="4"/>
  <c r="ER42" i="4" s="1"/>
  <c r="ES42" i="4" s="1"/>
  <c r="DY42" i="4"/>
  <c r="DZ42" i="4"/>
  <c r="EA42" i="4"/>
  <c r="EB42" i="4"/>
  <c r="EC42" i="4"/>
  <c r="ED42" i="4"/>
  <c r="EE42" i="4"/>
  <c r="EF42" i="4"/>
  <c r="EG42" i="4"/>
  <c r="EH42" i="4"/>
  <c r="EI42" i="4"/>
  <c r="EJ42" i="4"/>
  <c r="EK42" i="4"/>
  <c r="EL42" i="4"/>
  <c r="EM42" i="4"/>
  <c r="EN42" i="4"/>
  <c r="EO42" i="4"/>
  <c r="EP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I42" i="4"/>
  <c r="AY42" i="4" s="1"/>
  <c r="AZ42" i="4" s="1"/>
  <c r="GQ41" i="4"/>
  <c r="GR41" i="4"/>
  <c r="GS41" i="4"/>
  <c r="GT41" i="4"/>
  <c r="GU41" i="4"/>
  <c r="GV41" i="4"/>
  <c r="GW41" i="4"/>
  <c r="GX41" i="4"/>
  <c r="GY41" i="4"/>
  <c r="GZ41" i="4"/>
  <c r="HA41" i="4"/>
  <c r="HB41" i="4"/>
  <c r="HC41" i="4"/>
  <c r="HD41" i="4"/>
  <c r="HE41" i="4"/>
  <c r="HF41" i="4"/>
  <c r="HG41" i="4"/>
  <c r="HH41" i="4"/>
  <c r="H41" i="4"/>
  <c r="I41" i="4" s="1"/>
  <c r="BZ41" i="4"/>
  <c r="ER41" i="4" s="1"/>
  <c r="ES41" i="4" s="1"/>
  <c r="GE41" i="4" s="1"/>
  <c r="GF41" i="4" s="1"/>
  <c r="GI41" i="4"/>
  <c r="GJ41" i="4" s="1"/>
  <c r="FS41" i="4"/>
  <c r="FT41" i="4" s="1"/>
  <c r="FK41" i="4"/>
  <c r="FL41" i="4"/>
  <c r="FC41" i="4"/>
  <c r="FD41" i="4" s="1"/>
  <c r="EU41" i="4"/>
  <c r="EV41" i="4" s="1"/>
  <c r="DY41" i="4"/>
  <c r="DZ41" i="4"/>
  <c r="EA41" i="4"/>
  <c r="EB41" i="4"/>
  <c r="EC41" i="4"/>
  <c r="ED41" i="4"/>
  <c r="EE41" i="4"/>
  <c r="EF41" i="4"/>
  <c r="EG41" i="4"/>
  <c r="EH41" i="4"/>
  <c r="EI41" i="4"/>
  <c r="EJ41" i="4"/>
  <c r="EK41" i="4"/>
  <c r="EL41" i="4"/>
  <c r="EM41" i="4"/>
  <c r="EN41" i="4"/>
  <c r="EO41" i="4"/>
  <c r="EP41" i="4"/>
  <c r="CA41" i="4"/>
  <c r="DO41" i="4" s="1"/>
  <c r="DP41" i="4" s="1"/>
  <c r="DG41" i="4"/>
  <c r="DH41" i="4" s="1"/>
  <c r="CY41" i="4"/>
  <c r="CZ41" i="4" s="1"/>
  <c r="CQ41" i="4"/>
  <c r="CR41" i="4" s="1"/>
  <c r="CI41" i="4"/>
  <c r="CJ41" i="4" s="1"/>
  <c r="CB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AY41" i="4"/>
  <c r="AZ41" i="4"/>
  <c r="AU41" i="4"/>
  <c r="AV41" i="4" s="1"/>
  <c r="AQ41" i="4"/>
  <c r="AR41" i="4"/>
  <c r="AM41" i="4"/>
  <c r="AN41" i="4" s="1"/>
  <c r="AI41" i="4"/>
  <c r="AJ41" i="4"/>
  <c r="AE41" i="4"/>
  <c r="AF41" i="4" s="1"/>
  <c r="AA41" i="4"/>
  <c r="AB41" i="4"/>
  <c r="W41" i="4"/>
  <c r="X41" i="4" s="1"/>
  <c r="S41" i="4"/>
  <c r="T41" i="4"/>
  <c r="O41" i="4"/>
  <c r="P41" i="4" s="1"/>
  <c r="K41" i="4"/>
  <c r="L41" i="4"/>
  <c r="GQ40" i="4"/>
  <c r="GR40" i="4"/>
  <c r="GS40" i="4"/>
  <c r="GT40" i="4"/>
  <c r="GU40" i="4"/>
  <c r="GV40" i="4"/>
  <c r="GW40" i="4"/>
  <c r="GX40" i="4"/>
  <c r="GY40" i="4"/>
  <c r="GZ40" i="4"/>
  <c r="HA40" i="4"/>
  <c r="HB40" i="4"/>
  <c r="HC40" i="4"/>
  <c r="HD40" i="4"/>
  <c r="HE40" i="4"/>
  <c r="HF40" i="4"/>
  <c r="HG40" i="4"/>
  <c r="HH40" i="4"/>
  <c r="H40" i="4"/>
  <c r="BZ40" i="4" s="1"/>
  <c r="DY40" i="4"/>
  <c r="DZ40" i="4"/>
  <c r="EA40" i="4"/>
  <c r="EB40" i="4"/>
  <c r="EC40" i="4"/>
  <c r="ED40" i="4"/>
  <c r="EE40" i="4"/>
  <c r="EF40" i="4"/>
  <c r="EG40" i="4"/>
  <c r="EH40" i="4"/>
  <c r="EI40" i="4"/>
  <c r="EJ40" i="4"/>
  <c r="EK40" i="4"/>
  <c r="EL40" i="4"/>
  <c r="EM40" i="4"/>
  <c r="EN40" i="4"/>
  <c r="EO40" i="4"/>
  <c r="EP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I40" i="4"/>
  <c r="AY40" i="4" s="1"/>
  <c r="AZ40" i="4" s="1"/>
  <c r="GQ37" i="4"/>
  <c r="GR37" i="4"/>
  <c r="GS37" i="4"/>
  <c r="GT37" i="4"/>
  <c r="GU37" i="4"/>
  <c r="GV37" i="4"/>
  <c r="GW37" i="4"/>
  <c r="GX37" i="4"/>
  <c r="GY37" i="4"/>
  <c r="GZ37" i="4"/>
  <c r="HA37" i="4"/>
  <c r="HB37" i="4"/>
  <c r="HC37" i="4"/>
  <c r="HD37" i="4"/>
  <c r="HE37" i="4"/>
  <c r="HF37" i="4"/>
  <c r="HG37" i="4"/>
  <c r="HH37" i="4"/>
  <c r="H37" i="4"/>
  <c r="BZ37" i="4" s="1"/>
  <c r="CA37" i="4" s="1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EM37" i="4"/>
  <c r="EN37" i="4"/>
  <c r="EO37" i="4"/>
  <c r="EP37" i="4"/>
  <c r="DM37" i="4"/>
  <c r="DN37" i="4" s="1"/>
  <c r="DE37" i="4"/>
  <c r="DF37" i="4" s="1"/>
  <c r="CW37" i="4"/>
  <c r="CX37" i="4" s="1"/>
  <c r="CO37" i="4"/>
  <c r="CP37" i="4" s="1"/>
  <c r="CG37" i="4"/>
  <c r="CH37" i="4" s="1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I37" i="4"/>
  <c r="AS37" i="4" s="1"/>
  <c r="AT37" i="4" s="1"/>
  <c r="AW37" i="4"/>
  <c r="AX37" i="4"/>
  <c r="AO37" i="4"/>
  <c r="AP37" i="4"/>
  <c r="AG37" i="4"/>
  <c r="AH37" i="4"/>
  <c r="Y37" i="4"/>
  <c r="Z37" i="4"/>
  <c r="Q37" i="4"/>
  <c r="R37" i="4"/>
  <c r="J37" i="4"/>
  <c r="GQ36" i="4"/>
  <c r="GR36" i="4"/>
  <c r="GS36" i="4"/>
  <c r="GT36" i="4"/>
  <c r="GU36" i="4"/>
  <c r="GV36" i="4"/>
  <c r="GW36" i="4"/>
  <c r="GX36" i="4"/>
  <c r="GY36" i="4"/>
  <c r="GZ36" i="4"/>
  <c r="HA36" i="4"/>
  <c r="HB36" i="4"/>
  <c r="HC36" i="4"/>
  <c r="HD36" i="4"/>
  <c r="HE36" i="4"/>
  <c r="HF36" i="4"/>
  <c r="HG36" i="4"/>
  <c r="HH36" i="4"/>
  <c r="BZ36" i="4"/>
  <c r="ER36" i="4"/>
  <c r="DY36" i="4"/>
  <c r="DZ36" i="4"/>
  <c r="EA36" i="4"/>
  <c r="EB36" i="4"/>
  <c r="EC36" i="4"/>
  <c r="ED36" i="4"/>
  <c r="EE36" i="4"/>
  <c r="EF36" i="4"/>
  <c r="EG36" i="4"/>
  <c r="EH36" i="4"/>
  <c r="EI36" i="4"/>
  <c r="EJ36" i="4"/>
  <c r="EK36" i="4"/>
  <c r="EL36" i="4"/>
  <c r="EM36" i="4"/>
  <c r="EN36" i="4"/>
  <c r="EO36" i="4"/>
  <c r="EP36" i="4"/>
  <c r="GQ35" i="4"/>
  <c r="GR35" i="4"/>
  <c r="GS35" i="4"/>
  <c r="GT35" i="4"/>
  <c r="GU35" i="4"/>
  <c r="GV35" i="4"/>
  <c r="GW35" i="4"/>
  <c r="GX35" i="4"/>
  <c r="GY35" i="4"/>
  <c r="GZ35" i="4"/>
  <c r="HA35" i="4"/>
  <c r="HB35" i="4"/>
  <c r="HC35" i="4"/>
  <c r="HD35" i="4"/>
  <c r="HE35" i="4"/>
  <c r="HF35" i="4"/>
  <c r="HG35" i="4"/>
  <c r="HH35" i="4"/>
  <c r="BZ35" i="4"/>
  <c r="ER35" i="4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EM35" i="4"/>
  <c r="EN35" i="4"/>
  <c r="EO35" i="4"/>
  <c r="EP35" i="4"/>
  <c r="GQ34" i="4"/>
  <c r="GR34" i="4"/>
  <c r="GS34" i="4"/>
  <c r="GT34" i="4"/>
  <c r="GU34" i="4"/>
  <c r="GV34" i="4"/>
  <c r="GW34" i="4"/>
  <c r="GX34" i="4"/>
  <c r="GY34" i="4"/>
  <c r="GZ34" i="4"/>
  <c r="HA34" i="4"/>
  <c r="HB34" i="4"/>
  <c r="HC34" i="4"/>
  <c r="HD34" i="4"/>
  <c r="HE34" i="4"/>
  <c r="HF34" i="4"/>
  <c r="HG34" i="4"/>
  <c r="HH34" i="4"/>
  <c r="H24" i="4"/>
  <c r="BZ24" i="4"/>
  <c r="CA24" i="4" s="1"/>
  <c r="ER24" i="4"/>
  <c r="H32" i="4"/>
  <c r="BZ32" i="4"/>
  <c r="CA32" i="4" s="1"/>
  <c r="DO32" i="4" s="1"/>
  <c r="DP32" i="4" s="1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EP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GQ33" i="4"/>
  <c r="GR33" i="4"/>
  <c r="GS33" i="4"/>
  <c r="GT33" i="4"/>
  <c r="GU33" i="4"/>
  <c r="GV33" i="4"/>
  <c r="GW33" i="4"/>
  <c r="GX33" i="4"/>
  <c r="GY33" i="4"/>
  <c r="GZ33" i="4"/>
  <c r="HA33" i="4"/>
  <c r="HB33" i="4"/>
  <c r="HC33" i="4"/>
  <c r="HD33" i="4"/>
  <c r="HE33" i="4"/>
  <c r="HF33" i="4"/>
  <c r="HG33" i="4"/>
  <c r="HH33" i="4"/>
  <c r="DY33" i="4"/>
  <c r="DZ33" i="4"/>
  <c r="EA33" i="4"/>
  <c r="EB33" i="4"/>
  <c r="EC33" i="4"/>
  <c r="ED33" i="4"/>
  <c r="EE33" i="4"/>
  <c r="EF33" i="4"/>
  <c r="EG33" i="4"/>
  <c r="EH33" i="4"/>
  <c r="EI33" i="4"/>
  <c r="EJ33" i="4"/>
  <c r="EK33" i="4"/>
  <c r="EL33" i="4"/>
  <c r="EM33" i="4"/>
  <c r="EN33" i="4"/>
  <c r="EO33" i="4"/>
  <c r="EP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GQ32" i="4"/>
  <c r="GR32" i="4"/>
  <c r="GS32" i="4"/>
  <c r="GT32" i="4"/>
  <c r="GU32" i="4"/>
  <c r="GV32" i="4"/>
  <c r="GW32" i="4"/>
  <c r="GX32" i="4"/>
  <c r="GY32" i="4"/>
  <c r="GZ32" i="4"/>
  <c r="HA32" i="4"/>
  <c r="HB32" i="4"/>
  <c r="HC32" i="4"/>
  <c r="HD32" i="4"/>
  <c r="HE32" i="4"/>
  <c r="HF32" i="4"/>
  <c r="HG32" i="4"/>
  <c r="HH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EL32" i="4"/>
  <c r="EM32" i="4"/>
  <c r="EN32" i="4"/>
  <c r="EO32" i="4"/>
  <c r="EP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I32" i="4"/>
  <c r="GQ31" i="4"/>
  <c r="GR31" i="4"/>
  <c r="GS31" i="4"/>
  <c r="GT31" i="4"/>
  <c r="GU31" i="4"/>
  <c r="GV31" i="4"/>
  <c r="GW31" i="4"/>
  <c r="GX31" i="4"/>
  <c r="GY31" i="4"/>
  <c r="GZ31" i="4"/>
  <c r="HA31" i="4"/>
  <c r="HB31" i="4"/>
  <c r="HC31" i="4"/>
  <c r="HD31" i="4"/>
  <c r="HE31" i="4"/>
  <c r="HF31" i="4"/>
  <c r="HG31" i="4"/>
  <c r="HH31" i="4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EP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GQ30" i="4"/>
  <c r="GR30" i="4"/>
  <c r="GS30" i="4"/>
  <c r="GT30" i="4"/>
  <c r="GU30" i="4"/>
  <c r="GV30" i="4"/>
  <c r="GW30" i="4"/>
  <c r="GX30" i="4"/>
  <c r="GY30" i="4"/>
  <c r="GZ30" i="4"/>
  <c r="HA30" i="4"/>
  <c r="HB30" i="4"/>
  <c r="HC30" i="4"/>
  <c r="HD30" i="4"/>
  <c r="HE30" i="4"/>
  <c r="HF30" i="4"/>
  <c r="HG30" i="4"/>
  <c r="HH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EP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GQ29" i="4"/>
  <c r="GR29" i="4"/>
  <c r="GS29" i="4"/>
  <c r="GT29" i="4"/>
  <c r="GU29" i="4"/>
  <c r="GV29" i="4"/>
  <c r="GW29" i="4"/>
  <c r="GX29" i="4"/>
  <c r="GY29" i="4"/>
  <c r="GZ29" i="4"/>
  <c r="HA29" i="4"/>
  <c r="HB29" i="4"/>
  <c r="HC29" i="4"/>
  <c r="HD29" i="4"/>
  <c r="HE29" i="4"/>
  <c r="HF29" i="4"/>
  <c r="HG29" i="4"/>
  <c r="HH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EN29" i="4"/>
  <c r="EO29" i="4"/>
  <c r="EP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GQ28" i="4"/>
  <c r="GR28" i="4"/>
  <c r="GS28" i="4"/>
  <c r="GT28" i="4"/>
  <c r="GU28" i="4"/>
  <c r="GV28" i="4"/>
  <c r="GW28" i="4"/>
  <c r="GX28" i="4"/>
  <c r="GY28" i="4"/>
  <c r="GZ28" i="4"/>
  <c r="HA28" i="4"/>
  <c r="HB28" i="4"/>
  <c r="HC28" i="4"/>
  <c r="HD28" i="4"/>
  <c r="HE28" i="4"/>
  <c r="HF28" i="4"/>
  <c r="HG28" i="4"/>
  <c r="HH28" i="4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EN28" i="4"/>
  <c r="EO28" i="4"/>
  <c r="EP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GQ27" i="4"/>
  <c r="GR27" i="4"/>
  <c r="GS27" i="4"/>
  <c r="GT27" i="4"/>
  <c r="GU27" i="4"/>
  <c r="GV27" i="4"/>
  <c r="GW27" i="4"/>
  <c r="GX27" i="4"/>
  <c r="GY27" i="4"/>
  <c r="GZ27" i="4"/>
  <c r="HA27" i="4"/>
  <c r="HB27" i="4"/>
  <c r="HC27" i="4"/>
  <c r="HD27" i="4"/>
  <c r="HE27" i="4"/>
  <c r="HF27" i="4"/>
  <c r="HG27" i="4"/>
  <c r="HH27" i="4"/>
  <c r="DY27" i="4"/>
  <c r="DZ27" i="4"/>
  <c r="EA27" i="4"/>
  <c r="EB27" i="4"/>
  <c r="EC27" i="4"/>
  <c r="ED27" i="4"/>
  <c r="EE27" i="4"/>
  <c r="EF27" i="4"/>
  <c r="EG27" i="4"/>
  <c r="EH27" i="4"/>
  <c r="EI27" i="4"/>
  <c r="EJ27" i="4"/>
  <c r="EK27" i="4"/>
  <c r="EL27" i="4"/>
  <c r="EM27" i="4"/>
  <c r="EN27" i="4"/>
  <c r="EO27" i="4"/>
  <c r="EP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GQ26" i="4"/>
  <c r="GR26" i="4"/>
  <c r="GS26" i="4"/>
  <c r="GT26" i="4"/>
  <c r="GU26" i="4"/>
  <c r="GV26" i="4"/>
  <c r="GW26" i="4"/>
  <c r="GX26" i="4"/>
  <c r="GY26" i="4"/>
  <c r="GZ26" i="4"/>
  <c r="HA26" i="4"/>
  <c r="HB26" i="4"/>
  <c r="HC26" i="4"/>
  <c r="HD26" i="4"/>
  <c r="HE26" i="4"/>
  <c r="HF26" i="4"/>
  <c r="HG26" i="4"/>
  <c r="HH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EP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GQ25" i="4"/>
  <c r="GR25" i="4"/>
  <c r="GS25" i="4"/>
  <c r="GT25" i="4"/>
  <c r="GU25" i="4"/>
  <c r="GV25" i="4"/>
  <c r="GW25" i="4"/>
  <c r="GX25" i="4"/>
  <c r="GY25" i="4"/>
  <c r="GZ25" i="4"/>
  <c r="HA25" i="4"/>
  <c r="HB25" i="4"/>
  <c r="HC25" i="4"/>
  <c r="HD25" i="4"/>
  <c r="HE25" i="4"/>
  <c r="HF25" i="4"/>
  <c r="HG25" i="4"/>
  <c r="HH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EL25" i="4"/>
  <c r="EM25" i="4"/>
  <c r="EN25" i="4"/>
  <c r="EO25" i="4"/>
  <c r="EP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GQ24" i="4"/>
  <c r="GR24" i="4"/>
  <c r="GS24" i="4"/>
  <c r="GT24" i="4"/>
  <c r="GU24" i="4"/>
  <c r="GV24" i="4"/>
  <c r="GW24" i="4"/>
  <c r="GX24" i="4"/>
  <c r="GY24" i="4"/>
  <c r="GZ24" i="4"/>
  <c r="HA24" i="4"/>
  <c r="HB24" i="4"/>
  <c r="HC24" i="4"/>
  <c r="HD24" i="4"/>
  <c r="HE24" i="4"/>
  <c r="HF24" i="4"/>
  <c r="HG24" i="4"/>
  <c r="HH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P24" i="4"/>
  <c r="DO24" i="4"/>
  <c r="DP24" i="4" s="1"/>
  <c r="DG24" i="4"/>
  <c r="DH24" i="4" s="1"/>
  <c r="CY24" i="4"/>
  <c r="CZ24" i="4" s="1"/>
  <c r="CQ24" i="4"/>
  <c r="CR24" i="4" s="1"/>
  <c r="CI24" i="4"/>
  <c r="CJ24" i="4" s="1"/>
  <c r="CB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I24" i="4"/>
  <c r="AY24" i="4"/>
  <c r="AZ24" i="4" s="1"/>
  <c r="AQ24" i="4"/>
  <c r="AR24" i="4" s="1"/>
  <c r="AI24" i="4"/>
  <c r="AJ24" i="4" s="1"/>
  <c r="AA24" i="4"/>
  <c r="AB24" i="4" s="1"/>
  <c r="S24" i="4"/>
  <c r="T24" i="4" s="1"/>
  <c r="K24" i="4"/>
  <c r="L24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FE152" i="4" l="1"/>
  <c r="FF152" i="4" s="1"/>
  <c r="FO152" i="4"/>
  <c r="FP152" i="4" s="1"/>
  <c r="GE152" i="4"/>
  <c r="GF152" i="4" s="1"/>
  <c r="EY152" i="4"/>
  <c r="EZ152" i="4" s="1"/>
  <c r="FU152" i="4"/>
  <c r="FV152" i="4" s="1"/>
  <c r="CA152" i="4"/>
  <c r="I151" i="4"/>
  <c r="AS31" i="4"/>
  <c r="AT31" i="4" s="1"/>
  <c r="AC31" i="4"/>
  <c r="AD31" i="4" s="1"/>
  <c r="M31" i="4"/>
  <c r="N31" i="4" s="1"/>
  <c r="AO31" i="4"/>
  <c r="AP31" i="4" s="1"/>
  <c r="J31" i="4"/>
  <c r="U31" i="4"/>
  <c r="V31" i="4" s="1"/>
  <c r="AW31" i="4"/>
  <c r="AX31" i="4" s="1"/>
  <c r="AG31" i="4"/>
  <c r="AH31" i="4" s="1"/>
  <c r="Q31" i="4"/>
  <c r="R31" i="4" s="1"/>
  <c r="Y31" i="4"/>
  <c r="Z31" i="4" s="1"/>
  <c r="AK31" i="4"/>
  <c r="AL31" i="4" s="1"/>
  <c r="ET150" i="4"/>
  <c r="FI150" i="4"/>
  <c r="FJ150" i="4" s="1"/>
  <c r="GG149" i="4"/>
  <c r="GH149" i="4" s="1"/>
  <c r="GE149" i="4"/>
  <c r="GF149" i="4" s="1"/>
  <c r="FS149" i="4"/>
  <c r="FT149" i="4" s="1"/>
  <c r="FE149" i="4"/>
  <c r="FF149" i="4" s="1"/>
  <c r="ET149" i="4"/>
  <c r="FO149" i="4"/>
  <c r="FP149" i="4" s="1"/>
  <c r="FY149" i="4"/>
  <c r="FZ149" i="4" s="1"/>
  <c r="EY149" i="4"/>
  <c r="EZ149" i="4" s="1"/>
  <c r="FC149" i="4"/>
  <c r="FD149" i="4" s="1"/>
  <c r="GI149" i="4"/>
  <c r="GJ149" i="4" s="1"/>
  <c r="FU149" i="4"/>
  <c r="FV149" i="4" s="1"/>
  <c r="FI149" i="4"/>
  <c r="FJ149" i="4" s="1"/>
  <c r="CA149" i="4"/>
  <c r="FY144" i="4"/>
  <c r="FZ144" i="4" s="1"/>
  <c r="FQ144" i="4"/>
  <c r="FR144" i="4" s="1"/>
  <c r="EW144" i="4"/>
  <c r="EX144" i="4" s="1"/>
  <c r="FA144" i="4"/>
  <c r="FB144" i="4" s="1"/>
  <c r="GG144" i="4"/>
  <c r="GH144" i="4" s="1"/>
  <c r="FM144" i="4"/>
  <c r="FN144" i="4" s="1"/>
  <c r="GC144" i="4"/>
  <c r="GD144" i="4" s="1"/>
  <c r="FE144" i="4"/>
  <c r="FF144" i="4" s="1"/>
  <c r="FU144" i="4"/>
  <c r="FV144" i="4" s="1"/>
  <c r="CC144" i="4"/>
  <c r="CD144" i="4" s="1"/>
  <c r="CS144" i="4"/>
  <c r="CT144" i="4" s="1"/>
  <c r="DI144" i="4"/>
  <c r="DJ144" i="4" s="1"/>
  <c r="DE144" i="4"/>
  <c r="DF144" i="4" s="1"/>
  <c r="CG144" i="4"/>
  <c r="CH144" i="4" s="1"/>
  <c r="CW144" i="4"/>
  <c r="CX144" i="4" s="1"/>
  <c r="DM144" i="4"/>
  <c r="DN144" i="4" s="1"/>
  <c r="CK144" i="4"/>
  <c r="CL144" i="4" s="1"/>
  <c r="DA144" i="4"/>
  <c r="DB144" i="4" s="1"/>
  <c r="DQ144" i="4"/>
  <c r="DR144" i="4" s="1"/>
  <c r="GA143" i="4"/>
  <c r="GB143" i="4" s="1"/>
  <c r="FO143" i="4"/>
  <c r="FP143" i="4" s="1"/>
  <c r="FC143" i="4"/>
  <c r="FD143" i="4" s="1"/>
  <c r="GI143" i="4"/>
  <c r="GJ143" i="4" s="1"/>
  <c r="FW143" i="4"/>
  <c r="FX143" i="4" s="1"/>
  <c r="EY143" i="4"/>
  <c r="EZ143" i="4" s="1"/>
  <c r="GE143" i="4"/>
  <c r="GF143" i="4" s="1"/>
  <c r="FS143" i="4"/>
  <c r="FT143" i="4" s="1"/>
  <c r="FG143" i="4"/>
  <c r="FH143" i="4" s="1"/>
  <c r="AW139" i="4"/>
  <c r="AX139" i="4" s="1"/>
  <c r="AU139" i="4"/>
  <c r="AV139" i="4" s="1"/>
  <c r="AM139" i="4"/>
  <c r="AN139" i="4" s="1"/>
  <c r="AE139" i="4"/>
  <c r="AF139" i="4" s="1"/>
  <c r="W139" i="4"/>
  <c r="X139" i="4" s="1"/>
  <c r="O139" i="4"/>
  <c r="P139" i="4" s="1"/>
  <c r="AY139" i="4"/>
  <c r="AZ139" i="4" s="1"/>
  <c r="AQ139" i="4"/>
  <c r="AR139" i="4" s="1"/>
  <c r="AI139" i="4"/>
  <c r="AJ139" i="4" s="1"/>
  <c r="AA139" i="4"/>
  <c r="AB139" i="4" s="1"/>
  <c r="S139" i="4"/>
  <c r="T139" i="4" s="1"/>
  <c r="K139" i="4"/>
  <c r="L139" i="4" s="1"/>
  <c r="CA139" i="4"/>
  <c r="ER141" i="4"/>
  <c r="ES141" i="4" s="1"/>
  <c r="CA141" i="4"/>
  <c r="ER137" i="4"/>
  <c r="ES137" i="4" s="1"/>
  <c r="CA137" i="4"/>
  <c r="I137" i="4"/>
  <c r="Q142" i="4"/>
  <c r="R142" i="4" s="1"/>
  <c r="AI142" i="4"/>
  <c r="AJ142" i="4" s="1"/>
  <c r="AU142" i="4"/>
  <c r="AV142" i="4" s="1"/>
  <c r="K142" i="4"/>
  <c r="L142" i="4" s="1"/>
  <c r="U142" i="4"/>
  <c r="V142" i="4" s="1"/>
  <c r="AE142" i="4"/>
  <c r="AF142" i="4" s="1"/>
  <c r="AS142" i="4"/>
  <c r="AT142" i="4" s="1"/>
  <c r="ER142" i="4"/>
  <c r="ES142" i="4" s="1"/>
  <c r="EU142" i="4" s="1"/>
  <c r="EV142" i="4" s="1"/>
  <c r="BZ30" i="4"/>
  <c r="ER30" i="4" s="1"/>
  <c r="ES30" i="4" s="1"/>
  <c r="I30" i="4"/>
  <c r="AY30" i="4" s="1"/>
  <c r="AZ30" i="4" s="1"/>
  <c r="GG146" i="4"/>
  <c r="GH146" i="4" s="1"/>
  <c r="GI146" i="4"/>
  <c r="GJ146" i="4" s="1"/>
  <c r="FS146" i="4"/>
  <c r="FT146" i="4" s="1"/>
  <c r="FC146" i="4"/>
  <c r="FD146" i="4" s="1"/>
  <c r="FG146" i="4"/>
  <c r="FH146" i="4" s="1"/>
  <c r="GE146" i="4"/>
  <c r="GF146" i="4" s="1"/>
  <c r="FO146" i="4"/>
  <c r="FP146" i="4" s="1"/>
  <c r="EY146" i="4"/>
  <c r="EZ146" i="4" s="1"/>
  <c r="GA146" i="4"/>
  <c r="GB146" i="4" s="1"/>
  <c r="FK146" i="4"/>
  <c r="FL146" i="4" s="1"/>
  <c r="EU146" i="4"/>
  <c r="EV146" i="4" s="1"/>
  <c r="FW146" i="4"/>
  <c r="FX146" i="4" s="1"/>
  <c r="AM146" i="4"/>
  <c r="AN146" i="4" s="1"/>
  <c r="U140" i="4"/>
  <c r="V140" i="4" s="1"/>
  <c r="AK140" i="4"/>
  <c r="AL140" i="4" s="1"/>
  <c r="K146" i="4"/>
  <c r="L146" i="4" s="1"/>
  <c r="AA146" i="4"/>
  <c r="AB146" i="4" s="1"/>
  <c r="AQ146" i="4"/>
  <c r="AR146" i="4" s="1"/>
  <c r="J140" i="4"/>
  <c r="Y140" i="4"/>
  <c r="Z140" i="4" s="1"/>
  <c r="AO140" i="4"/>
  <c r="AP140" i="4" s="1"/>
  <c r="O146" i="4"/>
  <c r="P146" i="4" s="1"/>
  <c r="AE146" i="4"/>
  <c r="AF146" i="4" s="1"/>
  <c r="AU146" i="4"/>
  <c r="AV146" i="4" s="1"/>
  <c r="W146" i="4"/>
  <c r="X146" i="4" s="1"/>
  <c r="M140" i="4"/>
  <c r="N140" i="4" s="1"/>
  <c r="AC140" i="4"/>
  <c r="AD140" i="4" s="1"/>
  <c r="BZ140" i="4"/>
  <c r="S146" i="4"/>
  <c r="T146" i="4" s="1"/>
  <c r="AI146" i="4"/>
  <c r="AJ146" i="4" s="1"/>
  <c r="AY146" i="4"/>
  <c r="AZ146" i="4" s="1"/>
  <c r="CA128" i="4"/>
  <c r="ER128" i="4"/>
  <c r="ES128" i="4" s="1"/>
  <c r="I128" i="4"/>
  <c r="M132" i="4"/>
  <c r="N132" i="4" s="1"/>
  <c r="W132" i="4"/>
  <c r="X132" i="4" s="1"/>
  <c r="AE132" i="4"/>
  <c r="AF132" i="4" s="1"/>
  <c r="AO132" i="4"/>
  <c r="AP132" i="4" s="1"/>
  <c r="DG132" i="4"/>
  <c r="DH132" i="4" s="1"/>
  <c r="DQ132" i="4"/>
  <c r="DR132" i="4" s="1"/>
  <c r="O132" i="4"/>
  <c r="P132" i="4" s="1"/>
  <c r="Y132" i="4"/>
  <c r="Z132" i="4" s="1"/>
  <c r="AG132" i="4"/>
  <c r="AH132" i="4" s="1"/>
  <c r="AU132" i="4"/>
  <c r="AV132" i="4" s="1"/>
  <c r="DA132" i="4"/>
  <c r="DB132" i="4" s="1"/>
  <c r="DK132" i="4"/>
  <c r="DL132" i="4" s="1"/>
  <c r="CA124" i="4"/>
  <c r="I133" i="4"/>
  <c r="I29" i="4"/>
  <c r="BZ29" i="4"/>
  <c r="FW126" i="4"/>
  <c r="FX126" i="4" s="1"/>
  <c r="FS126" i="4"/>
  <c r="FT126" i="4" s="1"/>
  <c r="EY126" i="4"/>
  <c r="EZ126" i="4" s="1"/>
  <c r="GI126" i="4"/>
  <c r="GJ126" i="4" s="1"/>
  <c r="FO126" i="4"/>
  <c r="FP126" i="4" s="1"/>
  <c r="FC126" i="4"/>
  <c r="FD126" i="4" s="1"/>
  <c r="GE126" i="4"/>
  <c r="GF126" i="4" s="1"/>
  <c r="ER133" i="4"/>
  <c r="ES133" i="4" s="1"/>
  <c r="CA133" i="4"/>
  <c r="CB133" i="4" s="1"/>
  <c r="AQ126" i="4"/>
  <c r="AR126" i="4" s="1"/>
  <c r="AY126" i="4"/>
  <c r="AZ126" i="4" s="1"/>
  <c r="CA126" i="4"/>
  <c r="AU133" i="4"/>
  <c r="AV133" i="4" s="1"/>
  <c r="AQ118" i="4"/>
  <c r="AR118" i="4" s="1"/>
  <c r="AI118" i="4"/>
  <c r="AJ118" i="4" s="1"/>
  <c r="O118" i="4"/>
  <c r="P118" i="4" s="1"/>
  <c r="W118" i="4"/>
  <c r="X118" i="4" s="1"/>
  <c r="AE118" i="4"/>
  <c r="AF118" i="4" s="1"/>
  <c r="AM118" i="4"/>
  <c r="AN118" i="4" s="1"/>
  <c r="AU118" i="4"/>
  <c r="AV118" i="4" s="1"/>
  <c r="BZ104" i="4"/>
  <c r="BZ103" i="4"/>
  <c r="GA102" i="4"/>
  <c r="GB102" i="4" s="1"/>
  <c r="EU102" i="4"/>
  <c r="EV102" i="4" s="1"/>
  <c r="CA102" i="4"/>
  <c r="CB102" i="4" s="1"/>
  <c r="FY101" i="4"/>
  <c r="FZ101" i="4" s="1"/>
  <c r="FI101" i="4"/>
  <c r="FJ101" i="4" s="1"/>
  <c r="EY101" i="4"/>
  <c r="EZ101" i="4" s="1"/>
  <c r="FO101" i="4"/>
  <c r="FP101" i="4" s="1"/>
  <c r="GE101" i="4"/>
  <c r="GF101" i="4" s="1"/>
  <c r="ET101" i="4"/>
  <c r="CA101" i="4"/>
  <c r="CA100" i="4"/>
  <c r="FK114" i="4"/>
  <c r="FL114" i="4" s="1"/>
  <c r="EU114" i="4"/>
  <c r="EV114" i="4" s="1"/>
  <c r="GA114" i="4"/>
  <c r="GB114" i="4" s="1"/>
  <c r="AU114" i="4"/>
  <c r="AV114" i="4" s="1"/>
  <c r="CA98" i="4"/>
  <c r="ER116" i="4"/>
  <c r="ES116" i="4" s="1"/>
  <c r="CA116" i="4"/>
  <c r="I116" i="4"/>
  <c r="J116" i="4" s="1"/>
  <c r="AW94" i="4"/>
  <c r="AX94" i="4" s="1"/>
  <c r="AM94" i="4"/>
  <c r="AN94" i="4" s="1"/>
  <c r="O94" i="4"/>
  <c r="P94" i="4" s="1"/>
  <c r="AY94" i="4"/>
  <c r="AZ94" i="4" s="1"/>
  <c r="AQ94" i="4"/>
  <c r="AR94" i="4" s="1"/>
  <c r="AI94" i="4"/>
  <c r="AJ94" i="4" s="1"/>
  <c r="AA94" i="4"/>
  <c r="AB94" i="4" s="1"/>
  <c r="S94" i="4"/>
  <c r="T94" i="4" s="1"/>
  <c r="K94" i="4"/>
  <c r="L94" i="4" s="1"/>
  <c r="AU94" i="4"/>
  <c r="AV94" i="4" s="1"/>
  <c r="AE94" i="4"/>
  <c r="AF94" i="4" s="1"/>
  <c r="W94" i="4"/>
  <c r="X94" i="4" s="1"/>
  <c r="O71" i="4"/>
  <c r="P71" i="4" s="1"/>
  <c r="AK71" i="4"/>
  <c r="AL71" i="4" s="1"/>
  <c r="AU71" i="4"/>
  <c r="AV71" i="4" s="1"/>
  <c r="K71" i="4"/>
  <c r="L71" i="4" s="1"/>
  <c r="AA71" i="4"/>
  <c r="AB71" i="4" s="1"/>
  <c r="J71" i="4"/>
  <c r="S71" i="4"/>
  <c r="T71" i="4" s="1"/>
  <c r="Y71" i="4"/>
  <c r="Z71" i="4" s="1"/>
  <c r="AI71" i="4"/>
  <c r="AJ71" i="4" s="1"/>
  <c r="AO71" i="4"/>
  <c r="AP71" i="4" s="1"/>
  <c r="AY71" i="4"/>
  <c r="AZ71" i="4" s="1"/>
  <c r="U71" i="4"/>
  <c r="V71" i="4" s="1"/>
  <c r="AE71" i="4"/>
  <c r="AF71" i="4" s="1"/>
  <c r="Q71" i="4"/>
  <c r="R71" i="4" s="1"/>
  <c r="AG71" i="4"/>
  <c r="AH71" i="4" s="1"/>
  <c r="AQ71" i="4"/>
  <c r="AR71" i="4" s="1"/>
  <c r="AW71" i="4"/>
  <c r="AX71" i="4" s="1"/>
  <c r="M71" i="4"/>
  <c r="N71" i="4" s="1"/>
  <c r="W71" i="4"/>
  <c r="X71" i="4" s="1"/>
  <c r="AC71" i="4"/>
  <c r="AD71" i="4" s="1"/>
  <c r="AM71" i="4"/>
  <c r="AN71" i="4" s="1"/>
  <c r="BZ70" i="4"/>
  <c r="ER70" i="4" s="1"/>
  <c r="ES70" i="4" s="1"/>
  <c r="AO95" i="4"/>
  <c r="AP95" i="4" s="1"/>
  <c r="J95" i="4"/>
  <c r="BZ26" i="4"/>
  <c r="I26" i="4"/>
  <c r="AE26" i="4" s="1"/>
  <c r="AF26" i="4" s="1"/>
  <c r="DE63" i="4"/>
  <c r="DF63" i="4" s="1"/>
  <c r="CG63" i="4"/>
  <c r="CH63" i="4" s="1"/>
  <c r="DM63" i="4"/>
  <c r="DN63" i="4" s="1"/>
  <c r="CK66" i="4"/>
  <c r="CL66" i="4" s="1"/>
  <c r="DI66" i="4"/>
  <c r="DJ66" i="4" s="1"/>
  <c r="I63" i="4"/>
  <c r="AQ63" i="4" s="1"/>
  <c r="AR63" i="4" s="1"/>
  <c r="CO63" i="4"/>
  <c r="CP63" i="4" s="1"/>
  <c r="CC66" i="4"/>
  <c r="CD66" i="4" s="1"/>
  <c r="CS66" i="4"/>
  <c r="CT66" i="4" s="1"/>
  <c r="DE66" i="4"/>
  <c r="DF66" i="4" s="1"/>
  <c r="DQ53" i="4"/>
  <c r="DR53" i="4" s="1"/>
  <c r="ER53" i="4"/>
  <c r="ES53" i="4" s="1"/>
  <c r="ER52" i="4"/>
  <c r="ES52" i="4" s="1"/>
  <c r="GG52" i="4" s="1"/>
  <c r="GH52" i="4" s="1"/>
  <c r="CA52" i="4"/>
  <c r="AW52" i="4"/>
  <c r="AX52" i="4" s="1"/>
  <c r="CA50" i="4"/>
  <c r="ER50" i="4"/>
  <c r="ES50" i="4" s="1"/>
  <c r="FU50" i="4" s="1"/>
  <c r="FV50" i="4" s="1"/>
  <c r="I50" i="4"/>
  <c r="BZ49" i="4"/>
  <c r="ER49" i="4" s="1"/>
  <c r="ES49" i="4" s="1"/>
  <c r="CA46" i="4"/>
  <c r="ER46" i="4"/>
  <c r="ES46" i="4" s="1"/>
  <c r="I46" i="4"/>
  <c r="BZ45" i="4"/>
  <c r="ER45" i="4" s="1"/>
  <c r="ES45" i="4" s="1"/>
  <c r="M43" i="4"/>
  <c r="N43" i="4" s="1"/>
  <c r="FU42" i="4"/>
  <c r="FV42" i="4" s="1"/>
  <c r="FE42" i="4"/>
  <c r="FF42" i="4" s="1"/>
  <c r="GG42" i="4"/>
  <c r="GH42" i="4" s="1"/>
  <c r="FQ42" i="4"/>
  <c r="FR42" i="4" s="1"/>
  <c r="FA42" i="4"/>
  <c r="FB42" i="4" s="1"/>
  <c r="FI42" i="4"/>
  <c r="FJ42" i="4" s="1"/>
  <c r="ET42" i="4"/>
  <c r="GC42" i="4"/>
  <c r="GD42" i="4" s="1"/>
  <c r="FM42" i="4"/>
  <c r="FN42" i="4" s="1"/>
  <c r="EW42" i="4"/>
  <c r="EX42" i="4" s="1"/>
  <c r="FY42" i="4"/>
  <c r="FZ42" i="4" s="1"/>
  <c r="M42" i="4"/>
  <c r="N42" i="4" s="1"/>
  <c r="W42" i="4"/>
  <c r="X42" i="4" s="1"/>
  <c r="AC42" i="4"/>
  <c r="AD42" i="4" s="1"/>
  <c r="AS42" i="4"/>
  <c r="AT42" i="4" s="1"/>
  <c r="CA42" i="4"/>
  <c r="K42" i="4"/>
  <c r="L42" i="4" s="1"/>
  <c r="Q42" i="4"/>
  <c r="R42" i="4" s="1"/>
  <c r="AO42" i="4"/>
  <c r="AP42" i="4" s="1"/>
  <c r="J42" i="4"/>
  <c r="S42" i="4"/>
  <c r="T42" i="4" s="1"/>
  <c r="Y42" i="4"/>
  <c r="Z42" i="4" s="1"/>
  <c r="AG42" i="4"/>
  <c r="AH42" i="4" s="1"/>
  <c r="AW42" i="4"/>
  <c r="AX42" i="4" s="1"/>
  <c r="AA42" i="4"/>
  <c r="AB42" i="4" s="1"/>
  <c r="O42" i="4"/>
  <c r="P42" i="4" s="1"/>
  <c r="U42" i="4"/>
  <c r="V42" i="4" s="1"/>
  <c r="AK42" i="4"/>
  <c r="AL42" i="4" s="1"/>
  <c r="GA41" i="4"/>
  <c r="GB41" i="4" s="1"/>
  <c r="I60" i="4"/>
  <c r="AW60" i="4" s="1"/>
  <c r="AX60" i="4" s="1"/>
  <c r="CG153" i="4"/>
  <c r="CH153" i="4" s="1"/>
  <c r="CS153" i="4"/>
  <c r="CT153" i="4" s="1"/>
  <c r="CW153" i="4"/>
  <c r="CX153" i="4" s="1"/>
  <c r="DI153" i="4"/>
  <c r="DJ153" i="4" s="1"/>
  <c r="BZ31" i="4"/>
  <c r="CC153" i="4"/>
  <c r="CD153" i="4" s="1"/>
  <c r="DE153" i="4"/>
  <c r="DF153" i="4" s="1"/>
  <c r="I28" i="4"/>
  <c r="AE28" i="4" s="1"/>
  <c r="AF28" i="4" s="1"/>
  <c r="BZ28" i="4"/>
  <c r="AK119" i="4"/>
  <c r="AL119" i="4" s="1"/>
  <c r="BZ119" i="4"/>
  <c r="Y27" i="4"/>
  <c r="Z27" i="4" s="1"/>
  <c r="AG27" i="4"/>
  <c r="AH27" i="4" s="1"/>
  <c r="AW27" i="4"/>
  <c r="AX27" i="4" s="1"/>
  <c r="Q27" i="4"/>
  <c r="R27" i="4" s="1"/>
  <c r="AO27" i="4"/>
  <c r="AP27" i="4" s="1"/>
  <c r="J27" i="4"/>
  <c r="BZ95" i="4"/>
  <c r="CA60" i="4"/>
  <c r="DG60" i="4" s="1"/>
  <c r="DH60" i="4" s="1"/>
  <c r="ER60" i="4"/>
  <c r="ES60" i="4" s="1"/>
  <c r="GA60" i="4" s="1"/>
  <c r="GB60" i="4" s="1"/>
  <c r="E25" i="4"/>
  <c r="D33" i="4"/>
  <c r="E33" i="4" s="1"/>
  <c r="H33" i="4" s="1"/>
  <c r="W59" i="4"/>
  <c r="X59" i="4" s="1"/>
  <c r="AI59" i="4"/>
  <c r="AJ59" i="4" s="1"/>
  <c r="O59" i="4"/>
  <c r="P59" i="4" s="1"/>
  <c r="AA59" i="4"/>
  <c r="AB59" i="4" s="1"/>
  <c r="AU59" i="4"/>
  <c r="AV59" i="4" s="1"/>
  <c r="S59" i="4"/>
  <c r="T59" i="4" s="1"/>
  <c r="AM59" i="4"/>
  <c r="AN59" i="4" s="1"/>
  <c r="BZ59" i="4"/>
  <c r="AW32" i="4"/>
  <c r="AX32" i="4" s="1"/>
  <c r="AS32" i="4"/>
  <c r="AT32" i="4" s="1"/>
  <c r="AO32" i="4"/>
  <c r="AP32" i="4" s="1"/>
  <c r="AK32" i="4"/>
  <c r="AL32" i="4" s="1"/>
  <c r="AG32" i="4"/>
  <c r="AH32" i="4" s="1"/>
  <c r="AC32" i="4"/>
  <c r="AD32" i="4" s="1"/>
  <c r="Y32" i="4"/>
  <c r="Z32" i="4" s="1"/>
  <c r="U32" i="4"/>
  <c r="V32" i="4" s="1"/>
  <c r="Q32" i="4"/>
  <c r="R32" i="4" s="1"/>
  <c r="M32" i="4"/>
  <c r="N32" i="4" s="1"/>
  <c r="J32" i="4"/>
  <c r="AY27" i="4"/>
  <c r="AZ27" i="4" s="1"/>
  <c r="AU27" i="4"/>
  <c r="AV27" i="4" s="1"/>
  <c r="AQ27" i="4"/>
  <c r="AR27" i="4" s="1"/>
  <c r="AM27" i="4"/>
  <c r="AN27" i="4" s="1"/>
  <c r="AI27" i="4"/>
  <c r="AJ27" i="4" s="1"/>
  <c r="AE27" i="4"/>
  <c r="AF27" i="4" s="1"/>
  <c r="AA27" i="4"/>
  <c r="AB27" i="4" s="1"/>
  <c r="W27" i="4"/>
  <c r="X27" i="4" s="1"/>
  <c r="S27" i="4"/>
  <c r="T27" i="4" s="1"/>
  <c r="O27" i="4"/>
  <c r="P27" i="4" s="1"/>
  <c r="K27" i="4"/>
  <c r="L27" i="4" s="1"/>
  <c r="DO37" i="4"/>
  <c r="DP37" i="4" s="1"/>
  <c r="DK37" i="4"/>
  <c r="DL37" i="4" s="1"/>
  <c r="DG37" i="4"/>
  <c r="DH37" i="4" s="1"/>
  <c r="DC37" i="4"/>
  <c r="DD37" i="4" s="1"/>
  <c r="CY37" i="4"/>
  <c r="CZ37" i="4" s="1"/>
  <c r="CU37" i="4"/>
  <c r="CV37" i="4" s="1"/>
  <c r="CQ37" i="4"/>
  <c r="CR37" i="4" s="1"/>
  <c r="CM37" i="4"/>
  <c r="CN37" i="4" s="1"/>
  <c r="CI37" i="4"/>
  <c r="CJ37" i="4" s="1"/>
  <c r="CE37" i="4"/>
  <c r="CF37" i="4" s="1"/>
  <c r="CB37" i="4"/>
  <c r="CA43" i="4"/>
  <c r="ER43" i="4"/>
  <c r="ES43" i="4" s="1"/>
  <c r="GG45" i="4"/>
  <c r="GH45" i="4" s="1"/>
  <c r="GC45" i="4"/>
  <c r="GD45" i="4" s="1"/>
  <c r="FY45" i="4"/>
  <c r="FZ45" i="4" s="1"/>
  <c r="FU45" i="4"/>
  <c r="FV45" i="4" s="1"/>
  <c r="FQ45" i="4"/>
  <c r="FR45" i="4" s="1"/>
  <c r="FM45" i="4"/>
  <c r="FN45" i="4" s="1"/>
  <c r="FI45" i="4"/>
  <c r="FJ45" i="4" s="1"/>
  <c r="FE45" i="4"/>
  <c r="FF45" i="4" s="1"/>
  <c r="FA45" i="4"/>
  <c r="FB45" i="4" s="1"/>
  <c r="EW45" i="4"/>
  <c r="EX45" i="4" s="1"/>
  <c r="ET45" i="4"/>
  <c r="GI45" i="4"/>
  <c r="GJ45" i="4" s="1"/>
  <c r="GE45" i="4"/>
  <c r="GF45" i="4" s="1"/>
  <c r="GA45" i="4"/>
  <c r="GB45" i="4" s="1"/>
  <c r="FW45" i="4"/>
  <c r="FX45" i="4" s="1"/>
  <c r="FS45" i="4"/>
  <c r="FT45" i="4" s="1"/>
  <c r="FO45" i="4"/>
  <c r="FP45" i="4" s="1"/>
  <c r="FK45" i="4"/>
  <c r="FL45" i="4" s="1"/>
  <c r="FG45" i="4"/>
  <c r="FH45" i="4" s="1"/>
  <c r="FC45" i="4"/>
  <c r="FD45" i="4" s="1"/>
  <c r="EY45" i="4"/>
  <c r="EZ45" i="4" s="1"/>
  <c r="EU45" i="4"/>
  <c r="EV45" i="4" s="1"/>
  <c r="FE50" i="4"/>
  <c r="FF50" i="4" s="1"/>
  <c r="O30" i="4"/>
  <c r="P30" i="4" s="1"/>
  <c r="O32" i="4"/>
  <c r="P32" i="4" s="1"/>
  <c r="W32" i="4"/>
  <c r="X32" i="4" s="1"/>
  <c r="AU32" i="4"/>
  <c r="AV32" i="4" s="1"/>
  <c r="CM32" i="4"/>
  <c r="CN32" i="4" s="1"/>
  <c r="DK32" i="4"/>
  <c r="DL32" i="4" s="1"/>
  <c r="DQ24" i="4"/>
  <c r="DR24" i="4" s="1"/>
  <c r="DM24" i="4"/>
  <c r="DN24" i="4" s="1"/>
  <c r="DI24" i="4"/>
  <c r="DJ24" i="4" s="1"/>
  <c r="DE24" i="4"/>
  <c r="DF24" i="4" s="1"/>
  <c r="DA24" i="4"/>
  <c r="DB24" i="4" s="1"/>
  <c r="CW24" i="4"/>
  <c r="CX24" i="4" s="1"/>
  <c r="CS24" i="4"/>
  <c r="CT24" i="4" s="1"/>
  <c r="CO24" i="4"/>
  <c r="CP24" i="4" s="1"/>
  <c r="CK24" i="4"/>
  <c r="CL24" i="4" s="1"/>
  <c r="CG24" i="4"/>
  <c r="CH24" i="4" s="1"/>
  <c r="CC24" i="4"/>
  <c r="CD24" i="4" s="1"/>
  <c r="W40" i="4"/>
  <c r="X40" i="4" s="1"/>
  <c r="AU40" i="4"/>
  <c r="AV40" i="4" s="1"/>
  <c r="DQ41" i="4"/>
  <c r="DR41" i="4" s="1"/>
  <c r="DM41" i="4"/>
  <c r="DN41" i="4" s="1"/>
  <c r="DI41" i="4"/>
  <c r="DJ41" i="4" s="1"/>
  <c r="DE41" i="4"/>
  <c r="DF41" i="4" s="1"/>
  <c r="DA41" i="4"/>
  <c r="DB41" i="4" s="1"/>
  <c r="CW41" i="4"/>
  <c r="CX41" i="4" s="1"/>
  <c r="CS41" i="4"/>
  <c r="CT41" i="4" s="1"/>
  <c r="CO41" i="4"/>
  <c r="CP41" i="4" s="1"/>
  <c r="CK41" i="4"/>
  <c r="CL41" i="4" s="1"/>
  <c r="CG41" i="4"/>
  <c r="CH41" i="4" s="1"/>
  <c r="CC41" i="4"/>
  <c r="CD41" i="4" s="1"/>
  <c r="DG42" i="4"/>
  <c r="DH42" i="4" s="1"/>
  <c r="CQ42" i="4"/>
  <c r="CR42" i="4" s="1"/>
  <c r="CB42" i="4"/>
  <c r="AY43" i="4"/>
  <c r="AZ43" i="4" s="1"/>
  <c r="AU43" i="4"/>
  <c r="AV43" i="4" s="1"/>
  <c r="AQ43" i="4"/>
  <c r="AR43" i="4" s="1"/>
  <c r="AM43" i="4"/>
  <c r="AN43" i="4" s="1"/>
  <c r="AI43" i="4"/>
  <c r="AJ43" i="4" s="1"/>
  <c r="AE43" i="4"/>
  <c r="AF43" i="4" s="1"/>
  <c r="AA43" i="4"/>
  <c r="AB43" i="4" s="1"/>
  <c r="W43" i="4"/>
  <c r="X43" i="4" s="1"/>
  <c r="S43" i="4"/>
  <c r="T43" i="4" s="1"/>
  <c r="O43" i="4"/>
  <c r="P43" i="4" s="1"/>
  <c r="K43" i="4"/>
  <c r="L43" i="4" s="1"/>
  <c r="AW43" i="4"/>
  <c r="AX43" i="4" s="1"/>
  <c r="AS43" i="4"/>
  <c r="AT43" i="4" s="1"/>
  <c r="AO43" i="4"/>
  <c r="AP43" i="4" s="1"/>
  <c r="AK43" i="4"/>
  <c r="AL43" i="4" s="1"/>
  <c r="AG43" i="4"/>
  <c r="AH43" i="4" s="1"/>
  <c r="AC43" i="4"/>
  <c r="AD43" i="4" s="1"/>
  <c r="Y43" i="4"/>
  <c r="Z43" i="4" s="1"/>
  <c r="AW45" i="4"/>
  <c r="AX45" i="4" s="1"/>
  <c r="AS45" i="4"/>
  <c r="AT45" i="4" s="1"/>
  <c r="AO45" i="4"/>
  <c r="AP45" i="4" s="1"/>
  <c r="AK45" i="4"/>
  <c r="AL45" i="4" s="1"/>
  <c r="AG45" i="4"/>
  <c r="AH45" i="4" s="1"/>
  <c r="AC45" i="4"/>
  <c r="AD45" i="4" s="1"/>
  <c r="Y45" i="4"/>
  <c r="Z45" i="4" s="1"/>
  <c r="U45" i="4"/>
  <c r="V45" i="4" s="1"/>
  <c r="Q45" i="4"/>
  <c r="R45" i="4" s="1"/>
  <c r="M45" i="4"/>
  <c r="N45" i="4" s="1"/>
  <c r="J45" i="4"/>
  <c r="AY45" i="4"/>
  <c r="AZ45" i="4" s="1"/>
  <c r="AU45" i="4"/>
  <c r="AV45" i="4" s="1"/>
  <c r="AQ45" i="4"/>
  <c r="AR45" i="4" s="1"/>
  <c r="AM45" i="4"/>
  <c r="AN45" i="4" s="1"/>
  <c r="AI45" i="4"/>
  <c r="AJ45" i="4" s="1"/>
  <c r="AE45" i="4"/>
  <c r="AF45" i="4" s="1"/>
  <c r="AA45" i="4"/>
  <c r="AB45" i="4" s="1"/>
  <c r="W45" i="4"/>
  <c r="X45" i="4" s="1"/>
  <c r="S45" i="4"/>
  <c r="T45" i="4" s="1"/>
  <c r="O45" i="4"/>
  <c r="P45" i="4" s="1"/>
  <c r="K45" i="4"/>
  <c r="L45" i="4" s="1"/>
  <c r="ET50" i="4"/>
  <c r="FY50" i="4"/>
  <c r="FZ50" i="4" s="1"/>
  <c r="FQ52" i="4"/>
  <c r="FR52" i="4" s="1"/>
  <c r="AY53" i="4"/>
  <c r="AZ53" i="4" s="1"/>
  <c r="AU53" i="4"/>
  <c r="AV53" i="4" s="1"/>
  <c r="AQ53" i="4"/>
  <c r="AR53" i="4" s="1"/>
  <c r="AM53" i="4"/>
  <c r="AN53" i="4" s="1"/>
  <c r="AI53" i="4"/>
  <c r="AJ53" i="4" s="1"/>
  <c r="AE53" i="4"/>
  <c r="AF53" i="4" s="1"/>
  <c r="AA53" i="4"/>
  <c r="AB53" i="4" s="1"/>
  <c r="W53" i="4"/>
  <c r="X53" i="4" s="1"/>
  <c r="S53" i="4"/>
  <c r="T53" i="4" s="1"/>
  <c r="O53" i="4"/>
  <c r="P53" i="4" s="1"/>
  <c r="K53" i="4"/>
  <c r="L53" i="4" s="1"/>
  <c r="AW53" i="4"/>
  <c r="AX53" i="4" s="1"/>
  <c r="AO53" i="4"/>
  <c r="AP53" i="4" s="1"/>
  <c r="AG53" i="4"/>
  <c r="AH53" i="4" s="1"/>
  <c r="Y53" i="4"/>
  <c r="Z53" i="4" s="1"/>
  <c r="Q53" i="4"/>
  <c r="R53" i="4" s="1"/>
  <c r="J53" i="4"/>
  <c r="AS53" i="4"/>
  <c r="AT53" i="4" s="1"/>
  <c r="AK53" i="4"/>
  <c r="AL53" i="4" s="1"/>
  <c r="AC53" i="4"/>
  <c r="AD53" i="4" s="1"/>
  <c r="U53" i="4"/>
  <c r="V53" i="4" s="1"/>
  <c r="M53" i="4"/>
  <c r="N53" i="4" s="1"/>
  <c r="AW24" i="4"/>
  <c r="AX24" i="4" s="1"/>
  <c r="AS24" i="4"/>
  <c r="AT24" i="4" s="1"/>
  <c r="AO24" i="4"/>
  <c r="AP24" i="4" s="1"/>
  <c r="AK24" i="4"/>
  <c r="AL24" i="4" s="1"/>
  <c r="AG24" i="4"/>
  <c r="AH24" i="4" s="1"/>
  <c r="AC24" i="4"/>
  <c r="AD24" i="4" s="1"/>
  <c r="Y24" i="4"/>
  <c r="Z24" i="4" s="1"/>
  <c r="U24" i="4"/>
  <c r="V24" i="4" s="1"/>
  <c r="Q24" i="4"/>
  <c r="R24" i="4" s="1"/>
  <c r="M24" i="4"/>
  <c r="N24" i="4" s="1"/>
  <c r="J24" i="4"/>
  <c r="ES24" i="4"/>
  <c r="W26" i="4"/>
  <c r="X26" i="4" s="1"/>
  <c r="AM26" i="4"/>
  <c r="AN26" i="4" s="1"/>
  <c r="M27" i="4"/>
  <c r="N27" i="4" s="1"/>
  <c r="U27" i="4"/>
  <c r="V27" i="4" s="1"/>
  <c r="AK27" i="4"/>
  <c r="AL27" i="4" s="1"/>
  <c r="AS27" i="4"/>
  <c r="AT27" i="4" s="1"/>
  <c r="W28" i="4"/>
  <c r="X28" i="4" s="1"/>
  <c r="O24" i="4"/>
  <c r="P24" i="4" s="1"/>
  <c r="W24" i="4"/>
  <c r="X24" i="4" s="1"/>
  <c r="AE24" i="4"/>
  <c r="AF24" i="4" s="1"/>
  <c r="AM24" i="4"/>
  <c r="AN24" i="4" s="1"/>
  <c r="AU24" i="4"/>
  <c r="AV24" i="4" s="1"/>
  <c r="CE24" i="4"/>
  <c r="CF24" i="4" s="1"/>
  <c r="CM24" i="4"/>
  <c r="CN24" i="4" s="1"/>
  <c r="CU24" i="4"/>
  <c r="CV24" i="4" s="1"/>
  <c r="DC24" i="4"/>
  <c r="DD24" i="4" s="1"/>
  <c r="DK24" i="4"/>
  <c r="DL24" i="4" s="1"/>
  <c r="K32" i="4"/>
  <c r="L32" i="4" s="1"/>
  <c r="S32" i="4"/>
  <c r="T32" i="4" s="1"/>
  <c r="AA32" i="4"/>
  <c r="AB32" i="4" s="1"/>
  <c r="AI32" i="4"/>
  <c r="AJ32" i="4" s="1"/>
  <c r="AQ32" i="4"/>
  <c r="AR32" i="4" s="1"/>
  <c r="AY32" i="4"/>
  <c r="AZ32" i="4" s="1"/>
  <c r="CB32" i="4"/>
  <c r="CI32" i="4"/>
  <c r="CJ32" i="4" s="1"/>
  <c r="CQ32" i="4"/>
  <c r="CR32" i="4" s="1"/>
  <c r="CY32" i="4"/>
  <c r="CZ32" i="4" s="1"/>
  <c r="DG32" i="4"/>
  <c r="DH32" i="4" s="1"/>
  <c r="ER32" i="4"/>
  <c r="ES32" i="4" s="1"/>
  <c r="AY31" i="4"/>
  <c r="AZ31" i="4" s="1"/>
  <c r="AU31" i="4"/>
  <c r="AV31" i="4" s="1"/>
  <c r="AQ31" i="4"/>
  <c r="AR31" i="4" s="1"/>
  <c r="AM31" i="4"/>
  <c r="AN31" i="4" s="1"/>
  <c r="AI31" i="4"/>
  <c r="AJ31" i="4" s="1"/>
  <c r="AE31" i="4"/>
  <c r="AF31" i="4" s="1"/>
  <c r="AA31" i="4"/>
  <c r="AB31" i="4" s="1"/>
  <c r="W31" i="4"/>
  <c r="X31" i="4" s="1"/>
  <c r="S31" i="4"/>
  <c r="T31" i="4" s="1"/>
  <c r="O31" i="4"/>
  <c r="P31" i="4" s="1"/>
  <c r="K31" i="4"/>
  <c r="L31" i="4" s="1"/>
  <c r="BZ27" i="4"/>
  <c r="M37" i="4"/>
  <c r="N37" i="4" s="1"/>
  <c r="U37" i="4"/>
  <c r="V37" i="4" s="1"/>
  <c r="AC37" i="4"/>
  <c r="AD37" i="4" s="1"/>
  <c r="AK37" i="4"/>
  <c r="AL37" i="4" s="1"/>
  <c r="ER37" i="4"/>
  <c r="ES37" i="4" s="1"/>
  <c r="K40" i="4"/>
  <c r="L40" i="4" s="1"/>
  <c r="S40" i="4"/>
  <c r="T40" i="4" s="1"/>
  <c r="AA40" i="4"/>
  <c r="AB40" i="4" s="1"/>
  <c r="AI40" i="4"/>
  <c r="AJ40" i="4" s="1"/>
  <c r="AQ40" i="4"/>
  <c r="AR40" i="4" s="1"/>
  <c r="EY41" i="4"/>
  <c r="EZ41" i="4" s="1"/>
  <c r="FG41" i="4"/>
  <c r="FH41" i="4" s="1"/>
  <c r="FO41" i="4"/>
  <c r="FP41" i="4" s="1"/>
  <c r="FW41" i="4"/>
  <c r="FX41" i="4" s="1"/>
  <c r="AW41" i="4"/>
  <c r="AX41" i="4" s="1"/>
  <c r="AS41" i="4"/>
  <c r="AT41" i="4" s="1"/>
  <c r="AO41" i="4"/>
  <c r="AP41" i="4" s="1"/>
  <c r="AK41" i="4"/>
  <c r="AL41" i="4" s="1"/>
  <c r="AG41" i="4"/>
  <c r="AH41" i="4" s="1"/>
  <c r="AC41" i="4"/>
  <c r="AD41" i="4" s="1"/>
  <c r="Y41" i="4"/>
  <c r="Z41" i="4" s="1"/>
  <c r="U41" i="4"/>
  <c r="V41" i="4" s="1"/>
  <c r="Q41" i="4"/>
  <c r="R41" i="4" s="1"/>
  <c r="M41" i="4"/>
  <c r="N41" i="4" s="1"/>
  <c r="J41" i="4"/>
  <c r="J43" i="4"/>
  <c r="Q43" i="4"/>
  <c r="R43" i="4" s="1"/>
  <c r="GI46" i="4"/>
  <c r="GJ46" i="4" s="1"/>
  <c r="GE46" i="4"/>
  <c r="GF46" i="4" s="1"/>
  <c r="GA46" i="4"/>
  <c r="GB46" i="4" s="1"/>
  <c r="FW46" i="4"/>
  <c r="FX46" i="4" s="1"/>
  <c r="FS46" i="4"/>
  <c r="FT46" i="4" s="1"/>
  <c r="FO46" i="4"/>
  <c r="FP46" i="4" s="1"/>
  <c r="FK46" i="4"/>
  <c r="FL46" i="4" s="1"/>
  <c r="FG46" i="4"/>
  <c r="FH46" i="4" s="1"/>
  <c r="FC46" i="4"/>
  <c r="FD46" i="4" s="1"/>
  <c r="EY46" i="4"/>
  <c r="EZ46" i="4" s="1"/>
  <c r="EU46" i="4"/>
  <c r="EV46" i="4" s="1"/>
  <c r="CA49" i="4"/>
  <c r="FA50" i="4"/>
  <c r="FB50" i="4" s="1"/>
  <c r="FQ50" i="4"/>
  <c r="FR50" i="4" s="1"/>
  <c r="GG50" i="4"/>
  <c r="GH50" i="4" s="1"/>
  <c r="AY51" i="4"/>
  <c r="AZ51" i="4" s="1"/>
  <c r="AU51" i="4"/>
  <c r="AV51" i="4" s="1"/>
  <c r="AQ51" i="4"/>
  <c r="AR51" i="4" s="1"/>
  <c r="AM51" i="4"/>
  <c r="AN51" i="4" s="1"/>
  <c r="AI51" i="4"/>
  <c r="AJ51" i="4" s="1"/>
  <c r="AE51" i="4"/>
  <c r="AF51" i="4" s="1"/>
  <c r="AA51" i="4"/>
  <c r="AB51" i="4" s="1"/>
  <c r="W51" i="4"/>
  <c r="X51" i="4" s="1"/>
  <c r="S51" i="4"/>
  <c r="T51" i="4" s="1"/>
  <c r="O51" i="4"/>
  <c r="P51" i="4" s="1"/>
  <c r="K51" i="4"/>
  <c r="L51" i="4" s="1"/>
  <c r="AW51" i="4"/>
  <c r="AX51" i="4" s="1"/>
  <c r="AS51" i="4"/>
  <c r="AT51" i="4" s="1"/>
  <c r="AO51" i="4"/>
  <c r="AP51" i="4" s="1"/>
  <c r="AK51" i="4"/>
  <c r="AL51" i="4" s="1"/>
  <c r="AG51" i="4"/>
  <c r="AH51" i="4" s="1"/>
  <c r="AC51" i="4"/>
  <c r="AD51" i="4" s="1"/>
  <c r="Y51" i="4"/>
  <c r="Z51" i="4" s="1"/>
  <c r="U51" i="4"/>
  <c r="V51" i="4" s="1"/>
  <c r="Q51" i="4"/>
  <c r="R51" i="4" s="1"/>
  <c r="M51" i="4"/>
  <c r="N51" i="4" s="1"/>
  <c r="J51" i="4"/>
  <c r="DQ51" i="4"/>
  <c r="DR51" i="4" s="1"/>
  <c r="DM51" i="4"/>
  <c r="DN51" i="4" s="1"/>
  <c r="DI51" i="4"/>
  <c r="DJ51" i="4" s="1"/>
  <c r="DO51" i="4"/>
  <c r="DP51" i="4" s="1"/>
  <c r="DG51" i="4"/>
  <c r="DH51" i="4" s="1"/>
  <c r="DC51" i="4"/>
  <c r="DD51" i="4" s="1"/>
  <c r="CY51" i="4"/>
  <c r="CZ51" i="4" s="1"/>
  <c r="CU51" i="4"/>
  <c r="CV51" i="4" s="1"/>
  <c r="CQ51" i="4"/>
  <c r="CR51" i="4" s="1"/>
  <c r="CM51" i="4"/>
  <c r="CN51" i="4" s="1"/>
  <c r="CI51" i="4"/>
  <c r="CJ51" i="4" s="1"/>
  <c r="CE51" i="4"/>
  <c r="CF51" i="4" s="1"/>
  <c r="CB51" i="4"/>
  <c r="DK51" i="4"/>
  <c r="DL51" i="4" s="1"/>
  <c r="DE51" i="4"/>
  <c r="DF51" i="4" s="1"/>
  <c r="DA51" i="4"/>
  <c r="DB51" i="4" s="1"/>
  <c r="CW51" i="4"/>
  <c r="CX51" i="4" s="1"/>
  <c r="CS51" i="4"/>
  <c r="CT51" i="4" s="1"/>
  <c r="CO51" i="4"/>
  <c r="CP51" i="4" s="1"/>
  <c r="CK51" i="4"/>
  <c r="CL51" i="4" s="1"/>
  <c r="CG51" i="4"/>
  <c r="CH51" i="4" s="1"/>
  <c r="CC51" i="4"/>
  <c r="CD51" i="4" s="1"/>
  <c r="FA52" i="4"/>
  <c r="FB52" i="4" s="1"/>
  <c r="GI53" i="4"/>
  <c r="GJ53" i="4" s="1"/>
  <c r="GE53" i="4"/>
  <c r="GF53" i="4" s="1"/>
  <c r="GA53" i="4"/>
  <c r="GB53" i="4" s="1"/>
  <c r="FW53" i="4"/>
  <c r="FX53" i="4" s="1"/>
  <c r="FS53" i="4"/>
  <c r="FT53" i="4" s="1"/>
  <c r="FO53" i="4"/>
  <c r="FP53" i="4" s="1"/>
  <c r="FK53" i="4"/>
  <c r="FL53" i="4" s="1"/>
  <c r="FG53" i="4"/>
  <c r="FH53" i="4" s="1"/>
  <c r="FC53" i="4"/>
  <c r="FD53" i="4" s="1"/>
  <c r="EY53" i="4"/>
  <c r="EZ53" i="4" s="1"/>
  <c r="EU53" i="4"/>
  <c r="EV53" i="4" s="1"/>
  <c r="GG53" i="4"/>
  <c r="GH53" i="4" s="1"/>
  <c r="FY53" i="4"/>
  <c r="FZ53" i="4" s="1"/>
  <c r="FQ53" i="4"/>
  <c r="FR53" i="4" s="1"/>
  <c r="FI53" i="4"/>
  <c r="FJ53" i="4" s="1"/>
  <c r="FA53" i="4"/>
  <c r="FB53" i="4" s="1"/>
  <c r="ET53" i="4"/>
  <c r="GC53" i="4"/>
  <c r="GD53" i="4" s="1"/>
  <c r="FU53" i="4"/>
  <c r="FV53" i="4" s="1"/>
  <c r="FM53" i="4"/>
  <c r="FN53" i="4" s="1"/>
  <c r="FE53" i="4"/>
  <c r="FF53" i="4" s="1"/>
  <c r="EW53" i="4"/>
  <c r="EX53" i="4" s="1"/>
  <c r="DQ32" i="4"/>
  <c r="DR32" i="4" s="1"/>
  <c r="DM32" i="4"/>
  <c r="DN32" i="4" s="1"/>
  <c r="DI32" i="4"/>
  <c r="DJ32" i="4" s="1"/>
  <c r="DE32" i="4"/>
  <c r="DF32" i="4" s="1"/>
  <c r="DA32" i="4"/>
  <c r="DB32" i="4" s="1"/>
  <c r="CW32" i="4"/>
  <c r="CX32" i="4" s="1"/>
  <c r="CS32" i="4"/>
  <c r="CT32" i="4" s="1"/>
  <c r="CO32" i="4"/>
  <c r="CP32" i="4" s="1"/>
  <c r="CK32" i="4"/>
  <c r="CL32" i="4" s="1"/>
  <c r="CG32" i="4"/>
  <c r="CH32" i="4" s="1"/>
  <c r="CC32" i="4"/>
  <c r="CD32" i="4" s="1"/>
  <c r="AW40" i="4"/>
  <c r="AX40" i="4" s="1"/>
  <c r="AS40" i="4"/>
  <c r="AT40" i="4" s="1"/>
  <c r="AO40" i="4"/>
  <c r="AP40" i="4" s="1"/>
  <c r="AK40" i="4"/>
  <c r="AL40" i="4" s="1"/>
  <c r="AG40" i="4"/>
  <c r="AH40" i="4" s="1"/>
  <c r="AC40" i="4"/>
  <c r="AD40" i="4" s="1"/>
  <c r="Y40" i="4"/>
  <c r="Z40" i="4" s="1"/>
  <c r="U40" i="4"/>
  <c r="V40" i="4" s="1"/>
  <c r="Q40" i="4"/>
  <c r="R40" i="4" s="1"/>
  <c r="M40" i="4"/>
  <c r="N40" i="4" s="1"/>
  <c r="J40" i="4"/>
  <c r="BZ44" i="4"/>
  <c r="I44" i="4"/>
  <c r="GI52" i="4"/>
  <c r="GJ52" i="4" s="1"/>
  <c r="GE52" i="4"/>
  <c r="GF52" i="4" s="1"/>
  <c r="GA52" i="4"/>
  <c r="GB52" i="4" s="1"/>
  <c r="FW52" i="4"/>
  <c r="FX52" i="4" s="1"/>
  <c r="FS52" i="4"/>
  <c r="FT52" i="4" s="1"/>
  <c r="FO52" i="4"/>
  <c r="FP52" i="4" s="1"/>
  <c r="FK52" i="4"/>
  <c r="FL52" i="4" s="1"/>
  <c r="FG52" i="4"/>
  <c r="FH52" i="4" s="1"/>
  <c r="FC52" i="4"/>
  <c r="FD52" i="4" s="1"/>
  <c r="EY52" i="4"/>
  <c r="EZ52" i="4" s="1"/>
  <c r="EU52" i="4"/>
  <c r="EV52" i="4" s="1"/>
  <c r="GC52" i="4"/>
  <c r="GD52" i="4" s="1"/>
  <c r="FU52" i="4"/>
  <c r="FV52" i="4" s="1"/>
  <c r="FM52" i="4"/>
  <c r="FN52" i="4" s="1"/>
  <c r="FE52" i="4"/>
  <c r="FF52" i="4" s="1"/>
  <c r="EW52" i="4"/>
  <c r="EX52" i="4" s="1"/>
  <c r="AE32" i="4"/>
  <c r="AF32" i="4" s="1"/>
  <c r="CU32" i="4"/>
  <c r="CV32" i="4" s="1"/>
  <c r="AM40" i="4"/>
  <c r="AN40" i="4" s="1"/>
  <c r="BZ48" i="4"/>
  <c r="I48" i="4"/>
  <c r="GI50" i="4"/>
  <c r="GJ50" i="4" s="1"/>
  <c r="GE50" i="4"/>
  <c r="GF50" i="4" s="1"/>
  <c r="GA50" i="4"/>
  <c r="GB50" i="4" s="1"/>
  <c r="FW50" i="4"/>
  <c r="FX50" i="4" s="1"/>
  <c r="FS50" i="4"/>
  <c r="FT50" i="4" s="1"/>
  <c r="FO50" i="4"/>
  <c r="FP50" i="4" s="1"/>
  <c r="FK50" i="4"/>
  <c r="FL50" i="4" s="1"/>
  <c r="FG50" i="4"/>
  <c r="FH50" i="4" s="1"/>
  <c r="FC50" i="4"/>
  <c r="FD50" i="4" s="1"/>
  <c r="EY50" i="4"/>
  <c r="EZ50" i="4" s="1"/>
  <c r="EU50" i="4"/>
  <c r="EV50" i="4" s="1"/>
  <c r="FI52" i="4"/>
  <c r="FJ52" i="4" s="1"/>
  <c r="DK60" i="4"/>
  <c r="DL60" i="4" s="1"/>
  <c r="CU60" i="4"/>
  <c r="CV60" i="4" s="1"/>
  <c r="DA60" i="4"/>
  <c r="DB60" i="4" s="1"/>
  <c r="DM60" i="4"/>
  <c r="DN60" i="4" s="1"/>
  <c r="CG60" i="4"/>
  <c r="CH60" i="4" s="1"/>
  <c r="AW26" i="4"/>
  <c r="AX26" i="4" s="1"/>
  <c r="AS26" i="4"/>
  <c r="AT26" i="4" s="1"/>
  <c r="AO26" i="4"/>
  <c r="AP26" i="4" s="1"/>
  <c r="AK26" i="4"/>
  <c r="AL26" i="4" s="1"/>
  <c r="AG26" i="4"/>
  <c r="AH26" i="4" s="1"/>
  <c r="AC26" i="4"/>
  <c r="AD26" i="4" s="1"/>
  <c r="Y26" i="4"/>
  <c r="Z26" i="4" s="1"/>
  <c r="U26" i="4"/>
  <c r="V26" i="4" s="1"/>
  <c r="Q26" i="4"/>
  <c r="R26" i="4" s="1"/>
  <c r="M26" i="4"/>
  <c r="N26" i="4" s="1"/>
  <c r="J26" i="4"/>
  <c r="W30" i="4"/>
  <c r="X30" i="4" s="1"/>
  <c r="AM32" i="4"/>
  <c r="AN32" i="4" s="1"/>
  <c r="CE32" i="4"/>
  <c r="CF32" i="4" s="1"/>
  <c r="DC32" i="4"/>
  <c r="DD32" i="4" s="1"/>
  <c r="CA26" i="4"/>
  <c r="ER26" i="4"/>
  <c r="ES26" i="4" s="1"/>
  <c r="O40" i="4"/>
  <c r="P40" i="4" s="1"/>
  <c r="AE40" i="4"/>
  <c r="AF40" i="4" s="1"/>
  <c r="CA40" i="4"/>
  <c r="ER40" i="4"/>
  <c r="ES40" i="4" s="1"/>
  <c r="ER47" i="4"/>
  <c r="ES47" i="4" s="1"/>
  <c r="CA47" i="4"/>
  <c r="GG49" i="4"/>
  <c r="GH49" i="4" s="1"/>
  <c r="GC49" i="4"/>
  <c r="GD49" i="4" s="1"/>
  <c r="FY49" i="4"/>
  <c r="FZ49" i="4" s="1"/>
  <c r="FU49" i="4"/>
  <c r="FV49" i="4" s="1"/>
  <c r="FQ49" i="4"/>
  <c r="FR49" i="4" s="1"/>
  <c r="FM49" i="4"/>
  <c r="FN49" i="4" s="1"/>
  <c r="FI49" i="4"/>
  <c r="FJ49" i="4" s="1"/>
  <c r="FE49" i="4"/>
  <c r="FF49" i="4" s="1"/>
  <c r="FA49" i="4"/>
  <c r="FB49" i="4" s="1"/>
  <c r="EW49" i="4"/>
  <c r="EX49" i="4" s="1"/>
  <c r="ET49" i="4"/>
  <c r="GI49" i="4"/>
  <c r="GJ49" i="4" s="1"/>
  <c r="GE49" i="4"/>
  <c r="GF49" i="4" s="1"/>
  <c r="GA49" i="4"/>
  <c r="GB49" i="4" s="1"/>
  <c r="FW49" i="4"/>
  <c r="FX49" i="4" s="1"/>
  <c r="FS49" i="4"/>
  <c r="FT49" i="4" s="1"/>
  <c r="FO49" i="4"/>
  <c r="FP49" i="4" s="1"/>
  <c r="FK49" i="4"/>
  <c r="FL49" i="4" s="1"/>
  <c r="FG49" i="4"/>
  <c r="FH49" i="4" s="1"/>
  <c r="FC49" i="4"/>
  <c r="FD49" i="4" s="1"/>
  <c r="EY49" i="4"/>
  <c r="EZ49" i="4" s="1"/>
  <c r="EU49" i="4"/>
  <c r="EV49" i="4" s="1"/>
  <c r="FI50" i="4"/>
  <c r="FJ50" i="4" s="1"/>
  <c r="GI56" i="4"/>
  <c r="GJ56" i="4" s="1"/>
  <c r="GE56" i="4"/>
  <c r="GF56" i="4" s="1"/>
  <c r="GA56" i="4"/>
  <c r="GB56" i="4" s="1"/>
  <c r="FW56" i="4"/>
  <c r="FX56" i="4" s="1"/>
  <c r="FS56" i="4"/>
  <c r="FT56" i="4" s="1"/>
  <c r="FO56" i="4"/>
  <c r="FP56" i="4" s="1"/>
  <c r="FK56" i="4"/>
  <c r="FL56" i="4" s="1"/>
  <c r="FG56" i="4"/>
  <c r="FH56" i="4" s="1"/>
  <c r="FC56" i="4"/>
  <c r="FD56" i="4" s="1"/>
  <c r="EY56" i="4"/>
  <c r="EZ56" i="4" s="1"/>
  <c r="EU56" i="4"/>
  <c r="EV56" i="4" s="1"/>
  <c r="GC56" i="4"/>
  <c r="GD56" i="4" s="1"/>
  <c r="FU56" i="4"/>
  <c r="FV56" i="4" s="1"/>
  <c r="FM56" i="4"/>
  <c r="FN56" i="4" s="1"/>
  <c r="FE56" i="4"/>
  <c r="FF56" i="4" s="1"/>
  <c r="EW56" i="4"/>
  <c r="EX56" i="4" s="1"/>
  <c r="GG56" i="4"/>
  <c r="GH56" i="4" s="1"/>
  <c r="FY56" i="4"/>
  <c r="FZ56" i="4" s="1"/>
  <c r="FQ56" i="4"/>
  <c r="FR56" i="4" s="1"/>
  <c r="FI56" i="4"/>
  <c r="FJ56" i="4" s="1"/>
  <c r="FA56" i="4"/>
  <c r="FB56" i="4" s="1"/>
  <c r="ET56" i="4"/>
  <c r="GI76" i="4"/>
  <c r="GJ76" i="4" s="1"/>
  <c r="GE76" i="4"/>
  <c r="GF76" i="4" s="1"/>
  <c r="GA76" i="4"/>
  <c r="GB76" i="4" s="1"/>
  <c r="FW76" i="4"/>
  <c r="FX76" i="4" s="1"/>
  <c r="FS76" i="4"/>
  <c r="FT76" i="4" s="1"/>
  <c r="FO76" i="4"/>
  <c r="FP76" i="4" s="1"/>
  <c r="FK76" i="4"/>
  <c r="FL76" i="4" s="1"/>
  <c r="FG76" i="4"/>
  <c r="FH76" i="4" s="1"/>
  <c r="FC76" i="4"/>
  <c r="FD76" i="4" s="1"/>
  <c r="EY76" i="4"/>
  <c r="EZ76" i="4" s="1"/>
  <c r="EU76" i="4"/>
  <c r="EV76" i="4" s="1"/>
  <c r="GG76" i="4"/>
  <c r="GH76" i="4" s="1"/>
  <c r="FY76" i="4"/>
  <c r="FZ76" i="4" s="1"/>
  <c r="FQ76" i="4"/>
  <c r="FR76" i="4" s="1"/>
  <c r="FI76" i="4"/>
  <c r="FJ76" i="4" s="1"/>
  <c r="FA76" i="4"/>
  <c r="FB76" i="4" s="1"/>
  <c r="ET76" i="4"/>
  <c r="FU76" i="4"/>
  <c r="FV76" i="4" s="1"/>
  <c r="FE76" i="4"/>
  <c r="FF76" i="4" s="1"/>
  <c r="GC76" i="4"/>
  <c r="GD76" i="4" s="1"/>
  <c r="EW76" i="4"/>
  <c r="EX76" i="4" s="1"/>
  <c r="FM76" i="4"/>
  <c r="FN76" i="4" s="1"/>
  <c r="O26" i="4"/>
  <c r="P26" i="4" s="1"/>
  <c r="AC27" i="4"/>
  <c r="AD27" i="4" s="1"/>
  <c r="AY37" i="4"/>
  <c r="AZ37" i="4" s="1"/>
  <c r="AU37" i="4"/>
  <c r="AV37" i="4" s="1"/>
  <c r="AQ37" i="4"/>
  <c r="AR37" i="4" s="1"/>
  <c r="AM37" i="4"/>
  <c r="AN37" i="4" s="1"/>
  <c r="AI37" i="4"/>
  <c r="AJ37" i="4" s="1"/>
  <c r="AE37" i="4"/>
  <c r="AF37" i="4" s="1"/>
  <c r="AA37" i="4"/>
  <c r="AB37" i="4" s="1"/>
  <c r="W37" i="4"/>
  <c r="X37" i="4" s="1"/>
  <c r="S37" i="4"/>
  <c r="T37" i="4" s="1"/>
  <c r="O37" i="4"/>
  <c r="P37" i="4" s="1"/>
  <c r="K37" i="4"/>
  <c r="L37" i="4" s="1"/>
  <c r="CC37" i="4"/>
  <c r="CD37" i="4" s="1"/>
  <c r="CK37" i="4"/>
  <c r="CL37" i="4" s="1"/>
  <c r="CS37" i="4"/>
  <c r="CT37" i="4" s="1"/>
  <c r="DA37" i="4"/>
  <c r="DB37" i="4" s="1"/>
  <c r="DI37" i="4"/>
  <c r="DJ37" i="4" s="1"/>
  <c r="DQ37" i="4"/>
  <c r="DR37" i="4" s="1"/>
  <c r="CE41" i="4"/>
  <c r="CF41" i="4" s="1"/>
  <c r="CM41" i="4"/>
  <c r="CN41" i="4" s="1"/>
  <c r="CU41" i="4"/>
  <c r="CV41" i="4" s="1"/>
  <c r="DC41" i="4"/>
  <c r="DD41" i="4" s="1"/>
  <c r="DK41" i="4"/>
  <c r="DL41" i="4" s="1"/>
  <c r="GG41" i="4"/>
  <c r="GH41" i="4" s="1"/>
  <c r="GC41" i="4"/>
  <c r="GD41" i="4" s="1"/>
  <c r="FY41" i="4"/>
  <c r="FZ41" i="4" s="1"/>
  <c r="FU41" i="4"/>
  <c r="FV41" i="4" s="1"/>
  <c r="FQ41" i="4"/>
  <c r="FR41" i="4" s="1"/>
  <c r="FM41" i="4"/>
  <c r="FN41" i="4" s="1"/>
  <c r="FI41" i="4"/>
  <c r="FJ41" i="4" s="1"/>
  <c r="FE41" i="4"/>
  <c r="FF41" i="4" s="1"/>
  <c r="FA41" i="4"/>
  <c r="FB41" i="4" s="1"/>
  <c r="EW41" i="4"/>
  <c r="EX41" i="4" s="1"/>
  <c r="ET41" i="4"/>
  <c r="DE42" i="4"/>
  <c r="DF42" i="4" s="1"/>
  <c r="GI42" i="4"/>
  <c r="GJ42" i="4" s="1"/>
  <c r="GE42" i="4"/>
  <c r="GF42" i="4" s="1"/>
  <c r="GA42" i="4"/>
  <c r="GB42" i="4" s="1"/>
  <c r="FW42" i="4"/>
  <c r="FX42" i="4" s="1"/>
  <c r="FS42" i="4"/>
  <c r="FT42" i="4" s="1"/>
  <c r="FO42" i="4"/>
  <c r="FP42" i="4" s="1"/>
  <c r="FK42" i="4"/>
  <c r="FL42" i="4" s="1"/>
  <c r="FG42" i="4"/>
  <c r="FH42" i="4" s="1"/>
  <c r="FC42" i="4"/>
  <c r="FD42" i="4" s="1"/>
  <c r="EY42" i="4"/>
  <c r="EZ42" i="4" s="1"/>
  <c r="EU42" i="4"/>
  <c r="EV42" i="4" s="1"/>
  <c r="CA45" i="4"/>
  <c r="AY47" i="4"/>
  <c r="AZ47" i="4" s="1"/>
  <c r="AU47" i="4"/>
  <c r="AV47" i="4" s="1"/>
  <c r="AQ47" i="4"/>
  <c r="AR47" i="4" s="1"/>
  <c r="AM47" i="4"/>
  <c r="AN47" i="4" s="1"/>
  <c r="AI47" i="4"/>
  <c r="AJ47" i="4" s="1"/>
  <c r="AE47" i="4"/>
  <c r="AF47" i="4" s="1"/>
  <c r="AA47" i="4"/>
  <c r="AB47" i="4" s="1"/>
  <c r="W47" i="4"/>
  <c r="X47" i="4" s="1"/>
  <c r="S47" i="4"/>
  <c r="T47" i="4" s="1"/>
  <c r="O47" i="4"/>
  <c r="P47" i="4" s="1"/>
  <c r="K47" i="4"/>
  <c r="L47" i="4" s="1"/>
  <c r="AW47" i="4"/>
  <c r="AX47" i="4" s="1"/>
  <c r="AS47" i="4"/>
  <c r="AT47" i="4" s="1"/>
  <c r="AO47" i="4"/>
  <c r="AP47" i="4" s="1"/>
  <c r="AK47" i="4"/>
  <c r="AL47" i="4" s="1"/>
  <c r="AG47" i="4"/>
  <c r="AH47" i="4" s="1"/>
  <c r="AC47" i="4"/>
  <c r="AD47" i="4" s="1"/>
  <c r="Y47" i="4"/>
  <c r="Z47" i="4" s="1"/>
  <c r="U47" i="4"/>
  <c r="V47" i="4" s="1"/>
  <c r="Q47" i="4"/>
  <c r="R47" i="4" s="1"/>
  <c r="M47" i="4"/>
  <c r="N47" i="4" s="1"/>
  <c r="J47" i="4"/>
  <c r="AW49" i="4"/>
  <c r="AX49" i="4" s="1"/>
  <c r="AS49" i="4"/>
  <c r="AT49" i="4" s="1"/>
  <c r="AO49" i="4"/>
  <c r="AP49" i="4" s="1"/>
  <c r="AK49" i="4"/>
  <c r="AL49" i="4" s="1"/>
  <c r="AG49" i="4"/>
  <c r="AH49" i="4" s="1"/>
  <c r="AC49" i="4"/>
  <c r="AD49" i="4" s="1"/>
  <c r="Y49" i="4"/>
  <c r="Z49" i="4" s="1"/>
  <c r="U49" i="4"/>
  <c r="V49" i="4" s="1"/>
  <c r="Q49" i="4"/>
  <c r="R49" i="4" s="1"/>
  <c r="M49" i="4"/>
  <c r="N49" i="4" s="1"/>
  <c r="J49" i="4"/>
  <c r="AY49" i="4"/>
  <c r="AZ49" i="4" s="1"/>
  <c r="AU49" i="4"/>
  <c r="AV49" i="4" s="1"/>
  <c r="AQ49" i="4"/>
  <c r="AR49" i="4" s="1"/>
  <c r="AM49" i="4"/>
  <c r="AN49" i="4" s="1"/>
  <c r="AI49" i="4"/>
  <c r="AJ49" i="4" s="1"/>
  <c r="AE49" i="4"/>
  <c r="AF49" i="4" s="1"/>
  <c r="AA49" i="4"/>
  <c r="AB49" i="4" s="1"/>
  <c r="W49" i="4"/>
  <c r="X49" i="4" s="1"/>
  <c r="S49" i="4"/>
  <c r="T49" i="4" s="1"/>
  <c r="O49" i="4"/>
  <c r="P49" i="4" s="1"/>
  <c r="K49" i="4"/>
  <c r="L49" i="4" s="1"/>
  <c r="EW50" i="4"/>
  <c r="EX50" i="4" s="1"/>
  <c r="FM50" i="4"/>
  <c r="FN50" i="4" s="1"/>
  <c r="GC50" i="4"/>
  <c r="GD50" i="4" s="1"/>
  <c r="ET52" i="4"/>
  <c r="FY52" i="4"/>
  <c r="FZ52" i="4" s="1"/>
  <c r="GI72" i="4"/>
  <c r="GJ72" i="4" s="1"/>
  <c r="GE72" i="4"/>
  <c r="GF72" i="4" s="1"/>
  <c r="GA72" i="4"/>
  <c r="GB72" i="4" s="1"/>
  <c r="FW72" i="4"/>
  <c r="FX72" i="4" s="1"/>
  <c r="FS72" i="4"/>
  <c r="FT72" i="4" s="1"/>
  <c r="FO72" i="4"/>
  <c r="FP72" i="4" s="1"/>
  <c r="FK72" i="4"/>
  <c r="FL72" i="4" s="1"/>
  <c r="FG72" i="4"/>
  <c r="FH72" i="4" s="1"/>
  <c r="FC72" i="4"/>
  <c r="FD72" i="4" s="1"/>
  <c r="EY72" i="4"/>
  <c r="EZ72" i="4" s="1"/>
  <c r="EU72" i="4"/>
  <c r="EV72" i="4" s="1"/>
  <c r="GG72" i="4"/>
  <c r="GH72" i="4" s="1"/>
  <c r="FY72" i="4"/>
  <c r="FZ72" i="4" s="1"/>
  <c r="FQ72" i="4"/>
  <c r="FR72" i="4" s="1"/>
  <c r="FI72" i="4"/>
  <c r="FJ72" i="4" s="1"/>
  <c r="FA72" i="4"/>
  <c r="FB72" i="4" s="1"/>
  <c r="ET72" i="4"/>
  <c r="GC72" i="4"/>
  <c r="GD72" i="4" s="1"/>
  <c r="FM72" i="4"/>
  <c r="FN72" i="4" s="1"/>
  <c r="EW72" i="4"/>
  <c r="EX72" i="4" s="1"/>
  <c r="FU72" i="4"/>
  <c r="FV72" i="4" s="1"/>
  <c r="FE72" i="4"/>
  <c r="FF72" i="4" s="1"/>
  <c r="GG55" i="4"/>
  <c r="GH55" i="4" s="1"/>
  <c r="GC55" i="4"/>
  <c r="GD55" i="4" s="1"/>
  <c r="FY55" i="4"/>
  <c r="FZ55" i="4" s="1"/>
  <c r="FU55" i="4"/>
  <c r="FV55" i="4" s="1"/>
  <c r="FQ55" i="4"/>
  <c r="FR55" i="4" s="1"/>
  <c r="FM55" i="4"/>
  <c r="FN55" i="4" s="1"/>
  <c r="FI55" i="4"/>
  <c r="FJ55" i="4" s="1"/>
  <c r="FE55" i="4"/>
  <c r="FF55" i="4" s="1"/>
  <c r="FA55" i="4"/>
  <c r="FB55" i="4" s="1"/>
  <c r="EW55" i="4"/>
  <c r="EX55" i="4" s="1"/>
  <c r="ET55" i="4"/>
  <c r="CA58" i="4"/>
  <c r="ER58" i="4"/>
  <c r="ES58" i="4" s="1"/>
  <c r="DO63" i="4"/>
  <c r="DP63" i="4" s="1"/>
  <c r="DK63" i="4"/>
  <c r="DL63" i="4" s="1"/>
  <c r="DG63" i="4"/>
  <c r="DH63" i="4" s="1"/>
  <c r="DC63" i="4"/>
  <c r="DD63" i="4" s="1"/>
  <c r="CY63" i="4"/>
  <c r="CZ63" i="4" s="1"/>
  <c r="CU63" i="4"/>
  <c r="CV63" i="4" s="1"/>
  <c r="CQ63" i="4"/>
  <c r="CR63" i="4" s="1"/>
  <c r="CM63" i="4"/>
  <c r="CN63" i="4" s="1"/>
  <c r="CI63" i="4"/>
  <c r="CJ63" i="4" s="1"/>
  <c r="CE63" i="4"/>
  <c r="CF63" i="4" s="1"/>
  <c r="CB63" i="4"/>
  <c r="AW64" i="4"/>
  <c r="AX64" i="4" s="1"/>
  <c r="AS64" i="4"/>
  <c r="AT64" i="4" s="1"/>
  <c r="AO64" i="4"/>
  <c r="AP64" i="4" s="1"/>
  <c r="AK64" i="4"/>
  <c r="AL64" i="4" s="1"/>
  <c r="AG64" i="4"/>
  <c r="AH64" i="4" s="1"/>
  <c r="AC64" i="4"/>
  <c r="AD64" i="4" s="1"/>
  <c r="Y64" i="4"/>
  <c r="Z64" i="4" s="1"/>
  <c r="U64" i="4"/>
  <c r="V64" i="4" s="1"/>
  <c r="Q64" i="4"/>
  <c r="R64" i="4" s="1"/>
  <c r="M64" i="4"/>
  <c r="N64" i="4" s="1"/>
  <c r="J64" i="4"/>
  <c r="BZ69" i="4"/>
  <c r="I69" i="4"/>
  <c r="AY72" i="4"/>
  <c r="AZ72" i="4" s="1"/>
  <c r="AU72" i="4"/>
  <c r="AV72" i="4" s="1"/>
  <c r="AQ72" i="4"/>
  <c r="AR72" i="4" s="1"/>
  <c r="AM72" i="4"/>
  <c r="AN72" i="4" s="1"/>
  <c r="AI72" i="4"/>
  <c r="AJ72" i="4" s="1"/>
  <c r="AE72" i="4"/>
  <c r="AF72" i="4" s="1"/>
  <c r="AA72" i="4"/>
  <c r="AB72" i="4" s="1"/>
  <c r="W72" i="4"/>
  <c r="X72" i="4" s="1"/>
  <c r="S72" i="4"/>
  <c r="T72" i="4" s="1"/>
  <c r="O72" i="4"/>
  <c r="P72" i="4" s="1"/>
  <c r="K72" i="4"/>
  <c r="L72" i="4" s="1"/>
  <c r="AS72" i="4"/>
  <c r="AT72" i="4" s="1"/>
  <c r="AK72" i="4"/>
  <c r="AL72" i="4" s="1"/>
  <c r="AC72" i="4"/>
  <c r="AD72" i="4" s="1"/>
  <c r="U72" i="4"/>
  <c r="V72" i="4" s="1"/>
  <c r="M72" i="4"/>
  <c r="N72" i="4" s="1"/>
  <c r="GG74" i="4"/>
  <c r="GH74" i="4" s="1"/>
  <c r="GC74" i="4"/>
  <c r="GD74" i="4" s="1"/>
  <c r="FY74" i="4"/>
  <c r="FZ74" i="4" s="1"/>
  <c r="FU74" i="4"/>
  <c r="FV74" i="4" s="1"/>
  <c r="FQ74" i="4"/>
  <c r="FR74" i="4" s="1"/>
  <c r="FM74" i="4"/>
  <c r="FN74" i="4" s="1"/>
  <c r="FI74" i="4"/>
  <c r="FJ74" i="4" s="1"/>
  <c r="FE74" i="4"/>
  <c r="FF74" i="4" s="1"/>
  <c r="FA74" i="4"/>
  <c r="FB74" i="4" s="1"/>
  <c r="EW74" i="4"/>
  <c r="EX74" i="4" s="1"/>
  <c r="ET74" i="4"/>
  <c r="GE74" i="4"/>
  <c r="GF74" i="4" s="1"/>
  <c r="FW74" i="4"/>
  <c r="FX74" i="4" s="1"/>
  <c r="FO74" i="4"/>
  <c r="FP74" i="4" s="1"/>
  <c r="FG74" i="4"/>
  <c r="FH74" i="4" s="1"/>
  <c r="EY74" i="4"/>
  <c r="EZ74" i="4" s="1"/>
  <c r="GI79" i="4"/>
  <c r="GJ79" i="4" s="1"/>
  <c r="GE79" i="4"/>
  <c r="GF79" i="4" s="1"/>
  <c r="GA79" i="4"/>
  <c r="GB79" i="4" s="1"/>
  <c r="FW79" i="4"/>
  <c r="FX79" i="4" s="1"/>
  <c r="FS79" i="4"/>
  <c r="FT79" i="4" s="1"/>
  <c r="FO79" i="4"/>
  <c r="FP79" i="4" s="1"/>
  <c r="FK79" i="4"/>
  <c r="FL79" i="4" s="1"/>
  <c r="FG79" i="4"/>
  <c r="FH79" i="4" s="1"/>
  <c r="FC79" i="4"/>
  <c r="FD79" i="4" s="1"/>
  <c r="EY79" i="4"/>
  <c r="EZ79" i="4" s="1"/>
  <c r="EU79" i="4"/>
  <c r="EV79" i="4" s="1"/>
  <c r="GG79" i="4"/>
  <c r="GH79" i="4" s="1"/>
  <c r="FY79" i="4"/>
  <c r="FZ79" i="4" s="1"/>
  <c r="FQ79" i="4"/>
  <c r="FR79" i="4" s="1"/>
  <c r="FI79" i="4"/>
  <c r="FJ79" i="4" s="1"/>
  <c r="FA79" i="4"/>
  <c r="FB79" i="4" s="1"/>
  <c r="ET79" i="4"/>
  <c r="CA80" i="4"/>
  <c r="ER80" i="4"/>
  <c r="ES80" i="4" s="1"/>
  <c r="CA81" i="4"/>
  <c r="ER81" i="4"/>
  <c r="ES81" i="4" s="1"/>
  <c r="EY55" i="4"/>
  <c r="EZ55" i="4" s="1"/>
  <c r="FG55" i="4"/>
  <c r="FH55" i="4" s="1"/>
  <c r="FO55" i="4"/>
  <c r="FP55" i="4" s="1"/>
  <c r="FW55" i="4"/>
  <c r="FX55" i="4" s="1"/>
  <c r="GE55" i="4"/>
  <c r="GF55" i="4" s="1"/>
  <c r="AW55" i="4"/>
  <c r="AX55" i="4" s="1"/>
  <c r="AS55" i="4"/>
  <c r="AT55" i="4" s="1"/>
  <c r="AO55" i="4"/>
  <c r="AP55" i="4" s="1"/>
  <c r="AK55" i="4"/>
  <c r="AL55" i="4" s="1"/>
  <c r="AG55" i="4"/>
  <c r="AH55" i="4" s="1"/>
  <c r="AC55" i="4"/>
  <c r="AD55" i="4" s="1"/>
  <c r="Y55" i="4"/>
  <c r="Z55" i="4" s="1"/>
  <c r="U55" i="4"/>
  <c r="V55" i="4" s="1"/>
  <c r="Q55" i="4"/>
  <c r="R55" i="4" s="1"/>
  <c r="M55" i="4"/>
  <c r="N55" i="4" s="1"/>
  <c r="J55" i="4"/>
  <c r="AY57" i="4"/>
  <c r="AZ57" i="4" s="1"/>
  <c r="AU57" i="4"/>
  <c r="AV57" i="4" s="1"/>
  <c r="AQ57" i="4"/>
  <c r="AR57" i="4" s="1"/>
  <c r="AM57" i="4"/>
  <c r="AN57" i="4" s="1"/>
  <c r="AI57" i="4"/>
  <c r="AJ57" i="4" s="1"/>
  <c r="AE57" i="4"/>
  <c r="AF57" i="4" s="1"/>
  <c r="AA57" i="4"/>
  <c r="AB57" i="4" s="1"/>
  <c r="W57" i="4"/>
  <c r="X57" i="4" s="1"/>
  <c r="S57" i="4"/>
  <c r="T57" i="4" s="1"/>
  <c r="O57" i="4"/>
  <c r="P57" i="4" s="1"/>
  <c r="K57" i="4"/>
  <c r="L57" i="4" s="1"/>
  <c r="O64" i="4"/>
  <c r="P64" i="4" s="1"/>
  <c r="W64" i="4"/>
  <c r="X64" i="4" s="1"/>
  <c r="AE64" i="4"/>
  <c r="AF64" i="4" s="1"/>
  <c r="AM64" i="4"/>
  <c r="AN64" i="4" s="1"/>
  <c r="AU64" i="4"/>
  <c r="AV64" i="4" s="1"/>
  <c r="CA64" i="4"/>
  <c r="ER64" i="4"/>
  <c r="ES64" i="4" s="1"/>
  <c r="AY66" i="4"/>
  <c r="AZ66" i="4" s="1"/>
  <c r="AU66" i="4"/>
  <c r="AV66" i="4" s="1"/>
  <c r="AQ66" i="4"/>
  <c r="AR66" i="4" s="1"/>
  <c r="AM66" i="4"/>
  <c r="AN66" i="4" s="1"/>
  <c r="AI66" i="4"/>
  <c r="AJ66" i="4" s="1"/>
  <c r="AE66" i="4"/>
  <c r="AF66" i="4" s="1"/>
  <c r="AA66" i="4"/>
  <c r="AB66" i="4" s="1"/>
  <c r="W66" i="4"/>
  <c r="X66" i="4" s="1"/>
  <c r="S66" i="4"/>
  <c r="T66" i="4" s="1"/>
  <c r="O66" i="4"/>
  <c r="P66" i="4" s="1"/>
  <c r="K66" i="4"/>
  <c r="L66" i="4" s="1"/>
  <c r="AS66" i="4"/>
  <c r="AT66" i="4" s="1"/>
  <c r="AK66" i="4"/>
  <c r="AL66" i="4" s="1"/>
  <c r="AC66" i="4"/>
  <c r="AD66" i="4" s="1"/>
  <c r="U66" i="4"/>
  <c r="V66" i="4" s="1"/>
  <c r="M66" i="4"/>
  <c r="N66" i="4" s="1"/>
  <c r="GG70" i="4"/>
  <c r="GH70" i="4" s="1"/>
  <c r="GC70" i="4"/>
  <c r="GD70" i="4" s="1"/>
  <c r="FY70" i="4"/>
  <c r="FZ70" i="4" s="1"/>
  <c r="FU70" i="4"/>
  <c r="FV70" i="4" s="1"/>
  <c r="FQ70" i="4"/>
  <c r="FR70" i="4" s="1"/>
  <c r="FM70" i="4"/>
  <c r="FN70" i="4" s="1"/>
  <c r="FI70" i="4"/>
  <c r="FJ70" i="4" s="1"/>
  <c r="FE70" i="4"/>
  <c r="FF70" i="4" s="1"/>
  <c r="FA70" i="4"/>
  <c r="FB70" i="4" s="1"/>
  <c r="EW70" i="4"/>
  <c r="EX70" i="4" s="1"/>
  <c r="ET70" i="4"/>
  <c r="GE70" i="4"/>
  <c r="GF70" i="4" s="1"/>
  <c r="FW70" i="4"/>
  <c r="FX70" i="4" s="1"/>
  <c r="FO70" i="4"/>
  <c r="FP70" i="4" s="1"/>
  <c r="FG70" i="4"/>
  <c r="FH70" i="4" s="1"/>
  <c r="EY70" i="4"/>
  <c r="EZ70" i="4" s="1"/>
  <c r="ER71" i="4"/>
  <c r="ES71" i="4" s="1"/>
  <c r="CA71" i="4"/>
  <c r="J72" i="4"/>
  <c r="Y72" i="4"/>
  <c r="Z72" i="4" s="1"/>
  <c r="AO72" i="4"/>
  <c r="AP72" i="4" s="1"/>
  <c r="FK74" i="4"/>
  <c r="FL74" i="4" s="1"/>
  <c r="GA74" i="4"/>
  <c r="GB74" i="4" s="1"/>
  <c r="FI75" i="4"/>
  <c r="FJ75" i="4" s="1"/>
  <c r="DO79" i="4"/>
  <c r="DP79" i="4" s="1"/>
  <c r="DK79" i="4"/>
  <c r="DL79" i="4" s="1"/>
  <c r="DG79" i="4"/>
  <c r="DH79" i="4" s="1"/>
  <c r="DC79" i="4"/>
  <c r="DD79" i="4" s="1"/>
  <c r="CY79" i="4"/>
  <c r="CZ79" i="4" s="1"/>
  <c r="CU79" i="4"/>
  <c r="CV79" i="4" s="1"/>
  <c r="CQ79" i="4"/>
  <c r="CR79" i="4" s="1"/>
  <c r="CM79" i="4"/>
  <c r="CN79" i="4" s="1"/>
  <c r="CI79" i="4"/>
  <c r="CJ79" i="4" s="1"/>
  <c r="CE79" i="4"/>
  <c r="CF79" i="4" s="1"/>
  <c r="CB79" i="4"/>
  <c r="DQ79" i="4"/>
  <c r="DR79" i="4" s="1"/>
  <c r="DI79" i="4"/>
  <c r="DJ79" i="4" s="1"/>
  <c r="DA79" i="4"/>
  <c r="DB79" i="4" s="1"/>
  <c r="CS79" i="4"/>
  <c r="CT79" i="4" s="1"/>
  <c r="CK79" i="4"/>
  <c r="CL79" i="4" s="1"/>
  <c r="CC79" i="4"/>
  <c r="CD79" i="4" s="1"/>
  <c r="AE42" i="4"/>
  <c r="AF42" i="4" s="1"/>
  <c r="AI42" i="4"/>
  <c r="AJ42" i="4" s="1"/>
  <c r="AM42" i="4"/>
  <c r="AN42" i="4" s="1"/>
  <c r="AQ42" i="4"/>
  <c r="AR42" i="4" s="1"/>
  <c r="AU42" i="4"/>
  <c r="AV42" i="4" s="1"/>
  <c r="K46" i="4"/>
  <c r="L46" i="4" s="1"/>
  <c r="O46" i="4"/>
  <c r="P46" i="4" s="1"/>
  <c r="S46" i="4"/>
  <c r="T46" i="4" s="1"/>
  <c r="W46" i="4"/>
  <c r="X46" i="4" s="1"/>
  <c r="AA46" i="4"/>
  <c r="AB46" i="4" s="1"/>
  <c r="AE46" i="4"/>
  <c r="AF46" i="4" s="1"/>
  <c r="AI46" i="4"/>
  <c r="AJ46" i="4" s="1"/>
  <c r="AM46" i="4"/>
  <c r="AN46" i="4" s="1"/>
  <c r="AQ46" i="4"/>
  <c r="AR46" i="4" s="1"/>
  <c r="AU46" i="4"/>
  <c r="AV46" i="4" s="1"/>
  <c r="CB46" i="4"/>
  <c r="CE46" i="4"/>
  <c r="CF46" i="4" s="1"/>
  <c r="CI46" i="4"/>
  <c r="CJ46" i="4" s="1"/>
  <c r="CM46" i="4"/>
  <c r="CN46" i="4" s="1"/>
  <c r="CQ46" i="4"/>
  <c r="CR46" i="4" s="1"/>
  <c r="CU46" i="4"/>
  <c r="CV46" i="4" s="1"/>
  <c r="CY46" i="4"/>
  <c r="CZ46" i="4" s="1"/>
  <c r="DC46" i="4"/>
  <c r="DD46" i="4" s="1"/>
  <c r="DG46" i="4"/>
  <c r="DH46" i="4" s="1"/>
  <c r="DK46" i="4"/>
  <c r="DL46" i="4" s="1"/>
  <c r="K50" i="4"/>
  <c r="L50" i="4" s="1"/>
  <c r="O50" i="4"/>
  <c r="P50" i="4" s="1"/>
  <c r="S50" i="4"/>
  <c r="T50" i="4" s="1"/>
  <c r="W50" i="4"/>
  <c r="X50" i="4" s="1"/>
  <c r="AA50" i="4"/>
  <c r="AB50" i="4" s="1"/>
  <c r="AE50" i="4"/>
  <c r="AF50" i="4" s="1"/>
  <c r="AI50" i="4"/>
  <c r="AJ50" i="4" s="1"/>
  <c r="AM50" i="4"/>
  <c r="AN50" i="4" s="1"/>
  <c r="AQ50" i="4"/>
  <c r="AR50" i="4" s="1"/>
  <c r="AU50" i="4"/>
  <c r="AV50" i="4" s="1"/>
  <c r="CB50" i="4"/>
  <c r="CE50" i="4"/>
  <c r="CF50" i="4" s="1"/>
  <c r="CI50" i="4"/>
  <c r="CJ50" i="4" s="1"/>
  <c r="CM50" i="4"/>
  <c r="CN50" i="4" s="1"/>
  <c r="CQ50" i="4"/>
  <c r="CR50" i="4" s="1"/>
  <c r="CU50" i="4"/>
  <c r="CV50" i="4" s="1"/>
  <c r="CY50" i="4"/>
  <c r="CZ50" i="4" s="1"/>
  <c r="DC50" i="4"/>
  <c r="DD50" i="4" s="1"/>
  <c r="DG50" i="4"/>
  <c r="DH50" i="4" s="1"/>
  <c r="DK50" i="4"/>
  <c r="DL50" i="4" s="1"/>
  <c r="EY51" i="4"/>
  <c r="EZ51" i="4" s="1"/>
  <c r="FG51" i="4"/>
  <c r="FH51" i="4" s="1"/>
  <c r="FO51" i="4"/>
  <c r="FP51" i="4" s="1"/>
  <c r="FW51" i="4"/>
  <c r="FX51" i="4" s="1"/>
  <c r="CG52" i="4"/>
  <c r="CH52" i="4" s="1"/>
  <c r="CO52" i="4"/>
  <c r="CP52" i="4" s="1"/>
  <c r="CW52" i="4"/>
  <c r="CX52" i="4" s="1"/>
  <c r="DE52" i="4"/>
  <c r="DF52" i="4" s="1"/>
  <c r="DO53" i="4"/>
  <c r="DP53" i="4" s="1"/>
  <c r="DK53" i="4"/>
  <c r="DL53" i="4" s="1"/>
  <c r="DG53" i="4"/>
  <c r="DH53" i="4" s="1"/>
  <c r="DC53" i="4"/>
  <c r="DD53" i="4" s="1"/>
  <c r="CY53" i="4"/>
  <c r="CZ53" i="4" s="1"/>
  <c r="CU53" i="4"/>
  <c r="CV53" i="4" s="1"/>
  <c r="CQ53" i="4"/>
  <c r="CR53" i="4" s="1"/>
  <c r="CM53" i="4"/>
  <c r="CN53" i="4" s="1"/>
  <c r="CI53" i="4"/>
  <c r="CJ53" i="4" s="1"/>
  <c r="CE53" i="4"/>
  <c r="CF53" i="4" s="1"/>
  <c r="CB53" i="4"/>
  <c r="I54" i="4"/>
  <c r="CA56" i="4"/>
  <c r="M57" i="4"/>
  <c r="N57" i="4" s="1"/>
  <c r="U57" i="4"/>
  <c r="V57" i="4" s="1"/>
  <c r="AC57" i="4"/>
  <c r="AD57" i="4" s="1"/>
  <c r="AK57" i="4"/>
  <c r="AL57" i="4" s="1"/>
  <c r="AS57" i="4"/>
  <c r="AT57" i="4" s="1"/>
  <c r="ER57" i="4"/>
  <c r="ES57" i="4" s="1"/>
  <c r="AW59" i="4"/>
  <c r="AX59" i="4" s="1"/>
  <c r="AS59" i="4"/>
  <c r="AT59" i="4" s="1"/>
  <c r="AO59" i="4"/>
  <c r="AP59" i="4" s="1"/>
  <c r="AK59" i="4"/>
  <c r="AL59" i="4" s="1"/>
  <c r="AG59" i="4"/>
  <c r="AH59" i="4" s="1"/>
  <c r="AC59" i="4"/>
  <c r="AD59" i="4" s="1"/>
  <c r="Y59" i="4"/>
  <c r="Z59" i="4" s="1"/>
  <c r="U59" i="4"/>
  <c r="V59" i="4" s="1"/>
  <c r="Q59" i="4"/>
  <c r="R59" i="4" s="1"/>
  <c r="M59" i="4"/>
  <c r="N59" i="4" s="1"/>
  <c r="J59" i="4"/>
  <c r="AM63" i="4"/>
  <c r="AN63" i="4" s="1"/>
  <c r="W63" i="4"/>
  <c r="X63" i="4" s="1"/>
  <c r="CC63" i="4"/>
  <c r="CD63" i="4" s="1"/>
  <c r="CK63" i="4"/>
  <c r="CL63" i="4" s="1"/>
  <c r="CS63" i="4"/>
  <c r="CT63" i="4" s="1"/>
  <c r="DA63" i="4"/>
  <c r="DB63" i="4" s="1"/>
  <c r="DI63" i="4"/>
  <c r="DJ63" i="4" s="1"/>
  <c r="DQ63" i="4"/>
  <c r="DR63" i="4" s="1"/>
  <c r="ER65" i="4"/>
  <c r="ES65" i="4" s="1"/>
  <c r="CA65" i="4"/>
  <c r="J66" i="4"/>
  <c r="Y66" i="4"/>
  <c r="Z66" i="4" s="1"/>
  <c r="AO66" i="4"/>
  <c r="AP66" i="4" s="1"/>
  <c r="EU70" i="4"/>
  <c r="EV70" i="4" s="1"/>
  <c r="FK70" i="4"/>
  <c r="FL70" i="4" s="1"/>
  <c r="GA70" i="4"/>
  <c r="GB70" i="4" s="1"/>
  <c r="CA74" i="4"/>
  <c r="DO75" i="4"/>
  <c r="DP75" i="4" s="1"/>
  <c r="DK75" i="4"/>
  <c r="DL75" i="4" s="1"/>
  <c r="DG75" i="4"/>
  <c r="DH75" i="4" s="1"/>
  <c r="DC75" i="4"/>
  <c r="DD75" i="4" s="1"/>
  <c r="CY75" i="4"/>
  <c r="CZ75" i="4" s="1"/>
  <c r="CU75" i="4"/>
  <c r="CV75" i="4" s="1"/>
  <c r="CQ75" i="4"/>
  <c r="CR75" i="4" s="1"/>
  <c r="CM75" i="4"/>
  <c r="CN75" i="4" s="1"/>
  <c r="CI75" i="4"/>
  <c r="CJ75" i="4" s="1"/>
  <c r="CE75" i="4"/>
  <c r="CF75" i="4" s="1"/>
  <c r="CB75" i="4"/>
  <c r="DM75" i="4"/>
  <c r="DN75" i="4" s="1"/>
  <c r="DE75" i="4"/>
  <c r="DF75" i="4" s="1"/>
  <c r="CW75" i="4"/>
  <c r="CX75" i="4" s="1"/>
  <c r="CO75" i="4"/>
  <c r="CP75" i="4" s="1"/>
  <c r="CG75" i="4"/>
  <c r="CH75" i="4" s="1"/>
  <c r="M76" i="4"/>
  <c r="N76" i="4" s="1"/>
  <c r="AC76" i="4"/>
  <c r="AD76" i="4" s="1"/>
  <c r="AW78" i="4"/>
  <c r="AX78" i="4" s="1"/>
  <c r="AS78" i="4"/>
  <c r="AT78" i="4" s="1"/>
  <c r="AO78" i="4"/>
  <c r="AP78" i="4" s="1"/>
  <c r="AK78" i="4"/>
  <c r="AL78" i="4" s="1"/>
  <c r="AG78" i="4"/>
  <c r="AH78" i="4" s="1"/>
  <c r="AC78" i="4"/>
  <c r="AD78" i="4" s="1"/>
  <c r="Y78" i="4"/>
  <c r="Z78" i="4" s="1"/>
  <c r="U78" i="4"/>
  <c r="V78" i="4" s="1"/>
  <c r="Q78" i="4"/>
  <c r="R78" i="4" s="1"/>
  <c r="M78" i="4"/>
  <c r="N78" i="4" s="1"/>
  <c r="J78" i="4"/>
  <c r="AY78" i="4"/>
  <c r="AZ78" i="4" s="1"/>
  <c r="AQ78" i="4"/>
  <c r="AR78" i="4" s="1"/>
  <c r="AI78" i="4"/>
  <c r="AJ78" i="4" s="1"/>
  <c r="AA78" i="4"/>
  <c r="AB78" i="4" s="1"/>
  <c r="S78" i="4"/>
  <c r="T78" i="4" s="1"/>
  <c r="K78" i="4"/>
  <c r="L78" i="4" s="1"/>
  <c r="CG79" i="4"/>
  <c r="CH79" i="4" s="1"/>
  <c r="CW79" i="4"/>
  <c r="CX79" i="4" s="1"/>
  <c r="DM79" i="4"/>
  <c r="DN79" i="4" s="1"/>
  <c r="EW79" i="4"/>
  <c r="EX79" i="4" s="1"/>
  <c r="FM79" i="4"/>
  <c r="FN79" i="4" s="1"/>
  <c r="GC79" i="4"/>
  <c r="GD79" i="4" s="1"/>
  <c r="ER103" i="4"/>
  <c r="ES103" i="4" s="1"/>
  <c r="CA103" i="4"/>
  <c r="GG51" i="4"/>
  <c r="GH51" i="4" s="1"/>
  <c r="GC51" i="4"/>
  <c r="GD51" i="4" s="1"/>
  <c r="FY51" i="4"/>
  <c r="FZ51" i="4" s="1"/>
  <c r="FU51" i="4"/>
  <c r="FV51" i="4" s="1"/>
  <c r="FQ51" i="4"/>
  <c r="FR51" i="4" s="1"/>
  <c r="FM51" i="4"/>
  <c r="FN51" i="4" s="1"/>
  <c r="FI51" i="4"/>
  <c r="FJ51" i="4" s="1"/>
  <c r="FE51" i="4"/>
  <c r="FF51" i="4" s="1"/>
  <c r="FA51" i="4"/>
  <c r="FB51" i="4" s="1"/>
  <c r="EW51" i="4"/>
  <c r="EX51" i="4" s="1"/>
  <c r="ET51" i="4"/>
  <c r="DO52" i="4"/>
  <c r="DP52" i="4" s="1"/>
  <c r="DK52" i="4"/>
  <c r="DL52" i="4" s="1"/>
  <c r="DG52" i="4"/>
  <c r="DH52" i="4" s="1"/>
  <c r="DC52" i="4"/>
  <c r="DD52" i="4" s="1"/>
  <c r="CY52" i="4"/>
  <c r="CZ52" i="4" s="1"/>
  <c r="CU52" i="4"/>
  <c r="CV52" i="4" s="1"/>
  <c r="CQ52" i="4"/>
  <c r="CR52" i="4" s="1"/>
  <c r="CM52" i="4"/>
  <c r="CN52" i="4" s="1"/>
  <c r="CI52" i="4"/>
  <c r="CJ52" i="4" s="1"/>
  <c r="CE52" i="4"/>
  <c r="CF52" i="4" s="1"/>
  <c r="CB52" i="4"/>
  <c r="EU74" i="4"/>
  <c r="EV74" i="4" s="1"/>
  <c r="GI75" i="4"/>
  <c r="GJ75" i="4" s="1"/>
  <c r="GE75" i="4"/>
  <c r="GF75" i="4" s="1"/>
  <c r="GA75" i="4"/>
  <c r="GB75" i="4" s="1"/>
  <c r="FW75" i="4"/>
  <c r="FX75" i="4" s="1"/>
  <c r="FS75" i="4"/>
  <c r="FT75" i="4" s="1"/>
  <c r="FO75" i="4"/>
  <c r="FP75" i="4" s="1"/>
  <c r="FK75" i="4"/>
  <c r="FL75" i="4" s="1"/>
  <c r="FG75" i="4"/>
  <c r="FH75" i="4" s="1"/>
  <c r="FC75" i="4"/>
  <c r="FD75" i="4" s="1"/>
  <c r="EY75" i="4"/>
  <c r="EZ75" i="4" s="1"/>
  <c r="EU75" i="4"/>
  <c r="EV75" i="4" s="1"/>
  <c r="GC75" i="4"/>
  <c r="GD75" i="4" s="1"/>
  <c r="FU75" i="4"/>
  <c r="FV75" i="4" s="1"/>
  <c r="FM75" i="4"/>
  <c r="FN75" i="4" s="1"/>
  <c r="FE75" i="4"/>
  <c r="FF75" i="4" s="1"/>
  <c r="EW75" i="4"/>
  <c r="EX75" i="4" s="1"/>
  <c r="ER78" i="4"/>
  <c r="ES78" i="4" s="1"/>
  <c r="CA78" i="4"/>
  <c r="I81" i="4"/>
  <c r="AY87" i="4"/>
  <c r="AZ87" i="4" s="1"/>
  <c r="AU87" i="4"/>
  <c r="AV87" i="4" s="1"/>
  <c r="AQ87" i="4"/>
  <c r="AR87" i="4" s="1"/>
  <c r="AM87" i="4"/>
  <c r="AN87" i="4" s="1"/>
  <c r="AI87" i="4"/>
  <c r="AJ87" i="4" s="1"/>
  <c r="AE87" i="4"/>
  <c r="AF87" i="4" s="1"/>
  <c r="AA87" i="4"/>
  <c r="AB87" i="4" s="1"/>
  <c r="W87" i="4"/>
  <c r="X87" i="4" s="1"/>
  <c r="S87" i="4"/>
  <c r="T87" i="4" s="1"/>
  <c r="O87" i="4"/>
  <c r="P87" i="4" s="1"/>
  <c r="K87" i="4"/>
  <c r="L87" i="4" s="1"/>
  <c r="AW87" i="4"/>
  <c r="AX87" i="4" s="1"/>
  <c r="AG87" i="4"/>
  <c r="AH87" i="4" s="1"/>
  <c r="Q87" i="4"/>
  <c r="R87" i="4" s="1"/>
  <c r="AS87" i="4"/>
  <c r="AT87" i="4" s="1"/>
  <c r="AC87" i="4"/>
  <c r="AD87" i="4" s="1"/>
  <c r="M87" i="4"/>
  <c r="N87" i="4" s="1"/>
  <c r="U87" i="4"/>
  <c r="V87" i="4" s="1"/>
  <c r="AO87" i="4"/>
  <c r="AP87" i="4" s="1"/>
  <c r="J87" i="4"/>
  <c r="ER94" i="4"/>
  <c r="ES94" i="4" s="1"/>
  <c r="CA94" i="4"/>
  <c r="I161" i="4"/>
  <c r="BZ161" i="4"/>
  <c r="CA54" i="4"/>
  <c r="ER54" i="4"/>
  <c r="ES54" i="4" s="1"/>
  <c r="K55" i="4"/>
  <c r="L55" i="4" s="1"/>
  <c r="S55" i="4"/>
  <c r="T55" i="4" s="1"/>
  <c r="AA55" i="4"/>
  <c r="AB55" i="4" s="1"/>
  <c r="AI55" i="4"/>
  <c r="AJ55" i="4" s="1"/>
  <c r="AQ55" i="4"/>
  <c r="AR55" i="4" s="1"/>
  <c r="AY55" i="4"/>
  <c r="AZ55" i="4" s="1"/>
  <c r="CA55" i="4"/>
  <c r="EU55" i="4"/>
  <c r="EV55" i="4" s="1"/>
  <c r="FC55" i="4"/>
  <c r="FD55" i="4" s="1"/>
  <c r="FK55" i="4"/>
  <c r="FL55" i="4" s="1"/>
  <c r="FS55" i="4"/>
  <c r="FT55" i="4" s="1"/>
  <c r="GA55" i="4"/>
  <c r="GB55" i="4" s="1"/>
  <c r="GI55" i="4"/>
  <c r="GJ55" i="4" s="1"/>
  <c r="DO57" i="4"/>
  <c r="DP57" i="4" s="1"/>
  <c r="DK57" i="4"/>
  <c r="DL57" i="4" s="1"/>
  <c r="DG57" i="4"/>
  <c r="DH57" i="4" s="1"/>
  <c r="DC57" i="4"/>
  <c r="DD57" i="4" s="1"/>
  <c r="CY57" i="4"/>
  <c r="CZ57" i="4" s="1"/>
  <c r="CU57" i="4"/>
  <c r="CV57" i="4" s="1"/>
  <c r="CQ57" i="4"/>
  <c r="CR57" i="4" s="1"/>
  <c r="CM57" i="4"/>
  <c r="CN57" i="4" s="1"/>
  <c r="CI57" i="4"/>
  <c r="CJ57" i="4" s="1"/>
  <c r="CE57" i="4"/>
  <c r="CF57" i="4" s="1"/>
  <c r="CB57" i="4"/>
  <c r="I58" i="4"/>
  <c r="ER63" i="4"/>
  <c r="ES63" i="4" s="1"/>
  <c r="K64" i="4"/>
  <c r="L64" i="4" s="1"/>
  <c r="S64" i="4"/>
  <c r="T64" i="4" s="1"/>
  <c r="AA64" i="4"/>
  <c r="AB64" i="4" s="1"/>
  <c r="AI64" i="4"/>
  <c r="AJ64" i="4" s="1"/>
  <c r="AQ64" i="4"/>
  <c r="AR64" i="4" s="1"/>
  <c r="AY64" i="4"/>
  <c r="AZ64" i="4" s="1"/>
  <c r="CA70" i="4"/>
  <c r="Q72" i="4"/>
  <c r="R72" i="4" s="1"/>
  <c r="AG72" i="4"/>
  <c r="AH72" i="4" s="1"/>
  <c r="AW72" i="4"/>
  <c r="AX72" i="4" s="1"/>
  <c r="BZ73" i="4"/>
  <c r="I73" i="4"/>
  <c r="FC74" i="4"/>
  <c r="FD74" i="4" s="1"/>
  <c r="FS74" i="4"/>
  <c r="FT74" i="4" s="1"/>
  <c r="GI74" i="4"/>
  <c r="GJ74" i="4" s="1"/>
  <c r="FA75" i="4"/>
  <c r="FB75" i="4" s="1"/>
  <c r="FQ75" i="4"/>
  <c r="FR75" i="4" s="1"/>
  <c r="GG75" i="4"/>
  <c r="GH75" i="4" s="1"/>
  <c r="AY76" i="4"/>
  <c r="AZ76" i="4" s="1"/>
  <c r="AU76" i="4"/>
  <c r="AV76" i="4" s="1"/>
  <c r="AQ76" i="4"/>
  <c r="AR76" i="4" s="1"/>
  <c r="AM76" i="4"/>
  <c r="AN76" i="4" s="1"/>
  <c r="AI76" i="4"/>
  <c r="AJ76" i="4" s="1"/>
  <c r="AE76" i="4"/>
  <c r="AF76" i="4" s="1"/>
  <c r="AA76" i="4"/>
  <c r="AB76" i="4" s="1"/>
  <c r="W76" i="4"/>
  <c r="X76" i="4" s="1"/>
  <c r="S76" i="4"/>
  <c r="T76" i="4" s="1"/>
  <c r="O76" i="4"/>
  <c r="P76" i="4" s="1"/>
  <c r="K76" i="4"/>
  <c r="L76" i="4" s="1"/>
  <c r="AW76" i="4"/>
  <c r="AX76" i="4" s="1"/>
  <c r="AO76" i="4"/>
  <c r="AP76" i="4" s="1"/>
  <c r="AG76" i="4"/>
  <c r="AH76" i="4" s="1"/>
  <c r="Y76" i="4"/>
  <c r="Z76" i="4" s="1"/>
  <c r="Q76" i="4"/>
  <c r="R76" i="4" s="1"/>
  <c r="J76" i="4"/>
  <c r="DO90" i="4"/>
  <c r="DP90" i="4" s="1"/>
  <c r="DK90" i="4"/>
  <c r="DL90" i="4" s="1"/>
  <c r="DG90" i="4"/>
  <c r="DH90" i="4" s="1"/>
  <c r="DC90" i="4"/>
  <c r="DD90" i="4" s="1"/>
  <c r="CY90" i="4"/>
  <c r="CZ90" i="4" s="1"/>
  <c r="CU90" i="4"/>
  <c r="CV90" i="4" s="1"/>
  <c r="CQ90" i="4"/>
  <c r="CR90" i="4" s="1"/>
  <c r="CM90" i="4"/>
  <c r="CN90" i="4" s="1"/>
  <c r="CI90" i="4"/>
  <c r="CJ90" i="4" s="1"/>
  <c r="CE90" i="4"/>
  <c r="CF90" i="4" s="1"/>
  <c r="CB90" i="4"/>
  <c r="DQ90" i="4"/>
  <c r="DR90" i="4" s="1"/>
  <c r="DM90" i="4"/>
  <c r="DN90" i="4" s="1"/>
  <c r="DI90" i="4"/>
  <c r="DJ90" i="4" s="1"/>
  <c r="DE90" i="4"/>
  <c r="DF90" i="4" s="1"/>
  <c r="DA90" i="4"/>
  <c r="DB90" i="4" s="1"/>
  <c r="CW90" i="4"/>
  <c r="CX90" i="4" s="1"/>
  <c r="CS90" i="4"/>
  <c r="CT90" i="4" s="1"/>
  <c r="CO90" i="4"/>
  <c r="CP90" i="4" s="1"/>
  <c r="CK90" i="4"/>
  <c r="CL90" i="4" s="1"/>
  <c r="CG90" i="4"/>
  <c r="CH90" i="4" s="1"/>
  <c r="CC90" i="4"/>
  <c r="CD90" i="4" s="1"/>
  <c r="GI91" i="4"/>
  <c r="GJ91" i="4" s="1"/>
  <c r="GE91" i="4"/>
  <c r="GF91" i="4" s="1"/>
  <c r="GA91" i="4"/>
  <c r="GB91" i="4" s="1"/>
  <c r="FW91" i="4"/>
  <c r="FX91" i="4" s="1"/>
  <c r="FS91" i="4"/>
  <c r="FT91" i="4" s="1"/>
  <c r="FO91" i="4"/>
  <c r="FP91" i="4" s="1"/>
  <c r="FK91" i="4"/>
  <c r="FL91" i="4" s="1"/>
  <c r="FG91" i="4"/>
  <c r="FH91" i="4" s="1"/>
  <c r="FC91" i="4"/>
  <c r="FD91" i="4" s="1"/>
  <c r="EY91" i="4"/>
  <c r="EZ91" i="4" s="1"/>
  <c r="EU91" i="4"/>
  <c r="EV91" i="4" s="1"/>
  <c r="GC91" i="4"/>
  <c r="GD91" i="4" s="1"/>
  <c r="FM91" i="4"/>
  <c r="FN91" i="4" s="1"/>
  <c r="EW91" i="4"/>
  <c r="EX91" i="4" s="1"/>
  <c r="FY91" i="4"/>
  <c r="FZ91" i="4" s="1"/>
  <c r="FI91" i="4"/>
  <c r="FJ91" i="4" s="1"/>
  <c r="ET91" i="4"/>
  <c r="FU91" i="4"/>
  <c r="FV91" i="4" s="1"/>
  <c r="FQ91" i="4"/>
  <c r="FR91" i="4" s="1"/>
  <c r="AI52" i="4"/>
  <c r="AJ52" i="4" s="1"/>
  <c r="AM52" i="4"/>
  <c r="AN52" i="4" s="1"/>
  <c r="AQ52" i="4"/>
  <c r="AR52" i="4" s="1"/>
  <c r="AU52" i="4"/>
  <c r="AV52" i="4" s="1"/>
  <c r="AQ56" i="4"/>
  <c r="AR56" i="4" s="1"/>
  <c r="AU56" i="4"/>
  <c r="AV56" i="4" s="1"/>
  <c r="AQ60" i="4"/>
  <c r="AR60" i="4" s="1"/>
  <c r="ER66" i="4"/>
  <c r="ES66" i="4" s="1"/>
  <c r="AW70" i="4"/>
  <c r="AX70" i="4" s="1"/>
  <c r="AS70" i="4"/>
  <c r="AT70" i="4" s="1"/>
  <c r="AO70" i="4"/>
  <c r="AP70" i="4" s="1"/>
  <c r="AK70" i="4"/>
  <c r="AL70" i="4" s="1"/>
  <c r="AG70" i="4"/>
  <c r="AH70" i="4" s="1"/>
  <c r="AC70" i="4"/>
  <c r="AD70" i="4" s="1"/>
  <c r="Y70" i="4"/>
  <c r="Z70" i="4" s="1"/>
  <c r="U70" i="4"/>
  <c r="V70" i="4" s="1"/>
  <c r="Q70" i="4"/>
  <c r="R70" i="4" s="1"/>
  <c r="M70" i="4"/>
  <c r="N70" i="4" s="1"/>
  <c r="J70" i="4"/>
  <c r="AW74" i="4"/>
  <c r="AX74" i="4" s="1"/>
  <c r="AS74" i="4"/>
  <c r="AT74" i="4" s="1"/>
  <c r="AO74" i="4"/>
  <c r="AP74" i="4" s="1"/>
  <c r="AK74" i="4"/>
  <c r="AL74" i="4" s="1"/>
  <c r="AG74" i="4"/>
  <c r="AH74" i="4" s="1"/>
  <c r="AC74" i="4"/>
  <c r="AD74" i="4" s="1"/>
  <c r="Y74" i="4"/>
  <c r="Z74" i="4" s="1"/>
  <c r="U74" i="4"/>
  <c r="V74" i="4" s="1"/>
  <c r="Q74" i="4"/>
  <c r="R74" i="4" s="1"/>
  <c r="M74" i="4"/>
  <c r="N74" i="4" s="1"/>
  <c r="J74" i="4"/>
  <c r="DO76" i="4"/>
  <c r="DP76" i="4" s="1"/>
  <c r="DK76" i="4"/>
  <c r="DL76" i="4" s="1"/>
  <c r="DG76" i="4"/>
  <c r="DH76" i="4" s="1"/>
  <c r="DC76" i="4"/>
  <c r="DD76" i="4" s="1"/>
  <c r="CY76" i="4"/>
  <c r="CZ76" i="4" s="1"/>
  <c r="CU76" i="4"/>
  <c r="CV76" i="4" s="1"/>
  <c r="CQ76" i="4"/>
  <c r="CR76" i="4" s="1"/>
  <c r="CM76" i="4"/>
  <c r="CN76" i="4" s="1"/>
  <c r="CI76" i="4"/>
  <c r="CJ76" i="4" s="1"/>
  <c r="CE76" i="4"/>
  <c r="CF76" i="4" s="1"/>
  <c r="CB76" i="4"/>
  <c r="I77" i="4"/>
  <c r="AY80" i="4"/>
  <c r="AZ80" i="4" s="1"/>
  <c r="AU80" i="4"/>
  <c r="AV80" i="4" s="1"/>
  <c r="AQ80" i="4"/>
  <c r="AR80" i="4" s="1"/>
  <c r="AM80" i="4"/>
  <c r="AN80" i="4" s="1"/>
  <c r="AI80" i="4"/>
  <c r="AJ80" i="4" s="1"/>
  <c r="AE80" i="4"/>
  <c r="AF80" i="4" s="1"/>
  <c r="AA80" i="4"/>
  <c r="AB80" i="4" s="1"/>
  <c r="W80" i="4"/>
  <c r="X80" i="4" s="1"/>
  <c r="S80" i="4"/>
  <c r="T80" i="4" s="1"/>
  <c r="O80" i="4"/>
  <c r="P80" i="4" s="1"/>
  <c r="K80" i="4"/>
  <c r="L80" i="4" s="1"/>
  <c r="BZ82" i="4"/>
  <c r="J83" i="4"/>
  <c r="Q83" i="4"/>
  <c r="R83" i="4" s="1"/>
  <c r="Y83" i="4"/>
  <c r="Z83" i="4" s="1"/>
  <c r="AG83" i="4"/>
  <c r="AH83" i="4" s="1"/>
  <c r="AO83" i="4"/>
  <c r="AP83" i="4" s="1"/>
  <c r="BZ83" i="4"/>
  <c r="AY84" i="4"/>
  <c r="AZ84" i="4" s="1"/>
  <c r="AU84" i="4"/>
  <c r="AV84" i="4" s="1"/>
  <c r="AQ84" i="4"/>
  <c r="AR84" i="4" s="1"/>
  <c r="AM84" i="4"/>
  <c r="AN84" i="4" s="1"/>
  <c r="AI84" i="4"/>
  <c r="AJ84" i="4" s="1"/>
  <c r="AE84" i="4"/>
  <c r="AF84" i="4" s="1"/>
  <c r="AA84" i="4"/>
  <c r="AB84" i="4" s="1"/>
  <c r="W84" i="4"/>
  <c r="X84" i="4" s="1"/>
  <c r="S84" i="4"/>
  <c r="T84" i="4" s="1"/>
  <c r="O84" i="4"/>
  <c r="P84" i="4" s="1"/>
  <c r="K84" i="4"/>
  <c r="L84" i="4" s="1"/>
  <c r="AS84" i="4"/>
  <c r="AT84" i="4" s="1"/>
  <c r="AC84" i="4"/>
  <c r="AD84" i="4" s="1"/>
  <c r="M84" i="4"/>
  <c r="N84" i="4" s="1"/>
  <c r="AW84" i="4"/>
  <c r="AX84" i="4" s="1"/>
  <c r="AG84" i="4"/>
  <c r="AH84" i="4" s="1"/>
  <c r="Q84" i="4"/>
  <c r="R84" i="4" s="1"/>
  <c r="GI84" i="4"/>
  <c r="GJ84" i="4" s="1"/>
  <c r="GE84" i="4"/>
  <c r="GF84" i="4" s="1"/>
  <c r="GA84" i="4"/>
  <c r="GB84" i="4" s="1"/>
  <c r="FW84" i="4"/>
  <c r="FX84" i="4" s="1"/>
  <c r="FS84" i="4"/>
  <c r="FT84" i="4" s="1"/>
  <c r="FO84" i="4"/>
  <c r="FP84" i="4" s="1"/>
  <c r="FK84" i="4"/>
  <c r="FL84" i="4" s="1"/>
  <c r="FG84" i="4"/>
  <c r="FH84" i="4" s="1"/>
  <c r="FC84" i="4"/>
  <c r="FD84" i="4" s="1"/>
  <c r="EY84" i="4"/>
  <c r="EZ84" i="4" s="1"/>
  <c r="EU84" i="4"/>
  <c r="EV84" i="4" s="1"/>
  <c r="FU84" i="4"/>
  <c r="FV84" i="4" s="1"/>
  <c r="FE84" i="4"/>
  <c r="FF84" i="4" s="1"/>
  <c r="FY84" i="4"/>
  <c r="FZ84" i="4" s="1"/>
  <c r="FI84" i="4"/>
  <c r="FJ84" i="4" s="1"/>
  <c r="ET84" i="4"/>
  <c r="AW85" i="4"/>
  <c r="AX85" i="4" s="1"/>
  <c r="AS85" i="4"/>
  <c r="AT85" i="4" s="1"/>
  <c r="AO85" i="4"/>
  <c r="AP85" i="4" s="1"/>
  <c r="AK85" i="4"/>
  <c r="AL85" i="4" s="1"/>
  <c r="AG85" i="4"/>
  <c r="AH85" i="4" s="1"/>
  <c r="AC85" i="4"/>
  <c r="AD85" i="4" s="1"/>
  <c r="Y85" i="4"/>
  <c r="Z85" i="4" s="1"/>
  <c r="U85" i="4"/>
  <c r="V85" i="4" s="1"/>
  <c r="Q85" i="4"/>
  <c r="R85" i="4" s="1"/>
  <c r="M85" i="4"/>
  <c r="N85" i="4" s="1"/>
  <c r="J85" i="4"/>
  <c r="AY85" i="4"/>
  <c r="AZ85" i="4" s="1"/>
  <c r="AQ85" i="4"/>
  <c r="AR85" i="4" s="1"/>
  <c r="AI85" i="4"/>
  <c r="AJ85" i="4" s="1"/>
  <c r="AA85" i="4"/>
  <c r="AB85" i="4" s="1"/>
  <c r="S85" i="4"/>
  <c r="T85" i="4" s="1"/>
  <c r="K85" i="4"/>
  <c r="L85" i="4" s="1"/>
  <c r="ER85" i="4"/>
  <c r="ES85" i="4" s="1"/>
  <c r="CA85" i="4"/>
  <c r="ER86" i="4"/>
  <c r="ES86" i="4" s="1"/>
  <c r="CA86" i="4"/>
  <c r="GG88" i="4"/>
  <c r="GH88" i="4" s="1"/>
  <c r="GC88" i="4"/>
  <c r="GD88" i="4" s="1"/>
  <c r="FY88" i="4"/>
  <c r="FZ88" i="4" s="1"/>
  <c r="FU88" i="4"/>
  <c r="FV88" i="4" s="1"/>
  <c r="FQ88" i="4"/>
  <c r="FR88" i="4" s="1"/>
  <c r="FM88" i="4"/>
  <c r="FN88" i="4" s="1"/>
  <c r="FI88" i="4"/>
  <c r="FJ88" i="4" s="1"/>
  <c r="FE88" i="4"/>
  <c r="FF88" i="4" s="1"/>
  <c r="FA88" i="4"/>
  <c r="FB88" i="4" s="1"/>
  <c r="EW88" i="4"/>
  <c r="EX88" i="4" s="1"/>
  <c r="ET88" i="4"/>
  <c r="GI88" i="4"/>
  <c r="GJ88" i="4" s="1"/>
  <c r="GE88" i="4"/>
  <c r="GF88" i="4" s="1"/>
  <c r="GA88" i="4"/>
  <c r="GB88" i="4" s="1"/>
  <c r="FW88" i="4"/>
  <c r="FX88" i="4" s="1"/>
  <c r="FS88" i="4"/>
  <c r="FT88" i="4" s="1"/>
  <c r="FO88" i="4"/>
  <c r="FP88" i="4" s="1"/>
  <c r="FK88" i="4"/>
  <c r="FL88" i="4" s="1"/>
  <c r="FG88" i="4"/>
  <c r="FH88" i="4" s="1"/>
  <c r="FC88" i="4"/>
  <c r="FD88" i="4" s="1"/>
  <c r="EY88" i="4"/>
  <c r="EZ88" i="4" s="1"/>
  <c r="EU88" i="4"/>
  <c r="EV88" i="4" s="1"/>
  <c r="AY90" i="4"/>
  <c r="AZ90" i="4" s="1"/>
  <c r="AU90" i="4"/>
  <c r="AV90" i="4" s="1"/>
  <c r="AQ90" i="4"/>
  <c r="AR90" i="4" s="1"/>
  <c r="AM90" i="4"/>
  <c r="AN90" i="4" s="1"/>
  <c r="AI90" i="4"/>
  <c r="AJ90" i="4" s="1"/>
  <c r="AE90" i="4"/>
  <c r="AF90" i="4" s="1"/>
  <c r="AA90" i="4"/>
  <c r="AB90" i="4" s="1"/>
  <c r="W90" i="4"/>
  <c r="X90" i="4" s="1"/>
  <c r="S90" i="4"/>
  <c r="T90" i="4" s="1"/>
  <c r="O90" i="4"/>
  <c r="P90" i="4" s="1"/>
  <c r="K90" i="4"/>
  <c r="L90" i="4" s="1"/>
  <c r="AW90" i="4"/>
  <c r="AX90" i="4" s="1"/>
  <c r="AS90" i="4"/>
  <c r="AT90" i="4" s="1"/>
  <c r="AO90" i="4"/>
  <c r="AP90" i="4" s="1"/>
  <c r="AK90" i="4"/>
  <c r="AL90" i="4" s="1"/>
  <c r="AG90" i="4"/>
  <c r="AH90" i="4" s="1"/>
  <c r="AC90" i="4"/>
  <c r="AD90" i="4" s="1"/>
  <c r="Y90" i="4"/>
  <c r="Z90" i="4" s="1"/>
  <c r="U90" i="4"/>
  <c r="V90" i="4" s="1"/>
  <c r="Q90" i="4"/>
  <c r="R90" i="4" s="1"/>
  <c r="M90" i="4"/>
  <c r="N90" i="4" s="1"/>
  <c r="J90" i="4"/>
  <c r="AW92" i="4"/>
  <c r="AX92" i="4" s="1"/>
  <c r="AS92" i="4"/>
  <c r="AT92" i="4" s="1"/>
  <c r="AO92" i="4"/>
  <c r="AP92" i="4" s="1"/>
  <c r="AK92" i="4"/>
  <c r="AL92" i="4" s="1"/>
  <c r="AG92" i="4"/>
  <c r="AH92" i="4" s="1"/>
  <c r="AC92" i="4"/>
  <c r="AD92" i="4" s="1"/>
  <c r="Y92" i="4"/>
  <c r="Z92" i="4" s="1"/>
  <c r="U92" i="4"/>
  <c r="V92" i="4" s="1"/>
  <c r="Q92" i="4"/>
  <c r="R92" i="4" s="1"/>
  <c r="M92" i="4"/>
  <c r="N92" i="4" s="1"/>
  <c r="J92" i="4"/>
  <c r="AY92" i="4"/>
  <c r="AZ92" i="4" s="1"/>
  <c r="AU92" i="4"/>
  <c r="AV92" i="4" s="1"/>
  <c r="AQ92" i="4"/>
  <c r="AR92" i="4" s="1"/>
  <c r="AM92" i="4"/>
  <c r="AN92" i="4" s="1"/>
  <c r="AI92" i="4"/>
  <c r="AJ92" i="4" s="1"/>
  <c r="AE92" i="4"/>
  <c r="AF92" i="4" s="1"/>
  <c r="AA92" i="4"/>
  <c r="AB92" i="4" s="1"/>
  <c r="W92" i="4"/>
  <c r="X92" i="4" s="1"/>
  <c r="S92" i="4"/>
  <c r="T92" i="4" s="1"/>
  <c r="O92" i="4"/>
  <c r="P92" i="4" s="1"/>
  <c r="K92" i="4"/>
  <c r="L92" i="4" s="1"/>
  <c r="I93" i="4"/>
  <c r="BZ93" i="4"/>
  <c r="DO100" i="4"/>
  <c r="DP100" i="4" s="1"/>
  <c r="DK100" i="4"/>
  <c r="DL100" i="4" s="1"/>
  <c r="DG100" i="4"/>
  <c r="DH100" i="4" s="1"/>
  <c r="DC100" i="4"/>
  <c r="DD100" i="4" s="1"/>
  <c r="CY100" i="4"/>
  <c r="CZ100" i="4" s="1"/>
  <c r="CU100" i="4"/>
  <c r="CV100" i="4" s="1"/>
  <c r="CQ100" i="4"/>
  <c r="CR100" i="4" s="1"/>
  <c r="CM100" i="4"/>
  <c r="CN100" i="4" s="1"/>
  <c r="CI100" i="4"/>
  <c r="CJ100" i="4" s="1"/>
  <c r="CE100" i="4"/>
  <c r="CF100" i="4" s="1"/>
  <c r="CB100" i="4"/>
  <c r="DQ100" i="4"/>
  <c r="DR100" i="4" s="1"/>
  <c r="DM100" i="4"/>
  <c r="DN100" i="4" s="1"/>
  <c r="DI100" i="4"/>
  <c r="DJ100" i="4" s="1"/>
  <c r="DE100" i="4"/>
  <c r="DF100" i="4" s="1"/>
  <c r="DA100" i="4"/>
  <c r="DB100" i="4" s="1"/>
  <c r="CW100" i="4"/>
  <c r="CX100" i="4" s="1"/>
  <c r="CS100" i="4"/>
  <c r="CT100" i="4" s="1"/>
  <c r="CO100" i="4"/>
  <c r="CP100" i="4" s="1"/>
  <c r="CK100" i="4"/>
  <c r="CL100" i="4" s="1"/>
  <c r="CG100" i="4"/>
  <c r="CH100" i="4" s="1"/>
  <c r="CC100" i="4"/>
  <c r="CD100" i="4" s="1"/>
  <c r="AY104" i="4"/>
  <c r="AZ104" i="4" s="1"/>
  <c r="AU104" i="4"/>
  <c r="AV104" i="4" s="1"/>
  <c r="AQ104" i="4"/>
  <c r="AR104" i="4" s="1"/>
  <c r="AM104" i="4"/>
  <c r="AN104" i="4" s="1"/>
  <c r="AI104" i="4"/>
  <c r="AJ104" i="4" s="1"/>
  <c r="AE104" i="4"/>
  <c r="AF104" i="4" s="1"/>
  <c r="AA104" i="4"/>
  <c r="AB104" i="4" s="1"/>
  <c r="W104" i="4"/>
  <c r="X104" i="4" s="1"/>
  <c r="S104" i="4"/>
  <c r="T104" i="4" s="1"/>
  <c r="O104" i="4"/>
  <c r="P104" i="4" s="1"/>
  <c r="K104" i="4"/>
  <c r="L104" i="4" s="1"/>
  <c r="AW104" i="4"/>
  <c r="AX104" i="4" s="1"/>
  <c r="AG104" i="4"/>
  <c r="AH104" i="4" s="1"/>
  <c r="Q104" i="4"/>
  <c r="R104" i="4" s="1"/>
  <c r="AK104" i="4"/>
  <c r="AL104" i="4" s="1"/>
  <c r="U104" i="4"/>
  <c r="V104" i="4" s="1"/>
  <c r="AS104" i="4"/>
  <c r="AT104" i="4" s="1"/>
  <c r="AC104" i="4"/>
  <c r="AD104" i="4" s="1"/>
  <c r="M104" i="4"/>
  <c r="N104" i="4" s="1"/>
  <c r="AO104" i="4"/>
  <c r="AP104" i="4" s="1"/>
  <c r="Y104" i="4"/>
  <c r="Z104" i="4" s="1"/>
  <c r="DO66" i="4"/>
  <c r="DP66" i="4" s="1"/>
  <c r="DK66" i="4"/>
  <c r="DL66" i="4" s="1"/>
  <c r="DG66" i="4"/>
  <c r="DH66" i="4" s="1"/>
  <c r="DC66" i="4"/>
  <c r="DD66" i="4" s="1"/>
  <c r="CY66" i="4"/>
  <c r="CZ66" i="4" s="1"/>
  <c r="CU66" i="4"/>
  <c r="CV66" i="4" s="1"/>
  <c r="CQ66" i="4"/>
  <c r="CR66" i="4" s="1"/>
  <c r="CM66" i="4"/>
  <c r="CN66" i="4" s="1"/>
  <c r="CI66" i="4"/>
  <c r="CJ66" i="4" s="1"/>
  <c r="CE66" i="4"/>
  <c r="CF66" i="4" s="1"/>
  <c r="CB66" i="4"/>
  <c r="CA77" i="4"/>
  <c r="ER77" i="4"/>
  <c r="ES77" i="4" s="1"/>
  <c r="AW82" i="4"/>
  <c r="AX82" i="4" s="1"/>
  <c r="AS82" i="4"/>
  <c r="AT82" i="4" s="1"/>
  <c r="AO82" i="4"/>
  <c r="AP82" i="4" s="1"/>
  <c r="AK82" i="4"/>
  <c r="AL82" i="4" s="1"/>
  <c r="AG82" i="4"/>
  <c r="AH82" i="4" s="1"/>
  <c r="AC82" i="4"/>
  <c r="AD82" i="4" s="1"/>
  <c r="Y82" i="4"/>
  <c r="Z82" i="4" s="1"/>
  <c r="U82" i="4"/>
  <c r="V82" i="4" s="1"/>
  <c r="Q82" i="4"/>
  <c r="R82" i="4" s="1"/>
  <c r="M82" i="4"/>
  <c r="N82" i="4" s="1"/>
  <c r="J82" i="4"/>
  <c r="AY83" i="4"/>
  <c r="AZ83" i="4" s="1"/>
  <c r="AU83" i="4"/>
  <c r="AV83" i="4" s="1"/>
  <c r="AQ83" i="4"/>
  <c r="AR83" i="4" s="1"/>
  <c r="AM83" i="4"/>
  <c r="AN83" i="4" s="1"/>
  <c r="AI83" i="4"/>
  <c r="AJ83" i="4" s="1"/>
  <c r="AE83" i="4"/>
  <c r="AF83" i="4" s="1"/>
  <c r="AA83" i="4"/>
  <c r="AB83" i="4" s="1"/>
  <c r="W83" i="4"/>
  <c r="X83" i="4" s="1"/>
  <c r="S83" i="4"/>
  <c r="T83" i="4" s="1"/>
  <c r="O83" i="4"/>
  <c r="P83" i="4" s="1"/>
  <c r="K83" i="4"/>
  <c r="L83" i="4" s="1"/>
  <c r="AY95" i="4"/>
  <c r="AZ95" i="4" s="1"/>
  <c r="AU95" i="4"/>
  <c r="AV95" i="4" s="1"/>
  <c r="AQ95" i="4"/>
  <c r="AR95" i="4" s="1"/>
  <c r="AM95" i="4"/>
  <c r="AN95" i="4" s="1"/>
  <c r="AI95" i="4"/>
  <c r="AJ95" i="4" s="1"/>
  <c r="AE95" i="4"/>
  <c r="AF95" i="4" s="1"/>
  <c r="AA95" i="4"/>
  <c r="AB95" i="4" s="1"/>
  <c r="W95" i="4"/>
  <c r="X95" i="4" s="1"/>
  <c r="S95" i="4"/>
  <c r="T95" i="4" s="1"/>
  <c r="O95" i="4"/>
  <c r="P95" i="4" s="1"/>
  <c r="K95" i="4"/>
  <c r="L95" i="4" s="1"/>
  <c r="AW95" i="4"/>
  <c r="AX95" i="4" s="1"/>
  <c r="AG95" i="4"/>
  <c r="AH95" i="4" s="1"/>
  <c r="Q95" i="4"/>
  <c r="R95" i="4" s="1"/>
  <c r="AS95" i="4"/>
  <c r="AT95" i="4" s="1"/>
  <c r="AC95" i="4"/>
  <c r="AD95" i="4" s="1"/>
  <c r="M95" i="4"/>
  <c r="N95" i="4" s="1"/>
  <c r="AK95" i="4"/>
  <c r="AL95" i="4" s="1"/>
  <c r="U95" i="4"/>
  <c r="V95" i="4" s="1"/>
  <c r="DQ102" i="4"/>
  <c r="DR102" i="4" s="1"/>
  <c r="DM102" i="4"/>
  <c r="DN102" i="4" s="1"/>
  <c r="DI102" i="4"/>
  <c r="DJ102" i="4" s="1"/>
  <c r="DE102" i="4"/>
  <c r="DF102" i="4" s="1"/>
  <c r="DA102" i="4"/>
  <c r="DB102" i="4" s="1"/>
  <c r="CW102" i="4"/>
  <c r="CX102" i="4" s="1"/>
  <c r="CS102" i="4"/>
  <c r="CT102" i="4" s="1"/>
  <c r="CO102" i="4"/>
  <c r="CP102" i="4" s="1"/>
  <c r="CK102" i="4"/>
  <c r="CL102" i="4" s="1"/>
  <c r="CG102" i="4"/>
  <c r="CH102" i="4" s="1"/>
  <c r="CC102" i="4"/>
  <c r="CD102" i="4" s="1"/>
  <c r="DO102" i="4"/>
  <c r="DP102" i="4" s="1"/>
  <c r="CY102" i="4"/>
  <c r="CZ102" i="4" s="1"/>
  <c r="CI102" i="4"/>
  <c r="CJ102" i="4" s="1"/>
  <c r="DC102" i="4"/>
  <c r="DD102" i="4" s="1"/>
  <c r="CM102" i="4"/>
  <c r="CN102" i="4" s="1"/>
  <c r="DK102" i="4"/>
  <c r="DL102" i="4" s="1"/>
  <c r="CU102" i="4"/>
  <c r="CV102" i="4" s="1"/>
  <c r="CE102" i="4"/>
  <c r="CF102" i="4" s="1"/>
  <c r="DG102" i="4"/>
  <c r="DH102" i="4" s="1"/>
  <c r="CQ102" i="4"/>
  <c r="CR102" i="4" s="1"/>
  <c r="GG98" i="4"/>
  <c r="GH98" i="4" s="1"/>
  <c r="GC98" i="4"/>
  <c r="GD98" i="4" s="1"/>
  <c r="FY98" i="4"/>
  <c r="FZ98" i="4" s="1"/>
  <c r="FU98" i="4"/>
  <c r="FV98" i="4" s="1"/>
  <c r="FQ98" i="4"/>
  <c r="FR98" i="4" s="1"/>
  <c r="FM98" i="4"/>
  <c r="FN98" i="4" s="1"/>
  <c r="FI98" i="4"/>
  <c r="FJ98" i="4" s="1"/>
  <c r="FE98" i="4"/>
  <c r="FF98" i="4" s="1"/>
  <c r="FA98" i="4"/>
  <c r="FB98" i="4" s="1"/>
  <c r="EW98" i="4"/>
  <c r="EX98" i="4" s="1"/>
  <c r="ET98" i="4"/>
  <c r="GI98" i="4"/>
  <c r="GJ98" i="4" s="1"/>
  <c r="GE98" i="4"/>
  <c r="GF98" i="4" s="1"/>
  <c r="GA98" i="4"/>
  <c r="GB98" i="4" s="1"/>
  <c r="FW98" i="4"/>
  <c r="FX98" i="4" s="1"/>
  <c r="FS98" i="4"/>
  <c r="FT98" i="4" s="1"/>
  <c r="FO98" i="4"/>
  <c r="FP98" i="4" s="1"/>
  <c r="FK98" i="4"/>
  <c r="FL98" i="4" s="1"/>
  <c r="FG98" i="4"/>
  <c r="FH98" i="4" s="1"/>
  <c r="FC98" i="4"/>
  <c r="FD98" i="4" s="1"/>
  <c r="EY98" i="4"/>
  <c r="EZ98" i="4" s="1"/>
  <c r="EU98" i="4"/>
  <c r="EV98" i="4" s="1"/>
  <c r="AY100" i="4"/>
  <c r="AZ100" i="4" s="1"/>
  <c r="AU100" i="4"/>
  <c r="AV100" i="4" s="1"/>
  <c r="AQ100" i="4"/>
  <c r="AR100" i="4" s="1"/>
  <c r="AM100" i="4"/>
  <c r="AN100" i="4" s="1"/>
  <c r="AI100" i="4"/>
  <c r="AJ100" i="4" s="1"/>
  <c r="AE100" i="4"/>
  <c r="AF100" i="4" s="1"/>
  <c r="AA100" i="4"/>
  <c r="AB100" i="4" s="1"/>
  <c r="W100" i="4"/>
  <c r="X100" i="4" s="1"/>
  <c r="S100" i="4"/>
  <c r="T100" i="4" s="1"/>
  <c r="O100" i="4"/>
  <c r="P100" i="4" s="1"/>
  <c r="K100" i="4"/>
  <c r="L100" i="4" s="1"/>
  <c r="AW100" i="4"/>
  <c r="AX100" i="4" s="1"/>
  <c r="AS100" i="4"/>
  <c r="AT100" i="4" s="1"/>
  <c r="AO100" i="4"/>
  <c r="AP100" i="4" s="1"/>
  <c r="AK100" i="4"/>
  <c r="AL100" i="4" s="1"/>
  <c r="AG100" i="4"/>
  <c r="AH100" i="4" s="1"/>
  <c r="AC100" i="4"/>
  <c r="AD100" i="4" s="1"/>
  <c r="Y100" i="4"/>
  <c r="Z100" i="4" s="1"/>
  <c r="U100" i="4"/>
  <c r="V100" i="4" s="1"/>
  <c r="Q100" i="4"/>
  <c r="R100" i="4" s="1"/>
  <c r="M100" i="4"/>
  <c r="N100" i="4" s="1"/>
  <c r="J100" i="4"/>
  <c r="GG102" i="4"/>
  <c r="GH102" i="4" s="1"/>
  <c r="GC102" i="4"/>
  <c r="GD102" i="4" s="1"/>
  <c r="FY102" i="4"/>
  <c r="FZ102" i="4" s="1"/>
  <c r="FU102" i="4"/>
  <c r="FV102" i="4" s="1"/>
  <c r="FQ102" i="4"/>
  <c r="FR102" i="4" s="1"/>
  <c r="FM102" i="4"/>
  <c r="FN102" i="4" s="1"/>
  <c r="FI102" i="4"/>
  <c r="FJ102" i="4" s="1"/>
  <c r="FE102" i="4"/>
  <c r="FF102" i="4" s="1"/>
  <c r="FA102" i="4"/>
  <c r="FB102" i="4" s="1"/>
  <c r="EW102" i="4"/>
  <c r="EX102" i="4" s="1"/>
  <c r="ET102" i="4"/>
  <c r="GI102" i="4"/>
  <c r="GJ102" i="4" s="1"/>
  <c r="FS102" i="4"/>
  <c r="FT102" i="4" s="1"/>
  <c r="FC102" i="4"/>
  <c r="FD102" i="4" s="1"/>
  <c r="FW102" i="4"/>
  <c r="FX102" i="4" s="1"/>
  <c r="FG102" i="4"/>
  <c r="FH102" i="4" s="1"/>
  <c r="GE102" i="4"/>
  <c r="GF102" i="4" s="1"/>
  <c r="FO102" i="4"/>
  <c r="FP102" i="4" s="1"/>
  <c r="EY102" i="4"/>
  <c r="EZ102" i="4" s="1"/>
  <c r="AW108" i="4"/>
  <c r="AX108" i="4" s="1"/>
  <c r="AS108" i="4"/>
  <c r="AT108" i="4" s="1"/>
  <c r="AO108" i="4"/>
  <c r="AP108" i="4" s="1"/>
  <c r="AK108" i="4"/>
  <c r="AL108" i="4" s="1"/>
  <c r="AG108" i="4"/>
  <c r="AH108" i="4" s="1"/>
  <c r="AC108" i="4"/>
  <c r="AD108" i="4" s="1"/>
  <c r="Y108" i="4"/>
  <c r="Z108" i="4" s="1"/>
  <c r="U108" i="4"/>
  <c r="V108" i="4" s="1"/>
  <c r="Q108" i="4"/>
  <c r="R108" i="4" s="1"/>
  <c r="M108" i="4"/>
  <c r="N108" i="4" s="1"/>
  <c r="J108" i="4"/>
  <c r="AY108" i="4"/>
  <c r="AZ108" i="4" s="1"/>
  <c r="AU108" i="4"/>
  <c r="AV108" i="4" s="1"/>
  <c r="AQ108" i="4"/>
  <c r="AR108" i="4" s="1"/>
  <c r="AM108" i="4"/>
  <c r="AN108" i="4" s="1"/>
  <c r="AI108" i="4"/>
  <c r="AJ108" i="4" s="1"/>
  <c r="AE108" i="4"/>
  <c r="AF108" i="4" s="1"/>
  <c r="AA108" i="4"/>
  <c r="AB108" i="4" s="1"/>
  <c r="W108" i="4"/>
  <c r="X108" i="4" s="1"/>
  <c r="S108" i="4"/>
  <c r="T108" i="4" s="1"/>
  <c r="O108" i="4"/>
  <c r="P108" i="4" s="1"/>
  <c r="K108" i="4"/>
  <c r="L108" i="4" s="1"/>
  <c r="ER110" i="4"/>
  <c r="ES110" i="4" s="1"/>
  <c r="CA110" i="4"/>
  <c r="GG112" i="4"/>
  <c r="GH112" i="4" s="1"/>
  <c r="GC112" i="4"/>
  <c r="GD112" i="4" s="1"/>
  <c r="FY112" i="4"/>
  <c r="FZ112" i="4" s="1"/>
  <c r="FU112" i="4"/>
  <c r="FV112" i="4" s="1"/>
  <c r="FQ112" i="4"/>
  <c r="FR112" i="4" s="1"/>
  <c r="FM112" i="4"/>
  <c r="FN112" i="4" s="1"/>
  <c r="FI112" i="4"/>
  <c r="FJ112" i="4" s="1"/>
  <c r="FE112" i="4"/>
  <c r="FF112" i="4" s="1"/>
  <c r="FA112" i="4"/>
  <c r="FB112" i="4" s="1"/>
  <c r="EW112" i="4"/>
  <c r="EX112" i="4" s="1"/>
  <c r="ET112" i="4"/>
  <c r="GI112" i="4"/>
  <c r="GJ112" i="4" s="1"/>
  <c r="GE112" i="4"/>
  <c r="GF112" i="4" s="1"/>
  <c r="GA112" i="4"/>
  <c r="GB112" i="4" s="1"/>
  <c r="FW112" i="4"/>
  <c r="FX112" i="4" s="1"/>
  <c r="FS112" i="4"/>
  <c r="FT112" i="4" s="1"/>
  <c r="FO112" i="4"/>
  <c r="FP112" i="4" s="1"/>
  <c r="FK112" i="4"/>
  <c r="FL112" i="4" s="1"/>
  <c r="FG112" i="4"/>
  <c r="FH112" i="4" s="1"/>
  <c r="FC112" i="4"/>
  <c r="FD112" i="4" s="1"/>
  <c r="EY112" i="4"/>
  <c r="EZ112" i="4" s="1"/>
  <c r="EU112" i="4"/>
  <c r="EV112" i="4" s="1"/>
  <c r="AU79" i="4"/>
  <c r="AV79" i="4" s="1"/>
  <c r="CK84" i="4"/>
  <c r="CL84" i="4" s="1"/>
  <c r="DA84" i="4"/>
  <c r="DB84" i="4" s="1"/>
  <c r="FA87" i="4"/>
  <c r="FB87" i="4" s="1"/>
  <c r="FQ87" i="4"/>
  <c r="FR87" i="4" s="1"/>
  <c r="AW88" i="4"/>
  <c r="AX88" i="4" s="1"/>
  <c r="AS88" i="4"/>
  <c r="AT88" i="4" s="1"/>
  <c r="AO88" i="4"/>
  <c r="AP88" i="4" s="1"/>
  <c r="AK88" i="4"/>
  <c r="AL88" i="4" s="1"/>
  <c r="AG88" i="4"/>
  <c r="AH88" i="4" s="1"/>
  <c r="AC88" i="4"/>
  <c r="AD88" i="4" s="1"/>
  <c r="Y88" i="4"/>
  <c r="Z88" i="4" s="1"/>
  <c r="U88" i="4"/>
  <c r="V88" i="4" s="1"/>
  <c r="Q88" i="4"/>
  <c r="R88" i="4" s="1"/>
  <c r="M88" i="4"/>
  <c r="N88" i="4" s="1"/>
  <c r="J88" i="4"/>
  <c r="AY88" i="4"/>
  <c r="AZ88" i="4" s="1"/>
  <c r="AU88" i="4"/>
  <c r="AV88" i="4" s="1"/>
  <c r="AQ88" i="4"/>
  <c r="AR88" i="4" s="1"/>
  <c r="AM88" i="4"/>
  <c r="AN88" i="4" s="1"/>
  <c r="AI88" i="4"/>
  <c r="AJ88" i="4" s="1"/>
  <c r="AE88" i="4"/>
  <c r="AF88" i="4" s="1"/>
  <c r="AA88" i="4"/>
  <c r="AB88" i="4" s="1"/>
  <c r="W88" i="4"/>
  <c r="X88" i="4" s="1"/>
  <c r="S88" i="4"/>
  <c r="T88" i="4" s="1"/>
  <c r="O88" i="4"/>
  <c r="P88" i="4" s="1"/>
  <c r="K88" i="4"/>
  <c r="L88" i="4" s="1"/>
  <c r="GG92" i="4"/>
  <c r="GH92" i="4" s="1"/>
  <c r="GC92" i="4"/>
  <c r="GD92" i="4" s="1"/>
  <c r="FY92" i="4"/>
  <c r="FZ92" i="4" s="1"/>
  <c r="FU92" i="4"/>
  <c r="FV92" i="4" s="1"/>
  <c r="FQ92" i="4"/>
  <c r="FR92" i="4" s="1"/>
  <c r="FM92" i="4"/>
  <c r="FN92" i="4" s="1"/>
  <c r="FI92" i="4"/>
  <c r="FJ92" i="4" s="1"/>
  <c r="FE92" i="4"/>
  <c r="FF92" i="4" s="1"/>
  <c r="FA92" i="4"/>
  <c r="FB92" i="4" s="1"/>
  <c r="EW92" i="4"/>
  <c r="EX92" i="4" s="1"/>
  <c r="ET92" i="4"/>
  <c r="GI92" i="4"/>
  <c r="GJ92" i="4" s="1"/>
  <c r="GE92" i="4"/>
  <c r="GF92" i="4" s="1"/>
  <c r="GA92" i="4"/>
  <c r="GB92" i="4" s="1"/>
  <c r="FW92" i="4"/>
  <c r="FX92" i="4" s="1"/>
  <c r="FS92" i="4"/>
  <c r="FT92" i="4" s="1"/>
  <c r="FO92" i="4"/>
  <c r="FP92" i="4" s="1"/>
  <c r="FK92" i="4"/>
  <c r="FL92" i="4" s="1"/>
  <c r="FG92" i="4"/>
  <c r="FH92" i="4" s="1"/>
  <c r="FC92" i="4"/>
  <c r="FD92" i="4" s="1"/>
  <c r="EY92" i="4"/>
  <c r="EZ92" i="4" s="1"/>
  <c r="EU92" i="4"/>
  <c r="EV92" i="4" s="1"/>
  <c r="AW98" i="4"/>
  <c r="AX98" i="4" s="1"/>
  <c r="AS98" i="4"/>
  <c r="AT98" i="4" s="1"/>
  <c r="AO98" i="4"/>
  <c r="AP98" i="4" s="1"/>
  <c r="AK98" i="4"/>
  <c r="AL98" i="4" s="1"/>
  <c r="AG98" i="4"/>
  <c r="AH98" i="4" s="1"/>
  <c r="AC98" i="4"/>
  <c r="AD98" i="4" s="1"/>
  <c r="Y98" i="4"/>
  <c r="Z98" i="4" s="1"/>
  <c r="U98" i="4"/>
  <c r="V98" i="4" s="1"/>
  <c r="Q98" i="4"/>
  <c r="R98" i="4" s="1"/>
  <c r="M98" i="4"/>
  <c r="N98" i="4" s="1"/>
  <c r="J98" i="4"/>
  <c r="AY98" i="4"/>
  <c r="AZ98" i="4" s="1"/>
  <c r="AU98" i="4"/>
  <c r="AV98" i="4" s="1"/>
  <c r="AQ98" i="4"/>
  <c r="AR98" i="4" s="1"/>
  <c r="AM98" i="4"/>
  <c r="AN98" i="4" s="1"/>
  <c r="AI98" i="4"/>
  <c r="AJ98" i="4" s="1"/>
  <c r="AE98" i="4"/>
  <c r="AF98" i="4" s="1"/>
  <c r="AA98" i="4"/>
  <c r="AB98" i="4" s="1"/>
  <c r="W98" i="4"/>
  <c r="X98" i="4" s="1"/>
  <c r="S98" i="4"/>
  <c r="T98" i="4" s="1"/>
  <c r="O98" i="4"/>
  <c r="P98" i="4" s="1"/>
  <c r="K98" i="4"/>
  <c r="L98" i="4" s="1"/>
  <c r="GG101" i="4"/>
  <c r="GH101" i="4" s="1"/>
  <c r="FW101" i="4"/>
  <c r="FX101" i="4" s="1"/>
  <c r="FQ101" i="4"/>
  <c r="FR101" i="4" s="1"/>
  <c r="FG101" i="4"/>
  <c r="FH101" i="4" s="1"/>
  <c r="FA101" i="4"/>
  <c r="FB101" i="4" s="1"/>
  <c r="GA101" i="4"/>
  <c r="GB101" i="4" s="1"/>
  <c r="FU101" i="4"/>
  <c r="FV101" i="4" s="1"/>
  <c r="FK101" i="4"/>
  <c r="FL101" i="4" s="1"/>
  <c r="FE101" i="4"/>
  <c r="FF101" i="4" s="1"/>
  <c r="EU101" i="4"/>
  <c r="EV101" i="4" s="1"/>
  <c r="GI101" i="4"/>
  <c r="GJ101" i="4" s="1"/>
  <c r="GC101" i="4"/>
  <c r="GD101" i="4" s="1"/>
  <c r="FS101" i="4"/>
  <c r="FT101" i="4" s="1"/>
  <c r="FM101" i="4"/>
  <c r="FN101" i="4" s="1"/>
  <c r="FC101" i="4"/>
  <c r="FD101" i="4" s="1"/>
  <c r="EW101" i="4"/>
  <c r="EX101" i="4" s="1"/>
  <c r="AW112" i="4"/>
  <c r="AX112" i="4" s="1"/>
  <c r="AS112" i="4"/>
  <c r="AT112" i="4" s="1"/>
  <c r="AO112" i="4"/>
  <c r="AP112" i="4" s="1"/>
  <c r="AK112" i="4"/>
  <c r="AL112" i="4" s="1"/>
  <c r="AG112" i="4"/>
  <c r="AH112" i="4" s="1"/>
  <c r="AC112" i="4"/>
  <c r="AD112" i="4" s="1"/>
  <c r="Y112" i="4"/>
  <c r="Z112" i="4" s="1"/>
  <c r="U112" i="4"/>
  <c r="V112" i="4" s="1"/>
  <c r="Q112" i="4"/>
  <c r="R112" i="4" s="1"/>
  <c r="M112" i="4"/>
  <c r="N112" i="4" s="1"/>
  <c r="J112" i="4"/>
  <c r="AY112" i="4"/>
  <c r="AZ112" i="4" s="1"/>
  <c r="AU112" i="4"/>
  <c r="AV112" i="4" s="1"/>
  <c r="AQ112" i="4"/>
  <c r="AR112" i="4" s="1"/>
  <c r="AM112" i="4"/>
  <c r="AN112" i="4" s="1"/>
  <c r="AI112" i="4"/>
  <c r="AJ112" i="4" s="1"/>
  <c r="AE112" i="4"/>
  <c r="AF112" i="4" s="1"/>
  <c r="AA112" i="4"/>
  <c r="AB112" i="4" s="1"/>
  <c r="W112" i="4"/>
  <c r="X112" i="4" s="1"/>
  <c r="S112" i="4"/>
  <c r="T112" i="4" s="1"/>
  <c r="O112" i="4"/>
  <c r="P112" i="4" s="1"/>
  <c r="K112" i="4"/>
  <c r="L112" i="4" s="1"/>
  <c r="GG116" i="4"/>
  <c r="GH116" i="4" s="1"/>
  <c r="GC116" i="4"/>
  <c r="GD116" i="4" s="1"/>
  <c r="FY116" i="4"/>
  <c r="FZ116" i="4" s="1"/>
  <c r="FU116" i="4"/>
  <c r="FV116" i="4" s="1"/>
  <c r="FQ116" i="4"/>
  <c r="FR116" i="4" s="1"/>
  <c r="FM116" i="4"/>
  <c r="FN116" i="4" s="1"/>
  <c r="FI116" i="4"/>
  <c r="FJ116" i="4" s="1"/>
  <c r="FE116" i="4"/>
  <c r="FF116" i="4" s="1"/>
  <c r="FA116" i="4"/>
  <c r="FB116" i="4" s="1"/>
  <c r="EW116" i="4"/>
  <c r="EX116" i="4" s="1"/>
  <c r="ET116" i="4"/>
  <c r="GI116" i="4"/>
  <c r="GJ116" i="4" s="1"/>
  <c r="GE116" i="4"/>
  <c r="GF116" i="4" s="1"/>
  <c r="GA116" i="4"/>
  <c r="GB116" i="4" s="1"/>
  <c r="FW116" i="4"/>
  <c r="FX116" i="4" s="1"/>
  <c r="FS116" i="4"/>
  <c r="FT116" i="4" s="1"/>
  <c r="FO116" i="4"/>
  <c r="FP116" i="4" s="1"/>
  <c r="FK116" i="4"/>
  <c r="FL116" i="4" s="1"/>
  <c r="FG116" i="4"/>
  <c r="FH116" i="4" s="1"/>
  <c r="FC116" i="4"/>
  <c r="FD116" i="4" s="1"/>
  <c r="EY116" i="4"/>
  <c r="EZ116" i="4" s="1"/>
  <c r="EU116" i="4"/>
  <c r="EV116" i="4" s="1"/>
  <c r="DO84" i="4"/>
  <c r="DP84" i="4" s="1"/>
  <c r="DK84" i="4"/>
  <c r="DL84" i="4" s="1"/>
  <c r="DG84" i="4"/>
  <c r="DH84" i="4" s="1"/>
  <c r="DC84" i="4"/>
  <c r="DD84" i="4" s="1"/>
  <c r="CY84" i="4"/>
  <c r="CZ84" i="4" s="1"/>
  <c r="CU84" i="4"/>
  <c r="CV84" i="4" s="1"/>
  <c r="CQ84" i="4"/>
  <c r="CR84" i="4" s="1"/>
  <c r="CM84" i="4"/>
  <c r="CN84" i="4" s="1"/>
  <c r="CI84" i="4"/>
  <c r="CJ84" i="4" s="1"/>
  <c r="CE84" i="4"/>
  <c r="CF84" i="4" s="1"/>
  <c r="CB84" i="4"/>
  <c r="GI87" i="4"/>
  <c r="GJ87" i="4" s="1"/>
  <c r="GE87" i="4"/>
  <c r="GF87" i="4" s="1"/>
  <c r="GA87" i="4"/>
  <c r="GB87" i="4" s="1"/>
  <c r="FW87" i="4"/>
  <c r="FX87" i="4" s="1"/>
  <c r="FS87" i="4"/>
  <c r="FT87" i="4" s="1"/>
  <c r="FO87" i="4"/>
  <c r="FP87" i="4" s="1"/>
  <c r="FK87" i="4"/>
  <c r="FL87" i="4" s="1"/>
  <c r="FG87" i="4"/>
  <c r="FH87" i="4" s="1"/>
  <c r="FC87" i="4"/>
  <c r="FD87" i="4" s="1"/>
  <c r="EY87" i="4"/>
  <c r="EZ87" i="4" s="1"/>
  <c r="EU87" i="4"/>
  <c r="EV87" i="4" s="1"/>
  <c r="I89" i="4"/>
  <c r="BZ89" i="4"/>
  <c r="GI90" i="4"/>
  <c r="GJ90" i="4" s="1"/>
  <c r="GE90" i="4"/>
  <c r="GF90" i="4" s="1"/>
  <c r="GA90" i="4"/>
  <c r="GB90" i="4" s="1"/>
  <c r="FW90" i="4"/>
  <c r="FX90" i="4" s="1"/>
  <c r="FS90" i="4"/>
  <c r="FT90" i="4" s="1"/>
  <c r="FO90" i="4"/>
  <c r="FP90" i="4" s="1"/>
  <c r="FK90" i="4"/>
  <c r="FL90" i="4" s="1"/>
  <c r="FG90" i="4"/>
  <c r="FH90" i="4" s="1"/>
  <c r="FC90" i="4"/>
  <c r="FD90" i="4" s="1"/>
  <c r="EY90" i="4"/>
  <c r="EZ90" i="4" s="1"/>
  <c r="EU90" i="4"/>
  <c r="EV90" i="4" s="1"/>
  <c r="GG90" i="4"/>
  <c r="GH90" i="4" s="1"/>
  <c r="GC90" i="4"/>
  <c r="GD90" i="4" s="1"/>
  <c r="FY90" i="4"/>
  <c r="FZ90" i="4" s="1"/>
  <c r="FU90" i="4"/>
  <c r="FV90" i="4" s="1"/>
  <c r="FQ90" i="4"/>
  <c r="FR90" i="4" s="1"/>
  <c r="FM90" i="4"/>
  <c r="FN90" i="4" s="1"/>
  <c r="FI90" i="4"/>
  <c r="FJ90" i="4" s="1"/>
  <c r="FE90" i="4"/>
  <c r="FF90" i="4" s="1"/>
  <c r="FA90" i="4"/>
  <c r="FB90" i="4" s="1"/>
  <c r="EW90" i="4"/>
  <c r="EX90" i="4" s="1"/>
  <c r="ET90" i="4"/>
  <c r="AY91" i="4"/>
  <c r="AZ91" i="4" s="1"/>
  <c r="AU91" i="4"/>
  <c r="AV91" i="4" s="1"/>
  <c r="AQ91" i="4"/>
  <c r="AR91" i="4" s="1"/>
  <c r="AM91" i="4"/>
  <c r="AN91" i="4" s="1"/>
  <c r="AI91" i="4"/>
  <c r="AJ91" i="4" s="1"/>
  <c r="AE91" i="4"/>
  <c r="AF91" i="4" s="1"/>
  <c r="AA91" i="4"/>
  <c r="AB91" i="4" s="1"/>
  <c r="W91" i="4"/>
  <c r="X91" i="4" s="1"/>
  <c r="S91" i="4"/>
  <c r="T91" i="4" s="1"/>
  <c r="O91" i="4"/>
  <c r="P91" i="4" s="1"/>
  <c r="K91" i="4"/>
  <c r="L91" i="4" s="1"/>
  <c r="I99" i="4"/>
  <c r="BZ99" i="4"/>
  <c r="GI100" i="4"/>
  <c r="GJ100" i="4" s="1"/>
  <c r="GE100" i="4"/>
  <c r="GF100" i="4" s="1"/>
  <c r="GA100" i="4"/>
  <c r="GB100" i="4" s="1"/>
  <c r="FW100" i="4"/>
  <c r="FX100" i="4" s="1"/>
  <c r="FS100" i="4"/>
  <c r="FT100" i="4" s="1"/>
  <c r="FO100" i="4"/>
  <c r="FP100" i="4" s="1"/>
  <c r="FK100" i="4"/>
  <c r="FL100" i="4" s="1"/>
  <c r="FG100" i="4"/>
  <c r="FH100" i="4" s="1"/>
  <c r="FC100" i="4"/>
  <c r="FD100" i="4" s="1"/>
  <c r="EY100" i="4"/>
  <c r="EZ100" i="4" s="1"/>
  <c r="EU100" i="4"/>
  <c r="EV100" i="4" s="1"/>
  <c r="GG100" i="4"/>
  <c r="GH100" i="4" s="1"/>
  <c r="GC100" i="4"/>
  <c r="GD100" i="4" s="1"/>
  <c r="FY100" i="4"/>
  <c r="FZ100" i="4" s="1"/>
  <c r="FU100" i="4"/>
  <c r="FV100" i="4" s="1"/>
  <c r="FQ100" i="4"/>
  <c r="FR100" i="4" s="1"/>
  <c r="FM100" i="4"/>
  <c r="FN100" i="4" s="1"/>
  <c r="FI100" i="4"/>
  <c r="FJ100" i="4" s="1"/>
  <c r="FE100" i="4"/>
  <c r="FF100" i="4" s="1"/>
  <c r="FA100" i="4"/>
  <c r="FB100" i="4" s="1"/>
  <c r="EW100" i="4"/>
  <c r="EX100" i="4" s="1"/>
  <c r="ET100" i="4"/>
  <c r="GG108" i="4"/>
  <c r="GH108" i="4" s="1"/>
  <c r="GC108" i="4"/>
  <c r="GD108" i="4" s="1"/>
  <c r="FY108" i="4"/>
  <c r="FZ108" i="4" s="1"/>
  <c r="FU108" i="4"/>
  <c r="FV108" i="4" s="1"/>
  <c r="FQ108" i="4"/>
  <c r="FR108" i="4" s="1"/>
  <c r="FM108" i="4"/>
  <c r="FN108" i="4" s="1"/>
  <c r="FI108" i="4"/>
  <c r="FJ108" i="4" s="1"/>
  <c r="FE108" i="4"/>
  <c r="FF108" i="4" s="1"/>
  <c r="FA108" i="4"/>
  <c r="FB108" i="4" s="1"/>
  <c r="EW108" i="4"/>
  <c r="EX108" i="4" s="1"/>
  <c r="ET108" i="4"/>
  <c r="GI108" i="4"/>
  <c r="GJ108" i="4" s="1"/>
  <c r="GE108" i="4"/>
  <c r="GF108" i="4" s="1"/>
  <c r="GA108" i="4"/>
  <c r="GB108" i="4" s="1"/>
  <c r="FW108" i="4"/>
  <c r="FX108" i="4" s="1"/>
  <c r="FS108" i="4"/>
  <c r="FT108" i="4" s="1"/>
  <c r="FO108" i="4"/>
  <c r="FP108" i="4" s="1"/>
  <c r="FK108" i="4"/>
  <c r="FL108" i="4" s="1"/>
  <c r="FG108" i="4"/>
  <c r="FH108" i="4" s="1"/>
  <c r="FC108" i="4"/>
  <c r="FD108" i="4" s="1"/>
  <c r="EY108" i="4"/>
  <c r="EZ108" i="4" s="1"/>
  <c r="EU108" i="4"/>
  <c r="EV108" i="4" s="1"/>
  <c r="J86" i="4"/>
  <c r="M86" i="4"/>
  <c r="N86" i="4" s="1"/>
  <c r="Q86" i="4"/>
  <c r="R86" i="4" s="1"/>
  <c r="U86" i="4"/>
  <c r="V86" i="4" s="1"/>
  <c r="Y86" i="4"/>
  <c r="Z86" i="4" s="1"/>
  <c r="AC86" i="4"/>
  <c r="AD86" i="4" s="1"/>
  <c r="AG86" i="4"/>
  <c r="AH86" i="4" s="1"/>
  <c r="AK86" i="4"/>
  <c r="AL86" i="4" s="1"/>
  <c r="AO86" i="4"/>
  <c r="AP86" i="4" s="1"/>
  <c r="AS86" i="4"/>
  <c r="AT86" i="4" s="1"/>
  <c r="CB88" i="4"/>
  <c r="CE88" i="4"/>
  <c r="CF88" i="4" s="1"/>
  <c r="CI88" i="4"/>
  <c r="CJ88" i="4" s="1"/>
  <c r="CM88" i="4"/>
  <c r="CN88" i="4" s="1"/>
  <c r="CQ88" i="4"/>
  <c r="CR88" i="4" s="1"/>
  <c r="CU88" i="4"/>
  <c r="CV88" i="4" s="1"/>
  <c r="CY88" i="4"/>
  <c r="CZ88" i="4" s="1"/>
  <c r="DC88" i="4"/>
  <c r="DD88" i="4" s="1"/>
  <c r="DG88" i="4"/>
  <c r="DH88" i="4" s="1"/>
  <c r="DK88" i="4"/>
  <c r="DL88" i="4" s="1"/>
  <c r="CB92" i="4"/>
  <c r="CE92" i="4"/>
  <c r="CF92" i="4" s="1"/>
  <c r="CI92" i="4"/>
  <c r="CJ92" i="4" s="1"/>
  <c r="CM92" i="4"/>
  <c r="CN92" i="4" s="1"/>
  <c r="CQ92" i="4"/>
  <c r="CR92" i="4" s="1"/>
  <c r="CU92" i="4"/>
  <c r="CV92" i="4" s="1"/>
  <c r="CY92" i="4"/>
  <c r="CZ92" i="4" s="1"/>
  <c r="DC92" i="4"/>
  <c r="DD92" i="4" s="1"/>
  <c r="DG92" i="4"/>
  <c r="DH92" i="4" s="1"/>
  <c r="DK92" i="4"/>
  <c r="DL92" i="4" s="1"/>
  <c r="J94" i="4"/>
  <c r="M94" i="4"/>
  <c r="N94" i="4" s="1"/>
  <c r="Q94" i="4"/>
  <c r="R94" i="4" s="1"/>
  <c r="U94" i="4"/>
  <c r="V94" i="4" s="1"/>
  <c r="Y94" i="4"/>
  <c r="Z94" i="4" s="1"/>
  <c r="AC94" i="4"/>
  <c r="AD94" i="4" s="1"/>
  <c r="AG94" i="4"/>
  <c r="AH94" i="4" s="1"/>
  <c r="AK94" i="4"/>
  <c r="AL94" i="4" s="1"/>
  <c r="AO94" i="4"/>
  <c r="AP94" i="4" s="1"/>
  <c r="AS94" i="4"/>
  <c r="AT94" i="4" s="1"/>
  <c r="CB98" i="4"/>
  <c r="CE98" i="4"/>
  <c r="CF98" i="4" s="1"/>
  <c r="CI98" i="4"/>
  <c r="CJ98" i="4" s="1"/>
  <c r="CM98" i="4"/>
  <c r="CN98" i="4" s="1"/>
  <c r="CQ98" i="4"/>
  <c r="CR98" i="4" s="1"/>
  <c r="CU98" i="4"/>
  <c r="CV98" i="4" s="1"/>
  <c r="CY98" i="4"/>
  <c r="CZ98" i="4" s="1"/>
  <c r="DC98" i="4"/>
  <c r="DD98" i="4" s="1"/>
  <c r="DG98" i="4"/>
  <c r="DH98" i="4" s="1"/>
  <c r="DK98" i="4"/>
  <c r="DL98" i="4" s="1"/>
  <c r="I101" i="4"/>
  <c r="W102" i="4"/>
  <c r="X102" i="4" s="1"/>
  <c r="M103" i="4"/>
  <c r="N103" i="4" s="1"/>
  <c r="W103" i="4"/>
  <c r="X103" i="4" s="1"/>
  <c r="AC103" i="4"/>
  <c r="AD103" i="4" s="1"/>
  <c r="AM103" i="4"/>
  <c r="AN103" i="4" s="1"/>
  <c r="AS103" i="4"/>
  <c r="AT103" i="4" s="1"/>
  <c r="CA106" i="4"/>
  <c r="ET107" i="4"/>
  <c r="FI107" i="4"/>
  <c r="FJ107" i="4" s="1"/>
  <c r="DO107" i="4"/>
  <c r="DP107" i="4" s="1"/>
  <c r="DK107" i="4"/>
  <c r="DL107" i="4" s="1"/>
  <c r="DG107" i="4"/>
  <c r="DH107" i="4" s="1"/>
  <c r="DC107" i="4"/>
  <c r="DD107" i="4" s="1"/>
  <c r="CY107" i="4"/>
  <c r="CZ107" i="4" s="1"/>
  <c r="CU107" i="4"/>
  <c r="CV107" i="4" s="1"/>
  <c r="CQ107" i="4"/>
  <c r="CR107" i="4" s="1"/>
  <c r="CM107" i="4"/>
  <c r="CN107" i="4" s="1"/>
  <c r="CI107" i="4"/>
  <c r="CJ107" i="4" s="1"/>
  <c r="CE107" i="4"/>
  <c r="CF107" i="4" s="1"/>
  <c r="CB107" i="4"/>
  <c r="EW111" i="4"/>
  <c r="EX111" i="4" s="1"/>
  <c r="FM111" i="4"/>
  <c r="FN111" i="4" s="1"/>
  <c r="AY111" i="4"/>
  <c r="AZ111" i="4" s="1"/>
  <c r="AU111" i="4"/>
  <c r="AV111" i="4" s="1"/>
  <c r="AQ111" i="4"/>
  <c r="AR111" i="4" s="1"/>
  <c r="AM111" i="4"/>
  <c r="AN111" i="4" s="1"/>
  <c r="AI111" i="4"/>
  <c r="AJ111" i="4" s="1"/>
  <c r="AE111" i="4"/>
  <c r="AF111" i="4" s="1"/>
  <c r="AA111" i="4"/>
  <c r="AB111" i="4" s="1"/>
  <c r="W111" i="4"/>
  <c r="X111" i="4" s="1"/>
  <c r="S111" i="4"/>
  <c r="T111" i="4" s="1"/>
  <c r="O111" i="4"/>
  <c r="P111" i="4" s="1"/>
  <c r="K111" i="4"/>
  <c r="L111" i="4" s="1"/>
  <c r="CA114" i="4"/>
  <c r="AW102" i="4"/>
  <c r="AX102" i="4" s="1"/>
  <c r="AS102" i="4"/>
  <c r="AT102" i="4" s="1"/>
  <c r="AO102" i="4"/>
  <c r="AP102" i="4" s="1"/>
  <c r="AK102" i="4"/>
  <c r="AL102" i="4" s="1"/>
  <c r="AG102" i="4"/>
  <c r="AH102" i="4" s="1"/>
  <c r="AC102" i="4"/>
  <c r="AD102" i="4" s="1"/>
  <c r="Y102" i="4"/>
  <c r="Z102" i="4" s="1"/>
  <c r="U102" i="4"/>
  <c r="V102" i="4" s="1"/>
  <c r="Q102" i="4"/>
  <c r="R102" i="4" s="1"/>
  <c r="M102" i="4"/>
  <c r="N102" i="4" s="1"/>
  <c r="J102" i="4"/>
  <c r="GI106" i="4"/>
  <c r="GJ106" i="4" s="1"/>
  <c r="GE106" i="4"/>
  <c r="GF106" i="4" s="1"/>
  <c r="GA106" i="4"/>
  <c r="GB106" i="4" s="1"/>
  <c r="FW106" i="4"/>
  <c r="FX106" i="4" s="1"/>
  <c r="FS106" i="4"/>
  <c r="FT106" i="4" s="1"/>
  <c r="FO106" i="4"/>
  <c r="FP106" i="4" s="1"/>
  <c r="FK106" i="4"/>
  <c r="FL106" i="4" s="1"/>
  <c r="FG106" i="4"/>
  <c r="FH106" i="4" s="1"/>
  <c r="FC106" i="4"/>
  <c r="FD106" i="4" s="1"/>
  <c r="EY106" i="4"/>
  <c r="EZ106" i="4" s="1"/>
  <c r="EU106" i="4"/>
  <c r="EV106" i="4" s="1"/>
  <c r="GG106" i="4"/>
  <c r="GH106" i="4" s="1"/>
  <c r="GC106" i="4"/>
  <c r="GD106" i="4" s="1"/>
  <c r="FY106" i="4"/>
  <c r="FZ106" i="4" s="1"/>
  <c r="FU106" i="4"/>
  <c r="FV106" i="4" s="1"/>
  <c r="FQ106" i="4"/>
  <c r="FR106" i="4" s="1"/>
  <c r="FM106" i="4"/>
  <c r="FN106" i="4" s="1"/>
  <c r="FI106" i="4"/>
  <c r="FJ106" i="4" s="1"/>
  <c r="FE106" i="4"/>
  <c r="FF106" i="4" s="1"/>
  <c r="FA106" i="4"/>
  <c r="FB106" i="4" s="1"/>
  <c r="EW106" i="4"/>
  <c r="EX106" i="4" s="1"/>
  <c r="ET106" i="4"/>
  <c r="GI111" i="4"/>
  <c r="GJ111" i="4" s="1"/>
  <c r="GE111" i="4"/>
  <c r="GF111" i="4" s="1"/>
  <c r="GA111" i="4"/>
  <c r="GB111" i="4" s="1"/>
  <c r="FW111" i="4"/>
  <c r="FX111" i="4" s="1"/>
  <c r="FS111" i="4"/>
  <c r="FT111" i="4" s="1"/>
  <c r="FO111" i="4"/>
  <c r="FP111" i="4" s="1"/>
  <c r="FK111" i="4"/>
  <c r="FL111" i="4" s="1"/>
  <c r="FG111" i="4"/>
  <c r="FH111" i="4" s="1"/>
  <c r="FC111" i="4"/>
  <c r="FD111" i="4" s="1"/>
  <c r="EY111" i="4"/>
  <c r="EZ111" i="4" s="1"/>
  <c r="EU111" i="4"/>
  <c r="EV111" i="4" s="1"/>
  <c r="ER130" i="4"/>
  <c r="ES130" i="4" s="1"/>
  <c r="CA130" i="4"/>
  <c r="CB87" i="4"/>
  <c r="CE87" i="4"/>
  <c r="CF87" i="4" s="1"/>
  <c r="CI87" i="4"/>
  <c r="CJ87" i="4" s="1"/>
  <c r="CM87" i="4"/>
  <c r="CN87" i="4" s="1"/>
  <c r="CQ87" i="4"/>
  <c r="CR87" i="4" s="1"/>
  <c r="CU87" i="4"/>
  <c r="CV87" i="4" s="1"/>
  <c r="CY87" i="4"/>
  <c r="CZ87" i="4" s="1"/>
  <c r="DC87" i="4"/>
  <c r="DD87" i="4" s="1"/>
  <c r="DG87" i="4"/>
  <c r="DH87" i="4" s="1"/>
  <c r="DK87" i="4"/>
  <c r="DL87" i="4" s="1"/>
  <c r="CB91" i="4"/>
  <c r="CE91" i="4"/>
  <c r="CF91" i="4" s="1"/>
  <c r="CI91" i="4"/>
  <c r="CJ91" i="4" s="1"/>
  <c r="CM91" i="4"/>
  <c r="CN91" i="4" s="1"/>
  <c r="CQ91" i="4"/>
  <c r="CR91" i="4" s="1"/>
  <c r="CU91" i="4"/>
  <c r="CV91" i="4" s="1"/>
  <c r="CY91" i="4"/>
  <c r="CZ91" i="4" s="1"/>
  <c r="DC91" i="4"/>
  <c r="DD91" i="4" s="1"/>
  <c r="DG91" i="4"/>
  <c r="DH91" i="4" s="1"/>
  <c r="DK91" i="4"/>
  <c r="DL91" i="4" s="1"/>
  <c r="CE101" i="4"/>
  <c r="CF101" i="4" s="1"/>
  <c r="CI101" i="4"/>
  <c r="CJ101" i="4" s="1"/>
  <c r="CU101" i="4"/>
  <c r="CV101" i="4" s="1"/>
  <c r="CY101" i="4"/>
  <c r="CZ101" i="4" s="1"/>
  <c r="DK101" i="4"/>
  <c r="DL101" i="4" s="1"/>
  <c r="K102" i="4"/>
  <c r="L102" i="4" s="1"/>
  <c r="AA102" i="4"/>
  <c r="AB102" i="4" s="1"/>
  <c r="AQ102" i="4"/>
  <c r="AR102" i="4" s="1"/>
  <c r="AA103" i="4"/>
  <c r="AB103" i="4" s="1"/>
  <c r="AG103" i="4"/>
  <c r="AH103" i="4" s="1"/>
  <c r="AQ103" i="4"/>
  <c r="AR103" i="4" s="1"/>
  <c r="I105" i="4"/>
  <c r="BZ105" i="4"/>
  <c r="GI107" i="4"/>
  <c r="GJ107" i="4" s="1"/>
  <c r="GE107" i="4"/>
  <c r="GF107" i="4" s="1"/>
  <c r="GA107" i="4"/>
  <c r="GB107" i="4" s="1"/>
  <c r="FW107" i="4"/>
  <c r="FX107" i="4" s="1"/>
  <c r="FS107" i="4"/>
  <c r="FT107" i="4" s="1"/>
  <c r="FO107" i="4"/>
  <c r="FP107" i="4" s="1"/>
  <c r="FK107" i="4"/>
  <c r="FL107" i="4" s="1"/>
  <c r="FG107" i="4"/>
  <c r="FH107" i="4" s="1"/>
  <c r="FC107" i="4"/>
  <c r="FD107" i="4" s="1"/>
  <c r="EY107" i="4"/>
  <c r="EZ107" i="4" s="1"/>
  <c r="EU107" i="4"/>
  <c r="EV107" i="4" s="1"/>
  <c r="I109" i="4"/>
  <c r="BZ109" i="4"/>
  <c r="ET111" i="4"/>
  <c r="FI111" i="4"/>
  <c r="FJ111" i="4" s="1"/>
  <c r="FY111" i="4"/>
  <c r="FZ111" i="4" s="1"/>
  <c r="GG114" i="4"/>
  <c r="GH114" i="4" s="1"/>
  <c r="GC114" i="4"/>
  <c r="GD114" i="4" s="1"/>
  <c r="FY114" i="4"/>
  <c r="FZ114" i="4" s="1"/>
  <c r="FU114" i="4"/>
  <c r="FV114" i="4" s="1"/>
  <c r="FQ114" i="4"/>
  <c r="FR114" i="4" s="1"/>
  <c r="FM114" i="4"/>
  <c r="FN114" i="4" s="1"/>
  <c r="FI114" i="4"/>
  <c r="FJ114" i="4" s="1"/>
  <c r="FE114" i="4"/>
  <c r="FF114" i="4" s="1"/>
  <c r="FA114" i="4"/>
  <c r="FB114" i="4" s="1"/>
  <c r="EW114" i="4"/>
  <c r="EX114" i="4" s="1"/>
  <c r="ET114" i="4"/>
  <c r="GI114" i="4"/>
  <c r="GJ114" i="4" s="1"/>
  <c r="FS114" i="4"/>
  <c r="FT114" i="4" s="1"/>
  <c r="FC114" i="4"/>
  <c r="FD114" i="4" s="1"/>
  <c r="FW114" i="4"/>
  <c r="FX114" i="4" s="1"/>
  <c r="FG114" i="4"/>
  <c r="FH114" i="4" s="1"/>
  <c r="GE114" i="4"/>
  <c r="GF114" i="4" s="1"/>
  <c r="FO114" i="4"/>
  <c r="FP114" i="4" s="1"/>
  <c r="EY114" i="4"/>
  <c r="EZ114" i="4" s="1"/>
  <c r="ER115" i="4"/>
  <c r="ES115" i="4" s="1"/>
  <c r="CA115" i="4"/>
  <c r="AY119" i="4"/>
  <c r="AZ119" i="4" s="1"/>
  <c r="AU119" i="4"/>
  <c r="AV119" i="4" s="1"/>
  <c r="AQ119" i="4"/>
  <c r="AR119" i="4" s="1"/>
  <c r="AM119" i="4"/>
  <c r="AN119" i="4" s="1"/>
  <c r="AI119" i="4"/>
  <c r="AJ119" i="4" s="1"/>
  <c r="AE119" i="4"/>
  <c r="AF119" i="4" s="1"/>
  <c r="AA119" i="4"/>
  <c r="AB119" i="4" s="1"/>
  <c r="W119" i="4"/>
  <c r="X119" i="4" s="1"/>
  <c r="S119" i="4"/>
  <c r="T119" i="4" s="1"/>
  <c r="O119" i="4"/>
  <c r="P119" i="4" s="1"/>
  <c r="K119" i="4"/>
  <c r="L119" i="4" s="1"/>
  <c r="AS119" i="4"/>
  <c r="AT119" i="4" s="1"/>
  <c r="AC119" i="4"/>
  <c r="AD119" i="4" s="1"/>
  <c r="M119" i="4"/>
  <c r="N119" i="4" s="1"/>
  <c r="AO119" i="4"/>
  <c r="AP119" i="4" s="1"/>
  <c r="Y119" i="4"/>
  <c r="Z119" i="4" s="1"/>
  <c r="J119" i="4"/>
  <c r="AW119" i="4"/>
  <c r="AX119" i="4" s="1"/>
  <c r="AG119" i="4"/>
  <c r="AH119" i="4" s="1"/>
  <c r="Q119" i="4"/>
  <c r="R119" i="4" s="1"/>
  <c r="DO124" i="4"/>
  <c r="DP124" i="4" s="1"/>
  <c r="DK124" i="4"/>
  <c r="DL124" i="4" s="1"/>
  <c r="DG124" i="4"/>
  <c r="DH124" i="4" s="1"/>
  <c r="DC124" i="4"/>
  <c r="DD124" i="4" s="1"/>
  <c r="CY124" i="4"/>
  <c r="CZ124" i="4" s="1"/>
  <c r="CU124" i="4"/>
  <c r="CV124" i="4" s="1"/>
  <c r="CQ124" i="4"/>
  <c r="CR124" i="4" s="1"/>
  <c r="CM124" i="4"/>
  <c r="CN124" i="4" s="1"/>
  <c r="CI124" i="4"/>
  <c r="CJ124" i="4" s="1"/>
  <c r="CE124" i="4"/>
  <c r="CF124" i="4" s="1"/>
  <c r="CB124" i="4"/>
  <c r="DQ124" i="4"/>
  <c r="DR124" i="4" s="1"/>
  <c r="DM124" i="4"/>
  <c r="DN124" i="4" s="1"/>
  <c r="DI124" i="4"/>
  <c r="DJ124" i="4" s="1"/>
  <c r="DE124" i="4"/>
  <c r="DF124" i="4" s="1"/>
  <c r="DA124" i="4"/>
  <c r="DB124" i="4" s="1"/>
  <c r="CW124" i="4"/>
  <c r="CX124" i="4" s="1"/>
  <c r="CS124" i="4"/>
  <c r="CT124" i="4" s="1"/>
  <c r="CO124" i="4"/>
  <c r="CP124" i="4" s="1"/>
  <c r="CK124" i="4"/>
  <c r="CL124" i="4" s="1"/>
  <c r="CG124" i="4"/>
  <c r="CH124" i="4" s="1"/>
  <c r="CC124" i="4"/>
  <c r="CD124" i="4" s="1"/>
  <c r="J106" i="4"/>
  <c r="M106" i="4"/>
  <c r="N106" i="4" s="1"/>
  <c r="Q106" i="4"/>
  <c r="R106" i="4" s="1"/>
  <c r="U106" i="4"/>
  <c r="V106" i="4" s="1"/>
  <c r="Y106" i="4"/>
  <c r="Z106" i="4" s="1"/>
  <c r="AC106" i="4"/>
  <c r="AD106" i="4" s="1"/>
  <c r="AG106" i="4"/>
  <c r="AH106" i="4" s="1"/>
  <c r="AK106" i="4"/>
  <c r="AL106" i="4" s="1"/>
  <c r="AO106" i="4"/>
  <c r="AP106" i="4" s="1"/>
  <c r="AS106" i="4"/>
  <c r="AT106" i="4" s="1"/>
  <c r="AW106" i="4"/>
  <c r="AX106" i="4" s="1"/>
  <c r="I107" i="4"/>
  <c r="CB108" i="4"/>
  <c r="CE108" i="4"/>
  <c r="CF108" i="4" s="1"/>
  <c r="CI108" i="4"/>
  <c r="CJ108" i="4" s="1"/>
  <c r="CM108" i="4"/>
  <c r="CN108" i="4" s="1"/>
  <c r="CQ108" i="4"/>
  <c r="CR108" i="4" s="1"/>
  <c r="CU108" i="4"/>
  <c r="CV108" i="4" s="1"/>
  <c r="CY108" i="4"/>
  <c r="CZ108" i="4" s="1"/>
  <c r="DC108" i="4"/>
  <c r="DD108" i="4" s="1"/>
  <c r="DG108" i="4"/>
  <c r="DH108" i="4" s="1"/>
  <c r="DK108" i="4"/>
  <c r="DL108" i="4" s="1"/>
  <c r="DO108" i="4"/>
  <c r="DP108" i="4" s="1"/>
  <c r="J110" i="4"/>
  <c r="M110" i="4"/>
  <c r="N110" i="4" s="1"/>
  <c r="Q110" i="4"/>
  <c r="R110" i="4" s="1"/>
  <c r="U110" i="4"/>
  <c r="V110" i="4" s="1"/>
  <c r="Y110" i="4"/>
  <c r="Z110" i="4" s="1"/>
  <c r="AC110" i="4"/>
  <c r="AD110" i="4" s="1"/>
  <c r="AG110" i="4"/>
  <c r="AH110" i="4" s="1"/>
  <c r="AK110" i="4"/>
  <c r="AL110" i="4" s="1"/>
  <c r="AO110" i="4"/>
  <c r="AP110" i="4" s="1"/>
  <c r="AS110" i="4"/>
  <c r="AT110" i="4" s="1"/>
  <c r="AW110" i="4"/>
  <c r="AX110" i="4" s="1"/>
  <c r="CB112" i="4"/>
  <c r="CE112" i="4"/>
  <c r="CF112" i="4" s="1"/>
  <c r="CI112" i="4"/>
  <c r="CJ112" i="4" s="1"/>
  <c r="CM112" i="4"/>
  <c r="CN112" i="4" s="1"/>
  <c r="CQ112" i="4"/>
  <c r="CR112" i="4" s="1"/>
  <c r="CU112" i="4"/>
  <c r="CV112" i="4" s="1"/>
  <c r="CY112" i="4"/>
  <c r="CZ112" i="4" s="1"/>
  <c r="DC112" i="4"/>
  <c r="DD112" i="4" s="1"/>
  <c r="DG112" i="4"/>
  <c r="DH112" i="4" s="1"/>
  <c r="DK112" i="4"/>
  <c r="DL112" i="4" s="1"/>
  <c r="DO112" i="4"/>
  <c r="DP112" i="4" s="1"/>
  <c r="K113" i="4"/>
  <c r="L113" i="4" s="1"/>
  <c r="U113" i="4"/>
  <c r="V113" i="4" s="1"/>
  <c r="AA113" i="4"/>
  <c r="AB113" i="4" s="1"/>
  <c r="AK113" i="4"/>
  <c r="AL113" i="4" s="1"/>
  <c r="AQ113" i="4"/>
  <c r="AR113" i="4" s="1"/>
  <c r="CC113" i="4"/>
  <c r="CD113" i="4" s="1"/>
  <c r="CI113" i="4"/>
  <c r="CJ113" i="4" s="1"/>
  <c r="CS113" i="4"/>
  <c r="CT113" i="4" s="1"/>
  <c r="CY113" i="4"/>
  <c r="CZ113" i="4" s="1"/>
  <c r="DI113" i="4"/>
  <c r="DJ113" i="4" s="1"/>
  <c r="W114" i="4"/>
  <c r="X114" i="4" s="1"/>
  <c r="M115" i="4"/>
  <c r="N115" i="4" s="1"/>
  <c r="W115" i="4"/>
  <c r="X115" i="4" s="1"/>
  <c r="AC115" i="4"/>
  <c r="AD115" i="4" s="1"/>
  <c r="AM115" i="4"/>
  <c r="AN115" i="4" s="1"/>
  <c r="CA118" i="4"/>
  <c r="GG122" i="4"/>
  <c r="GH122" i="4" s="1"/>
  <c r="GC122" i="4"/>
  <c r="GD122" i="4" s="1"/>
  <c r="FY122" i="4"/>
  <c r="FZ122" i="4" s="1"/>
  <c r="FU122" i="4"/>
  <c r="FV122" i="4" s="1"/>
  <c r="FQ122" i="4"/>
  <c r="FR122" i="4" s="1"/>
  <c r="FM122" i="4"/>
  <c r="FN122" i="4" s="1"/>
  <c r="FI122" i="4"/>
  <c r="FJ122" i="4" s="1"/>
  <c r="FE122" i="4"/>
  <c r="FF122" i="4" s="1"/>
  <c r="FA122" i="4"/>
  <c r="FB122" i="4" s="1"/>
  <c r="EW122" i="4"/>
  <c r="EX122" i="4" s="1"/>
  <c r="ET122" i="4"/>
  <c r="GI122" i="4"/>
  <c r="GJ122" i="4" s="1"/>
  <c r="GE122" i="4"/>
  <c r="GF122" i="4" s="1"/>
  <c r="GA122" i="4"/>
  <c r="GB122" i="4" s="1"/>
  <c r="FW122" i="4"/>
  <c r="FX122" i="4" s="1"/>
  <c r="FS122" i="4"/>
  <c r="FT122" i="4" s="1"/>
  <c r="FO122" i="4"/>
  <c r="FP122" i="4" s="1"/>
  <c r="FK122" i="4"/>
  <c r="FL122" i="4" s="1"/>
  <c r="FG122" i="4"/>
  <c r="FH122" i="4" s="1"/>
  <c r="FC122" i="4"/>
  <c r="FD122" i="4" s="1"/>
  <c r="EY122" i="4"/>
  <c r="EZ122" i="4" s="1"/>
  <c r="EU122" i="4"/>
  <c r="EV122" i="4" s="1"/>
  <c r="DM108" i="4"/>
  <c r="DN108" i="4" s="1"/>
  <c r="AU110" i="4"/>
  <c r="AV110" i="4" s="1"/>
  <c r="DI112" i="4"/>
  <c r="DJ112" i="4" s="1"/>
  <c r="DM112" i="4"/>
  <c r="DN112" i="4" s="1"/>
  <c r="AS113" i="4"/>
  <c r="AT113" i="4" s="1"/>
  <c r="ER113" i="4"/>
  <c r="ES113" i="4" s="1"/>
  <c r="AW114" i="4"/>
  <c r="AX114" i="4" s="1"/>
  <c r="AS114" i="4"/>
  <c r="AT114" i="4" s="1"/>
  <c r="AO114" i="4"/>
  <c r="AP114" i="4" s="1"/>
  <c r="AK114" i="4"/>
  <c r="AL114" i="4" s="1"/>
  <c r="AG114" i="4"/>
  <c r="AH114" i="4" s="1"/>
  <c r="AC114" i="4"/>
  <c r="AD114" i="4" s="1"/>
  <c r="Y114" i="4"/>
  <c r="Z114" i="4" s="1"/>
  <c r="U114" i="4"/>
  <c r="V114" i="4" s="1"/>
  <c r="Q114" i="4"/>
  <c r="R114" i="4" s="1"/>
  <c r="M114" i="4"/>
  <c r="N114" i="4" s="1"/>
  <c r="J114" i="4"/>
  <c r="AW116" i="4"/>
  <c r="AX116" i="4" s="1"/>
  <c r="AS116" i="4"/>
  <c r="AT116" i="4" s="1"/>
  <c r="AO116" i="4"/>
  <c r="AP116" i="4" s="1"/>
  <c r="AK116" i="4"/>
  <c r="AL116" i="4" s="1"/>
  <c r="AG116" i="4"/>
  <c r="AH116" i="4" s="1"/>
  <c r="AC116" i="4"/>
  <c r="AD116" i="4" s="1"/>
  <c r="Y116" i="4"/>
  <c r="Z116" i="4" s="1"/>
  <c r="U116" i="4"/>
  <c r="V116" i="4" s="1"/>
  <c r="Q116" i="4"/>
  <c r="R116" i="4" s="1"/>
  <c r="M116" i="4"/>
  <c r="N116" i="4" s="1"/>
  <c r="AY116" i="4"/>
  <c r="AZ116" i="4" s="1"/>
  <c r="AU116" i="4"/>
  <c r="AV116" i="4" s="1"/>
  <c r="AQ116" i="4"/>
  <c r="AR116" i="4" s="1"/>
  <c r="AM116" i="4"/>
  <c r="AN116" i="4" s="1"/>
  <c r="AI116" i="4"/>
  <c r="AJ116" i="4" s="1"/>
  <c r="AE116" i="4"/>
  <c r="AF116" i="4" s="1"/>
  <c r="AA116" i="4"/>
  <c r="AB116" i="4" s="1"/>
  <c r="W116" i="4"/>
  <c r="X116" i="4" s="1"/>
  <c r="S116" i="4"/>
  <c r="T116" i="4" s="1"/>
  <c r="O116" i="4"/>
  <c r="P116" i="4" s="1"/>
  <c r="K116" i="4"/>
  <c r="L116" i="4" s="1"/>
  <c r="GI118" i="4"/>
  <c r="GJ118" i="4" s="1"/>
  <c r="GE118" i="4"/>
  <c r="GF118" i="4" s="1"/>
  <c r="GA118" i="4"/>
  <c r="GB118" i="4" s="1"/>
  <c r="FW118" i="4"/>
  <c r="FX118" i="4" s="1"/>
  <c r="FS118" i="4"/>
  <c r="FT118" i="4" s="1"/>
  <c r="FO118" i="4"/>
  <c r="FP118" i="4" s="1"/>
  <c r="FK118" i="4"/>
  <c r="FL118" i="4" s="1"/>
  <c r="FG118" i="4"/>
  <c r="FH118" i="4" s="1"/>
  <c r="FC118" i="4"/>
  <c r="FD118" i="4" s="1"/>
  <c r="EY118" i="4"/>
  <c r="EZ118" i="4" s="1"/>
  <c r="EU118" i="4"/>
  <c r="EV118" i="4" s="1"/>
  <c r="GG118" i="4"/>
  <c r="GH118" i="4" s="1"/>
  <c r="GC118" i="4"/>
  <c r="GD118" i="4" s="1"/>
  <c r="FY118" i="4"/>
  <c r="FZ118" i="4" s="1"/>
  <c r="FU118" i="4"/>
  <c r="FV118" i="4" s="1"/>
  <c r="FQ118" i="4"/>
  <c r="FR118" i="4" s="1"/>
  <c r="FM118" i="4"/>
  <c r="FN118" i="4" s="1"/>
  <c r="FI118" i="4"/>
  <c r="FJ118" i="4" s="1"/>
  <c r="FE118" i="4"/>
  <c r="FF118" i="4" s="1"/>
  <c r="FA118" i="4"/>
  <c r="FB118" i="4" s="1"/>
  <c r="EW118" i="4"/>
  <c r="EX118" i="4" s="1"/>
  <c r="ET118" i="4"/>
  <c r="AW122" i="4"/>
  <c r="AX122" i="4" s="1"/>
  <c r="AS122" i="4"/>
  <c r="AT122" i="4" s="1"/>
  <c r="AO122" i="4"/>
  <c r="AP122" i="4" s="1"/>
  <c r="AK122" i="4"/>
  <c r="AL122" i="4" s="1"/>
  <c r="AG122" i="4"/>
  <c r="AH122" i="4" s="1"/>
  <c r="AC122" i="4"/>
  <c r="AD122" i="4" s="1"/>
  <c r="Y122" i="4"/>
  <c r="Z122" i="4" s="1"/>
  <c r="U122" i="4"/>
  <c r="V122" i="4" s="1"/>
  <c r="Q122" i="4"/>
  <c r="R122" i="4" s="1"/>
  <c r="M122" i="4"/>
  <c r="N122" i="4" s="1"/>
  <c r="J122" i="4"/>
  <c r="AY122" i="4"/>
  <c r="AZ122" i="4" s="1"/>
  <c r="AU122" i="4"/>
  <c r="AV122" i="4" s="1"/>
  <c r="AQ122" i="4"/>
  <c r="AR122" i="4" s="1"/>
  <c r="AM122" i="4"/>
  <c r="AN122" i="4" s="1"/>
  <c r="AI122" i="4"/>
  <c r="AJ122" i="4" s="1"/>
  <c r="AE122" i="4"/>
  <c r="AF122" i="4" s="1"/>
  <c r="AA122" i="4"/>
  <c r="AB122" i="4" s="1"/>
  <c r="W122" i="4"/>
  <c r="X122" i="4" s="1"/>
  <c r="S122" i="4"/>
  <c r="T122" i="4" s="1"/>
  <c r="O122" i="4"/>
  <c r="P122" i="4" s="1"/>
  <c r="K122" i="4"/>
  <c r="L122" i="4" s="1"/>
  <c r="I129" i="4"/>
  <c r="BZ129" i="4"/>
  <c r="DQ133" i="4"/>
  <c r="DR133" i="4" s="1"/>
  <c r="DG111" i="4"/>
  <c r="DH111" i="4" s="1"/>
  <c r="DK111" i="4"/>
  <c r="DL111" i="4" s="1"/>
  <c r="I117" i="4"/>
  <c r="BZ117" i="4"/>
  <c r="I123" i="4"/>
  <c r="BZ123" i="4"/>
  <c r="GI124" i="4"/>
  <c r="GJ124" i="4" s="1"/>
  <c r="GE124" i="4"/>
  <c r="GF124" i="4" s="1"/>
  <c r="GA124" i="4"/>
  <c r="GB124" i="4" s="1"/>
  <c r="FW124" i="4"/>
  <c r="FX124" i="4" s="1"/>
  <c r="FS124" i="4"/>
  <c r="FT124" i="4" s="1"/>
  <c r="FO124" i="4"/>
  <c r="FP124" i="4" s="1"/>
  <c r="FK124" i="4"/>
  <c r="FL124" i="4" s="1"/>
  <c r="FG124" i="4"/>
  <c r="FH124" i="4" s="1"/>
  <c r="FC124" i="4"/>
  <c r="FD124" i="4" s="1"/>
  <c r="EY124" i="4"/>
  <c r="EZ124" i="4" s="1"/>
  <c r="EU124" i="4"/>
  <c r="EV124" i="4" s="1"/>
  <c r="GG124" i="4"/>
  <c r="GH124" i="4" s="1"/>
  <c r="GC124" i="4"/>
  <c r="GD124" i="4" s="1"/>
  <c r="FY124" i="4"/>
  <c r="FZ124" i="4" s="1"/>
  <c r="FU124" i="4"/>
  <c r="FV124" i="4" s="1"/>
  <c r="FQ124" i="4"/>
  <c r="FR124" i="4" s="1"/>
  <c r="FM124" i="4"/>
  <c r="FN124" i="4" s="1"/>
  <c r="FI124" i="4"/>
  <c r="FJ124" i="4" s="1"/>
  <c r="FE124" i="4"/>
  <c r="FF124" i="4" s="1"/>
  <c r="FA124" i="4"/>
  <c r="FB124" i="4" s="1"/>
  <c r="EW124" i="4"/>
  <c r="EX124" i="4" s="1"/>
  <c r="ET124" i="4"/>
  <c r="BZ125" i="4"/>
  <c r="I125" i="4"/>
  <c r="GI128" i="4"/>
  <c r="GJ128" i="4" s="1"/>
  <c r="GE128" i="4"/>
  <c r="GF128" i="4" s="1"/>
  <c r="GA128" i="4"/>
  <c r="GB128" i="4" s="1"/>
  <c r="FW128" i="4"/>
  <c r="FX128" i="4" s="1"/>
  <c r="FS128" i="4"/>
  <c r="FT128" i="4" s="1"/>
  <c r="FO128" i="4"/>
  <c r="FP128" i="4" s="1"/>
  <c r="FK128" i="4"/>
  <c r="FL128" i="4" s="1"/>
  <c r="FG128" i="4"/>
  <c r="FH128" i="4" s="1"/>
  <c r="FC128" i="4"/>
  <c r="FD128" i="4" s="1"/>
  <c r="EY128" i="4"/>
  <c r="EZ128" i="4" s="1"/>
  <c r="EU128" i="4"/>
  <c r="EV128" i="4" s="1"/>
  <c r="GG128" i="4"/>
  <c r="GH128" i="4" s="1"/>
  <c r="FQ128" i="4"/>
  <c r="FR128" i="4" s="1"/>
  <c r="FA128" i="4"/>
  <c r="FB128" i="4" s="1"/>
  <c r="FU128" i="4"/>
  <c r="FV128" i="4" s="1"/>
  <c r="FE128" i="4"/>
  <c r="FF128" i="4" s="1"/>
  <c r="GC128" i="4"/>
  <c r="GD128" i="4" s="1"/>
  <c r="FM128" i="4"/>
  <c r="FN128" i="4" s="1"/>
  <c r="EW128" i="4"/>
  <c r="EX128" i="4" s="1"/>
  <c r="AW141" i="4"/>
  <c r="AX141" i="4" s="1"/>
  <c r="AS141" i="4"/>
  <c r="AT141" i="4" s="1"/>
  <c r="AO141" i="4"/>
  <c r="AP141" i="4" s="1"/>
  <c r="AK141" i="4"/>
  <c r="AL141" i="4" s="1"/>
  <c r="AG141" i="4"/>
  <c r="AH141" i="4" s="1"/>
  <c r="AC141" i="4"/>
  <c r="AD141" i="4" s="1"/>
  <c r="Y141" i="4"/>
  <c r="Z141" i="4" s="1"/>
  <c r="U141" i="4"/>
  <c r="V141" i="4" s="1"/>
  <c r="Q141" i="4"/>
  <c r="R141" i="4" s="1"/>
  <c r="M141" i="4"/>
  <c r="N141" i="4" s="1"/>
  <c r="J141" i="4"/>
  <c r="AY141" i="4"/>
  <c r="AZ141" i="4" s="1"/>
  <c r="AU141" i="4"/>
  <c r="AV141" i="4" s="1"/>
  <c r="AQ141" i="4"/>
  <c r="AR141" i="4" s="1"/>
  <c r="AM141" i="4"/>
  <c r="AN141" i="4" s="1"/>
  <c r="AI141" i="4"/>
  <c r="AJ141" i="4" s="1"/>
  <c r="AE141" i="4"/>
  <c r="AF141" i="4" s="1"/>
  <c r="AA141" i="4"/>
  <c r="AB141" i="4" s="1"/>
  <c r="W141" i="4"/>
  <c r="X141" i="4" s="1"/>
  <c r="S141" i="4"/>
  <c r="T141" i="4" s="1"/>
  <c r="O141" i="4"/>
  <c r="P141" i="4" s="1"/>
  <c r="K141" i="4"/>
  <c r="L141" i="4" s="1"/>
  <c r="CB116" i="4"/>
  <c r="CE116" i="4"/>
  <c r="CF116" i="4" s="1"/>
  <c r="CI116" i="4"/>
  <c r="CJ116" i="4" s="1"/>
  <c r="CM116" i="4"/>
  <c r="CN116" i="4" s="1"/>
  <c r="CQ116" i="4"/>
  <c r="CR116" i="4" s="1"/>
  <c r="CU116" i="4"/>
  <c r="CV116" i="4" s="1"/>
  <c r="CY116" i="4"/>
  <c r="CZ116" i="4" s="1"/>
  <c r="DC116" i="4"/>
  <c r="DD116" i="4" s="1"/>
  <c r="DG116" i="4"/>
  <c r="DH116" i="4" s="1"/>
  <c r="DK116" i="4"/>
  <c r="DL116" i="4" s="1"/>
  <c r="DO116" i="4"/>
  <c r="DP116" i="4" s="1"/>
  <c r="J118" i="4"/>
  <c r="M118" i="4"/>
  <c r="N118" i="4" s="1"/>
  <c r="Q118" i="4"/>
  <c r="R118" i="4" s="1"/>
  <c r="U118" i="4"/>
  <c r="V118" i="4" s="1"/>
  <c r="Y118" i="4"/>
  <c r="Z118" i="4" s="1"/>
  <c r="AC118" i="4"/>
  <c r="AD118" i="4" s="1"/>
  <c r="AG118" i="4"/>
  <c r="AH118" i="4" s="1"/>
  <c r="AK118" i="4"/>
  <c r="AL118" i="4" s="1"/>
  <c r="AO118" i="4"/>
  <c r="AP118" i="4" s="1"/>
  <c r="AS118" i="4"/>
  <c r="AT118" i="4" s="1"/>
  <c r="AW118" i="4"/>
  <c r="AX118" i="4" s="1"/>
  <c r="CB122" i="4"/>
  <c r="CE122" i="4"/>
  <c r="CF122" i="4" s="1"/>
  <c r="CI122" i="4"/>
  <c r="CJ122" i="4" s="1"/>
  <c r="CM122" i="4"/>
  <c r="CN122" i="4" s="1"/>
  <c r="CQ122" i="4"/>
  <c r="CR122" i="4" s="1"/>
  <c r="CU122" i="4"/>
  <c r="CV122" i="4" s="1"/>
  <c r="CY122" i="4"/>
  <c r="CZ122" i="4" s="1"/>
  <c r="DC122" i="4"/>
  <c r="DD122" i="4" s="1"/>
  <c r="DG122" i="4"/>
  <c r="DH122" i="4" s="1"/>
  <c r="DK122" i="4"/>
  <c r="DL122" i="4" s="1"/>
  <c r="J124" i="4"/>
  <c r="M124" i="4"/>
  <c r="N124" i="4" s="1"/>
  <c r="Q124" i="4"/>
  <c r="R124" i="4" s="1"/>
  <c r="U124" i="4"/>
  <c r="V124" i="4" s="1"/>
  <c r="Y124" i="4"/>
  <c r="Z124" i="4" s="1"/>
  <c r="AC124" i="4"/>
  <c r="AD124" i="4" s="1"/>
  <c r="AG124" i="4"/>
  <c r="AH124" i="4" s="1"/>
  <c r="AK124" i="4"/>
  <c r="AL124" i="4" s="1"/>
  <c r="AO124" i="4"/>
  <c r="AP124" i="4" s="1"/>
  <c r="AS124" i="4"/>
  <c r="AT124" i="4" s="1"/>
  <c r="AW126" i="4"/>
  <c r="AX126" i="4" s="1"/>
  <c r="AS126" i="4"/>
  <c r="AT126" i="4" s="1"/>
  <c r="AO126" i="4"/>
  <c r="AP126" i="4" s="1"/>
  <c r="AK126" i="4"/>
  <c r="AL126" i="4" s="1"/>
  <c r="AG126" i="4"/>
  <c r="AH126" i="4" s="1"/>
  <c r="AC126" i="4"/>
  <c r="AD126" i="4" s="1"/>
  <c r="Y126" i="4"/>
  <c r="Z126" i="4" s="1"/>
  <c r="U126" i="4"/>
  <c r="V126" i="4" s="1"/>
  <c r="Q126" i="4"/>
  <c r="R126" i="4" s="1"/>
  <c r="M126" i="4"/>
  <c r="N126" i="4" s="1"/>
  <c r="J126" i="4"/>
  <c r="CM126" i="4"/>
  <c r="CN126" i="4" s="1"/>
  <c r="FG126" i="4"/>
  <c r="FH126" i="4" s="1"/>
  <c r="CI127" i="4"/>
  <c r="CJ127" i="4" s="1"/>
  <c r="CO127" i="4"/>
  <c r="CP127" i="4" s="1"/>
  <c r="CY127" i="4"/>
  <c r="CZ127" i="4" s="1"/>
  <c r="DE127" i="4"/>
  <c r="DF127" i="4" s="1"/>
  <c r="DO127" i="4"/>
  <c r="DP127" i="4" s="1"/>
  <c r="EW127" i="4"/>
  <c r="EX127" i="4" s="1"/>
  <c r="FG127" i="4"/>
  <c r="FH127" i="4" s="1"/>
  <c r="FM127" i="4"/>
  <c r="FN127" i="4" s="1"/>
  <c r="FW127" i="4"/>
  <c r="FX127" i="4" s="1"/>
  <c r="GC127" i="4"/>
  <c r="GD127" i="4" s="1"/>
  <c r="U128" i="4"/>
  <c r="V128" i="4" s="1"/>
  <c r="CO128" i="4"/>
  <c r="CP128" i="4" s="1"/>
  <c r="CK131" i="4"/>
  <c r="CL131" i="4" s="1"/>
  <c r="DA131" i="4"/>
  <c r="DB131" i="4" s="1"/>
  <c r="EW131" i="4"/>
  <c r="EX131" i="4" s="1"/>
  <c r="FM131" i="4"/>
  <c r="FN131" i="4" s="1"/>
  <c r="GG133" i="4"/>
  <c r="GH133" i="4" s="1"/>
  <c r="GC133" i="4"/>
  <c r="GD133" i="4" s="1"/>
  <c r="FY133" i="4"/>
  <c r="FZ133" i="4" s="1"/>
  <c r="FU133" i="4"/>
  <c r="FV133" i="4" s="1"/>
  <c r="FQ133" i="4"/>
  <c r="FR133" i="4" s="1"/>
  <c r="FM133" i="4"/>
  <c r="FN133" i="4" s="1"/>
  <c r="FI133" i="4"/>
  <c r="FJ133" i="4" s="1"/>
  <c r="FE133" i="4"/>
  <c r="FF133" i="4" s="1"/>
  <c r="FA133" i="4"/>
  <c r="FB133" i="4" s="1"/>
  <c r="EW133" i="4"/>
  <c r="EX133" i="4" s="1"/>
  <c r="ET133" i="4"/>
  <c r="GI133" i="4"/>
  <c r="GJ133" i="4" s="1"/>
  <c r="FS133" i="4"/>
  <c r="FT133" i="4" s="1"/>
  <c r="FC133" i="4"/>
  <c r="FD133" i="4" s="1"/>
  <c r="FW133" i="4"/>
  <c r="FX133" i="4" s="1"/>
  <c r="FG133" i="4"/>
  <c r="FH133" i="4" s="1"/>
  <c r="GE133" i="4"/>
  <c r="GF133" i="4" s="1"/>
  <c r="FO133" i="4"/>
  <c r="FP133" i="4" s="1"/>
  <c r="EY133" i="4"/>
  <c r="EZ133" i="4" s="1"/>
  <c r="J136" i="4"/>
  <c r="DO139" i="4"/>
  <c r="DP139" i="4" s="1"/>
  <c r="DK139" i="4"/>
  <c r="DL139" i="4" s="1"/>
  <c r="DG139" i="4"/>
  <c r="DH139" i="4" s="1"/>
  <c r="DC139" i="4"/>
  <c r="DD139" i="4" s="1"/>
  <c r="CY139" i="4"/>
  <c r="CZ139" i="4" s="1"/>
  <c r="CU139" i="4"/>
  <c r="CV139" i="4" s="1"/>
  <c r="CQ139" i="4"/>
  <c r="CR139" i="4" s="1"/>
  <c r="CM139" i="4"/>
  <c r="CN139" i="4" s="1"/>
  <c r="CI139" i="4"/>
  <c r="CJ139" i="4" s="1"/>
  <c r="CE139" i="4"/>
  <c r="CF139" i="4" s="1"/>
  <c r="CB139" i="4"/>
  <c r="DQ139" i="4"/>
  <c r="DR139" i="4" s="1"/>
  <c r="DM139" i="4"/>
  <c r="DN139" i="4" s="1"/>
  <c r="DI139" i="4"/>
  <c r="DJ139" i="4" s="1"/>
  <c r="DE139" i="4"/>
  <c r="DF139" i="4" s="1"/>
  <c r="DA139" i="4"/>
  <c r="DB139" i="4" s="1"/>
  <c r="CW139" i="4"/>
  <c r="CX139" i="4" s="1"/>
  <c r="CS139" i="4"/>
  <c r="CT139" i="4" s="1"/>
  <c r="CO139" i="4"/>
  <c r="CP139" i="4" s="1"/>
  <c r="CK139" i="4"/>
  <c r="CL139" i="4" s="1"/>
  <c r="CG139" i="4"/>
  <c r="CH139" i="4" s="1"/>
  <c r="CC139" i="4"/>
  <c r="CD139" i="4" s="1"/>
  <c r="FS142" i="4"/>
  <c r="FT142" i="4" s="1"/>
  <c r="GG142" i="4"/>
  <c r="GH142" i="4" s="1"/>
  <c r="FA142" i="4"/>
  <c r="FB142" i="4" s="1"/>
  <c r="FI142" i="4"/>
  <c r="FJ142" i="4" s="1"/>
  <c r="FE142" i="4"/>
  <c r="FF142" i="4" s="1"/>
  <c r="DI116" i="4"/>
  <c r="DJ116" i="4" s="1"/>
  <c r="DM116" i="4"/>
  <c r="DN116" i="4" s="1"/>
  <c r="GG126" i="4"/>
  <c r="GH126" i="4" s="1"/>
  <c r="GC126" i="4"/>
  <c r="GD126" i="4" s="1"/>
  <c r="FY126" i="4"/>
  <c r="FZ126" i="4" s="1"/>
  <c r="FU126" i="4"/>
  <c r="FV126" i="4" s="1"/>
  <c r="FQ126" i="4"/>
  <c r="FR126" i="4" s="1"/>
  <c r="FM126" i="4"/>
  <c r="FN126" i="4" s="1"/>
  <c r="FI126" i="4"/>
  <c r="FJ126" i="4" s="1"/>
  <c r="FE126" i="4"/>
  <c r="FF126" i="4" s="1"/>
  <c r="FA126" i="4"/>
  <c r="FB126" i="4" s="1"/>
  <c r="EW126" i="4"/>
  <c r="EX126" i="4" s="1"/>
  <c r="ET126" i="4"/>
  <c r="DO128" i="4"/>
  <c r="DP128" i="4" s="1"/>
  <c r="DK128" i="4"/>
  <c r="DL128" i="4" s="1"/>
  <c r="DG128" i="4"/>
  <c r="DH128" i="4" s="1"/>
  <c r="DC128" i="4"/>
  <c r="DD128" i="4" s="1"/>
  <c r="CY128" i="4"/>
  <c r="CZ128" i="4" s="1"/>
  <c r="CU128" i="4"/>
  <c r="CV128" i="4" s="1"/>
  <c r="CQ128" i="4"/>
  <c r="CR128" i="4" s="1"/>
  <c r="CM128" i="4"/>
  <c r="CN128" i="4" s="1"/>
  <c r="CI128" i="4"/>
  <c r="CJ128" i="4" s="1"/>
  <c r="CE128" i="4"/>
  <c r="CF128" i="4" s="1"/>
  <c r="CB128" i="4"/>
  <c r="GI131" i="4"/>
  <c r="GJ131" i="4" s="1"/>
  <c r="GE131" i="4"/>
  <c r="GF131" i="4" s="1"/>
  <c r="GA131" i="4"/>
  <c r="GB131" i="4" s="1"/>
  <c r="FW131" i="4"/>
  <c r="FX131" i="4" s="1"/>
  <c r="FS131" i="4"/>
  <c r="FT131" i="4" s="1"/>
  <c r="FO131" i="4"/>
  <c r="FP131" i="4" s="1"/>
  <c r="FK131" i="4"/>
  <c r="FL131" i="4" s="1"/>
  <c r="FG131" i="4"/>
  <c r="FH131" i="4" s="1"/>
  <c r="FC131" i="4"/>
  <c r="FD131" i="4" s="1"/>
  <c r="EY131" i="4"/>
  <c r="EZ131" i="4" s="1"/>
  <c r="EU131" i="4"/>
  <c r="EV131" i="4" s="1"/>
  <c r="AW136" i="4"/>
  <c r="AX136" i="4" s="1"/>
  <c r="AQ136" i="4"/>
  <c r="AR136" i="4" s="1"/>
  <c r="AG136" i="4"/>
  <c r="AH136" i="4" s="1"/>
  <c r="AA136" i="4"/>
  <c r="AB136" i="4" s="1"/>
  <c r="Q136" i="4"/>
  <c r="R136" i="4" s="1"/>
  <c r="K136" i="4"/>
  <c r="L136" i="4" s="1"/>
  <c r="AU136" i="4"/>
  <c r="AV136" i="4" s="1"/>
  <c r="AK136" i="4"/>
  <c r="AL136" i="4" s="1"/>
  <c r="AE136" i="4"/>
  <c r="AF136" i="4" s="1"/>
  <c r="U136" i="4"/>
  <c r="V136" i="4" s="1"/>
  <c r="O136" i="4"/>
  <c r="P136" i="4" s="1"/>
  <c r="AS136" i="4"/>
  <c r="AT136" i="4" s="1"/>
  <c r="AM136" i="4"/>
  <c r="AN136" i="4" s="1"/>
  <c r="AC136" i="4"/>
  <c r="AD136" i="4" s="1"/>
  <c r="W136" i="4"/>
  <c r="X136" i="4" s="1"/>
  <c r="M136" i="4"/>
  <c r="N136" i="4" s="1"/>
  <c r="AW143" i="4"/>
  <c r="AX143" i="4" s="1"/>
  <c r="AS143" i="4"/>
  <c r="AT143" i="4" s="1"/>
  <c r="AO143" i="4"/>
  <c r="AP143" i="4" s="1"/>
  <c r="AK143" i="4"/>
  <c r="AL143" i="4" s="1"/>
  <c r="AG143" i="4"/>
  <c r="AH143" i="4" s="1"/>
  <c r="AC143" i="4"/>
  <c r="AD143" i="4" s="1"/>
  <c r="Y143" i="4"/>
  <c r="Z143" i="4" s="1"/>
  <c r="U143" i="4"/>
  <c r="V143" i="4" s="1"/>
  <c r="Q143" i="4"/>
  <c r="R143" i="4" s="1"/>
  <c r="M143" i="4"/>
  <c r="N143" i="4" s="1"/>
  <c r="J143" i="4"/>
  <c r="AM143" i="4"/>
  <c r="AN143" i="4" s="1"/>
  <c r="W143" i="4"/>
  <c r="X143" i="4" s="1"/>
  <c r="AQ143" i="4"/>
  <c r="AR143" i="4" s="1"/>
  <c r="AA143" i="4"/>
  <c r="AB143" i="4" s="1"/>
  <c r="K143" i="4"/>
  <c r="L143" i="4" s="1"/>
  <c r="AY143" i="4"/>
  <c r="AZ143" i="4" s="1"/>
  <c r="AI143" i="4"/>
  <c r="AJ143" i="4" s="1"/>
  <c r="S143" i="4"/>
  <c r="T143" i="4" s="1"/>
  <c r="O143" i="4"/>
  <c r="P143" i="4" s="1"/>
  <c r="AU143" i="4"/>
  <c r="AV143" i="4" s="1"/>
  <c r="DQ126" i="4"/>
  <c r="DR126" i="4" s="1"/>
  <c r="DM126" i="4"/>
  <c r="DN126" i="4" s="1"/>
  <c r="DI126" i="4"/>
  <c r="DJ126" i="4" s="1"/>
  <c r="DE126" i="4"/>
  <c r="DF126" i="4" s="1"/>
  <c r="DA126" i="4"/>
  <c r="DB126" i="4" s="1"/>
  <c r="CW126" i="4"/>
  <c r="CX126" i="4" s="1"/>
  <c r="CS126" i="4"/>
  <c r="CT126" i="4" s="1"/>
  <c r="CO126" i="4"/>
  <c r="CP126" i="4" s="1"/>
  <c r="CK126" i="4"/>
  <c r="CL126" i="4" s="1"/>
  <c r="CG126" i="4"/>
  <c r="CH126" i="4" s="1"/>
  <c r="CC126" i="4"/>
  <c r="CD126" i="4" s="1"/>
  <c r="EU126" i="4"/>
  <c r="EV126" i="4" s="1"/>
  <c r="FK126" i="4"/>
  <c r="FL126" i="4" s="1"/>
  <c r="GA126" i="4"/>
  <c r="GB126" i="4" s="1"/>
  <c r="CC127" i="4"/>
  <c r="CD127" i="4" s="1"/>
  <c r="CM127" i="4"/>
  <c r="CN127" i="4" s="1"/>
  <c r="CS127" i="4"/>
  <c r="CT127" i="4" s="1"/>
  <c r="DC127" i="4"/>
  <c r="DD127" i="4" s="1"/>
  <c r="EU127" i="4"/>
  <c r="EV127" i="4" s="1"/>
  <c r="FA127" i="4"/>
  <c r="FB127" i="4" s="1"/>
  <c r="FK127" i="4"/>
  <c r="FL127" i="4" s="1"/>
  <c r="FQ127" i="4"/>
  <c r="FR127" i="4" s="1"/>
  <c r="GA127" i="4"/>
  <c r="GB127" i="4" s="1"/>
  <c r="AY128" i="4"/>
  <c r="AZ128" i="4" s="1"/>
  <c r="AU128" i="4"/>
  <c r="AV128" i="4" s="1"/>
  <c r="AQ128" i="4"/>
  <c r="AR128" i="4" s="1"/>
  <c r="AM128" i="4"/>
  <c r="AN128" i="4" s="1"/>
  <c r="AI128" i="4"/>
  <c r="AJ128" i="4" s="1"/>
  <c r="AE128" i="4"/>
  <c r="AF128" i="4" s="1"/>
  <c r="AA128" i="4"/>
  <c r="AB128" i="4" s="1"/>
  <c r="W128" i="4"/>
  <c r="X128" i="4" s="1"/>
  <c r="S128" i="4"/>
  <c r="T128" i="4" s="1"/>
  <c r="O128" i="4"/>
  <c r="P128" i="4" s="1"/>
  <c r="K128" i="4"/>
  <c r="L128" i="4" s="1"/>
  <c r="CC128" i="4"/>
  <c r="CD128" i="4" s="1"/>
  <c r="CS128" i="4"/>
  <c r="CT128" i="4" s="1"/>
  <c r="DI128" i="4"/>
  <c r="DJ128" i="4" s="1"/>
  <c r="ET131" i="4"/>
  <c r="FI131" i="4"/>
  <c r="FJ131" i="4" s="1"/>
  <c r="FY131" i="4"/>
  <c r="FZ131" i="4" s="1"/>
  <c r="DO131" i="4"/>
  <c r="DP131" i="4" s="1"/>
  <c r="DK131" i="4"/>
  <c r="DL131" i="4" s="1"/>
  <c r="DG131" i="4"/>
  <c r="DH131" i="4" s="1"/>
  <c r="DC131" i="4"/>
  <c r="DD131" i="4" s="1"/>
  <c r="CY131" i="4"/>
  <c r="CZ131" i="4" s="1"/>
  <c r="CU131" i="4"/>
  <c r="CV131" i="4" s="1"/>
  <c r="CQ131" i="4"/>
  <c r="CR131" i="4" s="1"/>
  <c r="CM131" i="4"/>
  <c r="CN131" i="4" s="1"/>
  <c r="CI131" i="4"/>
  <c r="CJ131" i="4" s="1"/>
  <c r="CE131" i="4"/>
  <c r="CF131" i="4" s="1"/>
  <c r="CB131" i="4"/>
  <c r="J130" i="4"/>
  <c r="M130" i="4"/>
  <c r="N130" i="4" s="1"/>
  <c r="Q130" i="4"/>
  <c r="R130" i="4" s="1"/>
  <c r="U130" i="4"/>
  <c r="V130" i="4" s="1"/>
  <c r="Y130" i="4"/>
  <c r="Z130" i="4" s="1"/>
  <c r="AC130" i="4"/>
  <c r="AD130" i="4" s="1"/>
  <c r="AG130" i="4"/>
  <c r="AH130" i="4" s="1"/>
  <c r="AK130" i="4"/>
  <c r="AL130" i="4" s="1"/>
  <c r="AO130" i="4"/>
  <c r="AP130" i="4" s="1"/>
  <c r="AS130" i="4"/>
  <c r="AT130" i="4" s="1"/>
  <c r="I131" i="4"/>
  <c r="K132" i="4"/>
  <c r="L132" i="4" s="1"/>
  <c r="U132" i="4"/>
  <c r="V132" i="4" s="1"/>
  <c r="AA132" i="4"/>
  <c r="AB132" i="4" s="1"/>
  <c r="AK132" i="4"/>
  <c r="AL132" i="4" s="1"/>
  <c r="AQ132" i="4"/>
  <c r="AR132" i="4" s="1"/>
  <c r="CC132" i="4"/>
  <c r="CD132" i="4" s="1"/>
  <c r="CI132" i="4"/>
  <c r="CJ132" i="4" s="1"/>
  <c r="CS132" i="4"/>
  <c r="CT132" i="4" s="1"/>
  <c r="CY132" i="4"/>
  <c r="CZ132" i="4" s="1"/>
  <c r="DI132" i="4"/>
  <c r="DJ132" i="4" s="1"/>
  <c r="W133" i="4"/>
  <c r="X133" i="4" s="1"/>
  <c r="EY136" i="4"/>
  <c r="EZ136" i="4" s="1"/>
  <c r="FE136" i="4"/>
  <c r="FF136" i="4" s="1"/>
  <c r="FO136" i="4"/>
  <c r="FP136" i="4" s="1"/>
  <c r="FU136" i="4"/>
  <c r="FV136" i="4" s="1"/>
  <c r="GE136" i="4"/>
  <c r="GF136" i="4" s="1"/>
  <c r="J137" i="4"/>
  <c r="Q137" i="4"/>
  <c r="R137" i="4" s="1"/>
  <c r="Y137" i="4"/>
  <c r="Z137" i="4" s="1"/>
  <c r="GG137" i="4"/>
  <c r="GH137" i="4" s="1"/>
  <c r="GC137" i="4"/>
  <c r="GD137" i="4" s="1"/>
  <c r="FY137" i="4"/>
  <c r="FZ137" i="4" s="1"/>
  <c r="FU137" i="4"/>
  <c r="FV137" i="4" s="1"/>
  <c r="FQ137" i="4"/>
  <c r="FR137" i="4" s="1"/>
  <c r="FM137" i="4"/>
  <c r="FN137" i="4" s="1"/>
  <c r="FI137" i="4"/>
  <c r="FJ137" i="4" s="1"/>
  <c r="FE137" i="4"/>
  <c r="FF137" i="4" s="1"/>
  <c r="FA137" i="4"/>
  <c r="FB137" i="4" s="1"/>
  <c r="EW137" i="4"/>
  <c r="EX137" i="4" s="1"/>
  <c r="ET137" i="4"/>
  <c r="GI137" i="4"/>
  <c r="GJ137" i="4" s="1"/>
  <c r="GE137" i="4"/>
  <c r="GF137" i="4" s="1"/>
  <c r="GA137" i="4"/>
  <c r="GB137" i="4" s="1"/>
  <c r="FW137" i="4"/>
  <c r="FX137" i="4" s="1"/>
  <c r="FS137" i="4"/>
  <c r="FT137" i="4" s="1"/>
  <c r="FO137" i="4"/>
  <c r="FP137" i="4" s="1"/>
  <c r="FK137" i="4"/>
  <c r="FL137" i="4" s="1"/>
  <c r="FG137" i="4"/>
  <c r="FH137" i="4" s="1"/>
  <c r="FC137" i="4"/>
  <c r="FD137" i="4" s="1"/>
  <c r="EY137" i="4"/>
  <c r="EZ137" i="4" s="1"/>
  <c r="EU137" i="4"/>
  <c r="EV137" i="4" s="1"/>
  <c r="AY140" i="4"/>
  <c r="AZ140" i="4" s="1"/>
  <c r="AU140" i="4"/>
  <c r="AV140" i="4" s="1"/>
  <c r="AQ140" i="4"/>
  <c r="AR140" i="4" s="1"/>
  <c r="AM140" i="4"/>
  <c r="AN140" i="4" s="1"/>
  <c r="AI140" i="4"/>
  <c r="AJ140" i="4" s="1"/>
  <c r="AE140" i="4"/>
  <c r="AF140" i="4" s="1"/>
  <c r="AA140" i="4"/>
  <c r="AB140" i="4" s="1"/>
  <c r="W140" i="4"/>
  <c r="X140" i="4" s="1"/>
  <c r="S140" i="4"/>
  <c r="T140" i="4" s="1"/>
  <c r="O140" i="4"/>
  <c r="P140" i="4" s="1"/>
  <c r="K140" i="4"/>
  <c r="L140" i="4" s="1"/>
  <c r="AS132" i="4"/>
  <c r="AT132" i="4" s="1"/>
  <c r="ER132" i="4"/>
  <c r="ES132" i="4" s="1"/>
  <c r="AW133" i="4"/>
  <c r="AX133" i="4" s="1"/>
  <c r="AS133" i="4"/>
  <c r="AT133" i="4" s="1"/>
  <c r="AO133" i="4"/>
  <c r="AP133" i="4" s="1"/>
  <c r="AK133" i="4"/>
  <c r="AL133" i="4" s="1"/>
  <c r="AG133" i="4"/>
  <c r="AH133" i="4" s="1"/>
  <c r="AC133" i="4"/>
  <c r="AD133" i="4" s="1"/>
  <c r="Y133" i="4"/>
  <c r="Z133" i="4" s="1"/>
  <c r="U133" i="4"/>
  <c r="V133" i="4" s="1"/>
  <c r="Q133" i="4"/>
  <c r="R133" i="4" s="1"/>
  <c r="M133" i="4"/>
  <c r="N133" i="4" s="1"/>
  <c r="J133" i="4"/>
  <c r="FM136" i="4"/>
  <c r="FN136" i="4" s="1"/>
  <c r="FW136" i="4"/>
  <c r="FX136" i="4" s="1"/>
  <c r="GC136" i="4"/>
  <c r="GD136" i="4" s="1"/>
  <c r="AW137" i="4"/>
  <c r="AX137" i="4" s="1"/>
  <c r="AS137" i="4"/>
  <c r="AT137" i="4" s="1"/>
  <c r="AO137" i="4"/>
  <c r="AP137" i="4" s="1"/>
  <c r="AY137" i="4"/>
  <c r="AZ137" i="4" s="1"/>
  <c r="AU137" i="4"/>
  <c r="AV137" i="4" s="1"/>
  <c r="AQ137" i="4"/>
  <c r="AR137" i="4" s="1"/>
  <c r="AM137" i="4"/>
  <c r="AN137" i="4" s="1"/>
  <c r="AI137" i="4"/>
  <c r="AJ137" i="4" s="1"/>
  <c r="AE137" i="4"/>
  <c r="AF137" i="4" s="1"/>
  <c r="AA137" i="4"/>
  <c r="AB137" i="4" s="1"/>
  <c r="W137" i="4"/>
  <c r="X137" i="4" s="1"/>
  <c r="S137" i="4"/>
  <c r="T137" i="4" s="1"/>
  <c r="O137" i="4"/>
  <c r="P137" i="4" s="1"/>
  <c r="K137" i="4"/>
  <c r="L137" i="4" s="1"/>
  <c r="AY144" i="4"/>
  <c r="AZ144" i="4" s="1"/>
  <c r="AU144" i="4"/>
  <c r="AV144" i="4" s="1"/>
  <c r="AQ144" i="4"/>
  <c r="AR144" i="4" s="1"/>
  <c r="AM144" i="4"/>
  <c r="AN144" i="4" s="1"/>
  <c r="AI144" i="4"/>
  <c r="AJ144" i="4" s="1"/>
  <c r="AE144" i="4"/>
  <c r="AF144" i="4" s="1"/>
  <c r="AA144" i="4"/>
  <c r="AB144" i="4" s="1"/>
  <c r="W144" i="4"/>
  <c r="X144" i="4" s="1"/>
  <c r="S144" i="4"/>
  <c r="T144" i="4" s="1"/>
  <c r="O144" i="4"/>
  <c r="P144" i="4" s="1"/>
  <c r="K144" i="4"/>
  <c r="L144" i="4" s="1"/>
  <c r="AW144" i="4"/>
  <c r="AX144" i="4" s="1"/>
  <c r="AO144" i="4"/>
  <c r="AP144" i="4" s="1"/>
  <c r="AG144" i="4"/>
  <c r="AH144" i="4" s="1"/>
  <c r="Y144" i="4"/>
  <c r="Z144" i="4" s="1"/>
  <c r="Q144" i="4"/>
  <c r="R144" i="4" s="1"/>
  <c r="J144" i="4"/>
  <c r="I138" i="4"/>
  <c r="BZ138" i="4"/>
  <c r="GI139" i="4"/>
  <c r="GJ139" i="4" s="1"/>
  <c r="GE139" i="4"/>
  <c r="GF139" i="4" s="1"/>
  <c r="GA139" i="4"/>
  <c r="GB139" i="4" s="1"/>
  <c r="FW139" i="4"/>
  <c r="FX139" i="4" s="1"/>
  <c r="FS139" i="4"/>
  <c r="FT139" i="4" s="1"/>
  <c r="FO139" i="4"/>
  <c r="FP139" i="4" s="1"/>
  <c r="FK139" i="4"/>
  <c r="FL139" i="4" s="1"/>
  <c r="FG139" i="4"/>
  <c r="FH139" i="4" s="1"/>
  <c r="FC139" i="4"/>
  <c r="FD139" i="4" s="1"/>
  <c r="EY139" i="4"/>
  <c r="EZ139" i="4" s="1"/>
  <c r="EU139" i="4"/>
  <c r="EV139" i="4" s="1"/>
  <c r="GG139" i="4"/>
  <c r="GH139" i="4" s="1"/>
  <c r="GC139" i="4"/>
  <c r="GD139" i="4" s="1"/>
  <c r="FY139" i="4"/>
  <c r="FZ139" i="4" s="1"/>
  <c r="FU139" i="4"/>
  <c r="FV139" i="4" s="1"/>
  <c r="FQ139" i="4"/>
  <c r="FR139" i="4" s="1"/>
  <c r="FM139" i="4"/>
  <c r="FN139" i="4" s="1"/>
  <c r="FI139" i="4"/>
  <c r="FJ139" i="4" s="1"/>
  <c r="FE139" i="4"/>
  <c r="FF139" i="4" s="1"/>
  <c r="FA139" i="4"/>
  <c r="FB139" i="4" s="1"/>
  <c r="EW139" i="4"/>
  <c r="EX139" i="4" s="1"/>
  <c r="ET139" i="4"/>
  <c r="GG141" i="4"/>
  <c r="GH141" i="4" s="1"/>
  <c r="GC141" i="4"/>
  <c r="GD141" i="4" s="1"/>
  <c r="FY141" i="4"/>
  <c r="FZ141" i="4" s="1"/>
  <c r="FU141" i="4"/>
  <c r="FV141" i="4" s="1"/>
  <c r="FQ141" i="4"/>
  <c r="FR141" i="4" s="1"/>
  <c r="FM141" i="4"/>
  <c r="FN141" i="4" s="1"/>
  <c r="FI141" i="4"/>
  <c r="FJ141" i="4" s="1"/>
  <c r="FE141" i="4"/>
  <c r="FF141" i="4" s="1"/>
  <c r="FA141" i="4"/>
  <c r="FB141" i="4" s="1"/>
  <c r="EW141" i="4"/>
  <c r="EX141" i="4" s="1"/>
  <c r="ET141" i="4"/>
  <c r="GI141" i="4"/>
  <c r="GJ141" i="4" s="1"/>
  <c r="GE141" i="4"/>
  <c r="GF141" i="4" s="1"/>
  <c r="GA141" i="4"/>
  <c r="GB141" i="4" s="1"/>
  <c r="FW141" i="4"/>
  <c r="FX141" i="4" s="1"/>
  <c r="FS141" i="4"/>
  <c r="FT141" i="4" s="1"/>
  <c r="FO141" i="4"/>
  <c r="FP141" i="4" s="1"/>
  <c r="FK141" i="4"/>
  <c r="FL141" i="4" s="1"/>
  <c r="FG141" i="4"/>
  <c r="FH141" i="4" s="1"/>
  <c r="FC141" i="4"/>
  <c r="FD141" i="4" s="1"/>
  <c r="EY141" i="4"/>
  <c r="EZ141" i="4" s="1"/>
  <c r="EU141" i="4"/>
  <c r="EV141" i="4" s="1"/>
  <c r="CB137" i="4"/>
  <c r="CE137" i="4"/>
  <c r="CF137" i="4" s="1"/>
  <c r="CI137" i="4"/>
  <c r="CJ137" i="4" s="1"/>
  <c r="CM137" i="4"/>
  <c r="CN137" i="4" s="1"/>
  <c r="CQ137" i="4"/>
  <c r="CR137" i="4" s="1"/>
  <c r="CU137" i="4"/>
  <c r="CV137" i="4" s="1"/>
  <c r="CY137" i="4"/>
  <c r="CZ137" i="4" s="1"/>
  <c r="DC137" i="4"/>
  <c r="DD137" i="4" s="1"/>
  <c r="DG137" i="4"/>
  <c r="DH137" i="4" s="1"/>
  <c r="DK137" i="4"/>
  <c r="DL137" i="4" s="1"/>
  <c r="J139" i="4"/>
  <c r="M139" i="4"/>
  <c r="N139" i="4" s="1"/>
  <c r="Q139" i="4"/>
  <c r="R139" i="4" s="1"/>
  <c r="U139" i="4"/>
  <c r="V139" i="4" s="1"/>
  <c r="Y139" i="4"/>
  <c r="Z139" i="4" s="1"/>
  <c r="AC139" i="4"/>
  <c r="AD139" i="4" s="1"/>
  <c r="AG139" i="4"/>
  <c r="AH139" i="4" s="1"/>
  <c r="AK139" i="4"/>
  <c r="AL139" i="4" s="1"/>
  <c r="AO139" i="4"/>
  <c r="AP139" i="4" s="1"/>
  <c r="AS139" i="4"/>
  <c r="AT139" i="4" s="1"/>
  <c r="CB141" i="4"/>
  <c r="CE141" i="4"/>
  <c r="CF141" i="4" s="1"/>
  <c r="CI141" i="4"/>
  <c r="CJ141" i="4" s="1"/>
  <c r="CM141" i="4"/>
  <c r="CN141" i="4" s="1"/>
  <c r="CQ141" i="4"/>
  <c r="CR141" i="4" s="1"/>
  <c r="CU141" i="4"/>
  <c r="CV141" i="4" s="1"/>
  <c r="CY141" i="4"/>
  <c r="CZ141" i="4" s="1"/>
  <c r="DC141" i="4"/>
  <c r="DD141" i="4" s="1"/>
  <c r="DG141" i="4"/>
  <c r="DH141" i="4" s="1"/>
  <c r="DK141" i="4"/>
  <c r="DL141" i="4" s="1"/>
  <c r="W142" i="4"/>
  <c r="X142" i="4" s="1"/>
  <c r="AG142" i="4"/>
  <c r="AH142" i="4" s="1"/>
  <c r="AM142" i="4"/>
  <c r="AN142" i="4" s="1"/>
  <c r="AW142" i="4"/>
  <c r="AX142" i="4" s="1"/>
  <c r="CE142" i="4"/>
  <c r="CF142" i="4" s="1"/>
  <c r="CO142" i="4"/>
  <c r="CP142" i="4" s="1"/>
  <c r="CU142" i="4"/>
  <c r="CV142" i="4" s="1"/>
  <c r="DE142" i="4"/>
  <c r="DF142" i="4" s="1"/>
  <c r="CA143" i="4"/>
  <c r="EU143" i="4"/>
  <c r="EV143" i="4" s="1"/>
  <c r="FK143" i="4"/>
  <c r="FL143" i="4" s="1"/>
  <c r="ET144" i="4"/>
  <c r="FI144" i="4"/>
  <c r="FJ144" i="4" s="1"/>
  <c r="GG145" i="4"/>
  <c r="GH145" i="4" s="1"/>
  <c r="GC145" i="4"/>
  <c r="GD145" i="4" s="1"/>
  <c r="FY145" i="4"/>
  <c r="FZ145" i="4" s="1"/>
  <c r="FU145" i="4"/>
  <c r="FV145" i="4" s="1"/>
  <c r="FQ145" i="4"/>
  <c r="FR145" i="4" s="1"/>
  <c r="FM145" i="4"/>
  <c r="FN145" i="4" s="1"/>
  <c r="FI145" i="4"/>
  <c r="FJ145" i="4" s="1"/>
  <c r="FE145" i="4"/>
  <c r="FF145" i="4" s="1"/>
  <c r="FA145" i="4"/>
  <c r="FB145" i="4" s="1"/>
  <c r="EW145" i="4"/>
  <c r="EX145" i="4" s="1"/>
  <c r="ET145" i="4"/>
  <c r="GI145" i="4"/>
  <c r="GJ145" i="4" s="1"/>
  <c r="GE145" i="4"/>
  <c r="GF145" i="4" s="1"/>
  <c r="GA145" i="4"/>
  <c r="GB145" i="4" s="1"/>
  <c r="FW145" i="4"/>
  <c r="FX145" i="4" s="1"/>
  <c r="FS145" i="4"/>
  <c r="FT145" i="4" s="1"/>
  <c r="FO145" i="4"/>
  <c r="FP145" i="4" s="1"/>
  <c r="FK145" i="4"/>
  <c r="FL145" i="4" s="1"/>
  <c r="FG145" i="4"/>
  <c r="FH145" i="4" s="1"/>
  <c r="FC145" i="4"/>
  <c r="FD145" i="4" s="1"/>
  <c r="EY145" i="4"/>
  <c r="EZ145" i="4" s="1"/>
  <c r="EU145" i="4"/>
  <c r="EV145" i="4" s="1"/>
  <c r="ER151" i="4"/>
  <c r="ES151" i="4" s="1"/>
  <c r="CA151" i="4"/>
  <c r="AW145" i="4"/>
  <c r="AX145" i="4" s="1"/>
  <c r="AS145" i="4"/>
  <c r="AT145" i="4" s="1"/>
  <c r="AO145" i="4"/>
  <c r="AP145" i="4" s="1"/>
  <c r="AK145" i="4"/>
  <c r="AL145" i="4" s="1"/>
  <c r="AG145" i="4"/>
  <c r="AH145" i="4" s="1"/>
  <c r="AC145" i="4"/>
  <c r="AD145" i="4" s="1"/>
  <c r="Y145" i="4"/>
  <c r="Z145" i="4" s="1"/>
  <c r="U145" i="4"/>
  <c r="V145" i="4" s="1"/>
  <c r="Q145" i="4"/>
  <c r="R145" i="4" s="1"/>
  <c r="M145" i="4"/>
  <c r="N145" i="4" s="1"/>
  <c r="J145" i="4"/>
  <c r="AY145" i="4"/>
  <c r="AZ145" i="4" s="1"/>
  <c r="AU145" i="4"/>
  <c r="AV145" i="4" s="1"/>
  <c r="AQ145" i="4"/>
  <c r="AR145" i="4" s="1"/>
  <c r="AM145" i="4"/>
  <c r="AN145" i="4" s="1"/>
  <c r="AI145" i="4"/>
  <c r="AJ145" i="4" s="1"/>
  <c r="AE145" i="4"/>
  <c r="AF145" i="4" s="1"/>
  <c r="AA145" i="4"/>
  <c r="AB145" i="4" s="1"/>
  <c r="W145" i="4"/>
  <c r="X145" i="4" s="1"/>
  <c r="S145" i="4"/>
  <c r="T145" i="4" s="1"/>
  <c r="O145" i="4"/>
  <c r="P145" i="4" s="1"/>
  <c r="K145" i="4"/>
  <c r="L145" i="4" s="1"/>
  <c r="GI150" i="4"/>
  <c r="GJ150" i="4" s="1"/>
  <c r="GE150" i="4"/>
  <c r="GF150" i="4" s="1"/>
  <c r="GA150" i="4"/>
  <c r="GB150" i="4" s="1"/>
  <c r="FW150" i="4"/>
  <c r="FX150" i="4" s="1"/>
  <c r="FS150" i="4"/>
  <c r="FT150" i="4" s="1"/>
  <c r="FO150" i="4"/>
  <c r="FP150" i="4" s="1"/>
  <c r="FK150" i="4"/>
  <c r="FL150" i="4" s="1"/>
  <c r="FG150" i="4"/>
  <c r="FH150" i="4" s="1"/>
  <c r="FC150" i="4"/>
  <c r="FD150" i="4" s="1"/>
  <c r="EY150" i="4"/>
  <c r="EZ150" i="4" s="1"/>
  <c r="EU150" i="4"/>
  <c r="EV150" i="4" s="1"/>
  <c r="GG150" i="4"/>
  <c r="GH150" i="4" s="1"/>
  <c r="FQ150" i="4"/>
  <c r="FR150" i="4" s="1"/>
  <c r="FA150" i="4"/>
  <c r="FB150" i="4" s="1"/>
  <c r="FU150" i="4"/>
  <c r="FV150" i="4" s="1"/>
  <c r="FE150" i="4"/>
  <c r="FF150" i="4" s="1"/>
  <c r="GC150" i="4"/>
  <c r="GD150" i="4" s="1"/>
  <c r="FM150" i="4"/>
  <c r="FN150" i="4" s="1"/>
  <c r="EW150" i="4"/>
  <c r="EX150" i="4" s="1"/>
  <c r="DO152" i="4"/>
  <c r="DP152" i="4" s="1"/>
  <c r="DE152" i="4"/>
  <c r="DF152" i="4" s="1"/>
  <c r="CY152" i="4"/>
  <c r="CZ152" i="4" s="1"/>
  <c r="CO152" i="4"/>
  <c r="CP152" i="4" s="1"/>
  <c r="CI152" i="4"/>
  <c r="CJ152" i="4" s="1"/>
  <c r="DI152" i="4"/>
  <c r="DJ152" i="4" s="1"/>
  <c r="DC152" i="4"/>
  <c r="DD152" i="4" s="1"/>
  <c r="CS152" i="4"/>
  <c r="CT152" i="4" s="1"/>
  <c r="CM152" i="4"/>
  <c r="CN152" i="4" s="1"/>
  <c r="CC152" i="4"/>
  <c r="CD152" i="4" s="1"/>
  <c r="DQ152" i="4"/>
  <c r="DR152" i="4" s="1"/>
  <c r="DK152" i="4"/>
  <c r="DL152" i="4" s="1"/>
  <c r="DA152" i="4"/>
  <c r="DB152" i="4" s="1"/>
  <c r="CU152" i="4"/>
  <c r="CV152" i="4" s="1"/>
  <c r="CK152" i="4"/>
  <c r="CL152" i="4" s="1"/>
  <c r="CE152" i="4"/>
  <c r="CF152" i="4" s="1"/>
  <c r="DG152" i="4"/>
  <c r="DH152" i="4" s="1"/>
  <c r="CG152" i="4"/>
  <c r="CH152" i="4" s="1"/>
  <c r="DM152" i="4"/>
  <c r="DN152" i="4" s="1"/>
  <c r="CQ152" i="4"/>
  <c r="CR152" i="4" s="1"/>
  <c r="AA142" i="4"/>
  <c r="AB142" i="4" s="1"/>
  <c r="AK142" i="4"/>
  <c r="AL142" i="4" s="1"/>
  <c r="GG143" i="4"/>
  <c r="GH143" i="4" s="1"/>
  <c r="GC143" i="4"/>
  <c r="GD143" i="4" s="1"/>
  <c r="FY143" i="4"/>
  <c r="FZ143" i="4" s="1"/>
  <c r="FU143" i="4"/>
  <c r="FV143" i="4" s="1"/>
  <c r="FQ143" i="4"/>
  <c r="FR143" i="4" s="1"/>
  <c r="FM143" i="4"/>
  <c r="FN143" i="4" s="1"/>
  <c r="FI143" i="4"/>
  <c r="FJ143" i="4" s="1"/>
  <c r="FE143" i="4"/>
  <c r="FF143" i="4" s="1"/>
  <c r="FA143" i="4"/>
  <c r="FB143" i="4" s="1"/>
  <c r="EW143" i="4"/>
  <c r="EX143" i="4" s="1"/>
  <c r="ET143" i="4"/>
  <c r="GI144" i="4"/>
  <c r="GJ144" i="4" s="1"/>
  <c r="GE144" i="4"/>
  <c r="GF144" i="4" s="1"/>
  <c r="GA144" i="4"/>
  <c r="GB144" i="4" s="1"/>
  <c r="FW144" i="4"/>
  <c r="FX144" i="4" s="1"/>
  <c r="FS144" i="4"/>
  <c r="FT144" i="4" s="1"/>
  <c r="FO144" i="4"/>
  <c r="FP144" i="4" s="1"/>
  <c r="FK144" i="4"/>
  <c r="FL144" i="4" s="1"/>
  <c r="FG144" i="4"/>
  <c r="FH144" i="4" s="1"/>
  <c r="FC144" i="4"/>
  <c r="FD144" i="4" s="1"/>
  <c r="EY144" i="4"/>
  <c r="EZ144" i="4" s="1"/>
  <c r="EU144" i="4"/>
  <c r="EV144" i="4" s="1"/>
  <c r="CB145" i="4"/>
  <c r="CE145" i="4"/>
  <c r="CF145" i="4" s="1"/>
  <c r="CI145" i="4"/>
  <c r="CJ145" i="4" s="1"/>
  <c r="CM145" i="4"/>
  <c r="CN145" i="4" s="1"/>
  <c r="CQ145" i="4"/>
  <c r="CR145" i="4" s="1"/>
  <c r="CU145" i="4"/>
  <c r="CV145" i="4" s="1"/>
  <c r="CY145" i="4"/>
  <c r="CZ145" i="4" s="1"/>
  <c r="DC145" i="4"/>
  <c r="DD145" i="4" s="1"/>
  <c r="DG145" i="4"/>
  <c r="DH145" i="4" s="1"/>
  <c r="DK145" i="4"/>
  <c r="DL145" i="4" s="1"/>
  <c r="CA146" i="4"/>
  <c r="CI149" i="4"/>
  <c r="CJ149" i="4" s="1"/>
  <c r="CO149" i="4"/>
  <c r="CP149" i="4" s="1"/>
  <c r="CY149" i="4"/>
  <c r="CZ149" i="4" s="1"/>
  <c r="DE149" i="4"/>
  <c r="DF149" i="4" s="1"/>
  <c r="DO149" i="4"/>
  <c r="DP149" i="4" s="1"/>
  <c r="EW149" i="4"/>
  <c r="EX149" i="4" s="1"/>
  <c r="FG149" i="4"/>
  <c r="FH149" i="4" s="1"/>
  <c r="FM149" i="4"/>
  <c r="FN149" i="4" s="1"/>
  <c r="FW149" i="4"/>
  <c r="FX149" i="4" s="1"/>
  <c r="GC149" i="4"/>
  <c r="GD149" i="4" s="1"/>
  <c r="U150" i="4"/>
  <c r="V150" i="4" s="1"/>
  <c r="CO150" i="4"/>
  <c r="CP150" i="4" s="1"/>
  <c r="K151" i="4"/>
  <c r="L151" i="4" s="1"/>
  <c r="U151" i="4"/>
  <c r="V151" i="4" s="1"/>
  <c r="AA151" i="4"/>
  <c r="AB151" i="4" s="1"/>
  <c r="AK151" i="4"/>
  <c r="AL151" i="4" s="1"/>
  <c r="GC152" i="4"/>
  <c r="GD152" i="4" s="1"/>
  <c r="FW152" i="4"/>
  <c r="FX152" i="4" s="1"/>
  <c r="FM152" i="4"/>
  <c r="FN152" i="4" s="1"/>
  <c r="FG152" i="4"/>
  <c r="FH152" i="4" s="1"/>
  <c r="EW152" i="4"/>
  <c r="EX152" i="4" s="1"/>
  <c r="GG152" i="4"/>
  <c r="GH152" i="4" s="1"/>
  <c r="GA152" i="4"/>
  <c r="GB152" i="4" s="1"/>
  <c r="FQ152" i="4"/>
  <c r="FR152" i="4" s="1"/>
  <c r="FK152" i="4"/>
  <c r="FL152" i="4" s="1"/>
  <c r="FA152" i="4"/>
  <c r="FB152" i="4" s="1"/>
  <c r="EU152" i="4"/>
  <c r="EV152" i="4" s="1"/>
  <c r="GI152" i="4"/>
  <c r="GJ152" i="4" s="1"/>
  <c r="FY152" i="4"/>
  <c r="FZ152" i="4" s="1"/>
  <c r="FS152" i="4"/>
  <c r="FT152" i="4" s="1"/>
  <c r="FI152" i="4"/>
  <c r="FJ152" i="4" s="1"/>
  <c r="FC152" i="4"/>
  <c r="FD152" i="4" s="1"/>
  <c r="ET152" i="4"/>
  <c r="GG158" i="4"/>
  <c r="GH158" i="4" s="1"/>
  <c r="GC158" i="4"/>
  <c r="GD158" i="4" s="1"/>
  <c r="FY158" i="4"/>
  <c r="FZ158" i="4" s="1"/>
  <c r="FU158" i="4"/>
  <c r="FV158" i="4" s="1"/>
  <c r="FQ158" i="4"/>
  <c r="FR158" i="4" s="1"/>
  <c r="FM158" i="4"/>
  <c r="FN158" i="4" s="1"/>
  <c r="GI158" i="4"/>
  <c r="GJ158" i="4" s="1"/>
  <c r="GE158" i="4"/>
  <c r="GF158" i="4" s="1"/>
  <c r="GA158" i="4"/>
  <c r="GB158" i="4" s="1"/>
  <c r="FW158" i="4"/>
  <c r="FX158" i="4" s="1"/>
  <c r="FS158" i="4"/>
  <c r="FT158" i="4" s="1"/>
  <c r="FO158" i="4"/>
  <c r="FP158" i="4" s="1"/>
  <c r="FK158" i="4"/>
  <c r="FL158" i="4" s="1"/>
  <c r="FG158" i="4"/>
  <c r="FH158" i="4" s="1"/>
  <c r="FC158" i="4"/>
  <c r="FD158" i="4" s="1"/>
  <c r="EY158" i="4"/>
  <c r="EZ158" i="4" s="1"/>
  <c r="EU158" i="4"/>
  <c r="EV158" i="4" s="1"/>
  <c r="FI158" i="4"/>
  <c r="FJ158" i="4" s="1"/>
  <c r="ET158" i="4"/>
  <c r="EW158" i="4"/>
  <c r="EX158" i="4" s="1"/>
  <c r="FE158" i="4"/>
  <c r="FF158" i="4" s="1"/>
  <c r="FA158" i="4"/>
  <c r="FB158" i="4" s="1"/>
  <c r="DO150" i="4"/>
  <c r="DP150" i="4" s="1"/>
  <c r="DK150" i="4"/>
  <c r="DL150" i="4" s="1"/>
  <c r="DG150" i="4"/>
  <c r="DH150" i="4" s="1"/>
  <c r="DC150" i="4"/>
  <c r="DD150" i="4" s="1"/>
  <c r="CY150" i="4"/>
  <c r="CZ150" i="4" s="1"/>
  <c r="CU150" i="4"/>
  <c r="CV150" i="4" s="1"/>
  <c r="CQ150" i="4"/>
  <c r="CR150" i="4" s="1"/>
  <c r="CM150" i="4"/>
  <c r="CN150" i="4" s="1"/>
  <c r="CI150" i="4"/>
  <c r="CJ150" i="4" s="1"/>
  <c r="CE150" i="4"/>
  <c r="CF150" i="4" s="1"/>
  <c r="CB150" i="4"/>
  <c r="CB144" i="4"/>
  <c r="CE144" i="4"/>
  <c r="CF144" i="4" s="1"/>
  <c r="CI144" i="4"/>
  <c r="CJ144" i="4" s="1"/>
  <c r="CM144" i="4"/>
  <c r="CN144" i="4" s="1"/>
  <c r="CQ144" i="4"/>
  <c r="CR144" i="4" s="1"/>
  <c r="CU144" i="4"/>
  <c r="CV144" i="4" s="1"/>
  <c r="CY144" i="4"/>
  <c r="CZ144" i="4" s="1"/>
  <c r="DC144" i="4"/>
  <c r="DD144" i="4" s="1"/>
  <c r="DG144" i="4"/>
  <c r="DH144" i="4" s="1"/>
  <c r="DK144" i="4"/>
  <c r="DL144" i="4" s="1"/>
  <c r="J146" i="4"/>
  <c r="M146" i="4"/>
  <c r="N146" i="4" s="1"/>
  <c r="Q146" i="4"/>
  <c r="R146" i="4" s="1"/>
  <c r="U146" i="4"/>
  <c r="V146" i="4" s="1"/>
  <c r="Y146" i="4"/>
  <c r="Z146" i="4" s="1"/>
  <c r="AC146" i="4"/>
  <c r="AD146" i="4" s="1"/>
  <c r="AG146" i="4"/>
  <c r="AH146" i="4" s="1"/>
  <c r="AK146" i="4"/>
  <c r="AL146" i="4" s="1"/>
  <c r="AO146" i="4"/>
  <c r="AP146" i="4" s="1"/>
  <c r="AS146" i="4"/>
  <c r="AT146" i="4" s="1"/>
  <c r="ET146" i="4"/>
  <c r="EW146" i="4"/>
  <c r="EX146" i="4" s="1"/>
  <c r="FA146" i="4"/>
  <c r="FB146" i="4" s="1"/>
  <c r="FE146" i="4"/>
  <c r="FF146" i="4" s="1"/>
  <c r="FI146" i="4"/>
  <c r="FJ146" i="4" s="1"/>
  <c r="FM146" i="4"/>
  <c r="FN146" i="4" s="1"/>
  <c r="FQ146" i="4"/>
  <c r="FR146" i="4" s="1"/>
  <c r="FU146" i="4"/>
  <c r="FV146" i="4" s="1"/>
  <c r="FY146" i="4"/>
  <c r="FZ146" i="4" s="1"/>
  <c r="GC146" i="4"/>
  <c r="GD146" i="4" s="1"/>
  <c r="CC149" i="4"/>
  <c r="CD149" i="4" s="1"/>
  <c r="CM149" i="4"/>
  <c r="CN149" i="4" s="1"/>
  <c r="CS149" i="4"/>
  <c r="CT149" i="4" s="1"/>
  <c r="DC149" i="4"/>
  <c r="DD149" i="4" s="1"/>
  <c r="EU149" i="4"/>
  <c r="EV149" i="4" s="1"/>
  <c r="FA149" i="4"/>
  <c r="FB149" i="4" s="1"/>
  <c r="FK149" i="4"/>
  <c r="FL149" i="4" s="1"/>
  <c r="FQ149" i="4"/>
  <c r="FR149" i="4" s="1"/>
  <c r="GA149" i="4"/>
  <c r="GB149" i="4" s="1"/>
  <c r="AY150" i="4"/>
  <c r="AZ150" i="4" s="1"/>
  <c r="AU150" i="4"/>
  <c r="AV150" i="4" s="1"/>
  <c r="AQ150" i="4"/>
  <c r="AR150" i="4" s="1"/>
  <c r="AM150" i="4"/>
  <c r="AN150" i="4" s="1"/>
  <c r="AI150" i="4"/>
  <c r="AJ150" i="4" s="1"/>
  <c r="AE150" i="4"/>
  <c r="AF150" i="4" s="1"/>
  <c r="AA150" i="4"/>
  <c r="AB150" i="4" s="1"/>
  <c r="W150" i="4"/>
  <c r="X150" i="4" s="1"/>
  <c r="S150" i="4"/>
  <c r="T150" i="4" s="1"/>
  <c r="O150" i="4"/>
  <c r="P150" i="4" s="1"/>
  <c r="K150" i="4"/>
  <c r="L150" i="4" s="1"/>
  <c r="CC150" i="4"/>
  <c r="CD150" i="4" s="1"/>
  <c r="CS150" i="4"/>
  <c r="CT150" i="4" s="1"/>
  <c r="DI150" i="4"/>
  <c r="DJ150" i="4" s="1"/>
  <c r="K152" i="4"/>
  <c r="L152" i="4" s="1"/>
  <c r="Q152" i="4"/>
  <c r="R152" i="4" s="1"/>
  <c r="AA152" i="4"/>
  <c r="AB152" i="4" s="1"/>
  <c r="AG152" i="4"/>
  <c r="AH152" i="4" s="1"/>
  <c r="AQ152" i="4"/>
  <c r="AR152" i="4" s="1"/>
  <c r="Q153" i="4"/>
  <c r="R153" i="4" s="1"/>
  <c r="AG153" i="4"/>
  <c r="AH153" i="4" s="1"/>
  <c r="CK153" i="4"/>
  <c r="CL153" i="4" s="1"/>
  <c r="AY153" i="4"/>
  <c r="AZ153" i="4" s="1"/>
  <c r="AU153" i="4"/>
  <c r="AV153" i="4" s="1"/>
  <c r="AQ153" i="4"/>
  <c r="AR153" i="4" s="1"/>
  <c r="AM153" i="4"/>
  <c r="AN153" i="4" s="1"/>
  <c r="AI153" i="4"/>
  <c r="AJ153" i="4" s="1"/>
  <c r="AE153" i="4"/>
  <c r="AF153" i="4" s="1"/>
  <c r="AA153" i="4"/>
  <c r="AB153" i="4" s="1"/>
  <c r="W153" i="4"/>
  <c r="X153" i="4" s="1"/>
  <c r="S153" i="4"/>
  <c r="T153" i="4" s="1"/>
  <c r="O153" i="4"/>
  <c r="P153" i="4" s="1"/>
  <c r="K153" i="4"/>
  <c r="L153" i="4" s="1"/>
  <c r="I154" i="4"/>
  <c r="BZ154" i="4"/>
  <c r="ER157" i="4"/>
  <c r="ES157" i="4" s="1"/>
  <c r="CA157" i="4"/>
  <c r="AY158" i="4"/>
  <c r="AZ158" i="4" s="1"/>
  <c r="AU158" i="4"/>
  <c r="AV158" i="4" s="1"/>
  <c r="AQ158" i="4"/>
  <c r="AR158" i="4" s="1"/>
  <c r="AM158" i="4"/>
  <c r="AN158" i="4" s="1"/>
  <c r="AI158" i="4"/>
  <c r="AJ158" i="4" s="1"/>
  <c r="AE158" i="4"/>
  <c r="AF158" i="4" s="1"/>
  <c r="AA158" i="4"/>
  <c r="AB158" i="4" s="1"/>
  <c r="W158" i="4"/>
  <c r="X158" i="4" s="1"/>
  <c r="S158" i="4"/>
  <c r="T158" i="4" s="1"/>
  <c r="O158" i="4"/>
  <c r="P158" i="4" s="1"/>
  <c r="K158" i="4"/>
  <c r="L158" i="4" s="1"/>
  <c r="AW158" i="4"/>
  <c r="AX158" i="4" s="1"/>
  <c r="AG158" i="4"/>
  <c r="AH158" i="4" s="1"/>
  <c r="Q158" i="4"/>
  <c r="R158" i="4" s="1"/>
  <c r="AK158" i="4"/>
  <c r="AL158" i="4" s="1"/>
  <c r="U158" i="4"/>
  <c r="V158" i="4" s="1"/>
  <c r="AS158" i="4"/>
  <c r="AT158" i="4" s="1"/>
  <c r="AC158" i="4"/>
  <c r="AD158" i="4" s="1"/>
  <c r="M158" i="4"/>
  <c r="N158" i="4" s="1"/>
  <c r="U153" i="4"/>
  <c r="V153" i="4" s="1"/>
  <c r="AK153" i="4"/>
  <c r="AL153" i="4" s="1"/>
  <c r="DQ153" i="4"/>
  <c r="DR153" i="4" s="1"/>
  <c r="DM153" i="4"/>
  <c r="DN153" i="4" s="1"/>
  <c r="DO153" i="4"/>
  <c r="DP153" i="4" s="1"/>
  <c r="DK153" i="4"/>
  <c r="DL153" i="4" s="1"/>
  <c r="DG153" i="4"/>
  <c r="DH153" i="4" s="1"/>
  <c r="DC153" i="4"/>
  <c r="DD153" i="4" s="1"/>
  <c r="CY153" i="4"/>
  <c r="CZ153" i="4" s="1"/>
  <c r="CU153" i="4"/>
  <c r="CV153" i="4" s="1"/>
  <c r="CQ153" i="4"/>
  <c r="CR153" i="4" s="1"/>
  <c r="CM153" i="4"/>
  <c r="CN153" i="4" s="1"/>
  <c r="CI153" i="4"/>
  <c r="CJ153" i="4" s="1"/>
  <c r="CE153" i="4"/>
  <c r="CF153" i="4" s="1"/>
  <c r="CB153" i="4"/>
  <c r="GG153" i="4"/>
  <c r="GH153" i="4" s="1"/>
  <c r="GC153" i="4"/>
  <c r="GD153" i="4" s="1"/>
  <c r="FY153" i="4"/>
  <c r="FZ153" i="4" s="1"/>
  <c r="FU153" i="4"/>
  <c r="FV153" i="4" s="1"/>
  <c r="FQ153" i="4"/>
  <c r="FR153" i="4" s="1"/>
  <c r="FM153" i="4"/>
  <c r="FN153" i="4" s="1"/>
  <c r="FI153" i="4"/>
  <c r="FJ153" i="4" s="1"/>
  <c r="FE153" i="4"/>
  <c r="FF153" i="4" s="1"/>
  <c r="FA153" i="4"/>
  <c r="FB153" i="4" s="1"/>
  <c r="EW153" i="4"/>
  <c r="EX153" i="4" s="1"/>
  <c r="ET153" i="4"/>
  <c r="GI153" i="4"/>
  <c r="GJ153" i="4" s="1"/>
  <c r="GE153" i="4"/>
  <c r="GF153" i="4" s="1"/>
  <c r="GA153" i="4"/>
  <c r="GB153" i="4" s="1"/>
  <c r="FW153" i="4"/>
  <c r="FX153" i="4" s="1"/>
  <c r="FS153" i="4"/>
  <c r="FT153" i="4" s="1"/>
  <c r="FO153" i="4"/>
  <c r="FP153" i="4" s="1"/>
  <c r="FK153" i="4"/>
  <c r="FL153" i="4" s="1"/>
  <c r="FG153" i="4"/>
  <c r="FH153" i="4" s="1"/>
  <c r="FC153" i="4"/>
  <c r="FD153" i="4" s="1"/>
  <c r="EY153" i="4"/>
  <c r="EZ153" i="4" s="1"/>
  <c r="EU153" i="4"/>
  <c r="EV153" i="4" s="1"/>
  <c r="J157" i="4"/>
  <c r="M157" i="4"/>
  <c r="N157" i="4" s="1"/>
  <c r="Q157" i="4"/>
  <c r="R157" i="4" s="1"/>
  <c r="U157" i="4"/>
  <c r="V157" i="4" s="1"/>
  <c r="Y157" i="4"/>
  <c r="Z157" i="4" s="1"/>
  <c r="AC157" i="4"/>
  <c r="AD157" i="4" s="1"/>
  <c r="AG157" i="4"/>
  <c r="AH157" i="4" s="1"/>
  <c r="AK157" i="4"/>
  <c r="AL157" i="4" s="1"/>
  <c r="AO157" i="4"/>
  <c r="AP157" i="4" s="1"/>
  <c r="AS157" i="4"/>
  <c r="AT157" i="4" s="1"/>
  <c r="AW157" i="4"/>
  <c r="AX157" i="4" s="1"/>
  <c r="CA158" i="4"/>
  <c r="K157" i="4"/>
  <c r="L157" i="4" s="1"/>
  <c r="O157" i="4"/>
  <c r="P157" i="4" s="1"/>
  <c r="S157" i="4"/>
  <c r="T157" i="4" s="1"/>
  <c r="W157" i="4"/>
  <c r="X157" i="4" s="1"/>
  <c r="AA157" i="4"/>
  <c r="AB157" i="4" s="1"/>
  <c r="AE157" i="4"/>
  <c r="AF157" i="4" s="1"/>
  <c r="AI157" i="4"/>
  <c r="AJ157" i="4" s="1"/>
  <c r="AM157" i="4"/>
  <c r="AN157" i="4" s="1"/>
  <c r="AQ157" i="4"/>
  <c r="AR157" i="4" s="1"/>
  <c r="AU157" i="4"/>
  <c r="AV157" i="4" s="1"/>
  <c r="CA159" i="4"/>
  <c r="ER159" i="4"/>
  <c r="ES159" i="4" s="1"/>
  <c r="CA160" i="4"/>
  <c r="ER160" i="4"/>
  <c r="ES160" i="4" s="1"/>
  <c r="AW160" i="4"/>
  <c r="AX160" i="4" s="1"/>
  <c r="AS160" i="4"/>
  <c r="AT160" i="4" s="1"/>
  <c r="AO160" i="4"/>
  <c r="AP160" i="4" s="1"/>
  <c r="AK160" i="4"/>
  <c r="AL160" i="4" s="1"/>
  <c r="AG160" i="4"/>
  <c r="AH160" i="4" s="1"/>
  <c r="AC160" i="4"/>
  <c r="AD160" i="4" s="1"/>
  <c r="Y160" i="4"/>
  <c r="Z160" i="4" s="1"/>
  <c r="U160" i="4"/>
  <c r="V160" i="4" s="1"/>
  <c r="Q160" i="4"/>
  <c r="R160" i="4" s="1"/>
  <c r="M160" i="4"/>
  <c r="N160" i="4" s="1"/>
  <c r="J160" i="4"/>
  <c r="AY160" i="4"/>
  <c r="AZ160" i="4" s="1"/>
  <c r="AU160" i="4"/>
  <c r="AV160" i="4" s="1"/>
  <c r="AQ160" i="4"/>
  <c r="AR160" i="4" s="1"/>
  <c r="AM160" i="4"/>
  <c r="AN160" i="4" s="1"/>
  <c r="AI160" i="4"/>
  <c r="AJ160" i="4" s="1"/>
  <c r="AE160" i="4"/>
  <c r="AF160" i="4" s="1"/>
  <c r="AA160" i="4"/>
  <c r="AB160" i="4" s="1"/>
  <c r="W160" i="4"/>
  <c r="X160" i="4" s="1"/>
  <c r="S160" i="4"/>
  <c r="T160" i="4" s="1"/>
  <c r="O160" i="4"/>
  <c r="P160" i="4" s="1"/>
  <c r="K160" i="4"/>
  <c r="L160" i="4" s="1"/>
  <c r="CB152" i="4" l="1"/>
  <c r="CW152" i="4"/>
  <c r="CX152" i="4" s="1"/>
  <c r="AQ151" i="4"/>
  <c r="AR151" i="4" s="1"/>
  <c r="AW151" i="4"/>
  <c r="AX151" i="4" s="1"/>
  <c r="AO151" i="4"/>
  <c r="AP151" i="4" s="1"/>
  <c r="AG151" i="4"/>
  <c r="AH151" i="4" s="1"/>
  <c r="Y151" i="4"/>
  <c r="Z151" i="4" s="1"/>
  <c r="Q151" i="4"/>
  <c r="R151" i="4" s="1"/>
  <c r="J151" i="4"/>
  <c r="AI151" i="4"/>
  <c r="AJ151" i="4" s="1"/>
  <c r="S151" i="4"/>
  <c r="T151" i="4" s="1"/>
  <c r="AU151" i="4"/>
  <c r="AV151" i="4" s="1"/>
  <c r="AE151" i="4"/>
  <c r="AF151" i="4" s="1"/>
  <c r="O151" i="4"/>
  <c r="P151" i="4" s="1"/>
  <c r="AS151" i="4"/>
  <c r="AT151" i="4" s="1"/>
  <c r="AM151" i="4"/>
  <c r="AN151" i="4" s="1"/>
  <c r="AC151" i="4"/>
  <c r="AD151" i="4" s="1"/>
  <c r="W151" i="4"/>
  <c r="X151" i="4" s="1"/>
  <c r="M151" i="4"/>
  <c r="N151" i="4" s="1"/>
  <c r="AY151" i="4"/>
  <c r="AZ151" i="4" s="1"/>
  <c r="DI149" i="4"/>
  <c r="DJ149" i="4" s="1"/>
  <c r="DQ149" i="4"/>
  <c r="DR149" i="4" s="1"/>
  <c r="CQ149" i="4"/>
  <c r="CR149" i="4" s="1"/>
  <c r="CE149" i="4"/>
  <c r="CF149" i="4" s="1"/>
  <c r="DA149" i="4"/>
  <c r="DB149" i="4" s="1"/>
  <c r="CB149" i="4"/>
  <c r="DK149" i="4"/>
  <c r="DL149" i="4" s="1"/>
  <c r="CW149" i="4"/>
  <c r="CX149" i="4" s="1"/>
  <c r="CK149" i="4"/>
  <c r="CL149" i="4" s="1"/>
  <c r="DM149" i="4"/>
  <c r="DN149" i="4" s="1"/>
  <c r="DG149" i="4"/>
  <c r="DH149" i="4" s="1"/>
  <c r="CU149" i="4"/>
  <c r="CV149" i="4" s="1"/>
  <c r="CG149" i="4"/>
  <c r="CH149" i="4" s="1"/>
  <c r="K30" i="4"/>
  <c r="L30" i="4" s="1"/>
  <c r="J30" i="4"/>
  <c r="AO30" i="4"/>
  <c r="AP30" i="4" s="1"/>
  <c r="CA30" i="4"/>
  <c r="DI30" i="4" s="1"/>
  <c r="DJ30" i="4" s="1"/>
  <c r="U30" i="4"/>
  <c r="V30" i="4" s="1"/>
  <c r="Y30" i="4"/>
  <c r="Z30" i="4" s="1"/>
  <c r="AQ30" i="4"/>
  <c r="AR30" i="4" s="1"/>
  <c r="AM30" i="4"/>
  <c r="AN30" i="4" s="1"/>
  <c r="AE30" i="4"/>
  <c r="AF30" i="4" s="1"/>
  <c r="AK30" i="4"/>
  <c r="AL30" i="4" s="1"/>
  <c r="S30" i="4"/>
  <c r="T30" i="4" s="1"/>
  <c r="AU30" i="4"/>
  <c r="AV30" i="4" s="1"/>
  <c r="M30" i="4"/>
  <c r="N30" i="4" s="1"/>
  <c r="AC30" i="4"/>
  <c r="AD30" i="4" s="1"/>
  <c r="AS30" i="4"/>
  <c r="AT30" i="4" s="1"/>
  <c r="AI30" i="4"/>
  <c r="AJ30" i="4" s="1"/>
  <c r="DO141" i="4"/>
  <c r="DP141" i="4" s="1"/>
  <c r="DA141" i="4"/>
  <c r="DB141" i="4" s="1"/>
  <c r="CC141" i="4"/>
  <c r="CD141" i="4" s="1"/>
  <c r="DM141" i="4"/>
  <c r="DN141" i="4" s="1"/>
  <c r="DE141" i="4"/>
  <c r="DF141" i="4" s="1"/>
  <c r="CW141" i="4"/>
  <c r="CX141" i="4" s="1"/>
  <c r="CO141" i="4"/>
  <c r="CP141" i="4" s="1"/>
  <c r="CG141" i="4"/>
  <c r="CH141" i="4" s="1"/>
  <c r="DQ141" i="4"/>
  <c r="DR141" i="4" s="1"/>
  <c r="CK141" i="4"/>
  <c r="CL141" i="4" s="1"/>
  <c r="DI141" i="4"/>
  <c r="DJ141" i="4" s="1"/>
  <c r="CS141" i="4"/>
  <c r="CT141" i="4" s="1"/>
  <c r="Q30" i="4"/>
  <c r="R30" i="4" s="1"/>
  <c r="AG30" i="4"/>
  <c r="AH30" i="4" s="1"/>
  <c r="AW30" i="4"/>
  <c r="AX30" i="4" s="1"/>
  <c r="AA30" i="4"/>
  <c r="AB30" i="4" s="1"/>
  <c r="AG137" i="4"/>
  <c r="AH137" i="4" s="1"/>
  <c r="AK137" i="4"/>
  <c r="AL137" i="4" s="1"/>
  <c r="AC137" i="4"/>
  <c r="AD137" i="4" s="1"/>
  <c r="M137" i="4"/>
  <c r="N137" i="4" s="1"/>
  <c r="U137" i="4"/>
  <c r="V137" i="4" s="1"/>
  <c r="DO137" i="4"/>
  <c r="DP137" i="4" s="1"/>
  <c r="DM137" i="4"/>
  <c r="DN137" i="4" s="1"/>
  <c r="DE137" i="4"/>
  <c r="DF137" i="4" s="1"/>
  <c r="CW137" i="4"/>
  <c r="CX137" i="4" s="1"/>
  <c r="CO137" i="4"/>
  <c r="CP137" i="4" s="1"/>
  <c r="CG137" i="4"/>
  <c r="CH137" i="4" s="1"/>
  <c r="DQ137" i="4"/>
  <c r="DR137" i="4" s="1"/>
  <c r="DI137" i="4"/>
  <c r="DJ137" i="4" s="1"/>
  <c r="DA137" i="4"/>
  <c r="DB137" i="4" s="1"/>
  <c r="CS137" i="4"/>
  <c r="CT137" i="4" s="1"/>
  <c r="CK137" i="4"/>
  <c r="CL137" i="4" s="1"/>
  <c r="CC137" i="4"/>
  <c r="CD137" i="4" s="1"/>
  <c r="GA142" i="4"/>
  <c r="GB142" i="4" s="1"/>
  <c r="FO142" i="4"/>
  <c r="FP142" i="4" s="1"/>
  <c r="FG142" i="4"/>
  <c r="FH142" i="4" s="1"/>
  <c r="EW142" i="4"/>
  <c r="EX142" i="4" s="1"/>
  <c r="GC142" i="4"/>
  <c r="GD142" i="4" s="1"/>
  <c r="FK142" i="4"/>
  <c r="FL142" i="4" s="1"/>
  <c r="ET142" i="4"/>
  <c r="FY142" i="4"/>
  <c r="FZ142" i="4" s="1"/>
  <c r="FQ142" i="4"/>
  <c r="FR142" i="4" s="1"/>
  <c r="FC142" i="4"/>
  <c r="FD142" i="4" s="1"/>
  <c r="GI142" i="4"/>
  <c r="GJ142" i="4" s="1"/>
  <c r="FU142" i="4"/>
  <c r="FV142" i="4" s="1"/>
  <c r="EY142" i="4"/>
  <c r="EZ142" i="4" s="1"/>
  <c r="GE142" i="4"/>
  <c r="GF142" i="4" s="1"/>
  <c r="FW142" i="4"/>
  <c r="FX142" i="4" s="1"/>
  <c r="FM142" i="4"/>
  <c r="FN142" i="4" s="1"/>
  <c r="CA140" i="4"/>
  <c r="ER140" i="4"/>
  <c r="ES140" i="4" s="1"/>
  <c r="AK128" i="4"/>
  <c r="AL128" i="4" s="1"/>
  <c r="AO128" i="4"/>
  <c r="AP128" i="4" s="1"/>
  <c r="M128" i="4"/>
  <c r="N128" i="4" s="1"/>
  <c r="AC128" i="4"/>
  <c r="AD128" i="4" s="1"/>
  <c r="AW128" i="4"/>
  <c r="AX128" i="4" s="1"/>
  <c r="Y128" i="4"/>
  <c r="Z128" i="4" s="1"/>
  <c r="AS128" i="4"/>
  <c r="AT128" i="4" s="1"/>
  <c r="AG128" i="4"/>
  <c r="AH128" i="4" s="1"/>
  <c r="J128" i="4"/>
  <c r="Q128" i="4"/>
  <c r="R128" i="4" s="1"/>
  <c r="DK133" i="4"/>
  <c r="DL133" i="4" s="1"/>
  <c r="FI128" i="4"/>
  <c r="FJ128" i="4" s="1"/>
  <c r="ET128" i="4"/>
  <c r="FY128" i="4"/>
  <c r="FZ128" i="4" s="1"/>
  <c r="CK133" i="4"/>
  <c r="CL133" i="4" s="1"/>
  <c r="DE128" i="4"/>
  <c r="DF128" i="4" s="1"/>
  <c r="DA128" i="4"/>
  <c r="DB128" i="4" s="1"/>
  <c r="CG128" i="4"/>
  <c r="CH128" i="4" s="1"/>
  <c r="DQ128" i="4"/>
  <c r="DR128" i="4" s="1"/>
  <c r="CW128" i="4"/>
  <c r="CX128" i="4" s="1"/>
  <c r="DM128" i="4"/>
  <c r="DN128" i="4" s="1"/>
  <c r="CK128" i="4"/>
  <c r="CL128" i="4" s="1"/>
  <c r="DC133" i="4"/>
  <c r="DD133" i="4" s="1"/>
  <c r="CS133" i="4"/>
  <c r="CT133" i="4" s="1"/>
  <c r="CQ133" i="4"/>
  <c r="CR133" i="4" s="1"/>
  <c r="CY133" i="4"/>
  <c r="CZ133" i="4" s="1"/>
  <c r="DA133" i="4"/>
  <c r="DB133" i="4" s="1"/>
  <c r="CE133" i="4"/>
  <c r="CF133" i="4" s="1"/>
  <c r="CC133" i="4"/>
  <c r="CD133" i="4" s="1"/>
  <c r="DI133" i="4"/>
  <c r="DJ133" i="4" s="1"/>
  <c r="DG133" i="4"/>
  <c r="DH133" i="4" s="1"/>
  <c r="CM133" i="4"/>
  <c r="CN133" i="4" s="1"/>
  <c r="DO133" i="4"/>
  <c r="DP133" i="4" s="1"/>
  <c r="CO133" i="4"/>
  <c r="CP133" i="4" s="1"/>
  <c r="DE133" i="4"/>
  <c r="DF133" i="4" s="1"/>
  <c r="CU133" i="4"/>
  <c r="CV133" i="4" s="1"/>
  <c r="CI133" i="4"/>
  <c r="CJ133" i="4" s="1"/>
  <c r="CG133" i="4"/>
  <c r="CH133" i="4" s="1"/>
  <c r="CW133" i="4"/>
  <c r="CX133" i="4" s="1"/>
  <c r="DM133" i="4"/>
  <c r="DN133" i="4" s="1"/>
  <c r="AM133" i="4"/>
  <c r="AN133" i="4" s="1"/>
  <c r="AE133" i="4"/>
  <c r="AF133" i="4" s="1"/>
  <c r="K133" i="4"/>
  <c r="L133" i="4" s="1"/>
  <c r="AY133" i="4"/>
  <c r="AZ133" i="4" s="1"/>
  <c r="AA133" i="4"/>
  <c r="AB133" i="4" s="1"/>
  <c r="AI133" i="4"/>
  <c r="AJ133" i="4" s="1"/>
  <c r="AQ133" i="4"/>
  <c r="AR133" i="4" s="1"/>
  <c r="S133" i="4"/>
  <c r="T133" i="4" s="1"/>
  <c r="O133" i="4"/>
  <c r="P133" i="4" s="1"/>
  <c r="DC126" i="4"/>
  <c r="DD126" i="4" s="1"/>
  <c r="DG126" i="4"/>
  <c r="DH126" i="4" s="1"/>
  <c r="CE126" i="4"/>
  <c r="CF126" i="4" s="1"/>
  <c r="CU126" i="4"/>
  <c r="CV126" i="4" s="1"/>
  <c r="DO126" i="4"/>
  <c r="DP126" i="4" s="1"/>
  <c r="CQ126" i="4"/>
  <c r="CR126" i="4" s="1"/>
  <c r="CI126" i="4"/>
  <c r="CJ126" i="4" s="1"/>
  <c r="DK126" i="4"/>
  <c r="DL126" i="4" s="1"/>
  <c r="CY126" i="4"/>
  <c r="CZ126" i="4" s="1"/>
  <c r="CB126" i="4"/>
  <c r="EU133" i="4"/>
  <c r="EV133" i="4" s="1"/>
  <c r="FK133" i="4"/>
  <c r="FL133" i="4" s="1"/>
  <c r="GA133" i="4"/>
  <c r="GB133" i="4" s="1"/>
  <c r="CA29" i="4"/>
  <c r="ER29" i="4"/>
  <c r="ES29" i="4" s="1"/>
  <c r="AY29" i="4"/>
  <c r="AZ29" i="4" s="1"/>
  <c r="AS29" i="4"/>
  <c r="AT29" i="4" s="1"/>
  <c r="AM29" i="4"/>
  <c r="AN29" i="4" s="1"/>
  <c r="AC29" i="4"/>
  <c r="AD29" i="4" s="1"/>
  <c r="W29" i="4"/>
  <c r="X29" i="4" s="1"/>
  <c r="M29" i="4"/>
  <c r="N29" i="4" s="1"/>
  <c r="AI29" i="4"/>
  <c r="AJ29" i="4" s="1"/>
  <c r="S29" i="4"/>
  <c r="T29" i="4" s="1"/>
  <c r="AW29" i="4"/>
  <c r="AX29" i="4" s="1"/>
  <c r="AQ29" i="4"/>
  <c r="AR29" i="4" s="1"/>
  <c r="AG29" i="4"/>
  <c r="AH29" i="4" s="1"/>
  <c r="AA29" i="4"/>
  <c r="AB29" i="4" s="1"/>
  <c r="Q29" i="4"/>
  <c r="R29" i="4" s="1"/>
  <c r="K29" i="4"/>
  <c r="L29" i="4" s="1"/>
  <c r="Y29" i="4"/>
  <c r="Z29" i="4" s="1"/>
  <c r="J29" i="4"/>
  <c r="AU29" i="4"/>
  <c r="AV29" i="4" s="1"/>
  <c r="AK29" i="4"/>
  <c r="AL29" i="4" s="1"/>
  <c r="AE29" i="4"/>
  <c r="AF29" i="4" s="1"/>
  <c r="U29" i="4"/>
  <c r="V29" i="4" s="1"/>
  <c r="O29" i="4"/>
  <c r="P29" i="4" s="1"/>
  <c r="AO29" i="4"/>
  <c r="AP29" i="4" s="1"/>
  <c r="CA104" i="4"/>
  <c r="ER104" i="4"/>
  <c r="ES104" i="4" s="1"/>
  <c r="DO101" i="4"/>
  <c r="DP101" i="4" s="1"/>
  <c r="DI101" i="4"/>
  <c r="DJ101" i="4" s="1"/>
  <c r="CS101" i="4"/>
  <c r="CT101" i="4" s="1"/>
  <c r="CC101" i="4"/>
  <c r="CD101" i="4" s="1"/>
  <c r="DE101" i="4"/>
  <c r="DF101" i="4" s="1"/>
  <c r="CO101" i="4"/>
  <c r="CP101" i="4" s="1"/>
  <c r="CW101" i="4"/>
  <c r="CX101" i="4" s="1"/>
  <c r="DQ101" i="4"/>
  <c r="DR101" i="4" s="1"/>
  <c r="DA101" i="4"/>
  <c r="DB101" i="4" s="1"/>
  <c r="CK101" i="4"/>
  <c r="CL101" i="4" s="1"/>
  <c r="DM101" i="4"/>
  <c r="DN101" i="4" s="1"/>
  <c r="CG101" i="4"/>
  <c r="CH101" i="4" s="1"/>
  <c r="DG101" i="4"/>
  <c r="DH101" i="4" s="1"/>
  <c r="CQ101" i="4"/>
  <c r="CR101" i="4" s="1"/>
  <c r="CB101" i="4"/>
  <c r="DC101" i="4"/>
  <c r="DD101" i="4" s="1"/>
  <c r="CM101" i="4"/>
  <c r="CN101" i="4" s="1"/>
  <c r="M28" i="4"/>
  <c r="N28" i="4" s="1"/>
  <c r="AC28" i="4"/>
  <c r="AD28" i="4" s="1"/>
  <c r="AS28" i="4"/>
  <c r="AT28" i="4" s="1"/>
  <c r="Q28" i="4"/>
  <c r="R28" i="4" s="1"/>
  <c r="AG28" i="4"/>
  <c r="AH28" i="4" s="1"/>
  <c r="AW28" i="4"/>
  <c r="AX28" i="4" s="1"/>
  <c r="AU28" i="4"/>
  <c r="AV28" i="4" s="1"/>
  <c r="U28" i="4"/>
  <c r="V28" i="4" s="1"/>
  <c r="AK28" i="4"/>
  <c r="AL28" i="4" s="1"/>
  <c r="O28" i="4"/>
  <c r="P28" i="4" s="1"/>
  <c r="J28" i="4"/>
  <c r="Y28" i="4"/>
  <c r="Z28" i="4" s="1"/>
  <c r="AO28" i="4"/>
  <c r="AP28" i="4" s="1"/>
  <c r="DO98" i="4"/>
  <c r="DP98" i="4" s="1"/>
  <c r="DE98" i="4"/>
  <c r="DF98" i="4" s="1"/>
  <c r="CG98" i="4"/>
  <c r="CH98" i="4" s="1"/>
  <c r="DQ98" i="4"/>
  <c r="DR98" i="4" s="1"/>
  <c r="DI98" i="4"/>
  <c r="DJ98" i="4" s="1"/>
  <c r="DA98" i="4"/>
  <c r="DB98" i="4" s="1"/>
  <c r="CS98" i="4"/>
  <c r="CT98" i="4" s="1"/>
  <c r="CK98" i="4"/>
  <c r="CL98" i="4" s="1"/>
  <c r="CC98" i="4"/>
  <c r="CD98" i="4" s="1"/>
  <c r="CW98" i="4"/>
  <c r="CX98" i="4" s="1"/>
  <c r="DM98" i="4"/>
  <c r="DN98" i="4" s="1"/>
  <c r="CO98" i="4"/>
  <c r="CP98" i="4" s="1"/>
  <c r="DQ116" i="4"/>
  <c r="DR116" i="4" s="1"/>
  <c r="DA116" i="4"/>
  <c r="DB116" i="4" s="1"/>
  <c r="CS116" i="4"/>
  <c r="CT116" i="4" s="1"/>
  <c r="CK116" i="4"/>
  <c r="CL116" i="4" s="1"/>
  <c r="CC116" i="4"/>
  <c r="CD116" i="4" s="1"/>
  <c r="DE116" i="4"/>
  <c r="DF116" i="4" s="1"/>
  <c r="CW116" i="4"/>
  <c r="CX116" i="4" s="1"/>
  <c r="CO116" i="4"/>
  <c r="CP116" i="4" s="1"/>
  <c r="CG116" i="4"/>
  <c r="CH116" i="4" s="1"/>
  <c r="FS70" i="4"/>
  <c r="FT70" i="4" s="1"/>
  <c r="GI70" i="4"/>
  <c r="GJ70" i="4" s="1"/>
  <c r="FC70" i="4"/>
  <c r="FD70" i="4" s="1"/>
  <c r="K63" i="4"/>
  <c r="L63" i="4" s="1"/>
  <c r="AA63" i="4"/>
  <c r="AB63" i="4" s="1"/>
  <c r="AS63" i="4"/>
  <c r="AT63" i="4" s="1"/>
  <c r="AG63" i="4"/>
  <c r="AH63" i="4" s="1"/>
  <c r="M63" i="4"/>
  <c r="N63" i="4" s="1"/>
  <c r="AO63" i="4"/>
  <c r="AP63" i="4" s="1"/>
  <c r="U63" i="4"/>
  <c r="V63" i="4" s="1"/>
  <c r="J63" i="4"/>
  <c r="AW63" i="4"/>
  <c r="AX63" i="4" s="1"/>
  <c r="AC63" i="4"/>
  <c r="AD63" i="4" s="1"/>
  <c r="Q63" i="4"/>
  <c r="R63" i="4" s="1"/>
  <c r="AK63" i="4"/>
  <c r="AL63" i="4" s="1"/>
  <c r="Y63" i="4"/>
  <c r="Z63" i="4" s="1"/>
  <c r="O63" i="4"/>
  <c r="P63" i="4" s="1"/>
  <c r="AE63" i="4"/>
  <c r="AF63" i="4" s="1"/>
  <c r="AU63" i="4"/>
  <c r="AV63" i="4" s="1"/>
  <c r="AU26" i="4"/>
  <c r="AV26" i="4" s="1"/>
  <c r="AA26" i="4"/>
  <c r="AB26" i="4" s="1"/>
  <c r="AY26" i="4"/>
  <c r="AZ26" i="4" s="1"/>
  <c r="S26" i="4"/>
  <c r="T26" i="4" s="1"/>
  <c r="AQ26" i="4"/>
  <c r="AR26" i="4" s="1"/>
  <c r="K26" i="4"/>
  <c r="L26" i="4" s="1"/>
  <c r="AI26" i="4"/>
  <c r="AJ26" i="4" s="1"/>
  <c r="S63" i="4"/>
  <c r="T63" i="4" s="1"/>
  <c r="AI63" i="4"/>
  <c r="AJ63" i="4" s="1"/>
  <c r="AY63" i="4"/>
  <c r="AZ63" i="4" s="1"/>
  <c r="FQ60" i="4"/>
  <c r="FR60" i="4" s="1"/>
  <c r="EY60" i="4"/>
  <c r="EZ60" i="4" s="1"/>
  <c r="AA60" i="4"/>
  <c r="AB60" i="4" s="1"/>
  <c r="FO60" i="4"/>
  <c r="FP60" i="4" s="1"/>
  <c r="K60" i="4"/>
  <c r="L60" i="4" s="1"/>
  <c r="GE60" i="4"/>
  <c r="GF60" i="4" s="1"/>
  <c r="DM52" i="4"/>
  <c r="DN52" i="4" s="1"/>
  <c r="DQ52" i="4"/>
  <c r="DR52" i="4" s="1"/>
  <c r="CK52" i="4"/>
  <c r="CL52" i="4" s="1"/>
  <c r="DI52" i="4"/>
  <c r="DJ52" i="4" s="1"/>
  <c r="CC52" i="4"/>
  <c r="CD52" i="4" s="1"/>
  <c r="DA52" i="4"/>
  <c r="DB52" i="4" s="1"/>
  <c r="CS52" i="4"/>
  <c r="CT52" i="4" s="1"/>
  <c r="AY50" i="4"/>
  <c r="AZ50" i="4" s="1"/>
  <c r="AS50" i="4"/>
  <c r="AT50" i="4" s="1"/>
  <c r="AC50" i="4"/>
  <c r="AD50" i="4" s="1"/>
  <c r="M50" i="4"/>
  <c r="N50" i="4" s="1"/>
  <c r="Q50" i="4"/>
  <c r="R50" i="4" s="1"/>
  <c r="AO50" i="4"/>
  <c r="AP50" i="4" s="1"/>
  <c r="Y50" i="4"/>
  <c r="Z50" i="4" s="1"/>
  <c r="J50" i="4"/>
  <c r="AG50" i="4"/>
  <c r="AH50" i="4" s="1"/>
  <c r="AK50" i="4"/>
  <c r="AL50" i="4" s="1"/>
  <c r="U50" i="4"/>
  <c r="V50" i="4" s="1"/>
  <c r="AW50" i="4"/>
  <c r="AX50" i="4" s="1"/>
  <c r="DO50" i="4"/>
  <c r="DP50" i="4" s="1"/>
  <c r="DE50" i="4"/>
  <c r="DF50" i="4" s="1"/>
  <c r="CO50" i="4"/>
  <c r="CP50" i="4" s="1"/>
  <c r="CS50" i="4"/>
  <c r="CT50" i="4" s="1"/>
  <c r="DQ50" i="4"/>
  <c r="DR50" i="4" s="1"/>
  <c r="DA50" i="4"/>
  <c r="DB50" i="4" s="1"/>
  <c r="CK50" i="4"/>
  <c r="CL50" i="4" s="1"/>
  <c r="DI50" i="4"/>
  <c r="DJ50" i="4" s="1"/>
  <c r="CC50" i="4"/>
  <c r="CD50" i="4" s="1"/>
  <c r="DM50" i="4"/>
  <c r="DN50" i="4" s="1"/>
  <c r="CW50" i="4"/>
  <c r="CX50" i="4" s="1"/>
  <c r="CG50" i="4"/>
  <c r="CH50" i="4" s="1"/>
  <c r="AM60" i="4"/>
  <c r="AN60" i="4" s="1"/>
  <c r="W60" i="4"/>
  <c r="X60" i="4" s="1"/>
  <c r="FI60" i="4"/>
  <c r="FJ60" i="4" s="1"/>
  <c r="FC60" i="4"/>
  <c r="FD60" i="4" s="1"/>
  <c r="FS60" i="4"/>
  <c r="FT60" i="4" s="1"/>
  <c r="GI60" i="4"/>
  <c r="GJ60" i="4" s="1"/>
  <c r="AO60" i="4"/>
  <c r="AP60" i="4" s="1"/>
  <c r="AI60" i="4"/>
  <c r="AJ60" i="4" s="1"/>
  <c r="S60" i="4"/>
  <c r="T60" i="4" s="1"/>
  <c r="GG60" i="4"/>
  <c r="GH60" i="4" s="1"/>
  <c r="FA60" i="4"/>
  <c r="FB60" i="4" s="1"/>
  <c r="FG60" i="4"/>
  <c r="FH60" i="4" s="1"/>
  <c r="FW60" i="4"/>
  <c r="FX60" i="4" s="1"/>
  <c r="AU60" i="4"/>
  <c r="AV60" i="4" s="1"/>
  <c r="AE60" i="4"/>
  <c r="AF60" i="4" s="1"/>
  <c r="O60" i="4"/>
  <c r="P60" i="4" s="1"/>
  <c r="FY60" i="4"/>
  <c r="FZ60" i="4" s="1"/>
  <c r="ET60" i="4"/>
  <c r="EU60" i="4"/>
  <c r="EV60" i="4" s="1"/>
  <c r="FK60" i="4"/>
  <c r="FL60" i="4" s="1"/>
  <c r="AY46" i="4"/>
  <c r="AZ46" i="4" s="1"/>
  <c r="AO46" i="4"/>
  <c r="AP46" i="4" s="1"/>
  <c r="Y46" i="4"/>
  <c r="Z46" i="4" s="1"/>
  <c r="J46" i="4"/>
  <c r="AS46" i="4"/>
  <c r="AT46" i="4" s="1"/>
  <c r="AK46" i="4"/>
  <c r="AL46" i="4" s="1"/>
  <c r="U46" i="4"/>
  <c r="V46" i="4" s="1"/>
  <c r="M46" i="4"/>
  <c r="N46" i="4" s="1"/>
  <c r="AW46" i="4"/>
  <c r="AX46" i="4" s="1"/>
  <c r="AG46" i="4"/>
  <c r="AH46" i="4" s="1"/>
  <c r="Q46" i="4"/>
  <c r="R46" i="4" s="1"/>
  <c r="AC46" i="4"/>
  <c r="AD46" i="4" s="1"/>
  <c r="FY46" i="4"/>
  <c r="FZ46" i="4" s="1"/>
  <c r="FI46" i="4"/>
  <c r="FJ46" i="4" s="1"/>
  <c r="ET46" i="4"/>
  <c r="GC46" i="4"/>
  <c r="GD46" i="4" s="1"/>
  <c r="FU46" i="4"/>
  <c r="FV46" i="4" s="1"/>
  <c r="FE46" i="4"/>
  <c r="FF46" i="4" s="1"/>
  <c r="GG46" i="4"/>
  <c r="GH46" i="4" s="1"/>
  <c r="FQ46" i="4"/>
  <c r="FR46" i="4" s="1"/>
  <c r="FA46" i="4"/>
  <c r="FB46" i="4" s="1"/>
  <c r="FM46" i="4"/>
  <c r="FN46" i="4" s="1"/>
  <c r="EW46" i="4"/>
  <c r="EX46" i="4" s="1"/>
  <c r="DO46" i="4"/>
  <c r="DP46" i="4" s="1"/>
  <c r="DQ46" i="4"/>
  <c r="DR46" i="4" s="1"/>
  <c r="DA46" i="4"/>
  <c r="DB46" i="4" s="1"/>
  <c r="CK46" i="4"/>
  <c r="CL46" i="4" s="1"/>
  <c r="DM46" i="4"/>
  <c r="DN46" i="4" s="1"/>
  <c r="CW46" i="4"/>
  <c r="CX46" i="4" s="1"/>
  <c r="CG46" i="4"/>
  <c r="CH46" i="4" s="1"/>
  <c r="DE46" i="4"/>
  <c r="DF46" i="4" s="1"/>
  <c r="DI46" i="4"/>
  <c r="DJ46" i="4" s="1"/>
  <c r="CS46" i="4"/>
  <c r="CT46" i="4" s="1"/>
  <c r="CC46" i="4"/>
  <c r="CD46" i="4" s="1"/>
  <c r="CO46" i="4"/>
  <c r="CP46" i="4" s="1"/>
  <c r="DI42" i="4"/>
  <c r="DJ42" i="4" s="1"/>
  <c r="CC42" i="4"/>
  <c r="CD42" i="4" s="1"/>
  <c r="DQ42" i="4"/>
  <c r="DR42" i="4" s="1"/>
  <c r="DA42" i="4"/>
  <c r="DB42" i="4" s="1"/>
  <c r="CS42" i="4"/>
  <c r="CT42" i="4" s="1"/>
  <c r="CK42" i="4"/>
  <c r="CL42" i="4" s="1"/>
  <c r="CW42" i="4"/>
  <c r="CX42" i="4" s="1"/>
  <c r="CE42" i="4"/>
  <c r="CF42" i="4" s="1"/>
  <c r="CU42" i="4"/>
  <c r="CV42" i="4" s="1"/>
  <c r="DK42" i="4"/>
  <c r="DL42" i="4" s="1"/>
  <c r="CO42" i="4"/>
  <c r="CP42" i="4" s="1"/>
  <c r="CI42" i="4"/>
  <c r="CJ42" i="4" s="1"/>
  <c r="CY42" i="4"/>
  <c r="CZ42" i="4" s="1"/>
  <c r="DO42" i="4"/>
  <c r="DP42" i="4" s="1"/>
  <c r="DM42" i="4"/>
  <c r="DN42" i="4" s="1"/>
  <c r="CG42" i="4"/>
  <c r="CH42" i="4" s="1"/>
  <c r="CM42" i="4"/>
  <c r="CN42" i="4" s="1"/>
  <c r="DC42" i="4"/>
  <c r="DD42" i="4" s="1"/>
  <c r="CE60" i="4"/>
  <c r="CF60" i="4" s="1"/>
  <c r="CO60" i="4"/>
  <c r="CP60" i="4" s="1"/>
  <c r="CC60" i="4"/>
  <c r="CD60" i="4" s="1"/>
  <c r="DI60" i="4"/>
  <c r="DJ60" i="4" s="1"/>
  <c r="CI60" i="4"/>
  <c r="CJ60" i="4" s="1"/>
  <c r="CY60" i="4"/>
  <c r="CZ60" i="4" s="1"/>
  <c r="DO60" i="4"/>
  <c r="DP60" i="4" s="1"/>
  <c r="CW60" i="4"/>
  <c r="CX60" i="4" s="1"/>
  <c r="CK60" i="4"/>
  <c r="CL60" i="4" s="1"/>
  <c r="DQ60" i="4"/>
  <c r="DR60" i="4" s="1"/>
  <c r="CM60" i="4"/>
  <c r="CN60" i="4" s="1"/>
  <c r="DC60" i="4"/>
  <c r="DD60" i="4" s="1"/>
  <c r="DE60" i="4"/>
  <c r="DF60" i="4" s="1"/>
  <c r="CS60" i="4"/>
  <c r="CT60" i="4" s="1"/>
  <c r="CB60" i="4"/>
  <c r="CQ60" i="4"/>
  <c r="CR60" i="4" s="1"/>
  <c r="AY60" i="4"/>
  <c r="AZ60" i="4" s="1"/>
  <c r="AC60" i="4"/>
  <c r="AD60" i="4" s="1"/>
  <c r="M60" i="4"/>
  <c r="N60" i="4" s="1"/>
  <c r="Q60" i="4"/>
  <c r="R60" i="4" s="1"/>
  <c r="AS60" i="4"/>
  <c r="AT60" i="4" s="1"/>
  <c r="Y60" i="4"/>
  <c r="Z60" i="4" s="1"/>
  <c r="J60" i="4"/>
  <c r="AG60" i="4"/>
  <c r="AH60" i="4" s="1"/>
  <c r="AK60" i="4"/>
  <c r="AL60" i="4" s="1"/>
  <c r="U60" i="4"/>
  <c r="V60" i="4" s="1"/>
  <c r="ER31" i="4"/>
  <c r="ES31" i="4" s="1"/>
  <c r="CA31" i="4"/>
  <c r="CA28" i="4"/>
  <c r="ER28" i="4"/>
  <c r="ES28" i="4" s="1"/>
  <c r="CA119" i="4"/>
  <c r="ER119" i="4"/>
  <c r="ES119" i="4" s="1"/>
  <c r="AM28" i="4"/>
  <c r="AN28" i="4" s="1"/>
  <c r="AA28" i="4"/>
  <c r="AB28" i="4" s="1"/>
  <c r="AY28" i="4"/>
  <c r="AZ28" i="4" s="1"/>
  <c r="S28" i="4"/>
  <c r="T28" i="4" s="1"/>
  <c r="AQ28" i="4"/>
  <c r="AR28" i="4" s="1"/>
  <c r="K28" i="4"/>
  <c r="L28" i="4" s="1"/>
  <c r="AI28" i="4"/>
  <c r="AJ28" i="4" s="1"/>
  <c r="ER95" i="4"/>
  <c r="ES95" i="4" s="1"/>
  <c r="CA95" i="4"/>
  <c r="E34" i="4"/>
  <c r="H34" i="4" s="1"/>
  <c r="I34" i="4" s="1"/>
  <c r="H25" i="4"/>
  <c r="I33" i="4"/>
  <c r="BZ33" i="4"/>
  <c r="ER59" i="4"/>
  <c r="ES59" i="4" s="1"/>
  <c r="CA59" i="4"/>
  <c r="GC60" i="4"/>
  <c r="GD60" i="4" s="1"/>
  <c r="EW60" i="4"/>
  <c r="EX60" i="4" s="1"/>
  <c r="FU60" i="4"/>
  <c r="FV60" i="4" s="1"/>
  <c r="FE60" i="4"/>
  <c r="FF60" i="4" s="1"/>
  <c r="FM60" i="4"/>
  <c r="FN60" i="4" s="1"/>
  <c r="D34" i="4"/>
  <c r="GI159" i="4"/>
  <c r="GJ159" i="4" s="1"/>
  <c r="GE159" i="4"/>
  <c r="GF159" i="4" s="1"/>
  <c r="GA159" i="4"/>
  <c r="GB159" i="4" s="1"/>
  <c r="FW159" i="4"/>
  <c r="FX159" i="4" s="1"/>
  <c r="FS159" i="4"/>
  <c r="FT159" i="4" s="1"/>
  <c r="FO159" i="4"/>
  <c r="FP159" i="4" s="1"/>
  <c r="FK159" i="4"/>
  <c r="FL159" i="4" s="1"/>
  <c r="FG159" i="4"/>
  <c r="FH159" i="4" s="1"/>
  <c r="FC159" i="4"/>
  <c r="FD159" i="4" s="1"/>
  <c r="EY159" i="4"/>
  <c r="EZ159" i="4" s="1"/>
  <c r="EU159" i="4"/>
  <c r="EV159" i="4" s="1"/>
  <c r="GG159" i="4"/>
  <c r="GH159" i="4" s="1"/>
  <c r="FQ159" i="4"/>
  <c r="FR159" i="4" s="1"/>
  <c r="FA159" i="4"/>
  <c r="FB159" i="4" s="1"/>
  <c r="GC159" i="4"/>
  <c r="GD159" i="4" s="1"/>
  <c r="FM159" i="4"/>
  <c r="FN159" i="4" s="1"/>
  <c r="EW159" i="4"/>
  <c r="EX159" i="4" s="1"/>
  <c r="FU159" i="4"/>
  <c r="FV159" i="4" s="1"/>
  <c r="FE159" i="4"/>
  <c r="FF159" i="4" s="1"/>
  <c r="ET159" i="4"/>
  <c r="FI159" i="4"/>
  <c r="FJ159" i="4" s="1"/>
  <c r="FY159" i="4"/>
  <c r="FZ159" i="4" s="1"/>
  <c r="DO158" i="4"/>
  <c r="DP158" i="4" s="1"/>
  <c r="DK158" i="4"/>
  <c r="DL158" i="4" s="1"/>
  <c r="DG158" i="4"/>
  <c r="DH158" i="4" s="1"/>
  <c r="DC158" i="4"/>
  <c r="DD158" i="4" s="1"/>
  <c r="CY158" i="4"/>
  <c r="CZ158" i="4" s="1"/>
  <c r="CU158" i="4"/>
  <c r="CV158" i="4" s="1"/>
  <c r="CQ158" i="4"/>
  <c r="CR158" i="4" s="1"/>
  <c r="CM158" i="4"/>
  <c r="CN158" i="4" s="1"/>
  <c r="CI158" i="4"/>
  <c r="CJ158" i="4" s="1"/>
  <c r="CE158" i="4"/>
  <c r="CF158" i="4" s="1"/>
  <c r="CB158" i="4"/>
  <c r="DQ158" i="4"/>
  <c r="DR158" i="4" s="1"/>
  <c r="DA158" i="4"/>
  <c r="DB158" i="4" s="1"/>
  <c r="CK158" i="4"/>
  <c r="CL158" i="4" s="1"/>
  <c r="DE158" i="4"/>
  <c r="DF158" i="4" s="1"/>
  <c r="CO158" i="4"/>
  <c r="CP158" i="4" s="1"/>
  <c r="DM158" i="4"/>
  <c r="DN158" i="4" s="1"/>
  <c r="CW158" i="4"/>
  <c r="CX158" i="4" s="1"/>
  <c r="CG158" i="4"/>
  <c r="CH158" i="4" s="1"/>
  <c r="DI158" i="4"/>
  <c r="DJ158" i="4" s="1"/>
  <c r="CS158" i="4"/>
  <c r="CT158" i="4" s="1"/>
  <c r="CC158" i="4"/>
  <c r="CD158" i="4" s="1"/>
  <c r="DQ157" i="4"/>
  <c r="DR157" i="4" s="1"/>
  <c r="DK157" i="4"/>
  <c r="DL157" i="4" s="1"/>
  <c r="DA157" i="4"/>
  <c r="DB157" i="4" s="1"/>
  <c r="DO157" i="4"/>
  <c r="DP157" i="4" s="1"/>
  <c r="DE157" i="4"/>
  <c r="DF157" i="4" s="1"/>
  <c r="CY157" i="4"/>
  <c r="CZ157" i="4" s="1"/>
  <c r="CU157" i="4"/>
  <c r="CV157" i="4" s="1"/>
  <c r="CQ157" i="4"/>
  <c r="CR157" i="4" s="1"/>
  <c r="CM157" i="4"/>
  <c r="CN157" i="4" s="1"/>
  <c r="CI157" i="4"/>
  <c r="CJ157" i="4" s="1"/>
  <c r="CE157" i="4"/>
  <c r="CF157" i="4" s="1"/>
  <c r="CB157" i="4"/>
  <c r="DM157" i="4"/>
  <c r="DN157" i="4" s="1"/>
  <c r="DG157" i="4"/>
  <c r="DH157" i="4" s="1"/>
  <c r="CW157" i="4"/>
  <c r="CX157" i="4" s="1"/>
  <c r="CS157" i="4"/>
  <c r="CT157" i="4" s="1"/>
  <c r="CO157" i="4"/>
  <c r="CP157" i="4" s="1"/>
  <c r="CK157" i="4"/>
  <c r="CL157" i="4" s="1"/>
  <c r="CG157" i="4"/>
  <c r="CH157" i="4" s="1"/>
  <c r="CC157" i="4"/>
  <c r="CD157" i="4" s="1"/>
  <c r="DI157" i="4"/>
  <c r="DJ157" i="4" s="1"/>
  <c r="DC157" i="4"/>
  <c r="DD157" i="4" s="1"/>
  <c r="AY107" i="4"/>
  <c r="AZ107" i="4" s="1"/>
  <c r="AU107" i="4"/>
  <c r="AV107" i="4" s="1"/>
  <c r="AQ107" i="4"/>
  <c r="AR107" i="4" s="1"/>
  <c r="AM107" i="4"/>
  <c r="AN107" i="4" s="1"/>
  <c r="AI107" i="4"/>
  <c r="AJ107" i="4" s="1"/>
  <c r="AE107" i="4"/>
  <c r="AF107" i="4" s="1"/>
  <c r="AA107" i="4"/>
  <c r="AB107" i="4" s="1"/>
  <c r="W107" i="4"/>
  <c r="X107" i="4" s="1"/>
  <c r="S107" i="4"/>
  <c r="T107" i="4" s="1"/>
  <c r="O107" i="4"/>
  <c r="P107" i="4" s="1"/>
  <c r="K107" i="4"/>
  <c r="L107" i="4" s="1"/>
  <c r="AS107" i="4"/>
  <c r="AT107" i="4" s="1"/>
  <c r="AC107" i="4"/>
  <c r="AD107" i="4" s="1"/>
  <c r="M107" i="4"/>
  <c r="N107" i="4" s="1"/>
  <c r="AO107" i="4"/>
  <c r="AP107" i="4" s="1"/>
  <c r="Y107" i="4"/>
  <c r="Z107" i="4" s="1"/>
  <c r="J107" i="4"/>
  <c r="AW107" i="4"/>
  <c r="AX107" i="4" s="1"/>
  <c r="AG107" i="4"/>
  <c r="AH107" i="4" s="1"/>
  <c r="Q107" i="4"/>
  <c r="R107" i="4" s="1"/>
  <c r="AK107" i="4"/>
  <c r="AL107" i="4" s="1"/>
  <c r="U107" i="4"/>
  <c r="V107" i="4" s="1"/>
  <c r="AW105" i="4"/>
  <c r="AX105" i="4" s="1"/>
  <c r="AS105" i="4"/>
  <c r="AT105" i="4" s="1"/>
  <c r="AO105" i="4"/>
  <c r="AP105" i="4" s="1"/>
  <c r="AK105" i="4"/>
  <c r="AL105" i="4" s="1"/>
  <c r="AG105" i="4"/>
  <c r="AH105" i="4" s="1"/>
  <c r="AC105" i="4"/>
  <c r="AD105" i="4" s="1"/>
  <c r="Y105" i="4"/>
  <c r="Z105" i="4" s="1"/>
  <c r="U105" i="4"/>
  <c r="V105" i="4" s="1"/>
  <c r="Q105" i="4"/>
  <c r="R105" i="4" s="1"/>
  <c r="M105" i="4"/>
  <c r="N105" i="4" s="1"/>
  <c r="J105" i="4"/>
  <c r="AU105" i="4"/>
  <c r="AV105" i="4" s="1"/>
  <c r="AE105" i="4"/>
  <c r="AF105" i="4" s="1"/>
  <c r="O105" i="4"/>
  <c r="P105" i="4" s="1"/>
  <c r="AQ105" i="4"/>
  <c r="AR105" i="4" s="1"/>
  <c r="AA105" i="4"/>
  <c r="AB105" i="4" s="1"/>
  <c r="K105" i="4"/>
  <c r="L105" i="4" s="1"/>
  <c r="AY105" i="4"/>
  <c r="AZ105" i="4" s="1"/>
  <c r="AI105" i="4"/>
  <c r="AJ105" i="4" s="1"/>
  <c r="S105" i="4"/>
  <c r="T105" i="4" s="1"/>
  <c r="W105" i="4"/>
  <c r="X105" i="4" s="1"/>
  <c r="AM105" i="4"/>
  <c r="AN105" i="4" s="1"/>
  <c r="DO106" i="4"/>
  <c r="DP106" i="4" s="1"/>
  <c r="DK106" i="4"/>
  <c r="DL106" i="4" s="1"/>
  <c r="DG106" i="4"/>
  <c r="DH106" i="4" s="1"/>
  <c r="DC106" i="4"/>
  <c r="DD106" i="4" s="1"/>
  <c r="CY106" i="4"/>
  <c r="CZ106" i="4" s="1"/>
  <c r="CU106" i="4"/>
  <c r="CV106" i="4" s="1"/>
  <c r="CQ106" i="4"/>
  <c r="CR106" i="4" s="1"/>
  <c r="CM106" i="4"/>
  <c r="CN106" i="4" s="1"/>
  <c r="CI106" i="4"/>
  <c r="CJ106" i="4" s="1"/>
  <c r="CE106" i="4"/>
  <c r="CF106" i="4" s="1"/>
  <c r="CB106" i="4"/>
  <c r="DQ106" i="4"/>
  <c r="DR106" i="4" s="1"/>
  <c r="DM106" i="4"/>
  <c r="DN106" i="4" s="1"/>
  <c r="DI106" i="4"/>
  <c r="DJ106" i="4" s="1"/>
  <c r="DE106" i="4"/>
  <c r="DF106" i="4" s="1"/>
  <c r="DA106" i="4"/>
  <c r="DB106" i="4" s="1"/>
  <c r="CW106" i="4"/>
  <c r="CX106" i="4" s="1"/>
  <c r="CS106" i="4"/>
  <c r="CT106" i="4" s="1"/>
  <c r="CO106" i="4"/>
  <c r="CP106" i="4" s="1"/>
  <c r="CK106" i="4"/>
  <c r="CL106" i="4" s="1"/>
  <c r="CG106" i="4"/>
  <c r="CH106" i="4" s="1"/>
  <c r="CC106" i="4"/>
  <c r="CD106" i="4" s="1"/>
  <c r="DQ77" i="4"/>
  <c r="DR77" i="4" s="1"/>
  <c r="DM77" i="4"/>
  <c r="DN77" i="4" s="1"/>
  <c r="DI77" i="4"/>
  <c r="DJ77" i="4" s="1"/>
  <c r="DE77" i="4"/>
  <c r="DF77" i="4" s="1"/>
  <c r="DA77" i="4"/>
  <c r="DB77" i="4" s="1"/>
  <c r="CW77" i="4"/>
  <c r="CX77" i="4" s="1"/>
  <c r="CS77" i="4"/>
  <c r="CT77" i="4" s="1"/>
  <c r="CO77" i="4"/>
  <c r="CP77" i="4" s="1"/>
  <c r="CK77" i="4"/>
  <c r="CL77" i="4" s="1"/>
  <c r="CG77" i="4"/>
  <c r="CH77" i="4" s="1"/>
  <c r="CC77" i="4"/>
  <c r="CD77" i="4" s="1"/>
  <c r="DK77" i="4"/>
  <c r="DL77" i="4" s="1"/>
  <c r="DC77" i="4"/>
  <c r="DD77" i="4" s="1"/>
  <c r="CU77" i="4"/>
  <c r="CV77" i="4" s="1"/>
  <c r="CM77" i="4"/>
  <c r="CN77" i="4" s="1"/>
  <c r="CE77" i="4"/>
  <c r="CF77" i="4" s="1"/>
  <c r="DO77" i="4"/>
  <c r="DP77" i="4" s="1"/>
  <c r="CY77" i="4"/>
  <c r="CZ77" i="4" s="1"/>
  <c r="CI77" i="4"/>
  <c r="CJ77" i="4" s="1"/>
  <c r="DG77" i="4"/>
  <c r="DH77" i="4" s="1"/>
  <c r="CQ77" i="4"/>
  <c r="CR77" i="4" s="1"/>
  <c r="CB77" i="4"/>
  <c r="ER161" i="4"/>
  <c r="ES161" i="4" s="1"/>
  <c r="CA161" i="4"/>
  <c r="GG81" i="4"/>
  <c r="GH81" i="4" s="1"/>
  <c r="GC81" i="4"/>
  <c r="GD81" i="4" s="1"/>
  <c r="FY81" i="4"/>
  <c r="FZ81" i="4" s="1"/>
  <c r="FU81" i="4"/>
  <c r="FV81" i="4" s="1"/>
  <c r="FQ81" i="4"/>
  <c r="FR81" i="4" s="1"/>
  <c r="FM81" i="4"/>
  <c r="FN81" i="4" s="1"/>
  <c r="FI81" i="4"/>
  <c r="FJ81" i="4" s="1"/>
  <c r="FE81" i="4"/>
  <c r="FF81" i="4" s="1"/>
  <c r="FA81" i="4"/>
  <c r="FB81" i="4" s="1"/>
  <c r="EW81" i="4"/>
  <c r="EX81" i="4" s="1"/>
  <c r="ET81" i="4"/>
  <c r="GI81" i="4"/>
  <c r="GJ81" i="4" s="1"/>
  <c r="GA81" i="4"/>
  <c r="GB81" i="4" s="1"/>
  <c r="FS81" i="4"/>
  <c r="FT81" i="4" s="1"/>
  <c r="FK81" i="4"/>
  <c r="FL81" i="4" s="1"/>
  <c r="FC81" i="4"/>
  <c r="FD81" i="4" s="1"/>
  <c r="EU81" i="4"/>
  <c r="EV81" i="4" s="1"/>
  <c r="GE81" i="4"/>
  <c r="GF81" i="4" s="1"/>
  <c r="FO81" i="4"/>
  <c r="FP81" i="4" s="1"/>
  <c r="EY81" i="4"/>
  <c r="EZ81" i="4" s="1"/>
  <c r="FW81" i="4"/>
  <c r="FX81" i="4" s="1"/>
  <c r="FG81" i="4"/>
  <c r="FH81" i="4" s="1"/>
  <c r="GG40" i="4"/>
  <c r="GH40" i="4" s="1"/>
  <c r="GC40" i="4"/>
  <c r="GD40" i="4" s="1"/>
  <c r="FY40" i="4"/>
  <c r="FZ40" i="4" s="1"/>
  <c r="FU40" i="4"/>
  <c r="FV40" i="4" s="1"/>
  <c r="FQ40" i="4"/>
  <c r="FR40" i="4" s="1"/>
  <c r="FM40" i="4"/>
  <c r="FN40" i="4" s="1"/>
  <c r="FI40" i="4"/>
  <c r="FJ40" i="4" s="1"/>
  <c r="FE40" i="4"/>
  <c r="FF40" i="4" s="1"/>
  <c r="FA40" i="4"/>
  <c r="FB40" i="4" s="1"/>
  <c r="EW40" i="4"/>
  <c r="EX40" i="4" s="1"/>
  <c r="ET40" i="4"/>
  <c r="GE40" i="4"/>
  <c r="GF40" i="4" s="1"/>
  <c r="FG40" i="4"/>
  <c r="FH40" i="4" s="1"/>
  <c r="GI40" i="4"/>
  <c r="GJ40" i="4" s="1"/>
  <c r="GA40" i="4"/>
  <c r="GB40" i="4" s="1"/>
  <c r="FS40" i="4"/>
  <c r="FT40" i="4" s="1"/>
  <c r="FK40" i="4"/>
  <c r="FL40" i="4" s="1"/>
  <c r="FC40" i="4"/>
  <c r="FD40" i="4" s="1"/>
  <c r="EU40" i="4"/>
  <c r="EV40" i="4" s="1"/>
  <c r="FW40" i="4"/>
  <c r="FX40" i="4" s="1"/>
  <c r="FO40" i="4"/>
  <c r="FP40" i="4" s="1"/>
  <c r="EY40" i="4"/>
  <c r="EZ40" i="4" s="1"/>
  <c r="GI157" i="4"/>
  <c r="GJ157" i="4" s="1"/>
  <c r="FY157" i="4"/>
  <c r="FZ157" i="4" s="1"/>
  <c r="FS157" i="4"/>
  <c r="FT157" i="4" s="1"/>
  <c r="FI157" i="4"/>
  <c r="FJ157" i="4" s="1"/>
  <c r="FC157" i="4"/>
  <c r="FD157" i="4" s="1"/>
  <c r="ET157" i="4"/>
  <c r="GC157" i="4"/>
  <c r="GD157" i="4" s="1"/>
  <c r="FW157" i="4"/>
  <c r="FX157" i="4" s="1"/>
  <c r="FM157" i="4"/>
  <c r="FN157" i="4" s="1"/>
  <c r="FG157" i="4"/>
  <c r="FH157" i="4" s="1"/>
  <c r="EW157" i="4"/>
  <c r="EX157" i="4" s="1"/>
  <c r="GE157" i="4"/>
  <c r="GF157" i="4" s="1"/>
  <c r="FU157" i="4"/>
  <c r="FV157" i="4" s="1"/>
  <c r="FO157" i="4"/>
  <c r="FP157" i="4" s="1"/>
  <c r="FE157" i="4"/>
  <c r="FF157" i="4" s="1"/>
  <c r="EY157" i="4"/>
  <c r="EZ157" i="4" s="1"/>
  <c r="FA157" i="4"/>
  <c r="FB157" i="4" s="1"/>
  <c r="FQ157" i="4"/>
  <c r="FR157" i="4" s="1"/>
  <c r="EU157" i="4"/>
  <c r="EV157" i="4" s="1"/>
  <c r="GA157" i="4"/>
  <c r="GB157" i="4" s="1"/>
  <c r="FK157" i="4"/>
  <c r="FL157" i="4" s="1"/>
  <c r="GG157" i="4"/>
  <c r="GH157" i="4" s="1"/>
  <c r="ER154" i="4"/>
  <c r="ES154" i="4" s="1"/>
  <c r="CA154" i="4"/>
  <c r="DQ160" i="4"/>
  <c r="DR160" i="4" s="1"/>
  <c r="DM160" i="4"/>
  <c r="DN160" i="4" s="1"/>
  <c r="DI160" i="4"/>
  <c r="DJ160" i="4" s="1"/>
  <c r="DE160" i="4"/>
  <c r="DF160" i="4" s="1"/>
  <c r="DA160" i="4"/>
  <c r="DB160" i="4" s="1"/>
  <c r="CW160" i="4"/>
  <c r="CX160" i="4" s="1"/>
  <c r="CS160" i="4"/>
  <c r="CT160" i="4" s="1"/>
  <c r="CO160" i="4"/>
  <c r="CP160" i="4" s="1"/>
  <c r="CK160" i="4"/>
  <c r="CL160" i="4" s="1"/>
  <c r="CG160" i="4"/>
  <c r="CH160" i="4" s="1"/>
  <c r="CC160" i="4"/>
  <c r="CD160" i="4" s="1"/>
  <c r="DO160" i="4"/>
  <c r="DP160" i="4" s="1"/>
  <c r="DK160" i="4"/>
  <c r="DL160" i="4" s="1"/>
  <c r="DG160" i="4"/>
  <c r="DH160" i="4" s="1"/>
  <c r="DC160" i="4"/>
  <c r="DD160" i="4" s="1"/>
  <c r="CY160" i="4"/>
  <c r="CZ160" i="4" s="1"/>
  <c r="CU160" i="4"/>
  <c r="CV160" i="4" s="1"/>
  <c r="CQ160" i="4"/>
  <c r="CR160" i="4" s="1"/>
  <c r="CM160" i="4"/>
  <c r="CN160" i="4" s="1"/>
  <c r="CI160" i="4"/>
  <c r="CJ160" i="4" s="1"/>
  <c r="CE160" i="4"/>
  <c r="CF160" i="4" s="1"/>
  <c r="CB160" i="4"/>
  <c r="AW154" i="4"/>
  <c r="AX154" i="4" s="1"/>
  <c r="AS154" i="4"/>
  <c r="AT154" i="4" s="1"/>
  <c r="AY154" i="4"/>
  <c r="AZ154" i="4" s="1"/>
  <c r="AM154" i="4"/>
  <c r="AN154" i="4" s="1"/>
  <c r="AE154" i="4"/>
  <c r="AF154" i="4" s="1"/>
  <c r="W154" i="4"/>
  <c r="X154" i="4" s="1"/>
  <c r="O154" i="4"/>
  <c r="P154" i="4" s="1"/>
  <c r="AU154" i="4"/>
  <c r="AV154" i="4" s="1"/>
  <c r="AK154" i="4"/>
  <c r="AL154" i="4" s="1"/>
  <c r="AC154" i="4"/>
  <c r="AD154" i="4" s="1"/>
  <c r="U154" i="4"/>
  <c r="V154" i="4" s="1"/>
  <c r="M154" i="4"/>
  <c r="N154" i="4" s="1"/>
  <c r="AO154" i="4"/>
  <c r="AP154" i="4" s="1"/>
  <c r="AG154" i="4"/>
  <c r="AH154" i="4" s="1"/>
  <c r="Y154" i="4"/>
  <c r="Z154" i="4" s="1"/>
  <c r="Q154" i="4"/>
  <c r="R154" i="4" s="1"/>
  <c r="J154" i="4"/>
  <c r="AQ154" i="4"/>
  <c r="AR154" i="4" s="1"/>
  <c r="K154" i="4"/>
  <c r="L154" i="4" s="1"/>
  <c r="AI154" i="4"/>
  <c r="AJ154" i="4" s="1"/>
  <c r="S154" i="4"/>
  <c r="T154" i="4" s="1"/>
  <c r="AA154" i="4"/>
  <c r="AB154" i="4" s="1"/>
  <c r="DQ151" i="4"/>
  <c r="DR151" i="4" s="1"/>
  <c r="DM151" i="4"/>
  <c r="DN151" i="4" s="1"/>
  <c r="DC151" i="4"/>
  <c r="DD151" i="4" s="1"/>
  <c r="CW151" i="4"/>
  <c r="CX151" i="4" s="1"/>
  <c r="CM151" i="4"/>
  <c r="CN151" i="4" s="1"/>
  <c r="CG151" i="4"/>
  <c r="CH151" i="4" s="1"/>
  <c r="DG151" i="4"/>
  <c r="DH151" i="4" s="1"/>
  <c r="DA151" i="4"/>
  <c r="DB151" i="4" s="1"/>
  <c r="CQ151" i="4"/>
  <c r="CR151" i="4" s="1"/>
  <c r="CK151" i="4"/>
  <c r="CL151" i="4" s="1"/>
  <c r="CB151" i="4"/>
  <c r="DO151" i="4"/>
  <c r="DP151" i="4" s="1"/>
  <c r="DI151" i="4"/>
  <c r="DJ151" i="4" s="1"/>
  <c r="CY151" i="4"/>
  <c r="CZ151" i="4" s="1"/>
  <c r="CS151" i="4"/>
  <c r="CT151" i="4" s="1"/>
  <c r="CI151" i="4"/>
  <c r="CJ151" i="4" s="1"/>
  <c r="CC151" i="4"/>
  <c r="CD151" i="4" s="1"/>
  <c r="DK151" i="4"/>
  <c r="DL151" i="4" s="1"/>
  <c r="CO151" i="4"/>
  <c r="CP151" i="4" s="1"/>
  <c r="DE151" i="4"/>
  <c r="DF151" i="4" s="1"/>
  <c r="CU151" i="4"/>
  <c r="CV151" i="4" s="1"/>
  <c r="CE151" i="4"/>
  <c r="CF151" i="4" s="1"/>
  <c r="DQ143" i="4"/>
  <c r="DR143" i="4" s="1"/>
  <c r="DM143" i="4"/>
  <c r="DN143" i="4" s="1"/>
  <c r="DI143" i="4"/>
  <c r="DJ143" i="4" s="1"/>
  <c r="DE143" i="4"/>
  <c r="DF143" i="4" s="1"/>
  <c r="DA143" i="4"/>
  <c r="DB143" i="4" s="1"/>
  <c r="CW143" i="4"/>
  <c r="CX143" i="4" s="1"/>
  <c r="CS143" i="4"/>
  <c r="CT143" i="4" s="1"/>
  <c r="CO143" i="4"/>
  <c r="CP143" i="4" s="1"/>
  <c r="CK143" i="4"/>
  <c r="CL143" i="4" s="1"/>
  <c r="CG143" i="4"/>
  <c r="CH143" i="4" s="1"/>
  <c r="CC143" i="4"/>
  <c r="CD143" i="4" s="1"/>
  <c r="DK143" i="4"/>
  <c r="DL143" i="4" s="1"/>
  <c r="CU143" i="4"/>
  <c r="CV143" i="4" s="1"/>
  <c r="CE143" i="4"/>
  <c r="CF143" i="4" s="1"/>
  <c r="DO143" i="4"/>
  <c r="DP143" i="4" s="1"/>
  <c r="CY143" i="4"/>
  <c r="CZ143" i="4" s="1"/>
  <c r="CI143" i="4"/>
  <c r="CJ143" i="4" s="1"/>
  <c r="DG143" i="4"/>
  <c r="DH143" i="4" s="1"/>
  <c r="CQ143" i="4"/>
  <c r="CR143" i="4" s="1"/>
  <c r="CB143" i="4"/>
  <c r="CM143" i="4"/>
  <c r="CN143" i="4" s="1"/>
  <c r="DC143" i="4"/>
  <c r="DD143" i="4" s="1"/>
  <c r="AW138" i="4"/>
  <c r="AX138" i="4" s="1"/>
  <c r="AS138" i="4"/>
  <c r="AT138" i="4" s="1"/>
  <c r="AO138" i="4"/>
  <c r="AP138" i="4" s="1"/>
  <c r="AK138" i="4"/>
  <c r="AL138" i="4" s="1"/>
  <c r="AG138" i="4"/>
  <c r="AH138" i="4" s="1"/>
  <c r="AC138" i="4"/>
  <c r="AD138" i="4" s="1"/>
  <c r="Y138" i="4"/>
  <c r="Z138" i="4" s="1"/>
  <c r="U138" i="4"/>
  <c r="V138" i="4" s="1"/>
  <c r="Q138" i="4"/>
  <c r="R138" i="4" s="1"/>
  <c r="M138" i="4"/>
  <c r="N138" i="4" s="1"/>
  <c r="J138" i="4"/>
  <c r="AU138" i="4"/>
  <c r="AV138" i="4" s="1"/>
  <c r="AE138" i="4"/>
  <c r="AF138" i="4" s="1"/>
  <c r="O138" i="4"/>
  <c r="P138" i="4" s="1"/>
  <c r="AQ138" i="4"/>
  <c r="AR138" i="4" s="1"/>
  <c r="AA138" i="4"/>
  <c r="AB138" i="4" s="1"/>
  <c r="K138" i="4"/>
  <c r="L138" i="4" s="1"/>
  <c r="AY138" i="4"/>
  <c r="AZ138" i="4" s="1"/>
  <c r="AI138" i="4"/>
  <c r="AJ138" i="4" s="1"/>
  <c r="S138" i="4"/>
  <c r="T138" i="4" s="1"/>
  <c r="AM138" i="4"/>
  <c r="AN138" i="4" s="1"/>
  <c r="W138" i="4"/>
  <c r="X138" i="4" s="1"/>
  <c r="AW117" i="4"/>
  <c r="AX117" i="4" s="1"/>
  <c r="AS117" i="4"/>
  <c r="AT117" i="4" s="1"/>
  <c r="AO117" i="4"/>
  <c r="AP117" i="4" s="1"/>
  <c r="AK117" i="4"/>
  <c r="AL117" i="4" s="1"/>
  <c r="AG117" i="4"/>
  <c r="AH117" i="4" s="1"/>
  <c r="AC117" i="4"/>
  <c r="AD117" i="4" s="1"/>
  <c r="Y117" i="4"/>
  <c r="Z117" i="4" s="1"/>
  <c r="U117" i="4"/>
  <c r="V117" i="4" s="1"/>
  <c r="Q117" i="4"/>
  <c r="R117" i="4" s="1"/>
  <c r="M117" i="4"/>
  <c r="N117" i="4" s="1"/>
  <c r="J117" i="4"/>
  <c r="AU117" i="4"/>
  <c r="AV117" i="4" s="1"/>
  <c r="AE117" i="4"/>
  <c r="AF117" i="4" s="1"/>
  <c r="O117" i="4"/>
  <c r="P117" i="4" s="1"/>
  <c r="AQ117" i="4"/>
  <c r="AR117" i="4" s="1"/>
  <c r="AA117" i="4"/>
  <c r="AB117" i="4" s="1"/>
  <c r="K117" i="4"/>
  <c r="L117" i="4" s="1"/>
  <c r="AY117" i="4"/>
  <c r="AZ117" i="4" s="1"/>
  <c r="AI117" i="4"/>
  <c r="AJ117" i="4" s="1"/>
  <c r="S117" i="4"/>
  <c r="T117" i="4" s="1"/>
  <c r="AM117" i="4"/>
  <c r="AN117" i="4" s="1"/>
  <c r="W117" i="4"/>
  <c r="X117" i="4" s="1"/>
  <c r="ER129" i="4"/>
  <c r="ES129" i="4" s="1"/>
  <c r="CA129" i="4"/>
  <c r="DO118" i="4"/>
  <c r="DP118" i="4" s="1"/>
  <c r="DK118" i="4"/>
  <c r="DL118" i="4" s="1"/>
  <c r="DG118" i="4"/>
  <c r="DH118" i="4" s="1"/>
  <c r="DC118" i="4"/>
  <c r="DD118" i="4" s="1"/>
  <c r="CY118" i="4"/>
  <c r="CZ118" i="4" s="1"/>
  <c r="CU118" i="4"/>
  <c r="CV118" i="4" s="1"/>
  <c r="CQ118" i="4"/>
  <c r="CR118" i="4" s="1"/>
  <c r="CM118" i="4"/>
  <c r="CN118" i="4" s="1"/>
  <c r="CI118" i="4"/>
  <c r="CJ118" i="4" s="1"/>
  <c r="CE118" i="4"/>
  <c r="CF118" i="4" s="1"/>
  <c r="CB118" i="4"/>
  <c r="DQ118" i="4"/>
  <c r="DR118" i="4" s="1"/>
  <c r="DM118" i="4"/>
  <c r="DN118" i="4" s="1"/>
  <c r="DI118" i="4"/>
  <c r="DJ118" i="4" s="1"/>
  <c r="DE118" i="4"/>
  <c r="DF118" i="4" s="1"/>
  <c r="DA118" i="4"/>
  <c r="DB118" i="4" s="1"/>
  <c r="CW118" i="4"/>
  <c r="CX118" i="4" s="1"/>
  <c r="CS118" i="4"/>
  <c r="CT118" i="4" s="1"/>
  <c r="CO118" i="4"/>
  <c r="CP118" i="4" s="1"/>
  <c r="CK118" i="4"/>
  <c r="CL118" i="4" s="1"/>
  <c r="CG118" i="4"/>
  <c r="CH118" i="4" s="1"/>
  <c r="CC118" i="4"/>
  <c r="CD118" i="4" s="1"/>
  <c r="GI115" i="4"/>
  <c r="GJ115" i="4" s="1"/>
  <c r="FY115" i="4"/>
  <c r="FZ115" i="4" s="1"/>
  <c r="FS115" i="4"/>
  <c r="FT115" i="4" s="1"/>
  <c r="FI115" i="4"/>
  <c r="FJ115" i="4" s="1"/>
  <c r="FC115" i="4"/>
  <c r="FD115" i="4" s="1"/>
  <c r="ET115" i="4"/>
  <c r="GC115" i="4"/>
  <c r="GD115" i="4" s="1"/>
  <c r="FW115" i="4"/>
  <c r="FX115" i="4" s="1"/>
  <c r="FM115" i="4"/>
  <c r="FN115" i="4" s="1"/>
  <c r="FG115" i="4"/>
  <c r="FH115" i="4" s="1"/>
  <c r="EW115" i="4"/>
  <c r="EX115" i="4" s="1"/>
  <c r="GE115" i="4"/>
  <c r="GF115" i="4" s="1"/>
  <c r="FU115" i="4"/>
  <c r="FV115" i="4" s="1"/>
  <c r="FO115" i="4"/>
  <c r="FP115" i="4" s="1"/>
  <c r="FE115" i="4"/>
  <c r="FF115" i="4" s="1"/>
  <c r="EY115" i="4"/>
  <c r="EZ115" i="4" s="1"/>
  <c r="FQ115" i="4"/>
  <c r="FR115" i="4" s="1"/>
  <c r="EU115" i="4"/>
  <c r="EV115" i="4" s="1"/>
  <c r="GG115" i="4"/>
  <c r="GH115" i="4" s="1"/>
  <c r="FK115" i="4"/>
  <c r="FL115" i="4" s="1"/>
  <c r="FA115" i="4"/>
  <c r="FB115" i="4" s="1"/>
  <c r="GA115" i="4"/>
  <c r="GB115" i="4" s="1"/>
  <c r="AW109" i="4"/>
  <c r="AX109" i="4" s="1"/>
  <c r="AS109" i="4"/>
  <c r="AT109" i="4" s="1"/>
  <c r="AO109" i="4"/>
  <c r="AP109" i="4" s="1"/>
  <c r="AK109" i="4"/>
  <c r="AL109" i="4" s="1"/>
  <c r="AG109" i="4"/>
  <c r="AH109" i="4" s="1"/>
  <c r="AC109" i="4"/>
  <c r="AD109" i="4" s="1"/>
  <c r="Y109" i="4"/>
  <c r="Z109" i="4" s="1"/>
  <c r="U109" i="4"/>
  <c r="V109" i="4" s="1"/>
  <c r="Q109" i="4"/>
  <c r="R109" i="4" s="1"/>
  <c r="M109" i="4"/>
  <c r="N109" i="4" s="1"/>
  <c r="J109" i="4"/>
  <c r="AU109" i="4"/>
  <c r="AV109" i="4" s="1"/>
  <c r="AE109" i="4"/>
  <c r="AF109" i="4" s="1"/>
  <c r="O109" i="4"/>
  <c r="P109" i="4" s="1"/>
  <c r="AQ109" i="4"/>
  <c r="AR109" i="4" s="1"/>
  <c r="AA109" i="4"/>
  <c r="AB109" i="4" s="1"/>
  <c r="K109" i="4"/>
  <c r="L109" i="4" s="1"/>
  <c r="AY109" i="4"/>
  <c r="AZ109" i="4" s="1"/>
  <c r="AI109" i="4"/>
  <c r="AJ109" i="4" s="1"/>
  <c r="S109" i="4"/>
  <c r="T109" i="4" s="1"/>
  <c r="W109" i="4"/>
  <c r="X109" i="4" s="1"/>
  <c r="AM109" i="4"/>
  <c r="AN109" i="4" s="1"/>
  <c r="ER105" i="4"/>
  <c r="ES105" i="4" s="1"/>
  <c r="CA105" i="4"/>
  <c r="DO130" i="4"/>
  <c r="DP130" i="4" s="1"/>
  <c r="DK130" i="4"/>
  <c r="DL130" i="4" s="1"/>
  <c r="DG130" i="4"/>
  <c r="DH130" i="4" s="1"/>
  <c r="DC130" i="4"/>
  <c r="DD130" i="4" s="1"/>
  <c r="CY130" i="4"/>
  <c r="CZ130" i="4" s="1"/>
  <c r="CU130" i="4"/>
  <c r="CV130" i="4" s="1"/>
  <c r="CQ130" i="4"/>
  <c r="CR130" i="4" s="1"/>
  <c r="CM130" i="4"/>
  <c r="CN130" i="4" s="1"/>
  <c r="CI130" i="4"/>
  <c r="CJ130" i="4" s="1"/>
  <c r="CE130" i="4"/>
  <c r="CF130" i="4" s="1"/>
  <c r="CB130" i="4"/>
  <c r="DQ130" i="4"/>
  <c r="DR130" i="4" s="1"/>
  <c r="DM130" i="4"/>
  <c r="DN130" i="4" s="1"/>
  <c r="DI130" i="4"/>
  <c r="DJ130" i="4" s="1"/>
  <c r="DE130" i="4"/>
  <c r="DF130" i="4" s="1"/>
  <c r="DA130" i="4"/>
  <c r="DB130" i="4" s="1"/>
  <c r="CW130" i="4"/>
  <c r="CX130" i="4" s="1"/>
  <c r="CS130" i="4"/>
  <c r="CT130" i="4" s="1"/>
  <c r="CO130" i="4"/>
  <c r="CP130" i="4" s="1"/>
  <c r="CK130" i="4"/>
  <c r="CL130" i="4" s="1"/>
  <c r="CG130" i="4"/>
  <c r="CH130" i="4" s="1"/>
  <c r="CC130" i="4"/>
  <c r="CD130" i="4" s="1"/>
  <c r="AY101" i="4"/>
  <c r="AZ101" i="4" s="1"/>
  <c r="AU101" i="4"/>
  <c r="AV101" i="4" s="1"/>
  <c r="AQ101" i="4"/>
  <c r="AR101" i="4" s="1"/>
  <c r="AM101" i="4"/>
  <c r="AN101" i="4" s="1"/>
  <c r="AI101" i="4"/>
  <c r="AJ101" i="4" s="1"/>
  <c r="AE101" i="4"/>
  <c r="AF101" i="4" s="1"/>
  <c r="AA101" i="4"/>
  <c r="AB101" i="4" s="1"/>
  <c r="W101" i="4"/>
  <c r="X101" i="4" s="1"/>
  <c r="S101" i="4"/>
  <c r="T101" i="4" s="1"/>
  <c r="O101" i="4"/>
  <c r="P101" i="4" s="1"/>
  <c r="K101" i="4"/>
  <c r="L101" i="4" s="1"/>
  <c r="AO101" i="4"/>
  <c r="AP101" i="4" s="1"/>
  <c r="Y101" i="4"/>
  <c r="Z101" i="4" s="1"/>
  <c r="J101" i="4"/>
  <c r="AK101" i="4"/>
  <c r="AL101" i="4" s="1"/>
  <c r="U101" i="4"/>
  <c r="V101" i="4" s="1"/>
  <c r="AS101" i="4"/>
  <c r="AT101" i="4" s="1"/>
  <c r="AC101" i="4"/>
  <c r="AD101" i="4" s="1"/>
  <c r="M101" i="4"/>
  <c r="N101" i="4" s="1"/>
  <c r="AW101" i="4"/>
  <c r="AX101" i="4" s="1"/>
  <c r="Q101" i="4"/>
  <c r="R101" i="4" s="1"/>
  <c r="AG101" i="4"/>
  <c r="AH101" i="4" s="1"/>
  <c r="AW99" i="4"/>
  <c r="AX99" i="4" s="1"/>
  <c r="AS99" i="4"/>
  <c r="AT99" i="4" s="1"/>
  <c r="AO99" i="4"/>
  <c r="AP99" i="4" s="1"/>
  <c r="AK99" i="4"/>
  <c r="AL99" i="4" s="1"/>
  <c r="AG99" i="4"/>
  <c r="AH99" i="4" s="1"/>
  <c r="AC99" i="4"/>
  <c r="AD99" i="4" s="1"/>
  <c r="Y99" i="4"/>
  <c r="Z99" i="4" s="1"/>
  <c r="U99" i="4"/>
  <c r="V99" i="4" s="1"/>
  <c r="Q99" i="4"/>
  <c r="R99" i="4" s="1"/>
  <c r="M99" i="4"/>
  <c r="N99" i="4" s="1"/>
  <c r="J99" i="4"/>
  <c r="AU99" i="4"/>
  <c r="AV99" i="4" s="1"/>
  <c r="AE99" i="4"/>
  <c r="AF99" i="4" s="1"/>
  <c r="O99" i="4"/>
  <c r="P99" i="4" s="1"/>
  <c r="AQ99" i="4"/>
  <c r="AR99" i="4" s="1"/>
  <c r="AA99" i="4"/>
  <c r="AB99" i="4" s="1"/>
  <c r="K99" i="4"/>
  <c r="L99" i="4" s="1"/>
  <c r="AY99" i="4"/>
  <c r="AZ99" i="4" s="1"/>
  <c r="AI99" i="4"/>
  <c r="AJ99" i="4" s="1"/>
  <c r="S99" i="4"/>
  <c r="T99" i="4" s="1"/>
  <c r="AM99" i="4"/>
  <c r="AN99" i="4" s="1"/>
  <c r="W99" i="4"/>
  <c r="X99" i="4" s="1"/>
  <c r="DO110" i="4"/>
  <c r="DP110" i="4" s="1"/>
  <c r="DK110" i="4"/>
  <c r="DL110" i="4" s="1"/>
  <c r="DG110" i="4"/>
  <c r="DH110" i="4" s="1"/>
  <c r="DC110" i="4"/>
  <c r="DD110" i="4" s="1"/>
  <c r="CY110" i="4"/>
  <c r="CZ110" i="4" s="1"/>
  <c r="CU110" i="4"/>
  <c r="CV110" i="4" s="1"/>
  <c r="CQ110" i="4"/>
  <c r="CR110" i="4" s="1"/>
  <c r="CM110" i="4"/>
  <c r="CN110" i="4" s="1"/>
  <c r="CI110" i="4"/>
  <c r="CJ110" i="4" s="1"/>
  <c r="CE110" i="4"/>
  <c r="CF110" i="4" s="1"/>
  <c r="CB110" i="4"/>
  <c r="DQ110" i="4"/>
  <c r="DR110" i="4" s="1"/>
  <c r="DM110" i="4"/>
  <c r="DN110" i="4" s="1"/>
  <c r="DI110" i="4"/>
  <c r="DJ110" i="4" s="1"/>
  <c r="DE110" i="4"/>
  <c r="DF110" i="4" s="1"/>
  <c r="DA110" i="4"/>
  <c r="DB110" i="4" s="1"/>
  <c r="CW110" i="4"/>
  <c r="CX110" i="4" s="1"/>
  <c r="CS110" i="4"/>
  <c r="CT110" i="4" s="1"/>
  <c r="CO110" i="4"/>
  <c r="CP110" i="4" s="1"/>
  <c r="CK110" i="4"/>
  <c r="CL110" i="4" s="1"/>
  <c r="CG110" i="4"/>
  <c r="CH110" i="4" s="1"/>
  <c r="CC110" i="4"/>
  <c r="CD110" i="4" s="1"/>
  <c r="GG77" i="4"/>
  <c r="GH77" i="4" s="1"/>
  <c r="GC77" i="4"/>
  <c r="GD77" i="4" s="1"/>
  <c r="FY77" i="4"/>
  <c r="FZ77" i="4" s="1"/>
  <c r="FU77" i="4"/>
  <c r="FV77" i="4" s="1"/>
  <c r="FQ77" i="4"/>
  <c r="FR77" i="4" s="1"/>
  <c r="FM77" i="4"/>
  <c r="FN77" i="4" s="1"/>
  <c r="FI77" i="4"/>
  <c r="FJ77" i="4" s="1"/>
  <c r="FE77" i="4"/>
  <c r="FF77" i="4" s="1"/>
  <c r="FA77" i="4"/>
  <c r="FB77" i="4" s="1"/>
  <c r="EW77" i="4"/>
  <c r="EX77" i="4" s="1"/>
  <c r="ET77" i="4"/>
  <c r="GE77" i="4"/>
  <c r="GF77" i="4" s="1"/>
  <c r="FW77" i="4"/>
  <c r="FX77" i="4" s="1"/>
  <c r="FO77" i="4"/>
  <c r="FP77" i="4" s="1"/>
  <c r="FG77" i="4"/>
  <c r="FH77" i="4" s="1"/>
  <c r="EY77" i="4"/>
  <c r="EZ77" i="4" s="1"/>
  <c r="GI77" i="4"/>
  <c r="GJ77" i="4" s="1"/>
  <c r="FS77" i="4"/>
  <c r="FT77" i="4" s="1"/>
  <c r="FC77" i="4"/>
  <c r="FD77" i="4" s="1"/>
  <c r="GA77" i="4"/>
  <c r="GB77" i="4" s="1"/>
  <c r="EU77" i="4"/>
  <c r="EV77" i="4" s="1"/>
  <c r="FK77" i="4"/>
  <c r="FL77" i="4" s="1"/>
  <c r="ER93" i="4"/>
  <c r="ES93" i="4" s="1"/>
  <c r="CA93" i="4"/>
  <c r="DO86" i="4"/>
  <c r="DP86" i="4" s="1"/>
  <c r="DK86" i="4"/>
  <c r="DL86" i="4" s="1"/>
  <c r="DG86" i="4"/>
  <c r="DH86" i="4" s="1"/>
  <c r="DC86" i="4"/>
  <c r="DD86" i="4" s="1"/>
  <c r="CY86" i="4"/>
  <c r="CZ86" i="4" s="1"/>
  <c r="CU86" i="4"/>
  <c r="CV86" i="4" s="1"/>
  <c r="CQ86" i="4"/>
  <c r="CR86" i="4" s="1"/>
  <c r="CM86" i="4"/>
  <c r="CN86" i="4" s="1"/>
  <c r="CI86" i="4"/>
  <c r="CJ86" i="4" s="1"/>
  <c r="CE86" i="4"/>
  <c r="CF86" i="4" s="1"/>
  <c r="CB86" i="4"/>
  <c r="DQ86" i="4"/>
  <c r="DR86" i="4" s="1"/>
  <c r="DM86" i="4"/>
  <c r="DN86" i="4" s="1"/>
  <c r="DI86" i="4"/>
  <c r="DJ86" i="4" s="1"/>
  <c r="DE86" i="4"/>
  <c r="DF86" i="4" s="1"/>
  <c r="DA86" i="4"/>
  <c r="DB86" i="4" s="1"/>
  <c r="CW86" i="4"/>
  <c r="CX86" i="4" s="1"/>
  <c r="CS86" i="4"/>
  <c r="CT86" i="4" s="1"/>
  <c r="CO86" i="4"/>
  <c r="CP86" i="4" s="1"/>
  <c r="CK86" i="4"/>
  <c r="CL86" i="4" s="1"/>
  <c r="CG86" i="4"/>
  <c r="CH86" i="4" s="1"/>
  <c r="CC86" i="4"/>
  <c r="CD86" i="4" s="1"/>
  <c r="ER82" i="4"/>
  <c r="ES82" i="4" s="1"/>
  <c r="CA82" i="4"/>
  <c r="AW77" i="4"/>
  <c r="AX77" i="4" s="1"/>
  <c r="AS77" i="4"/>
  <c r="AT77" i="4" s="1"/>
  <c r="AO77" i="4"/>
  <c r="AP77" i="4" s="1"/>
  <c r="AK77" i="4"/>
  <c r="AL77" i="4" s="1"/>
  <c r="AG77" i="4"/>
  <c r="AH77" i="4" s="1"/>
  <c r="AC77" i="4"/>
  <c r="AD77" i="4" s="1"/>
  <c r="Y77" i="4"/>
  <c r="Z77" i="4" s="1"/>
  <c r="U77" i="4"/>
  <c r="V77" i="4" s="1"/>
  <c r="Q77" i="4"/>
  <c r="R77" i="4" s="1"/>
  <c r="M77" i="4"/>
  <c r="N77" i="4" s="1"/>
  <c r="J77" i="4"/>
  <c r="AU77" i="4"/>
  <c r="AV77" i="4" s="1"/>
  <c r="AM77" i="4"/>
  <c r="AN77" i="4" s="1"/>
  <c r="AE77" i="4"/>
  <c r="AF77" i="4" s="1"/>
  <c r="W77" i="4"/>
  <c r="X77" i="4" s="1"/>
  <c r="O77" i="4"/>
  <c r="P77" i="4" s="1"/>
  <c r="AQ77" i="4"/>
  <c r="AR77" i="4" s="1"/>
  <c r="AA77" i="4"/>
  <c r="AB77" i="4" s="1"/>
  <c r="K77" i="4"/>
  <c r="L77" i="4" s="1"/>
  <c r="AY77" i="4"/>
  <c r="AZ77" i="4" s="1"/>
  <c r="S77" i="4"/>
  <c r="T77" i="4" s="1"/>
  <c r="AI77" i="4"/>
  <c r="AJ77" i="4" s="1"/>
  <c r="CA73" i="4"/>
  <c r="ER73" i="4"/>
  <c r="ES73" i="4" s="1"/>
  <c r="DQ70" i="4"/>
  <c r="DR70" i="4" s="1"/>
  <c r="DM70" i="4"/>
  <c r="DN70" i="4" s="1"/>
  <c r="DI70" i="4"/>
  <c r="DJ70" i="4" s="1"/>
  <c r="DE70" i="4"/>
  <c r="DF70" i="4" s="1"/>
  <c r="DA70" i="4"/>
  <c r="DB70" i="4" s="1"/>
  <c r="CW70" i="4"/>
  <c r="CX70" i="4" s="1"/>
  <c r="CS70" i="4"/>
  <c r="CT70" i="4" s="1"/>
  <c r="CO70" i="4"/>
  <c r="CP70" i="4" s="1"/>
  <c r="CK70" i="4"/>
  <c r="CL70" i="4" s="1"/>
  <c r="CG70" i="4"/>
  <c r="CH70" i="4" s="1"/>
  <c r="CC70" i="4"/>
  <c r="CD70" i="4" s="1"/>
  <c r="DO70" i="4"/>
  <c r="DP70" i="4" s="1"/>
  <c r="DG70" i="4"/>
  <c r="DH70" i="4" s="1"/>
  <c r="CY70" i="4"/>
  <c r="CZ70" i="4" s="1"/>
  <c r="CQ70" i="4"/>
  <c r="CR70" i="4" s="1"/>
  <c r="CI70" i="4"/>
  <c r="CJ70" i="4" s="1"/>
  <c r="CB70" i="4"/>
  <c r="DK70" i="4"/>
  <c r="DL70" i="4" s="1"/>
  <c r="CU70" i="4"/>
  <c r="CV70" i="4" s="1"/>
  <c r="CE70" i="4"/>
  <c r="CF70" i="4" s="1"/>
  <c r="DC70" i="4"/>
  <c r="DD70" i="4" s="1"/>
  <c r="CM70" i="4"/>
  <c r="CN70" i="4" s="1"/>
  <c r="DQ55" i="4"/>
  <c r="DR55" i="4" s="1"/>
  <c r="DM55" i="4"/>
  <c r="DN55" i="4" s="1"/>
  <c r="DI55" i="4"/>
  <c r="DJ55" i="4" s="1"/>
  <c r="DE55" i="4"/>
  <c r="DF55" i="4" s="1"/>
  <c r="DA55" i="4"/>
  <c r="DB55" i="4" s="1"/>
  <c r="CW55" i="4"/>
  <c r="CX55" i="4" s="1"/>
  <c r="CS55" i="4"/>
  <c r="CT55" i="4" s="1"/>
  <c r="CO55" i="4"/>
  <c r="CP55" i="4" s="1"/>
  <c r="CK55" i="4"/>
  <c r="CL55" i="4" s="1"/>
  <c r="CG55" i="4"/>
  <c r="CH55" i="4" s="1"/>
  <c r="CC55" i="4"/>
  <c r="CD55" i="4" s="1"/>
  <c r="DO55" i="4"/>
  <c r="DP55" i="4" s="1"/>
  <c r="DG55" i="4"/>
  <c r="DH55" i="4" s="1"/>
  <c r="CY55" i="4"/>
  <c r="CZ55" i="4" s="1"/>
  <c r="CQ55" i="4"/>
  <c r="CR55" i="4" s="1"/>
  <c r="CI55" i="4"/>
  <c r="CJ55" i="4" s="1"/>
  <c r="CB55" i="4"/>
  <c r="DK55" i="4"/>
  <c r="DL55" i="4" s="1"/>
  <c r="DC55" i="4"/>
  <c r="DD55" i="4" s="1"/>
  <c r="CU55" i="4"/>
  <c r="CV55" i="4" s="1"/>
  <c r="CM55" i="4"/>
  <c r="CN55" i="4" s="1"/>
  <c r="CE55" i="4"/>
  <c r="CF55" i="4" s="1"/>
  <c r="DQ54" i="4"/>
  <c r="DR54" i="4" s="1"/>
  <c r="DM54" i="4"/>
  <c r="DN54" i="4" s="1"/>
  <c r="DI54" i="4"/>
  <c r="DJ54" i="4" s="1"/>
  <c r="DE54" i="4"/>
  <c r="DF54" i="4" s="1"/>
  <c r="DA54" i="4"/>
  <c r="DB54" i="4" s="1"/>
  <c r="CW54" i="4"/>
  <c r="CX54" i="4" s="1"/>
  <c r="CS54" i="4"/>
  <c r="CT54" i="4" s="1"/>
  <c r="CO54" i="4"/>
  <c r="CP54" i="4" s="1"/>
  <c r="CK54" i="4"/>
  <c r="CL54" i="4" s="1"/>
  <c r="CG54" i="4"/>
  <c r="CH54" i="4" s="1"/>
  <c r="CC54" i="4"/>
  <c r="CD54" i="4" s="1"/>
  <c r="DK54" i="4"/>
  <c r="DL54" i="4" s="1"/>
  <c r="DC54" i="4"/>
  <c r="DD54" i="4" s="1"/>
  <c r="CU54" i="4"/>
  <c r="CV54" i="4" s="1"/>
  <c r="CM54" i="4"/>
  <c r="CN54" i="4" s="1"/>
  <c r="CE54" i="4"/>
  <c r="CF54" i="4" s="1"/>
  <c r="CQ54" i="4"/>
  <c r="CR54" i="4" s="1"/>
  <c r="CI54" i="4"/>
  <c r="CJ54" i="4" s="1"/>
  <c r="CB54" i="4"/>
  <c r="DO54" i="4"/>
  <c r="DP54" i="4" s="1"/>
  <c r="DG54" i="4"/>
  <c r="DH54" i="4" s="1"/>
  <c r="CY54" i="4"/>
  <c r="CZ54" i="4" s="1"/>
  <c r="GI94" i="4"/>
  <c r="GJ94" i="4" s="1"/>
  <c r="GE94" i="4"/>
  <c r="GF94" i="4" s="1"/>
  <c r="GA94" i="4"/>
  <c r="GB94" i="4" s="1"/>
  <c r="FW94" i="4"/>
  <c r="FX94" i="4" s="1"/>
  <c r="FS94" i="4"/>
  <c r="FT94" i="4" s="1"/>
  <c r="FO94" i="4"/>
  <c r="FP94" i="4" s="1"/>
  <c r="FK94" i="4"/>
  <c r="FL94" i="4" s="1"/>
  <c r="FG94" i="4"/>
  <c r="FH94" i="4" s="1"/>
  <c r="FC94" i="4"/>
  <c r="FD94" i="4" s="1"/>
  <c r="EY94" i="4"/>
  <c r="EZ94" i="4" s="1"/>
  <c r="EU94" i="4"/>
  <c r="EV94" i="4" s="1"/>
  <c r="GG94" i="4"/>
  <c r="GH94" i="4" s="1"/>
  <c r="GC94" i="4"/>
  <c r="GD94" i="4" s="1"/>
  <c r="FY94" i="4"/>
  <c r="FZ94" i="4" s="1"/>
  <c r="FU94" i="4"/>
  <c r="FV94" i="4" s="1"/>
  <c r="FQ94" i="4"/>
  <c r="FR94" i="4" s="1"/>
  <c r="FM94" i="4"/>
  <c r="FN94" i="4" s="1"/>
  <c r="FI94" i="4"/>
  <c r="FJ94" i="4" s="1"/>
  <c r="FE94" i="4"/>
  <c r="FF94" i="4" s="1"/>
  <c r="FA94" i="4"/>
  <c r="FB94" i="4" s="1"/>
  <c r="EW94" i="4"/>
  <c r="EX94" i="4" s="1"/>
  <c r="ET94" i="4"/>
  <c r="GI103" i="4"/>
  <c r="GJ103" i="4" s="1"/>
  <c r="FY103" i="4"/>
  <c r="FZ103" i="4" s="1"/>
  <c r="FS103" i="4"/>
  <c r="FT103" i="4" s="1"/>
  <c r="FI103" i="4"/>
  <c r="FJ103" i="4" s="1"/>
  <c r="FC103" i="4"/>
  <c r="FD103" i="4" s="1"/>
  <c r="ET103" i="4"/>
  <c r="GC103" i="4"/>
  <c r="GD103" i="4" s="1"/>
  <c r="FW103" i="4"/>
  <c r="FX103" i="4" s="1"/>
  <c r="FM103" i="4"/>
  <c r="FN103" i="4" s="1"/>
  <c r="FG103" i="4"/>
  <c r="FH103" i="4" s="1"/>
  <c r="EW103" i="4"/>
  <c r="EX103" i="4" s="1"/>
  <c r="GE103" i="4"/>
  <c r="GF103" i="4" s="1"/>
  <c r="FU103" i="4"/>
  <c r="FV103" i="4" s="1"/>
  <c r="FO103" i="4"/>
  <c r="FP103" i="4" s="1"/>
  <c r="FE103" i="4"/>
  <c r="FF103" i="4" s="1"/>
  <c r="EY103" i="4"/>
  <c r="EZ103" i="4" s="1"/>
  <c r="GA103" i="4"/>
  <c r="GB103" i="4" s="1"/>
  <c r="FA103" i="4"/>
  <c r="FB103" i="4" s="1"/>
  <c r="GG103" i="4"/>
  <c r="GH103" i="4" s="1"/>
  <c r="FK103" i="4"/>
  <c r="FL103" i="4" s="1"/>
  <c r="FQ103" i="4"/>
  <c r="FR103" i="4" s="1"/>
  <c r="EU103" i="4"/>
  <c r="EV103" i="4" s="1"/>
  <c r="DO56" i="4"/>
  <c r="DP56" i="4" s="1"/>
  <c r="DK56" i="4"/>
  <c r="DL56" i="4" s="1"/>
  <c r="DG56" i="4"/>
  <c r="DH56" i="4" s="1"/>
  <c r="DC56" i="4"/>
  <c r="DD56" i="4" s="1"/>
  <c r="CY56" i="4"/>
  <c r="CZ56" i="4" s="1"/>
  <c r="CU56" i="4"/>
  <c r="CV56" i="4" s="1"/>
  <c r="CQ56" i="4"/>
  <c r="CR56" i="4" s="1"/>
  <c r="CM56" i="4"/>
  <c r="CN56" i="4" s="1"/>
  <c r="CI56" i="4"/>
  <c r="CJ56" i="4" s="1"/>
  <c r="CE56" i="4"/>
  <c r="CF56" i="4" s="1"/>
  <c r="CB56" i="4"/>
  <c r="DM56" i="4"/>
  <c r="DN56" i="4" s="1"/>
  <c r="DE56" i="4"/>
  <c r="DF56" i="4" s="1"/>
  <c r="CW56" i="4"/>
  <c r="CX56" i="4" s="1"/>
  <c r="CO56" i="4"/>
  <c r="CP56" i="4" s="1"/>
  <c r="CG56" i="4"/>
  <c r="CH56" i="4" s="1"/>
  <c r="DQ56" i="4"/>
  <c r="DR56" i="4" s="1"/>
  <c r="DI56" i="4"/>
  <c r="DJ56" i="4" s="1"/>
  <c r="DA56" i="4"/>
  <c r="DB56" i="4" s="1"/>
  <c r="CS56" i="4"/>
  <c r="CT56" i="4" s="1"/>
  <c r="CK56" i="4"/>
  <c r="CL56" i="4" s="1"/>
  <c r="CC56" i="4"/>
  <c r="CD56" i="4" s="1"/>
  <c r="DQ64" i="4"/>
  <c r="DR64" i="4" s="1"/>
  <c r="DM64" i="4"/>
  <c r="DN64" i="4" s="1"/>
  <c r="DI64" i="4"/>
  <c r="DJ64" i="4" s="1"/>
  <c r="DE64" i="4"/>
  <c r="DF64" i="4" s="1"/>
  <c r="DA64" i="4"/>
  <c r="DB64" i="4" s="1"/>
  <c r="CW64" i="4"/>
  <c r="CX64" i="4" s="1"/>
  <c r="CS64" i="4"/>
  <c r="CT64" i="4" s="1"/>
  <c r="CO64" i="4"/>
  <c r="CP64" i="4" s="1"/>
  <c r="CK64" i="4"/>
  <c r="CL64" i="4" s="1"/>
  <c r="CG64" i="4"/>
  <c r="CH64" i="4" s="1"/>
  <c r="CC64" i="4"/>
  <c r="CD64" i="4" s="1"/>
  <c r="DO64" i="4"/>
  <c r="DP64" i="4" s="1"/>
  <c r="DG64" i="4"/>
  <c r="DH64" i="4" s="1"/>
  <c r="CY64" i="4"/>
  <c r="CZ64" i="4" s="1"/>
  <c r="CQ64" i="4"/>
  <c r="CR64" i="4" s="1"/>
  <c r="CI64" i="4"/>
  <c r="CJ64" i="4" s="1"/>
  <c r="CB64" i="4"/>
  <c r="DK64" i="4"/>
  <c r="DL64" i="4" s="1"/>
  <c r="DC64" i="4"/>
  <c r="DD64" i="4" s="1"/>
  <c r="CU64" i="4"/>
  <c r="CV64" i="4" s="1"/>
  <c r="CM64" i="4"/>
  <c r="CN64" i="4" s="1"/>
  <c r="CE64" i="4"/>
  <c r="CF64" i="4" s="1"/>
  <c r="DO80" i="4"/>
  <c r="DP80" i="4" s="1"/>
  <c r="DK80" i="4"/>
  <c r="DL80" i="4" s="1"/>
  <c r="DG80" i="4"/>
  <c r="DH80" i="4" s="1"/>
  <c r="DC80" i="4"/>
  <c r="DD80" i="4" s="1"/>
  <c r="CY80" i="4"/>
  <c r="CZ80" i="4" s="1"/>
  <c r="CU80" i="4"/>
  <c r="CV80" i="4" s="1"/>
  <c r="CQ80" i="4"/>
  <c r="CR80" i="4" s="1"/>
  <c r="CM80" i="4"/>
  <c r="CN80" i="4" s="1"/>
  <c r="CI80" i="4"/>
  <c r="CJ80" i="4" s="1"/>
  <c r="CE80" i="4"/>
  <c r="CF80" i="4" s="1"/>
  <c r="CB80" i="4"/>
  <c r="DQ80" i="4"/>
  <c r="DR80" i="4" s="1"/>
  <c r="DI80" i="4"/>
  <c r="DJ80" i="4" s="1"/>
  <c r="DA80" i="4"/>
  <c r="DB80" i="4" s="1"/>
  <c r="CS80" i="4"/>
  <c r="CT80" i="4" s="1"/>
  <c r="CK80" i="4"/>
  <c r="CL80" i="4" s="1"/>
  <c r="CC80" i="4"/>
  <c r="CD80" i="4" s="1"/>
  <c r="DE80" i="4"/>
  <c r="DF80" i="4" s="1"/>
  <c r="CO80" i="4"/>
  <c r="CP80" i="4" s="1"/>
  <c r="DM80" i="4"/>
  <c r="DN80" i="4" s="1"/>
  <c r="CG80" i="4"/>
  <c r="CH80" i="4" s="1"/>
  <c r="CW80" i="4"/>
  <c r="CX80" i="4" s="1"/>
  <c r="GG58" i="4"/>
  <c r="GH58" i="4" s="1"/>
  <c r="GC58" i="4"/>
  <c r="GD58" i="4" s="1"/>
  <c r="FY58" i="4"/>
  <c r="FZ58" i="4" s="1"/>
  <c r="FU58" i="4"/>
  <c r="FV58" i="4" s="1"/>
  <c r="FQ58" i="4"/>
  <c r="FR58" i="4" s="1"/>
  <c r="FM58" i="4"/>
  <c r="FN58" i="4" s="1"/>
  <c r="FI58" i="4"/>
  <c r="FJ58" i="4" s="1"/>
  <c r="FE58" i="4"/>
  <c r="FF58" i="4" s="1"/>
  <c r="FA58" i="4"/>
  <c r="FB58" i="4" s="1"/>
  <c r="EW58" i="4"/>
  <c r="EX58" i="4" s="1"/>
  <c r="ET58" i="4"/>
  <c r="GI58" i="4"/>
  <c r="GJ58" i="4" s="1"/>
  <c r="GA58" i="4"/>
  <c r="GB58" i="4" s="1"/>
  <c r="FS58" i="4"/>
  <c r="FT58" i="4" s="1"/>
  <c r="FK58" i="4"/>
  <c r="FL58" i="4" s="1"/>
  <c r="FC58" i="4"/>
  <c r="FD58" i="4" s="1"/>
  <c r="EU58" i="4"/>
  <c r="EV58" i="4" s="1"/>
  <c r="GE58" i="4"/>
  <c r="GF58" i="4" s="1"/>
  <c r="FW58" i="4"/>
  <c r="FX58" i="4" s="1"/>
  <c r="FO58" i="4"/>
  <c r="FP58" i="4" s="1"/>
  <c r="FG58" i="4"/>
  <c r="FH58" i="4" s="1"/>
  <c r="EY58" i="4"/>
  <c r="EZ58" i="4" s="1"/>
  <c r="DQ45" i="4"/>
  <c r="DR45" i="4" s="1"/>
  <c r="DM45" i="4"/>
  <c r="DN45" i="4" s="1"/>
  <c r="DI45" i="4"/>
  <c r="DJ45" i="4" s="1"/>
  <c r="DE45" i="4"/>
  <c r="DF45" i="4" s="1"/>
  <c r="DA45" i="4"/>
  <c r="DB45" i="4" s="1"/>
  <c r="CW45" i="4"/>
  <c r="CX45" i="4" s="1"/>
  <c r="CS45" i="4"/>
  <c r="CT45" i="4" s="1"/>
  <c r="CO45" i="4"/>
  <c r="CP45" i="4" s="1"/>
  <c r="CK45" i="4"/>
  <c r="CL45" i="4" s="1"/>
  <c r="CG45" i="4"/>
  <c r="CH45" i="4" s="1"/>
  <c r="CC45" i="4"/>
  <c r="CD45" i="4" s="1"/>
  <c r="DO45" i="4"/>
  <c r="DP45" i="4" s="1"/>
  <c r="DK45" i="4"/>
  <c r="DL45" i="4" s="1"/>
  <c r="DG45" i="4"/>
  <c r="DH45" i="4" s="1"/>
  <c r="DC45" i="4"/>
  <c r="DD45" i="4" s="1"/>
  <c r="CY45" i="4"/>
  <c r="CZ45" i="4" s="1"/>
  <c r="CU45" i="4"/>
  <c r="CV45" i="4" s="1"/>
  <c r="CQ45" i="4"/>
  <c r="CR45" i="4" s="1"/>
  <c r="CM45" i="4"/>
  <c r="CN45" i="4" s="1"/>
  <c r="CI45" i="4"/>
  <c r="CJ45" i="4" s="1"/>
  <c r="CE45" i="4"/>
  <c r="CF45" i="4" s="1"/>
  <c r="CB45" i="4"/>
  <c r="GI47" i="4"/>
  <c r="GJ47" i="4" s="1"/>
  <c r="GE47" i="4"/>
  <c r="GF47" i="4" s="1"/>
  <c r="GA47" i="4"/>
  <c r="GB47" i="4" s="1"/>
  <c r="FW47" i="4"/>
  <c r="FX47" i="4" s="1"/>
  <c r="FS47" i="4"/>
  <c r="FT47" i="4" s="1"/>
  <c r="FO47" i="4"/>
  <c r="FP47" i="4" s="1"/>
  <c r="FK47" i="4"/>
  <c r="FL47" i="4" s="1"/>
  <c r="FG47" i="4"/>
  <c r="FH47" i="4" s="1"/>
  <c r="FC47" i="4"/>
  <c r="FD47" i="4" s="1"/>
  <c r="EY47" i="4"/>
  <c r="EZ47" i="4" s="1"/>
  <c r="EU47" i="4"/>
  <c r="EV47" i="4" s="1"/>
  <c r="GG47" i="4"/>
  <c r="GH47" i="4" s="1"/>
  <c r="GC47" i="4"/>
  <c r="GD47" i="4" s="1"/>
  <c r="FY47" i="4"/>
  <c r="FZ47" i="4" s="1"/>
  <c r="FU47" i="4"/>
  <c r="FV47" i="4" s="1"/>
  <c r="FQ47" i="4"/>
  <c r="FR47" i="4" s="1"/>
  <c r="FM47" i="4"/>
  <c r="FN47" i="4" s="1"/>
  <c r="FI47" i="4"/>
  <c r="FJ47" i="4" s="1"/>
  <c r="FE47" i="4"/>
  <c r="FF47" i="4" s="1"/>
  <c r="FA47" i="4"/>
  <c r="FB47" i="4" s="1"/>
  <c r="EW47" i="4"/>
  <c r="EX47" i="4" s="1"/>
  <c r="ET47" i="4"/>
  <c r="GG30" i="4"/>
  <c r="GH30" i="4" s="1"/>
  <c r="GC30" i="4"/>
  <c r="GD30" i="4" s="1"/>
  <c r="FY30" i="4"/>
  <c r="FZ30" i="4" s="1"/>
  <c r="FU30" i="4"/>
  <c r="FV30" i="4" s="1"/>
  <c r="FQ30" i="4"/>
  <c r="FR30" i="4" s="1"/>
  <c r="FM30" i="4"/>
  <c r="FN30" i="4" s="1"/>
  <c r="FI30" i="4"/>
  <c r="FJ30" i="4" s="1"/>
  <c r="FE30" i="4"/>
  <c r="FF30" i="4" s="1"/>
  <c r="FA30" i="4"/>
  <c r="FB30" i="4" s="1"/>
  <c r="EW30" i="4"/>
  <c r="EX30" i="4" s="1"/>
  <c r="ET30" i="4"/>
  <c r="FW30" i="4"/>
  <c r="FX30" i="4" s="1"/>
  <c r="GE30" i="4"/>
  <c r="GF30" i="4" s="1"/>
  <c r="FG30" i="4"/>
  <c r="FH30" i="4" s="1"/>
  <c r="GI30" i="4"/>
  <c r="GJ30" i="4" s="1"/>
  <c r="GA30" i="4"/>
  <c r="GB30" i="4" s="1"/>
  <c r="FS30" i="4"/>
  <c r="FT30" i="4" s="1"/>
  <c r="FK30" i="4"/>
  <c r="FL30" i="4" s="1"/>
  <c r="FC30" i="4"/>
  <c r="FD30" i="4" s="1"/>
  <c r="EU30" i="4"/>
  <c r="EV30" i="4" s="1"/>
  <c r="FO30" i="4"/>
  <c r="FP30" i="4" s="1"/>
  <c r="EY30" i="4"/>
  <c r="EZ30" i="4" s="1"/>
  <c r="GI37" i="4"/>
  <c r="GJ37" i="4" s="1"/>
  <c r="GE37" i="4"/>
  <c r="GF37" i="4" s="1"/>
  <c r="GA37" i="4"/>
  <c r="GB37" i="4" s="1"/>
  <c r="FW37" i="4"/>
  <c r="FX37" i="4" s="1"/>
  <c r="FS37" i="4"/>
  <c r="FT37" i="4" s="1"/>
  <c r="FO37" i="4"/>
  <c r="FP37" i="4" s="1"/>
  <c r="FK37" i="4"/>
  <c r="FL37" i="4" s="1"/>
  <c r="FG37" i="4"/>
  <c r="FH37" i="4" s="1"/>
  <c r="FC37" i="4"/>
  <c r="FD37" i="4" s="1"/>
  <c r="EY37" i="4"/>
  <c r="EZ37" i="4" s="1"/>
  <c r="EU37" i="4"/>
  <c r="EV37" i="4" s="1"/>
  <c r="GG37" i="4"/>
  <c r="GH37" i="4" s="1"/>
  <c r="FI37" i="4"/>
  <c r="FJ37" i="4" s="1"/>
  <c r="ET37" i="4"/>
  <c r="FQ37" i="4"/>
  <c r="FR37" i="4" s="1"/>
  <c r="GC37" i="4"/>
  <c r="GD37" i="4" s="1"/>
  <c r="FU37" i="4"/>
  <c r="FV37" i="4" s="1"/>
  <c r="FM37" i="4"/>
  <c r="FN37" i="4" s="1"/>
  <c r="FE37" i="4"/>
  <c r="FF37" i="4" s="1"/>
  <c r="EW37" i="4"/>
  <c r="EX37" i="4" s="1"/>
  <c r="FY37" i="4"/>
  <c r="FZ37" i="4" s="1"/>
  <c r="FA37" i="4"/>
  <c r="FB37" i="4" s="1"/>
  <c r="GG151" i="4"/>
  <c r="GH151" i="4" s="1"/>
  <c r="GC151" i="4"/>
  <c r="GD151" i="4" s="1"/>
  <c r="FY151" i="4"/>
  <c r="FZ151" i="4" s="1"/>
  <c r="FU151" i="4"/>
  <c r="FV151" i="4" s="1"/>
  <c r="FQ151" i="4"/>
  <c r="FR151" i="4" s="1"/>
  <c r="FM151" i="4"/>
  <c r="FN151" i="4" s="1"/>
  <c r="FI151" i="4"/>
  <c r="FJ151" i="4" s="1"/>
  <c r="FE151" i="4"/>
  <c r="FF151" i="4" s="1"/>
  <c r="FA151" i="4"/>
  <c r="FB151" i="4" s="1"/>
  <c r="EW151" i="4"/>
  <c r="EX151" i="4" s="1"/>
  <c r="ET151" i="4"/>
  <c r="GI151" i="4"/>
  <c r="GJ151" i="4" s="1"/>
  <c r="GE151" i="4"/>
  <c r="GF151" i="4" s="1"/>
  <c r="FW151" i="4"/>
  <c r="FX151" i="4" s="1"/>
  <c r="FO151" i="4"/>
  <c r="FP151" i="4" s="1"/>
  <c r="FG151" i="4"/>
  <c r="FH151" i="4" s="1"/>
  <c r="EY151" i="4"/>
  <c r="EZ151" i="4" s="1"/>
  <c r="GA151" i="4"/>
  <c r="GB151" i="4" s="1"/>
  <c r="FS151" i="4"/>
  <c r="FT151" i="4" s="1"/>
  <c r="FK151" i="4"/>
  <c r="FL151" i="4" s="1"/>
  <c r="FC151" i="4"/>
  <c r="FD151" i="4" s="1"/>
  <c r="EU151" i="4"/>
  <c r="EV151" i="4" s="1"/>
  <c r="GG132" i="4"/>
  <c r="GH132" i="4" s="1"/>
  <c r="FW132" i="4"/>
  <c r="FX132" i="4" s="1"/>
  <c r="FQ132" i="4"/>
  <c r="FR132" i="4" s="1"/>
  <c r="FG132" i="4"/>
  <c r="FH132" i="4" s="1"/>
  <c r="FA132" i="4"/>
  <c r="FB132" i="4" s="1"/>
  <c r="GA132" i="4"/>
  <c r="GB132" i="4" s="1"/>
  <c r="FU132" i="4"/>
  <c r="FV132" i="4" s="1"/>
  <c r="FK132" i="4"/>
  <c r="FL132" i="4" s="1"/>
  <c r="FE132" i="4"/>
  <c r="FF132" i="4" s="1"/>
  <c r="EU132" i="4"/>
  <c r="EV132" i="4" s="1"/>
  <c r="GI132" i="4"/>
  <c r="GJ132" i="4" s="1"/>
  <c r="GC132" i="4"/>
  <c r="GD132" i="4" s="1"/>
  <c r="FS132" i="4"/>
  <c r="FT132" i="4" s="1"/>
  <c r="FM132" i="4"/>
  <c r="FN132" i="4" s="1"/>
  <c r="FC132" i="4"/>
  <c r="FD132" i="4" s="1"/>
  <c r="EW132" i="4"/>
  <c r="EX132" i="4" s="1"/>
  <c r="GE132" i="4"/>
  <c r="GF132" i="4" s="1"/>
  <c r="FI132" i="4"/>
  <c r="FJ132" i="4" s="1"/>
  <c r="FY132" i="4"/>
  <c r="FZ132" i="4" s="1"/>
  <c r="FO132" i="4"/>
  <c r="FP132" i="4" s="1"/>
  <c r="ET132" i="4"/>
  <c r="EY132" i="4"/>
  <c r="EZ132" i="4" s="1"/>
  <c r="AY131" i="4"/>
  <c r="AZ131" i="4" s="1"/>
  <c r="AU131" i="4"/>
  <c r="AV131" i="4" s="1"/>
  <c r="AQ131" i="4"/>
  <c r="AR131" i="4" s="1"/>
  <c r="AM131" i="4"/>
  <c r="AN131" i="4" s="1"/>
  <c r="AI131" i="4"/>
  <c r="AJ131" i="4" s="1"/>
  <c r="AE131" i="4"/>
  <c r="AF131" i="4" s="1"/>
  <c r="AA131" i="4"/>
  <c r="AB131" i="4" s="1"/>
  <c r="W131" i="4"/>
  <c r="X131" i="4" s="1"/>
  <c r="S131" i="4"/>
  <c r="T131" i="4" s="1"/>
  <c r="O131" i="4"/>
  <c r="P131" i="4" s="1"/>
  <c r="K131" i="4"/>
  <c r="L131" i="4" s="1"/>
  <c r="AW131" i="4"/>
  <c r="AX131" i="4" s="1"/>
  <c r="AG131" i="4"/>
  <c r="AH131" i="4" s="1"/>
  <c r="Q131" i="4"/>
  <c r="R131" i="4" s="1"/>
  <c r="AS131" i="4"/>
  <c r="AT131" i="4" s="1"/>
  <c r="AC131" i="4"/>
  <c r="AD131" i="4" s="1"/>
  <c r="M131" i="4"/>
  <c r="N131" i="4" s="1"/>
  <c r="AK131" i="4"/>
  <c r="AL131" i="4" s="1"/>
  <c r="U131" i="4"/>
  <c r="V131" i="4" s="1"/>
  <c r="AO131" i="4"/>
  <c r="AP131" i="4" s="1"/>
  <c r="Y131" i="4"/>
  <c r="Z131" i="4" s="1"/>
  <c r="J131" i="4"/>
  <c r="AW129" i="4"/>
  <c r="AX129" i="4" s="1"/>
  <c r="AS129" i="4"/>
  <c r="AT129" i="4" s="1"/>
  <c r="AO129" i="4"/>
  <c r="AP129" i="4" s="1"/>
  <c r="AK129" i="4"/>
  <c r="AL129" i="4" s="1"/>
  <c r="AG129" i="4"/>
  <c r="AH129" i="4" s="1"/>
  <c r="AC129" i="4"/>
  <c r="AD129" i="4" s="1"/>
  <c r="Y129" i="4"/>
  <c r="Z129" i="4" s="1"/>
  <c r="U129" i="4"/>
  <c r="V129" i="4" s="1"/>
  <c r="Q129" i="4"/>
  <c r="R129" i="4" s="1"/>
  <c r="M129" i="4"/>
  <c r="N129" i="4" s="1"/>
  <c r="J129" i="4"/>
  <c r="AM129" i="4"/>
  <c r="AN129" i="4" s="1"/>
  <c r="AA129" i="4"/>
  <c r="AB129" i="4" s="1"/>
  <c r="S129" i="4"/>
  <c r="T129" i="4" s="1"/>
  <c r="K129" i="4"/>
  <c r="L129" i="4" s="1"/>
  <c r="AY129" i="4"/>
  <c r="AZ129" i="4" s="1"/>
  <c r="AI129" i="4"/>
  <c r="AJ129" i="4" s="1"/>
  <c r="AQ129" i="4"/>
  <c r="AR129" i="4" s="1"/>
  <c r="AE129" i="4"/>
  <c r="AF129" i="4" s="1"/>
  <c r="W129" i="4"/>
  <c r="X129" i="4" s="1"/>
  <c r="AU129" i="4"/>
  <c r="AV129" i="4" s="1"/>
  <c r="O129" i="4"/>
  <c r="P129" i="4" s="1"/>
  <c r="GI110" i="4"/>
  <c r="GJ110" i="4" s="1"/>
  <c r="GE110" i="4"/>
  <c r="GF110" i="4" s="1"/>
  <c r="GA110" i="4"/>
  <c r="GB110" i="4" s="1"/>
  <c r="FW110" i="4"/>
  <c r="FX110" i="4" s="1"/>
  <c r="FS110" i="4"/>
  <c r="FT110" i="4" s="1"/>
  <c r="FO110" i="4"/>
  <c r="FP110" i="4" s="1"/>
  <c r="FK110" i="4"/>
  <c r="FL110" i="4" s="1"/>
  <c r="FG110" i="4"/>
  <c r="FH110" i="4" s="1"/>
  <c r="FC110" i="4"/>
  <c r="FD110" i="4" s="1"/>
  <c r="EY110" i="4"/>
  <c r="EZ110" i="4" s="1"/>
  <c r="EU110" i="4"/>
  <c r="EV110" i="4" s="1"/>
  <c r="GG110" i="4"/>
  <c r="GH110" i="4" s="1"/>
  <c r="GC110" i="4"/>
  <c r="GD110" i="4" s="1"/>
  <c r="FY110" i="4"/>
  <c r="FZ110" i="4" s="1"/>
  <c r="FU110" i="4"/>
  <c r="FV110" i="4" s="1"/>
  <c r="FQ110" i="4"/>
  <c r="FR110" i="4" s="1"/>
  <c r="FM110" i="4"/>
  <c r="FN110" i="4" s="1"/>
  <c r="FI110" i="4"/>
  <c r="FJ110" i="4" s="1"/>
  <c r="FE110" i="4"/>
  <c r="FF110" i="4" s="1"/>
  <c r="FA110" i="4"/>
  <c r="FB110" i="4" s="1"/>
  <c r="EW110" i="4"/>
  <c r="EX110" i="4" s="1"/>
  <c r="ET110" i="4"/>
  <c r="AW93" i="4"/>
  <c r="AX93" i="4" s="1"/>
  <c r="AS93" i="4"/>
  <c r="AT93" i="4" s="1"/>
  <c r="AO93" i="4"/>
  <c r="AP93" i="4" s="1"/>
  <c r="AK93" i="4"/>
  <c r="AL93" i="4" s="1"/>
  <c r="AG93" i="4"/>
  <c r="AH93" i="4" s="1"/>
  <c r="AC93" i="4"/>
  <c r="AD93" i="4" s="1"/>
  <c r="Y93" i="4"/>
  <c r="Z93" i="4" s="1"/>
  <c r="U93" i="4"/>
  <c r="V93" i="4" s="1"/>
  <c r="Q93" i="4"/>
  <c r="R93" i="4" s="1"/>
  <c r="M93" i="4"/>
  <c r="N93" i="4" s="1"/>
  <c r="J93" i="4"/>
  <c r="AM93" i="4"/>
  <c r="AN93" i="4" s="1"/>
  <c r="W93" i="4"/>
  <c r="X93" i="4" s="1"/>
  <c r="AY93" i="4"/>
  <c r="AZ93" i="4" s="1"/>
  <c r="AI93" i="4"/>
  <c r="AJ93" i="4" s="1"/>
  <c r="S93" i="4"/>
  <c r="T93" i="4" s="1"/>
  <c r="AU93" i="4"/>
  <c r="AV93" i="4" s="1"/>
  <c r="O93" i="4"/>
  <c r="P93" i="4" s="1"/>
  <c r="AQ93" i="4"/>
  <c r="AR93" i="4" s="1"/>
  <c r="K93" i="4"/>
  <c r="L93" i="4" s="1"/>
  <c r="AE93" i="4"/>
  <c r="AF93" i="4" s="1"/>
  <c r="AA93" i="4"/>
  <c r="AB93" i="4" s="1"/>
  <c r="GI86" i="4"/>
  <c r="GJ86" i="4" s="1"/>
  <c r="GE86" i="4"/>
  <c r="GF86" i="4" s="1"/>
  <c r="GA86" i="4"/>
  <c r="GB86" i="4" s="1"/>
  <c r="FW86" i="4"/>
  <c r="FX86" i="4" s="1"/>
  <c r="FS86" i="4"/>
  <c r="FT86" i="4" s="1"/>
  <c r="FO86" i="4"/>
  <c r="FP86" i="4" s="1"/>
  <c r="FK86" i="4"/>
  <c r="FL86" i="4" s="1"/>
  <c r="FG86" i="4"/>
  <c r="FH86" i="4" s="1"/>
  <c r="FC86" i="4"/>
  <c r="FD86" i="4" s="1"/>
  <c r="EY86" i="4"/>
  <c r="EZ86" i="4" s="1"/>
  <c r="EU86" i="4"/>
  <c r="EV86" i="4" s="1"/>
  <c r="GG86" i="4"/>
  <c r="GH86" i="4" s="1"/>
  <c r="GC86" i="4"/>
  <c r="GD86" i="4" s="1"/>
  <c r="FY86" i="4"/>
  <c r="FZ86" i="4" s="1"/>
  <c r="FU86" i="4"/>
  <c r="FV86" i="4" s="1"/>
  <c r="FQ86" i="4"/>
  <c r="FR86" i="4" s="1"/>
  <c r="FM86" i="4"/>
  <c r="FN86" i="4" s="1"/>
  <c r="FI86" i="4"/>
  <c r="FJ86" i="4" s="1"/>
  <c r="FE86" i="4"/>
  <c r="FF86" i="4" s="1"/>
  <c r="FA86" i="4"/>
  <c r="FB86" i="4" s="1"/>
  <c r="EW86" i="4"/>
  <c r="EX86" i="4" s="1"/>
  <c r="ET86" i="4"/>
  <c r="DO65" i="4"/>
  <c r="DP65" i="4" s="1"/>
  <c r="DK65" i="4"/>
  <c r="DL65" i="4" s="1"/>
  <c r="DG65" i="4"/>
  <c r="DH65" i="4" s="1"/>
  <c r="DC65" i="4"/>
  <c r="DD65" i="4" s="1"/>
  <c r="CY65" i="4"/>
  <c r="CZ65" i="4" s="1"/>
  <c r="DM65" i="4"/>
  <c r="DN65" i="4" s="1"/>
  <c r="DE65" i="4"/>
  <c r="DF65" i="4" s="1"/>
  <c r="CW65" i="4"/>
  <c r="CX65" i="4" s="1"/>
  <c r="CS65" i="4"/>
  <c r="CT65" i="4" s="1"/>
  <c r="CO65" i="4"/>
  <c r="CP65" i="4" s="1"/>
  <c r="CK65" i="4"/>
  <c r="CL65" i="4" s="1"/>
  <c r="CG65" i="4"/>
  <c r="CH65" i="4" s="1"/>
  <c r="CC65" i="4"/>
  <c r="CD65" i="4" s="1"/>
  <c r="DI65" i="4"/>
  <c r="DJ65" i="4" s="1"/>
  <c r="CU65" i="4"/>
  <c r="CV65" i="4" s="1"/>
  <c r="CM65" i="4"/>
  <c r="CN65" i="4" s="1"/>
  <c r="CE65" i="4"/>
  <c r="CF65" i="4" s="1"/>
  <c r="DQ65" i="4"/>
  <c r="DR65" i="4" s="1"/>
  <c r="DA65" i="4"/>
  <c r="DB65" i="4" s="1"/>
  <c r="CQ65" i="4"/>
  <c r="CR65" i="4" s="1"/>
  <c r="CI65" i="4"/>
  <c r="CJ65" i="4" s="1"/>
  <c r="CB65" i="4"/>
  <c r="AW54" i="4"/>
  <c r="AX54" i="4" s="1"/>
  <c r="AS54" i="4"/>
  <c r="AT54" i="4" s="1"/>
  <c r="AO54" i="4"/>
  <c r="AP54" i="4" s="1"/>
  <c r="AK54" i="4"/>
  <c r="AL54" i="4" s="1"/>
  <c r="AG54" i="4"/>
  <c r="AH54" i="4" s="1"/>
  <c r="AC54" i="4"/>
  <c r="AD54" i="4" s="1"/>
  <c r="Y54" i="4"/>
  <c r="Z54" i="4" s="1"/>
  <c r="U54" i="4"/>
  <c r="V54" i="4" s="1"/>
  <c r="Q54" i="4"/>
  <c r="R54" i="4" s="1"/>
  <c r="M54" i="4"/>
  <c r="N54" i="4" s="1"/>
  <c r="J54" i="4"/>
  <c r="AU54" i="4"/>
  <c r="AV54" i="4" s="1"/>
  <c r="AM54" i="4"/>
  <c r="AN54" i="4" s="1"/>
  <c r="AE54" i="4"/>
  <c r="AF54" i="4" s="1"/>
  <c r="W54" i="4"/>
  <c r="X54" i="4" s="1"/>
  <c r="O54" i="4"/>
  <c r="P54" i="4" s="1"/>
  <c r="AY54" i="4"/>
  <c r="AZ54" i="4" s="1"/>
  <c r="AQ54" i="4"/>
  <c r="AR54" i="4" s="1"/>
  <c r="AI54" i="4"/>
  <c r="AJ54" i="4" s="1"/>
  <c r="AA54" i="4"/>
  <c r="AB54" i="4" s="1"/>
  <c r="S54" i="4"/>
  <c r="T54" i="4" s="1"/>
  <c r="K54" i="4"/>
  <c r="L54" i="4" s="1"/>
  <c r="DQ58" i="4"/>
  <c r="DR58" i="4" s="1"/>
  <c r="DM58" i="4"/>
  <c r="DN58" i="4" s="1"/>
  <c r="DI58" i="4"/>
  <c r="DJ58" i="4" s="1"/>
  <c r="DE58" i="4"/>
  <c r="DF58" i="4" s="1"/>
  <c r="DA58" i="4"/>
  <c r="DB58" i="4" s="1"/>
  <c r="CW58" i="4"/>
  <c r="CX58" i="4" s="1"/>
  <c r="CS58" i="4"/>
  <c r="CT58" i="4" s="1"/>
  <c r="CO58" i="4"/>
  <c r="CP58" i="4" s="1"/>
  <c r="CK58" i="4"/>
  <c r="CL58" i="4" s="1"/>
  <c r="CG58" i="4"/>
  <c r="CH58" i="4" s="1"/>
  <c r="CC58" i="4"/>
  <c r="CD58" i="4" s="1"/>
  <c r="DO58" i="4"/>
  <c r="DP58" i="4" s="1"/>
  <c r="DG58" i="4"/>
  <c r="DH58" i="4" s="1"/>
  <c r="CY58" i="4"/>
  <c r="CZ58" i="4" s="1"/>
  <c r="CQ58" i="4"/>
  <c r="CR58" i="4" s="1"/>
  <c r="CI58" i="4"/>
  <c r="CJ58" i="4" s="1"/>
  <c r="CB58" i="4"/>
  <c r="DK58" i="4"/>
  <c r="DL58" i="4" s="1"/>
  <c r="DC58" i="4"/>
  <c r="DD58" i="4" s="1"/>
  <c r="CU58" i="4"/>
  <c r="CV58" i="4" s="1"/>
  <c r="CM58" i="4"/>
  <c r="CN58" i="4" s="1"/>
  <c r="CE58" i="4"/>
  <c r="CF58" i="4" s="1"/>
  <c r="GG24" i="4"/>
  <c r="GH24" i="4" s="1"/>
  <c r="GC24" i="4"/>
  <c r="GD24" i="4" s="1"/>
  <c r="FY24" i="4"/>
  <c r="FZ24" i="4" s="1"/>
  <c r="FU24" i="4"/>
  <c r="FV24" i="4" s="1"/>
  <c r="FQ24" i="4"/>
  <c r="FR24" i="4" s="1"/>
  <c r="FM24" i="4"/>
  <c r="FN24" i="4" s="1"/>
  <c r="FI24" i="4"/>
  <c r="FJ24" i="4" s="1"/>
  <c r="FE24" i="4"/>
  <c r="FF24" i="4" s="1"/>
  <c r="FA24" i="4"/>
  <c r="FB24" i="4" s="1"/>
  <c r="EW24" i="4"/>
  <c r="EX24" i="4" s="1"/>
  <c r="ET24" i="4"/>
  <c r="GI24" i="4"/>
  <c r="GJ24" i="4" s="1"/>
  <c r="FC24" i="4"/>
  <c r="FD24" i="4" s="1"/>
  <c r="FS24" i="4"/>
  <c r="FT24" i="4" s="1"/>
  <c r="GE24" i="4"/>
  <c r="GF24" i="4" s="1"/>
  <c r="FW24" i="4"/>
  <c r="FX24" i="4" s="1"/>
  <c r="FO24" i="4"/>
  <c r="FP24" i="4" s="1"/>
  <c r="FG24" i="4"/>
  <c r="FH24" i="4" s="1"/>
  <c r="EY24" i="4"/>
  <c r="EZ24" i="4" s="1"/>
  <c r="GA24" i="4"/>
  <c r="GB24" i="4" s="1"/>
  <c r="FK24" i="4"/>
  <c r="FL24" i="4" s="1"/>
  <c r="EU24" i="4"/>
  <c r="EV24" i="4" s="1"/>
  <c r="GI43" i="4"/>
  <c r="GJ43" i="4" s="1"/>
  <c r="GE43" i="4"/>
  <c r="GF43" i="4" s="1"/>
  <c r="GA43" i="4"/>
  <c r="GB43" i="4" s="1"/>
  <c r="FW43" i="4"/>
  <c r="FX43" i="4" s="1"/>
  <c r="FS43" i="4"/>
  <c r="FT43" i="4" s="1"/>
  <c r="FO43" i="4"/>
  <c r="FP43" i="4" s="1"/>
  <c r="FK43" i="4"/>
  <c r="FL43" i="4" s="1"/>
  <c r="FG43" i="4"/>
  <c r="FH43" i="4" s="1"/>
  <c r="FC43" i="4"/>
  <c r="FD43" i="4" s="1"/>
  <c r="EY43" i="4"/>
  <c r="EZ43" i="4" s="1"/>
  <c r="EU43" i="4"/>
  <c r="EV43" i="4" s="1"/>
  <c r="GG43" i="4"/>
  <c r="GH43" i="4" s="1"/>
  <c r="GC43" i="4"/>
  <c r="GD43" i="4" s="1"/>
  <c r="FY43" i="4"/>
  <c r="FZ43" i="4" s="1"/>
  <c r="FU43" i="4"/>
  <c r="FV43" i="4" s="1"/>
  <c r="FQ43" i="4"/>
  <c r="FR43" i="4" s="1"/>
  <c r="FM43" i="4"/>
  <c r="FN43" i="4" s="1"/>
  <c r="FI43" i="4"/>
  <c r="FJ43" i="4" s="1"/>
  <c r="FE43" i="4"/>
  <c r="FF43" i="4" s="1"/>
  <c r="FA43" i="4"/>
  <c r="FB43" i="4" s="1"/>
  <c r="EW43" i="4"/>
  <c r="EX43" i="4" s="1"/>
  <c r="ET43" i="4"/>
  <c r="AY125" i="4"/>
  <c r="AZ125" i="4" s="1"/>
  <c r="AU125" i="4"/>
  <c r="AV125" i="4" s="1"/>
  <c r="AQ125" i="4"/>
  <c r="AR125" i="4" s="1"/>
  <c r="AM125" i="4"/>
  <c r="AN125" i="4" s="1"/>
  <c r="AI125" i="4"/>
  <c r="AJ125" i="4" s="1"/>
  <c r="AE125" i="4"/>
  <c r="AF125" i="4" s="1"/>
  <c r="AA125" i="4"/>
  <c r="AB125" i="4" s="1"/>
  <c r="W125" i="4"/>
  <c r="X125" i="4" s="1"/>
  <c r="S125" i="4"/>
  <c r="T125" i="4" s="1"/>
  <c r="O125" i="4"/>
  <c r="P125" i="4" s="1"/>
  <c r="K125" i="4"/>
  <c r="L125" i="4" s="1"/>
  <c r="AO125" i="4"/>
  <c r="AP125" i="4" s="1"/>
  <c r="Y125" i="4"/>
  <c r="Z125" i="4" s="1"/>
  <c r="J125" i="4"/>
  <c r="AK125" i="4"/>
  <c r="AL125" i="4" s="1"/>
  <c r="U125" i="4"/>
  <c r="V125" i="4" s="1"/>
  <c r="AS125" i="4"/>
  <c r="AT125" i="4" s="1"/>
  <c r="AC125" i="4"/>
  <c r="AD125" i="4" s="1"/>
  <c r="M125" i="4"/>
  <c r="N125" i="4" s="1"/>
  <c r="AW125" i="4"/>
  <c r="AX125" i="4" s="1"/>
  <c r="AG125" i="4"/>
  <c r="AH125" i="4" s="1"/>
  <c r="Q125" i="4"/>
  <c r="R125" i="4" s="1"/>
  <c r="ER123" i="4"/>
  <c r="ES123" i="4" s="1"/>
  <c r="CA123" i="4"/>
  <c r="GG113" i="4"/>
  <c r="GH113" i="4" s="1"/>
  <c r="FW113" i="4"/>
  <c r="FX113" i="4" s="1"/>
  <c r="FQ113" i="4"/>
  <c r="FR113" i="4" s="1"/>
  <c r="FG113" i="4"/>
  <c r="FH113" i="4" s="1"/>
  <c r="FA113" i="4"/>
  <c r="FB113" i="4" s="1"/>
  <c r="GA113" i="4"/>
  <c r="GB113" i="4" s="1"/>
  <c r="FU113" i="4"/>
  <c r="FV113" i="4" s="1"/>
  <c r="FK113" i="4"/>
  <c r="FL113" i="4" s="1"/>
  <c r="FE113" i="4"/>
  <c r="FF113" i="4" s="1"/>
  <c r="EU113" i="4"/>
  <c r="EV113" i="4" s="1"/>
  <c r="GI113" i="4"/>
  <c r="GJ113" i="4" s="1"/>
  <c r="GC113" i="4"/>
  <c r="GD113" i="4" s="1"/>
  <c r="FS113" i="4"/>
  <c r="FT113" i="4" s="1"/>
  <c r="FM113" i="4"/>
  <c r="FN113" i="4" s="1"/>
  <c r="FC113" i="4"/>
  <c r="FD113" i="4" s="1"/>
  <c r="EW113" i="4"/>
  <c r="EX113" i="4" s="1"/>
  <c r="FO113" i="4"/>
  <c r="FP113" i="4" s="1"/>
  <c r="ET113" i="4"/>
  <c r="GE113" i="4"/>
  <c r="GF113" i="4" s="1"/>
  <c r="FI113" i="4"/>
  <c r="FJ113" i="4" s="1"/>
  <c r="EY113" i="4"/>
  <c r="EZ113" i="4" s="1"/>
  <c r="FY113" i="4"/>
  <c r="FZ113" i="4" s="1"/>
  <c r="DQ114" i="4"/>
  <c r="DR114" i="4" s="1"/>
  <c r="DM114" i="4"/>
  <c r="DN114" i="4" s="1"/>
  <c r="DI114" i="4"/>
  <c r="DJ114" i="4" s="1"/>
  <c r="DE114" i="4"/>
  <c r="DF114" i="4" s="1"/>
  <c r="DA114" i="4"/>
  <c r="DB114" i="4" s="1"/>
  <c r="CW114" i="4"/>
  <c r="CX114" i="4" s="1"/>
  <c r="CS114" i="4"/>
  <c r="CT114" i="4" s="1"/>
  <c r="CO114" i="4"/>
  <c r="CP114" i="4" s="1"/>
  <c r="CK114" i="4"/>
  <c r="CL114" i="4" s="1"/>
  <c r="CG114" i="4"/>
  <c r="CH114" i="4" s="1"/>
  <c r="CC114" i="4"/>
  <c r="CD114" i="4" s="1"/>
  <c r="DO114" i="4"/>
  <c r="DP114" i="4" s="1"/>
  <c r="CY114" i="4"/>
  <c r="CZ114" i="4" s="1"/>
  <c r="CI114" i="4"/>
  <c r="CJ114" i="4" s="1"/>
  <c r="DC114" i="4"/>
  <c r="DD114" i="4" s="1"/>
  <c r="CM114" i="4"/>
  <c r="CN114" i="4" s="1"/>
  <c r="DK114" i="4"/>
  <c r="DL114" i="4" s="1"/>
  <c r="CU114" i="4"/>
  <c r="CV114" i="4" s="1"/>
  <c r="CE114" i="4"/>
  <c r="CF114" i="4" s="1"/>
  <c r="CQ114" i="4"/>
  <c r="CR114" i="4" s="1"/>
  <c r="DG114" i="4"/>
  <c r="DH114" i="4" s="1"/>
  <c r="CB114" i="4"/>
  <c r="AW89" i="4"/>
  <c r="AX89" i="4" s="1"/>
  <c r="AS89" i="4"/>
  <c r="AT89" i="4" s="1"/>
  <c r="AO89" i="4"/>
  <c r="AP89" i="4" s="1"/>
  <c r="AK89" i="4"/>
  <c r="AL89" i="4" s="1"/>
  <c r="AG89" i="4"/>
  <c r="AH89" i="4" s="1"/>
  <c r="AC89" i="4"/>
  <c r="AD89" i="4" s="1"/>
  <c r="Y89" i="4"/>
  <c r="Z89" i="4" s="1"/>
  <c r="U89" i="4"/>
  <c r="V89" i="4" s="1"/>
  <c r="Q89" i="4"/>
  <c r="R89" i="4" s="1"/>
  <c r="M89" i="4"/>
  <c r="N89" i="4" s="1"/>
  <c r="J89" i="4"/>
  <c r="AU89" i="4"/>
  <c r="AV89" i="4" s="1"/>
  <c r="AE89" i="4"/>
  <c r="AF89" i="4" s="1"/>
  <c r="O89" i="4"/>
  <c r="P89" i="4" s="1"/>
  <c r="AQ89" i="4"/>
  <c r="AR89" i="4" s="1"/>
  <c r="AA89" i="4"/>
  <c r="AB89" i="4" s="1"/>
  <c r="K89" i="4"/>
  <c r="L89" i="4" s="1"/>
  <c r="AM89" i="4"/>
  <c r="AN89" i="4" s="1"/>
  <c r="AI89" i="4"/>
  <c r="AJ89" i="4" s="1"/>
  <c r="W89" i="4"/>
  <c r="X89" i="4" s="1"/>
  <c r="AY89" i="4"/>
  <c r="AZ89" i="4" s="1"/>
  <c r="S89" i="4"/>
  <c r="T89" i="4" s="1"/>
  <c r="DQ85" i="4"/>
  <c r="DR85" i="4" s="1"/>
  <c r="DM85" i="4"/>
  <c r="DN85" i="4" s="1"/>
  <c r="DI85" i="4"/>
  <c r="DJ85" i="4" s="1"/>
  <c r="DE85" i="4"/>
  <c r="DF85" i="4" s="1"/>
  <c r="DA85" i="4"/>
  <c r="DB85" i="4" s="1"/>
  <c r="CW85" i="4"/>
  <c r="CX85" i="4" s="1"/>
  <c r="CS85" i="4"/>
  <c r="CT85" i="4" s="1"/>
  <c r="CO85" i="4"/>
  <c r="CP85" i="4" s="1"/>
  <c r="CK85" i="4"/>
  <c r="CL85" i="4" s="1"/>
  <c r="CG85" i="4"/>
  <c r="CH85" i="4" s="1"/>
  <c r="CC85" i="4"/>
  <c r="CD85" i="4" s="1"/>
  <c r="DO85" i="4"/>
  <c r="DP85" i="4" s="1"/>
  <c r="CY85" i="4"/>
  <c r="CZ85" i="4" s="1"/>
  <c r="CI85" i="4"/>
  <c r="CJ85" i="4" s="1"/>
  <c r="CB85" i="4"/>
  <c r="DK85" i="4"/>
  <c r="DL85" i="4" s="1"/>
  <c r="CU85" i="4"/>
  <c r="CV85" i="4" s="1"/>
  <c r="CM85" i="4"/>
  <c r="CN85" i="4" s="1"/>
  <c r="DG85" i="4"/>
  <c r="DH85" i="4" s="1"/>
  <c r="CE85" i="4"/>
  <c r="CF85" i="4" s="1"/>
  <c r="CQ85" i="4"/>
  <c r="CR85" i="4" s="1"/>
  <c r="DC85" i="4"/>
  <c r="DD85" i="4" s="1"/>
  <c r="ER83" i="4"/>
  <c r="ES83" i="4" s="1"/>
  <c r="CA83" i="4"/>
  <c r="GI66" i="4"/>
  <c r="GJ66" i="4" s="1"/>
  <c r="GE66" i="4"/>
  <c r="GF66" i="4" s="1"/>
  <c r="GA66" i="4"/>
  <c r="GB66" i="4" s="1"/>
  <c r="FW66" i="4"/>
  <c r="FX66" i="4" s="1"/>
  <c r="FS66" i="4"/>
  <c r="FT66" i="4" s="1"/>
  <c r="FO66" i="4"/>
  <c r="FP66" i="4" s="1"/>
  <c r="FK66" i="4"/>
  <c r="FL66" i="4" s="1"/>
  <c r="FG66" i="4"/>
  <c r="FH66" i="4" s="1"/>
  <c r="FC66" i="4"/>
  <c r="FD66" i="4" s="1"/>
  <c r="EY66" i="4"/>
  <c r="EZ66" i="4" s="1"/>
  <c r="EU66" i="4"/>
  <c r="EV66" i="4" s="1"/>
  <c r="GC66" i="4"/>
  <c r="GD66" i="4" s="1"/>
  <c r="FU66" i="4"/>
  <c r="FV66" i="4" s="1"/>
  <c r="FM66" i="4"/>
  <c r="FN66" i="4" s="1"/>
  <c r="FE66" i="4"/>
  <c r="FF66" i="4" s="1"/>
  <c r="EW66" i="4"/>
  <c r="EX66" i="4" s="1"/>
  <c r="FY66" i="4"/>
  <c r="FZ66" i="4" s="1"/>
  <c r="FI66" i="4"/>
  <c r="FJ66" i="4" s="1"/>
  <c r="ET66" i="4"/>
  <c r="GG66" i="4"/>
  <c r="GH66" i="4" s="1"/>
  <c r="FQ66" i="4"/>
  <c r="FR66" i="4" s="1"/>
  <c r="FA66" i="4"/>
  <c r="FB66" i="4" s="1"/>
  <c r="AW58" i="4"/>
  <c r="AX58" i="4" s="1"/>
  <c r="AS58" i="4"/>
  <c r="AT58" i="4" s="1"/>
  <c r="AO58" i="4"/>
  <c r="AP58" i="4" s="1"/>
  <c r="AK58" i="4"/>
  <c r="AL58" i="4" s="1"/>
  <c r="AG58" i="4"/>
  <c r="AH58" i="4" s="1"/>
  <c r="AC58" i="4"/>
  <c r="AD58" i="4" s="1"/>
  <c r="Y58" i="4"/>
  <c r="Z58" i="4" s="1"/>
  <c r="U58" i="4"/>
  <c r="V58" i="4" s="1"/>
  <c r="Q58" i="4"/>
  <c r="R58" i="4" s="1"/>
  <c r="M58" i="4"/>
  <c r="N58" i="4" s="1"/>
  <c r="J58" i="4"/>
  <c r="AY58" i="4"/>
  <c r="AZ58" i="4" s="1"/>
  <c r="AQ58" i="4"/>
  <c r="AR58" i="4" s="1"/>
  <c r="AI58" i="4"/>
  <c r="AJ58" i="4" s="1"/>
  <c r="AA58" i="4"/>
  <c r="AB58" i="4" s="1"/>
  <c r="S58" i="4"/>
  <c r="T58" i="4" s="1"/>
  <c r="K58" i="4"/>
  <c r="L58" i="4" s="1"/>
  <c r="AU58" i="4"/>
  <c r="AV58" i="4" s="1"/>
  <c r="AM58" i="4"/>
  <c r="AN58" i="4" s="1"/>
  <c r="AE58" i="4"/>
  <c r="AF58" i="4" s="1"/>
  <c r="W58" i="4"/>
  <c r="X58" i="4" s="1"/>
  <c r="O58" i="4"/>
  <c r="P58" i="4" s="1"/>
  <c r="AW161" i="4"/>
  <c r="AX161" i="4" s="1"/>
  <c r="AS161" i="4"/>
  <c r="AT161" i="4" s="1"/>
  <c r="AO161" i="4"/>
  <c r="AP161" i="4" s="1"/>
  <c r="AK161" i="4"/>
  <c r="AL161" i="4" s="1"/>
  <c r="AG161" i="4"/>
  <c r="AH161" i="4" s="1"/>
  <c r="AC161" i="4"/>
  <c r="AD161" i="4" s="1"/>
  <c r="Y161" i="4"/>
  <c r="Z161" i="4" s="1"/>
  <c r="U161" i="4"/>
  <c r="V161" i="4" s="1"/>
  <c r="Q161" i="4"/>
  <c r="R161" i="4" s="1"/>
  <c r="M161" i="4"/>
  <c r="N161" i="4" s="1"/>
  <c r="J161" i="4"/>
  <c r="AM161" i="4"/>
  <c r="AN161" i="4" s="1"/>
  <c r="W161" i="4"/>
  <c r="X161" i="4" s="1"/>
  <c r="AY161" i="4"/>
  <c r="AZ161" i="4" s="1"/>
  <c r="AI161" i="4"/>
  <c r="AJ161" i="4" s="1"/>
  <c r="S161" i="4"/>
  <c r="T161" i="4" s="1"/>
  <c r="AQ161" i="4"/>
  <c r="AR161" i="4" s="1"/>
  <c r="AA161" i="4"/>
  <c r="AB161" i="4" s="1"/>
  <c r="K161" i="4"/>
  <c r="L161" i="4" s="1"/>
  <c r="AU161" i="4"/>
  <c r="AV161" i="4" s="1"/>
  <c r="AE161" i="4"/>
  <c r="AF161" i="4" s="1"/>
  <c r="O161" i="4"/>
  <c r="P161" i="4" s="1"/>
  <c r="DQ78" i="4"/>
  <c r="DR78" i="4" s="1"/>
  <c r="DM78" i="4"/>
  <c r="DN78" i="4" s="1"/>
  <c r="DI78" i="4"/>
  <c r="DJ78" i="4" s="1"/>
  <c r="DE78" i="4"/>
  <c r="DF78" i="4" s="1"/>
  <c r="DA78" i="4"/>
  <c r="DB78" i="4" s="1"/>
  <c r="CW78" i="4"/>
  <c r="CX78" i="4" s="1"/>
  <c r="CS78" i="4"/>
  <c r="CT78" i="4" s="1"/>
  <c r="CO78" i="4"/>
  <c r="CP78" i="4" s="1"/>
  <c r="CK78" i="4"/>
  <c r="CL78" i="4" s="1"/>
  <c r="CG78" i="4"/>
  <c r="CH78" i="4" s="1"/>
  <c r="CC78" i="4"/>
  <c r="CD78" i="4" s="1"/>
  <c r="DO78" i="4"/>
  <c r="DP78" i="4" s="1"/>
  <c r="DG78" i="4"/>
  <c r="DH78" i="4" s="1"/>
  <c r="CY78" i="4"/>
  <c r="CZ78" i="4" s="1"/>
  <c r="CQ78" i="4"/>
  <c r="CR78" i="4" s="1"/>
  <c r="CI78" i="4"/>
  <c r="CJ78" i="4" s="1"/>
  <c r="CB78" i="4"/>
  <c r="DK78" i="4"/>
  <c r="DL78" i="4" s="1"/>
  <c r="CU78" i="4"/>
  <c r="CV78" i="4" s="1"/>
  <c r="CE78" i="4"/>
  <c r="CF78" i="4" s="1"/>
  <c r="DC78" i="4"/>
  <c r="DD78" i="4" s="1"/>
  <c r="CM78" i="4"/>
  <c r="CN78" i="4" s="1"/>
  <c r="DQ74" i="4"/>
  <c r="DR74" i="4" s="1"/>
  <c r="DM74" i="4"/>
  <c r="DN74" i="4" s="1"/>
  <c r="DI74" i="4"/>
  <c r="DJ74" i="4" s="1"/>
  <c r="DE74" i="4"/>
  <c r="DF74" i="4" s="1"/>
  <c r="DA74" i="4"/>
  <c r="DB74" i="4" s="1"/>
  <c r="CW74" i="4"/>
  <c r="CX74" i="4" s="1"/>
  <c r="CS74" i="4"/>
  <c r="CT74" i="4" s="1"/>
  <c r="CO74" i="4"/>
  <c r="CP74" i="4" s="1"/>
  <c r="CK74" i="4"/>
  <c r="CL74" i="4" s="1"/>
  <c r="CG74" i="4"/>
  <c r="CH74" i="4" s="1"/>
  <c r="CC74" i="4"/>
  <c r="CD74" i="4" s="1"/>
  <c r="DO74" i="4"/>
  <c r="DP74" i="4" s="1"/>
  <c r="DG74" i="4"/>
  <c r="DH74" i="4" s="1"/>
  <c r="CY74" i="4"/>
  <c r="CZ74" i="4" s="1"/>
  <c r="CQ74" i="4"/>
  <c r="CR74" i="4" s="1"/>
  <c r="CI74" i="4"/>
  <c r="CJ74" i="4" s="1"/>
  <c r="CB74" i="4"/>
  <c r="DC74" i="4"/>
  <c r="DD74" i="4" s="1"/>
  <c r="CM74" i="4"/>
  <c r="CN74" i="4" s="1"/>
  <c r="CE74" i="4"/>
  <c r="CF74" i="4" s="1"/>
  <c r="DK74" i="4"/>
  <c r="DL74" i="4" s="1"/>
  <c r="CU74" i="4"/>
  <c r="CV74" i="4" s="1"/>
  <c r="GI65" i="4"/>
  <c r="GJ65" i="4" s="1"/>
  <c r="GE65" i="4"/>
  <c r="GF65" i="4" s="1"/>
  <c r="GA65" i="4"/>
  <c r="GB65" i="4" s="1"/>
  <c r="FW65" i="4"/>
  <c r="FX65" i="4" s="1"/>
  <c r="FS65" i="4"/>
  <c r="FT65" i="4" s="1"/>
  <c r="FO65" i="4"/>
  <c r="FP65" i="4" s="1"/>
  <c r="FK65" i="4"/>
  <c r="FL65" i="4" s="1"/>
  <c r="FG65" i="4"/>
  <c r="FH65" i="4" s="1"/>
  <c r="FC65" i="4"/>
  <c r="FD65" i="4" s="1"/>
  <c r="EY65" i="4"/>
  <c r="EZ65" i="4" s="1"/>
  <c r="EU65" i="4"/>
  <c r="EV65" i="4" s="1"/>
  <c r="GC65" i="4"/>
  <c r="GD65" i="4" s="1"/>
  <c r="FU65" i="4"/>
  <c r="FV65" i="4" s="1"/>
  <c r="FM65" i="4"/>
  <c r="FN65" i="4" s="1"/>
  <c r="FE65" i="4"/>
  <c r="FF65" i="4" s="1"/>
  <c r="EW65" i="4"/>
  <c r="EX65" i="4" s="1"/>
  <c r="FY65" i="4"/>
  <c r="FZ65" i="4" s="1"/>
  <c r="FI65" i="4"/>
  <c r="FJ65" i="4" s="1"/>
  <c r="ET65" i="4"/>
  <c r="GG65" i="4"/>
  <c r="GH65" i="4" s="1"/>
  <c r="FQ65" i="4"/>
  <c r="FR65" i="4" s="1"/>
  <c r="FA65" i="4"/>
  <c r="FB65" i="4" s="1"/>
  <c r="GI57" i="4"/>
  <c r="GJ57" i="4" s="1"/>
  <c r="GE57" i="4"/>
  <c r="GF57" i="4" s="1"/>
  <c r="GA57" i="4"/>
  <c r="GB57" i="4" s="1"/>
  <c r="FW57" i="4"/>
  <c r="FX57" i="4" s="1"/>
  <c r="FS57" i="4"/>
  <c r="FT57" i="4" s="1"/>
  <c r="FO57" i="4"/>
  <c r="FP57" i="4" s="1"/>
  <c r="FK57" i="4"/>
  <c r="FL57" i="4" s="1"/>
  <c r="FG57" i="4"/>
  <c r="FH57" i="4" s="1"/>
  <c r="FC57" i="4"/>
  <c r="FD57" i="4" s="1"/>
  <c r="EY57" i="4"/>
  <c r="EZ57" i="4" s="1"/>
  <c r="EU57" i="4"/>
  <c r="EV57" i="4" s="1"/>
  <c r="GC57" i="4"/>
  <c r="GD57" i="4" s="1"/>
  <c r="FU57" i="4"/>
  <c r="FV57" i="4" s="1"/>
  <c r="FM57" i="4"/>
  <c r="FN57" i="4" s="1"/>
  <c r="FE57" i="4"/>
  <c r="FF57" i="4" s="1"/>
  <c r="EW57" i="4"/>
  <c r="EX57" i="4" s="1"/>
  <c r="GG57" i="4"/>
  <c r="GH57" i="4" s="1"/>
  <c r="FY57" i="4"/>
  <c r="FZ57" i="4" s="1"/>
  <c r="FQ57" i="4"/>
  <c r="FR57" i="4" s="1"/>
  <c r="FI57" i="4"/>
  <c r="FJ57" i="4" s="1"/>
  <c r="FA57" i="4"/>
  <c r="FB57" i="4" s="1"/>
  <c r="ET57" i="4"/>
  <c r="GI71" i="4"/>
  <c r="GJ71" i="4" s="1"/>
  <c r="GE71" i="4"/>
  <c r="GF71" i="4" s="1"/>
  <c r="GA71" i="4"/>
  <c r="GB71" i="4" s="1"/>
  <c r="FW71" i="4"/>
  <c r="FX71" i="4" s="1"/>
  <c r="FS71" i="4"/>
  <c r="FT71" i="4" s="1"/>
  <c r="FO71" i="4"/>
  <c r="FP71" i="4" s="1"/>
  <c r="FK71" i="4"/>
  <c r="FL71" i="4" s="1"/>
  <c r="FG71" i="4"/>
  <c r="FH71" i="4" s="1"/>
  <c r="FC71" i="4"/>
  <c r="FD71" i="4" s="1"/>
  <c r="EY71" i="4"/>
  <c r="EZ71" i="4" s="1"/>
  <c r="EU71" i="4"/>
  <c r="EV71" i="4" s="1"/>
  <c r="GC71" i="4"/>
  <c r="GD71" i="4" s="1"/>
  <c r="FU71" i="4"/>
  <c r="FV71" i="4" s="1"/>
  <c r="FM71" i="4"/>
  <c r="FN71" i="4" s="1"/>
  <c r="FE71" i="4"/>
  <c r="FF71" i="4" s="1"/>
  <c r="EW71" i="4"/>
  <c r="EX71" i="4" s="1"/>
  <c r="FY71" i="4"/>
  <c r="FZ71" i="4" s="1"/>
  <c r="FI71" i="4"/>
  <c r="FJ71" i="4" s="1"/>
  <c r="ET71" i="4"/>
  <c r="GG71" i="4"/>
  <c r="GH71" i="4" s="1"/>
  <c r="FQ71" i="4"/>
  <c r="FR71" i="4" s="1"/>
  <c r="FA71" i="4"/>
  <c r="FB71" i="4" s="1"/>
  <c r="DQ81" i="4"/>
  <c r="DR81" i="4" s="1"/>
  <c r="DM81" i="4"/>
  <c r="DN81" i="4" s="1"/>
  <c r="DI81" i="4"/>
  <c r="DJ81" i="4" s="1"/>
  <c r="DE81" i="4"/>
  <c r="DF81" i="4" s="1"/>
  <c r="DA81" i="4"/>
  <c r="DB81" i="4" s="1"/>
  <c r="CW81" i="4"/>
  <c r="CX81" i="4" s="1"/>
  <c r="CS81" i="4"/>
  <c r="CT81" i="4" s="1"/>
  <c r="CO81" i="4"/>
  <c r="CP81" i="4" s="1"/>
  <c r="CK81" i="4"/>
  <c r="CL81" i="4" s="1"/>
  <c r="CG81" i="4"/>
  <c r="CH81" i="4" s="1"/>
  <c r="CC81" i="4"/>
  <c r="CD81" i="4" s="1"/>
  <c r="DO81" i="4"/>
  <c r="DP81" i="4" s="1"/>
  <c r="DG81" i="4"/>
  <c r="DH81" i="4" s="1"/>
  <c r="CY81" i="4"/>
  <c r="CZ81" i="4" s="1"/>
  <c r="CQ81" i="4"/>
  <c r="CR81" i="4" s="1"/>
  <c r="CI81" i="4"/>
  <c r="CJ81" i="4" s="1"/>
  <c r="CB81" i="4"/>
  <c r="DC81" i="4"/>
  <c r="DD81" i="4" s="1"/>
  <c r="CM81" i="4"/>
  <c r="CN81" i="4" s="1"/>
  <c r="DK81" i="4"/>
  <c r="DL81" i="4" s="1"/>
  <c r="CE81" i="4"/>
  <c r="CF81" i="4" s="1"/>
  <c r="CU81" i="4"/>
  <c r="CV81" i="4" s="1"/>
  <c r="AW69" i="4"/>
  <c r="AX69" i="4" s="1"/>
  <c r="AS69" i="4"/>
  <c r="AT69" i="4" s="1"/>
  <c r="AO69" i="4"/>
  <c r="AP69" i="4" s="1"/>
  <c r="AK69" i="4"/>
  <c r="AL69" i="4" s="1"/>
  <c r="AG69" i="4"/>
  <c r="AH69" i="4" s="1"/>
  <c r="AC69" i="4"/>
  <c r="AD69" i="4" s="1"/>
  <c r="Y69" i="4"/>
  <c r="Z69" i="4" s="1"/>
  <c r="U69" i="4"/>
  <c r="V69" i="4" s="1"/>
  <c r="Q69" i="4"/>
  <c r="R69" i="4" s="1"/>
  <c r="M69" i="4"/>
  <c r="N69" i="4" s="1"/>
  <c r="J69" i="4"/>
  <c r="AY69" i="4"/>
  <c r="AZ69" i="4" s="1"/>
  <c r="AQ69" i="4"/>
  <c r="AR69" i="4" s="1"/>
  <c r="AI69" i="4"/>
  <c r="AJ69" i="4" s="1"/>
  <c r="AA69" i="4"/>
  <c r="AB69" i="4" s="1"/>
  <c r="S69" i="4"/>
  <c r="T69" i="4" s="1"/>
  <c r="K69" i="4"/>
  <c r="L69" i="4" s="1"/>
  <c r="AU69" i="4"/>
  <c r="AV69" i="4" s="1"/>
  <c r="AE69" i="4"/>
  <c r="AF69" i="4" s="1"/>
  <c r="O69" i="4"/>
  <c r="P69" i="4" s="1"/>
  <c r="AM69" i="4"/>
  <c r="AN69" i="4" s="1"/>
  <c r="W69" i="4"/>
  <c r="X69" i="4" s="1"/>
  <c r="DQ40" i="4"/>
  <c r="DR40" i="4" s="1"/>
  <c r="DM40" i="4"/>
  <c r="DN40" i="4" s="1"/>
  <c r="DI40" i="4"/>
  <c r="DJ40" i="4" s="1"/>
  <c r="DE40" i="4"/>
  <c r="DF40" i="4" s="1"/>
  <c r="DA40" i="4"/>
  <c r="DB40" i="4" s="1"/>
  <c r="CW40" i="4"/>
  <c r="CX40" i="4" s="1"/>
  <c r="CS40" i="4"/>
  <c r="CT40" i="4" s="1"/>
  <c r="CO40" i="4"/>
  <c r="CP40" i="4" s="1"/>
  <c r="CK40" i="4"/>
  <c r="CL40" i="4" s="1"/>
  <c r="CG40" i="4"/>
  <c r="CH40" i="4" s="1"/>
  <c r="CC40" i="4"/>
  <c r="CD40" i="4" s="1"/>
  <c r="DC40" i="4"/>
  <c r="DD40" i="4" s="1"/>
  <c r="CE40" i="4"/>
  <c r="CF40" i="4" s="1"/>
  <c r="DK40" i="4"/>
  <c r="DL40" i="4" s="1"/>
  <c r="DO40" i="4"/>
  <c r="DP40" i="4" s="1"/>
  <c r="DG40" i="4"/>
  <c r="DH40" i="4" s="1"/>
  <c r="CY40" i="4"/>
  <c r="CZ40" i="4" s="1"/>
  <c r="CQ40" i="4"/>
  <c r="CR40" i="4" s="1"/>
  <c r="CI40" i="4"/>
  <c r="CJ40" i="4" s="1"/>
  <c r="CB40" i="4"/>
  <c r="CU40" i="4"/>
  <c r="CV40" i="4" s="1"/>
  <c r="CM40" i="4"/>
  <c r="CN40" i="4" s="1"/>
  <c r="DQ26" i="4"/>
  <c r="DR26" i="4" s="1"/>
  <c r="DM26" i="4"/>
  <c r="DN26" i="4" s="1"/>
  <c r="DI26" i="4"/>
  <c r="DJ26" i="4" s="1"/>
  <c r="DE26" i="4"/>
  <c r="DF26" i="4" s="1"/>
  <c r="DA26" i="4"/>
  <c r="DB26" i="4" s="1"/>
  <c r="CW26" i="4"/>
  <c r="CX26" i="4" s="1"/>
  <c r="CS26" i="4"/>
  <c r="CT26" i="4" s="1"/>
  <c r="CO26" i="4"/>
  <c r="CP26" i="4" s="1"/>
  <c r="CK26" i="4"/>
  <c r="CL26" i="4" s="1"/>
  <c r="CG26" i="4"/>
  <c r="CH26" i="4" s="1"/>
  <c r="CC26" i="4"/>
  <c r="CD26" i="4" s="1"/>
  <c r="DC26" i="4"/>
  <c r="DD26" i="4" s="1"/>
  <c r="CY26" i="4"/>
  <c r="CZ26" i="4" s="1"/>
  <c r="CB26" i="4"/>
  <c r="DO26" i="4"/>
  <c r="DP26" i="4" s="1"/>
  <c r="CQ26" i="4"/>
  <c r="CR26" i="4" s="1"/>
  <c r="DK26" i="4"/>
  <c r="DL26" i="4" s="1"/>
  <c r="CU26" i="4"/>
  <c r="CV26" i="4" s="1"/>
  <c r="CM26" i="4"/>
  <c r="CN26" i="4" s="1"/>
  <c r="CE26" i="4"/>
  <c r="CF26" i="4" s="1"/>
  <c r="DG26" i="4"/>
  <c r="DH26" i="4" s="1"/>
  <c r="CI26" i="4"/>
  <c r="CJ26" i="4" s="1"/>
  <c r="CA48" i="4"/>
  <c r="ER48" i="4"/>
  <c r="ES48" i="4" s="1"/>
  <c r="AW44" i="4"/>
  <c r="AX44" i="4" s="1"/>
  <c r="AS44" i="4"/>
  <c r="AT44" i="4" s="1"/>
  <c r="AO44" i="4"/>
  <c r="AP44" i="4" s="1"/>
  <c r="AK44" i="4"/>
  <c r="AL44" i="4" s="1"/>
  <c r="AG44" i="4"/>
  <c r="AH44" i="4" s="1"/>
  <c r="AC44" i="4"/>
  <c r="AD44" i="4" s="1"/>
  <c r="Y44" i="4"/>
  <c r="Z44" i="4" s="1"/>
  <c r="U44" i="4"/>
  <c r="V44" i="4" s="1"/>
  <c r="Q44" i="4"/>
  <c r="R44" i="4" s="1"/>
  <c r="M44" i="4"/>
  <c r="N44" i="4" s="1"/>
  <c r="J44" i="4"/>
  <c r="AM44" i="4"/>
  <c r="AN44" i="4" s="1"/>
  <c r="W44" i="4"/>
  <c r="X44" i="4" s="1"/>
  <c r="AY44" i="4"/>
  <c r="AZ44" i="4" s="1"/>
  <c r="AU44" i="4"/>
  <c r="AV44" i="4" s="1"/>
  <c r="AI44" i="4"/>
  <c r="AJ44" i="4" s="1"/>
  <c r="O44" i="4"/>
  <c r="P44" i="4" s="1"/>
  <c r="AQ44" i="4"/>
  <c r="AR44" i="4" s="1"/>
  <c r="AA44" i="4"/>
  <c r="AB44" i="4" s="1"/>
  <c r="K44" i="4"/>
  <c r="L44" i="4" s="1"/>
  <c r="S44" i="4"/>
  <c r="T44" i="4" s="1"/>
  <c r="AE44" i="4"/>
  <c r="AF44" i="4" s="1"/>
  <c r="DQ49" i="4"/>
  <c r="DR49" i="4" s="1"/>
  <c r="DM49" i="4"/>
  <c r="DN49" i="4" s="1"/>
  <c r="DI49" i="4"/>
  <c r="DJ49" i="4" s="1"/>
  <c r="DE49" i="4"/>
  <c r="DF49" i="4" s="1"/>
  <c r="DA49" i="4"/>
  <c r="DB49" i="4" s="1"/>
  <c r="CW49" i="4"/>
  <c r="CX49" i="4" s="1"/>
  <c r="CS49" i="4"/>
  <c r="CT49" i="4" s="1"/>
  <c r="CO49" i="4"/>
  <c r="CP49" i="4" s="1"/>
  <c r="CK49" i="4"/>
  <c r="CL49" i="4" s="1"/>
  <c r="CG49" i="4"/>
  <c r="CH49" i="4" s="1"/>
  <c r="CC49" i="4"/>
  <c r="CD49" i="4" s="1"/>
  <c r="DO49" i="4"/>
  <c r="DP49" i="4" s="1"/>
  <c r="DK49" i="4"/>
  <c r="DL49" i="4" s="1"/>
  <c r="DG49" i="4"/>
  <c r="DH49" i="4" s="1"/>
  <c r="DC49" i="4"/>
  <c r="DD49" i="4" s="1"/>
  <c r="CY49" i="4"/>
  <c r="CZ49" i="4" s="1"/>
  <c r="CU49" i="4"/>
  <c r="CV49" i="4" s="1"/>
  <c r="CQ49" i="4"/>
  <c r="CR49" i="4" s="1"/>
  <c r="CM49" i="4"/>
  <c r="CN49" i="4" s="1"/>
  <c r="CI49" i="4"/>
  <c r="CJ49" i="4" s="1"/>
  <c r="CE49" i="4"/>
  <c r="CF49" i="4" s="1"/>
  <c r="CB49" i="4"/>
  <c r="DO43" i="4"/>
  <c r="DP43" i="4" s="1"/>
  <c r="DK43" i="4"/>
  <c r="DL43" i="4" s="1"/>
  <c r="DG43" i="4"/>
  <c r="DH43" i="4" s="1"/>
  <c r="DC43" i="4"/>
  <c r="DD43" i="4" s="1"/>
  <c r="CY43" i="4"/>
  <c r="CZ43" i="4" s="1"/>
  <c r="CU43" i="4"/>
  <c r="CV43" i="4" s="1"/>
  <c r="CQ43" i="4"/>
  <c r="CR43" i="4" s="1"/>
  <c r="CM43" i="4"/>
  <c r="CN43" i="4" s="1"/>
  <c r="CI43" i="4"/>
  <c r="CJ43" i="4" s="1"/>
  <c r="CE43" i="4"/>
  <c r="CF43" i="4" s="1"/>
  <c r="CB43" i="4"/>
  <c r="DQ43" i="4"/>
  <c r="DR43" i="4" s="1"/>
  <c r="DM43" i="4"/>
  <c r="DN43" i="4" s="1"/>
  <c r="DI43" i="4"/>
  <c r="DJ43" i="4" s="1"/>
  <c r="DE43" i="4"/>
  <c r="DF43" i="4" s="1"/>
  <c r="DA43" i="4"/>
  <c r="DB43" i="4" s="1"/>
  <c r="CW43" i="4"/>
  <c r="CX43" i="4" s="1"/>
  <c r="CS43" i="4"/>
  <c r="CT43" i="4" s="1"/>
  <c r="CO43" i="4"/>
  <c r="CP43" i="4" s="1"/>
  <c r="CK43" i="4"/>
  <c r="CL43" i="4" s="1"/>
  <c r="CG43" i="4"/>
  <c r="CH43" i="4" s="1"/>
  <c r="CC43" i="4"/>
  <c r="CD43" i="4" s="1"/>
  <c r="GI130" i="4"/>
  <c r="GJ130" i="4" s="1"/>
  <c r="GE130" i="4"/>
  <c r="GF130" i="4" s="1"/>
  <c r="GA130" i="4"/>
  <c r="GB130" i="4" s="1"/>
  <c r="FW130" i="4"/>
  <c r="FX130" i="4" s="1"/>
  <c r="FS130" i="4"/>
  <c r="FT130" i="4" s="1"/>
  <c r="FO130" i="4"/>
  <c r="FP130" i="4" s="1"/>
  <c r="FK130" i="4"/>
  <c r="FL130" i="4" s="1"/>
  <c r="FG130" i="4"/>
  <c r="FH130" i="4" s="1"/>
  <c r="FC130" i="4"/>
  <c r="FD130" i="4" s="1"/>
  <c r="EY130" i="4"/>
  <c r="EZ130" i="4" s="1"/>
  <c r="EU130" i="4"/>
  <c r="EV130" i="4" s="1"/>
  <c r="GG130" i="4"/>
  <c r="GH130" i="4" s="1"/>
  <c r="GC130" i="4"/>
  <c r="GD130" i="4" s="1"/>
  <c r="FY130" i="4"/>
  <c r="FZ130" i="4" s="1"/>
  <c r="FU130" i="4"/>
  <c r="FV130" i="4" s="1"/>
  <c r="FQ130" i="4"/>
  <c r="FR130" i="4" s="1"/>
  <c r="FM130" i="4"/>
  <c r="FN130" i="4" s="1"/>
  <c r="FI130" i="4"/>
  <c r="FJ130" i="4" s="1"/>
  <c r="FE130" i="4"/>
  <c r="FF130" i="4" s="1"/>
  <c r="FA130" i="4"/>
  <c r="FB130" i="4" s="1"/>
  <c r="EW130" i="4"/>
  <c r="EX130" i="4" s="1"/>
  <c r="ET130" i="4"/>
  <c r="ER89" i="4"/>
  <c r="ES89" i="4" s="1"/>
  <c r="CA89" i="4"/>
  <c r="AW81" i="4"/>
  <c r="AX81" i="4" s="1"/>
  <c r="AS81" i="4"/>
  <c r="AT81" i="4" s="1"/>
  <c r="AO81" i="4"/>
  <c r="AP81" i="4" s="1"/>
  <c r="AK81" i="4"/>
  <c r="AL81" i="4" s="1"/>
  <c r="AG81" i="4"/>
  <c r="AH81" i="4" s="1"/>
  <c r="AC81" i="4"/>
  <c r="AD81" i="4" s="1"/>
  <c r="Y81" i="4"/>
  <c r="Z81" i="4" s="1"/>
  <c r="U81" i="4"/>
  <c r="V81" i="4" s="1"/>
  <c r="Q81" i="4"/>
  <c r="R81" i="4" s="1"/>
  <c r="M81" i="4"/>
  <c r="N81" i="4" s="1"/>
  <c r="J81" i="4"/>
  <c r="AY81" i="4"/>
  <c r="AZ81" i="4" s="1"/>
  <c r="AQ81" i="4"/>
  <c r="AR81" i="4" s="1"/>
  <c r="AI81" i="4"/>
  <c r="AJ81" i="4" s="1"/>
  <c r="AA81" i="4"/>
  <c r="AB81" i="4" s="1"/>
  <c r="S81" i="4"/>
  <c r="T81" i="4" s="1"/>
  <c r="K81" i="4"/>
  <c r="L81" i="4" s="1"/>
  <c r="AM81" i="4"/>
  <c r="AN81" i="4" s="1"/>
  <c r="W81" i="4"/>
  <c r="X81" i="4" s="1"/>
  <c r="AU81" i="4"/>
  <c r="AV81" i="4" s="1"/>
  <c r="AE81" i="4"/>
  <c r="AF81" i="4" s="1"/>
  <c r="O81" i="4"/>
  <c r="P81" i="4" s="1"/>
  <c r="DO71" i="4"/>
  <c r="DP71" i="4" s="1"/>
  <c r="DK71" i="4"/>
  <c r="DL71" i="4" s="1"/>
  <c r="DG71" i="4"/>
  <c r="DH71" i="4" s="1"/>
  <c r="DC71" i="4"/>
  <c r="DD71" i="4" s="1"/>
  <c r="CY71" i="4"/>
  <c r="CZ71" i="4" s="1"/>
  <c r="CU71" i="4"/>
  <c r="CV71" i="4" s="1"/>
  <c r="CQ71" i="4"/>
  <c r="CR71" i="4" s="1"/>
  <c r="CM71" i="4"/>
  <c r="CN71" i="4" s="1"/>
  <c r="CI71" i="4"/>
  <c r="CJ71" i="4" s="1"/>
  <c r="CE71" i="4"/>
  <c r="CF71" i="4" s="1"/>
  <c r="CB71" i="4"/>
  <c r="DM71" i="4"/>
  <c r="DN71" i="4" s="1"/>
  <c r="DE71" i="4"/>
  <c r="DF71" i="4" s="1"/>
  <c r="CW71" i="4"/>
  <c r="CX71" i="4" s="1"/>
  <c r="CO71" i="4"/>
  <c r="CP71" i="4" s="1"/>
  <c r="CG71" i="4"/>
  <c r="CH71" i="4" s="1"/>
  <c r="DQ71" i="4"/>
  <c r="DR71" i="4" s="1"/>
  <c r="DA71" i="4"/>
  <c r="DB71" i="4" s="1"/>
  <c r="CK71" i="4"/>
  <c r="CL71" i="4" s="1"/>
  <c r="DI71" i="4"/>
  <c r="DJ71" i="4" s="1"/>
  <c r="CS71" i="4"/>
  <c r="CT71" i="4" s="1"/>
  <c r="CC71" i="4"/>
  <c r="CD71" i="4" s="1"/>
  <c r="GG26" i="4"/>
  <c r="GH26" i="4" s="1"/>
  <c r="GC26" i="4"/>
  <c r="GD26" i="4" s="1"/>
  <c r="FY26" i="4"/>
  <c r="FZ26" i="4" s="1"/>
  <c r="FU26" i="4"/>
  <c r="FV26" i="4" s="1"/>
  <c r="FQ26" i="4"/>
  <c r="FR26" i="4" s="1"/>
  <c r="FM26" i="4"/>
  <c r="FN26" i="4" s="1"/>
  <c r="FI26" i="4"/>
  <c r="FJ26" i="4" s="1"/>
  <c r="FE26" i="4"/>
  <c r="FF26" i="4" s="1"/>
  <c r="FA26" i="4"/>
  <c r="FB26" i="4" s="1"/>
  <c r="EW26" i="4"/>
  <c r="EX26" i="4" s="1"/>
  <c r="ET26" i="4"/>
  <c r="FW26" i="4"/>
  <c r="FX26" i="4" s="1"/>
  <c r="FS26" i="4"/>
  <c r="FT26" i="4" s="1"/>
  <c r="GA26" i="4"/>
  <c r="GB26" i="4" s="1"/>
  <c r="FC26" i="4"/>
  <c r="FD26" i="4" s="1"/>
  <c r="GE26" i="4"/>
  <c r="GF26" i="4" s="1"/>
  <c r="FO26" i="4"/>
  <c r="FP26" i="4" s="1"/>
  <c r="FG26" i="4"/>
  <c r="FH26" i="4" s="1"/>
  <c r="EY26" i="4"/>
  <c r="EZ26" i="4" s="1"/>
  <c r="GI26" i="4"/>
  <c r="GJ26" i="4" s="1"/>
  <c r="FK26" i="4"/>
  <c r="FL26" i="4" s="1"/>
  <c r="EU26" i="4"/>
  <c r="EV26" i="4" s="1"/>
  <c r="DM30" i="4"/>
  <c r="DN30" i="4" s="1"/>
  <c r="CW30" i="4"/>
  <c r="CX30" i="4" s="1"/>
  <c r="CG30" i="4"/>
  <c r="CH30" i="4" s="1"/>
  <c r="DK30" i="4"/>
  <c r="DL30" i="4" s="1"/>
  <c r="CY30" i="4"/>
  <c r="CZ30" i="4" s="1"/>
  <c r="CU30" i="4"/>
  <c r="CV30" i="4" s="1"/>
  <c r="AW48" i="4"/>
  <c r="AX48" i="4" s="1"/>
  <c r="AS48" i="4"/>
  <c r="AT48" i="4" s="1"/>
  <c r="AO48" i="4"/>
  <c r="AP48" i="4" s="1"/>
  <c r="AK48" i="4"/>
  <c r="AL48" i="4" s="1"/>
  <c r="AG48" i="4"/>
  <c r="AH48" i="4" s="1"/>
  <c r="AC48" i="4"/>
  <c r="AD48" i="4" s="1"/>
  <c r="Y48" i="4"/>
  <c r="Z48" i="4" s="1"/>
  <c r="U48" i="4"/>
  <c r="V48" i="4" s="1"/>
  <c r="Q48" i="4"/>
  <c r="R48" i="4" s="1"/>
  <c r="M48" i="4"/>
  <c r="N48" i="4" s="1"/>
  <c r="J48" i="4"/>
  <c r="AY48" i="4"/>
  <c r="AZ48" i="4" s="1"/>
  <c r="AI48" i="4"/>
  <c r="AJ48" i="4" s="1"/>
  <c r="S48" i="4"/>
  <c r="T48" i="4" s="1"/>
  <c r="AU48" i="4"/>
  <c r="AV48" i="4" s="1"/>
  <c r="AQ48" i="4"/>
  <c r="AR48" i="4" s="1"/>
  <c r="O48" i="4"/>
  <c r="P48" i="4" s="1"/>
  <c r="AA48" i="4"/>
  <c r="AB48" i="4" s="1"/>
  <c r="AM48" i="4"/>
  <c r="AN48" i="4" s="1"/>
  <c r="W48" i="4"/>
  <c r="X48" i="4" s="1"/>
  <c r="AE48" i="4"/>
  <c r="AF48" i="4" s="1"/>
  <c r="K48" i="4"/>
  <c r="L48" i="4" s="1"/>
  <c r="ER27" i="4"/>
  <c r="ES27" i="4" s="1"/>
  <c r="CA27" i="4"/>
  <c r="GG32" i="4"/>
  <c r="GH32" i="4" s="1"/>
  <c r="GC32" i="4"/>
  <c r="GD32" i="4" s="1"/>
  <c r="FY32" i="4"/>
  <c r="FZ32" i="4" s="1"/>
  <c r="FU32" i="4"/>
  <c r="FV32" i="4" s="1"/>
  <c r="FQ32" i="4"/>
  <c r="FR32" i="4" s="1"/>
  <c r="FM32" i="4"/>
  <c r="FN32" i="4" s="1"/>
  <c r="FI32" i="4"/>
  <c r="FJ32" i="4" s="1"/>
  <c r="FE32" i="4"/>
  <c r="FF32" i="4" s="1"/>
  <c r="FA32" i="4"/>
  <c r="FB32" i="4" s="1"/>
  <c r="EW32" i="4"/>
  <c r="EX32" i="4" s="1"/>
  <c r="ET32" i="4"/>
  <c r="FW32" i="4"/>
  <c r="FX32" i="4" s="1"/>
  <c r="EY32" i="4"/>
  <c r="EZ32" i="4" s="1"/>
  <c r="GE32" i="4"/>
  <c r="GF32" i="4" s="1"/>
  <c r="FG32" i="4"/>
  <c r="FH32" i="4" s="1"/>
  <c r="GI32" i="4"/>
  <c r="GJ32" i="4" s="1"/>
  <c r="GA32" i="4"/>
  <c r="GB32" i="4" s="1"/>
  <c r="FS32" i="4"/>
  <c r="FT32" i="4" s="1"/>
  <c r="FK32" i="4"/>
  <c r="FL32" i="4" s="1"/>
  <c r="FC32" i="4"/>
  <c r="FD32" i="4" s="1"/>
  <c r="EU32" i="4"/>
  <c r="EV32" i="4" s="1"/>
  <c r="FO32" i="4"/>
  <c r="FP32" i="4" s="1"/>
  <c r="DO159" i="4"/>
  <c r="DP159" i="4" s="1"/>
  <c r="DK159" i="4"/>
  <c r="DL159" i="4" s="1"/>
  <c r="DG159" i="4"/>
  <c r="DH159" i="4" s="1"/>
  <c r="DC159" i="4"/>
  <c r="DD159" i="4" s="1"/>
  <c r="CY159" i="4"/>
  <c r="CZ159" i="4" s="1"/>
  <c r="DE159" i="4"/>
  <c r="DF159" i="4" s="1"/>
  <c r="CO159" i="4"/>
  <c r="CP159" i="4" s="1"/>
  <c r="CK159" i="4"/>
  <c r="CL159" i="4" s="1"/>
  <c r="CG159" i="4"/>
  <c r="CH159" i="4" s="1"/>
  <c r="CC159" i="4"/>
  <c r="CD159" i="4" s="1"/>
  <c r="DQ159" i="4"/>
  <c r="DR159" i="4" s="1"/>
  <c r="DA159" i="4"/>
  <c r="DB159" i="4" s="1"/>
  <c r="CS159" i="4"/>
  <c r="CT159" i="4" s="1"/>
  <c r="DI159" i="4"/>
  <c r="DJ159" i="4" s="1"/>
  <c r="CU159" i="4"/>
  <c r="CV159" i="4" s="1"/>
  <c r="CW159" i="4"/>
  <c r="CX159" i="4" s="1"/>
  <c r="CE159" i="4"/>
  <c r="CF159" i="4" s="1"/>
  <c r="CQ159" i="4"/>
  <c r="CR159" i="4" s="1"/>
  <c r="CB159" i="4"/>
  <c r="DM159" i="4"/>
  <c r="DN159" i="4" s="1"/>
  <c r="CI159" i="4"/>
  <c r="CJ159" i="4" s="1"/>
  <c r="CM159" i="4"/>
  <c r="CN159" i="4" s="1"/>
  <c r="GG160" i="4"/>
  <c r="GH160" i="4" s="1"/>
  <c r="GC160" i="4"/>
  <c r="GD160" i="4" s="1"/>
  <c r="FY160" i="4"/>
  <c r="FZ160" i="4" s="1"/>
  <c r="FU160" i="4"/>
  <c r="FV160" i="4" s="1"/>
  <c r="FQ160" i="4"/>
  <c r="FR160" i="4" s="1"/>
  <c r="FM160" i="4"/>
  <c r="FN160" i="4" s="1"/>
  <c r="FI160" i="4"/>
  <c r="FJ160" i="4" s="1"/>
  <c r="FE160" i="4"/>
  <c r="FF160" i="4" s="1"/>
  <c r="FA160" i="4"/>
  <c r="FB160" i="4" s="1"/>
  <c r="EW160" i="4"/>
  <c r="EX160" i="4" s="1"/>
  <c r="ET160" i="4"/>
  <c r="GI160" i="4"/>
  <c r="GJ160" i="4" s="1"/>
  <c r="GE160" i="4"/>
  <c r="GF160" i="4" s="1"/>
  <c r="GA160" i="4"/>
  <c r="GB160" i="4" s="1"/>
  <c r="FW160" i="4"/>
  <c r="FX160" i="4" s="1"/>
  <c r="FS160" i="4"/>
  <c r="FT160" i="4" s="1"/>
  <c r="FO160" i="4"/>
  <c r="FP160" i="4" s="1"/>
  <c r="FK160" i="4"/>
  <c r="FL160" i="4" s="1"/>
  <c r="FG160" i="4"/>
  <c r="FH160" i="4" s="1"/>
  <c r="FC160" i="4"/>
  <c r="FD160" i="4" s="1"/>
  <c r="EY160" i="4"/>
  <c r="EZ160" i="4" s="1"/>
  <c r="EU160" i="4"/>
  <c r="EV160" i="4" s="1"/>
  <c r="DQ146" i="4"/>
  <c r="DR146" i="4" s="1"/>
  <c r="DM146" i="4"/>
  <c r="DN146" i="4" s="1"/>
  <c r="DI146" i="4"/>
  <c r="DJ146" i="4" s="1"/>
  <c r="DE146" i="4"/>
  <c r="DF146" i="4" s="1"/>
  <c r="DA146" i="4"/>
  <c r="DB146" i="4" s="1"/>
  <c r="CW146" i="4"/>
  <c r="CX146" i="4" s="1"/>
  <c r="CS146" i="4"/>
  <c r="CT146" i="4" s="1"/>
  <c r="CO146" i="4"/>
  <c r="CP146" i="4" s="1"/>
  <c r="CK146" i="4"/>
  <c r="CL146" i="4" s="1"/>
  <c r="CG146" i="4"/>
  <c r="CH146" i="4" s="1"/>
  <c r="CC146" i="4"/>
  <c r="CD146" i="4" s="1"/>
  <c r="DC146" i="4"/>
  <c r="DD146" i="4" s="1"/>
  <c r="CM146" i="4"/>
  <c r="CN146" i="4" s="1"/>
  <c r="DO146" i="4"/>
  <c r="DP146" i="4" s="1"/>
  <c r="CY146" i="4"/>
  <c r="CZ146" i="4" s="1"/>
  <c r="CI146" i="4"/>
  <c r="CJ146" i="4" s="1"/>
  <c r="DG146" i="4"/>
  <c r="DH146" i="4" s="1"/>
  <c r="CQ146" i="4"/>
  <c r="CR146" i="4" s="1"/>
  <c r="CB146" i="4"/>
  <c r="CU146" i="4"/>
  <c r="CV146" i="4" s="1"/>
  <c r="CE146" i="4"/>
  <c r="CF146" i="4" s="1"/>
  <c r="DK146" i="4"/>
  <c r="DL146" i="4" s="1"/>
  <c r="ER138" i="4"/>
  <c r="ES138" i="4" s="1"/>
  <c r="CA138" i="4"/>
  <c r="CA125" i="4"/>
  <c r="ER125" i="4"/>
  <c r="ES125" i="4" s="1"/>
  <c r="AW123" i="4"/>
  <c r="AX123" i="4" s="1"/>
  <c r="AS123" i="4"/>
  <c r="AT123" i="4" s="1"/>
  <c r="AO123" i="4"/>
  <c r="AP123" i="4" s="1"/>
  <c r="AK123" i="4"/>
  <c r="AL123" i="4" s="1"/>
  <c r="AG123" i="4"/>
  <c r="AH123" i="4" s="1"/>
  <c r="AC123" i="4"/>
  <c r="AD123" i="4" s="1"/>
  <c r="Y123" i="4"/>
  <c r="Z123" i="4" s="1"/>
  <c r="U123" i="4"/>
  <c r="V123" i="4" s="1"/>
  <c r="Q123" i="4"/>
  <c r="R123" i="4" s="1"/>
  <c r="M123" i="4"/>
  <c r="N123" i="4" s="1"/>
  <c r="J123" i="4"/>
  <c r="AU123" i="4"/>
  <c r="AV123" i="4" s="1"/>
  <c r="AE123" i="4"/>
  <c r="AF123" i="4" s="1"/>
  <c r="O123" i="4"/>
  <c r="P123" i="4" s="1"/>
  <c r="AQ123" i="4"/>
  <c r="AR123" i="4" s="1"/>
  <c r="AA123" i="4"/>
  <c r="AB123" i="4" s="1"/>
  <c r="K123" i="4"/>
  <c r="L123" i="4" s="1"/>
  <c r="AY123" i="4"/>
  <c r="AZ123" i="4" s="1"/>
  <c r="AI123" i="4"/>
  <c r="AJ123" i="4" s="1"/>
  <c r="S123" i="4"/>
  <c r="T123" i="4" s="1"/>
  <c r="AM123" i="4"/>
  <c r="AN123" i="4" s="1"/>
  <c r="W123" i="4"/>
  <c r="X123" i="4" s="1"/>
  <c r="ER117" i="4"/>
  <c r="ES117" i="4" s="1"/>
  <c r="CA117" i="4"/>
  <c r="DQ115" i="4"/>
  <c r="DR115" i="4" s="1"/>
  <c r="DK115" i="4"/>
  <c r="DL115" i="4" s="1"/>
  <c r="DA115" i="4"/>
  <c r="DB115" i="4" s="1"/>
  <c r="CU115" i="4"/>
  <c r="CV115" i="4" s="1"/>
  <c r="CK115" i="4"/>
  <c r="CL115" i="4" s="1"/>
  <c r="CE115" i="4"/>
  <c r="CF115" i="4" s="1"/>
  <c r="DO115" i="4"/>
  <c r="DP115" i="4" s="1"/>
  <c r="DE115" i="4"/>
  <c r="DF115" i="4" s="1"/>
  <c r="CY115" i="4"/>
  <c r="CZ115" i="4" s="1"/>
  <c r="CO115" i="4"/>
  <c r="CP115" i="4" s="1"/>
  <c r="CI115" i="4"/>
  <c r="CJ115" i="4" s="1"/>
  <c r="DM115" i="4"/>
  <c r="DN115" i="4" s="1"/>
  <c r="DG115" i="4"/>
  <c r="DH115" i="4" s="1"/>
  <c r="CW115" i="4"/>
  <c r="CX115" i="4" s="1"/>
  <c r="CQ115" i="4"/>
  <c r="CR115" i="4" s="1"/>
  <c r="CG115" i="4"/>
  <c r="CH115" i="4" s="1"/>
  <c r="CB115" i="4"/>
  <c r="DI115" i="4"/>
  <c r="DJ115" i="4" s="1"/>
  <c r="CM115" i="4"/>
  <c r="CN115" i="4" s="1"/>
  <c r="DC115" i="4"/>
  <c r="DD115" i="4" s="1"/>
  <c r="CS115" i="4"/>
  <c r="CT115" i="4" s="1"/>
  <c r="CC115" i="4"/>
  <c r="CD115" i="4" s="1"/>
  <c r="ER109" i="4"/>
  <c r="ES109" i="4" s="1"/>
  <c r="CA109" i="4"/>
  <c r="ER99" i="4"/>
  <c r="ES99" i="4" s="1"/>
  <c r="CA99" i="4"/>
  <c r="GG85" i="4"/>
  <c r="GH85" i="4" s="1"/>
  <c r="GC85" i="4"/>
  <c r="GD85" i="4" s="1"/>
  <c r="FY85" i="4"/>
  <c r="FZ85" i="4" s="1"/>
  <c r="FU85" i="4"/>
  <c r="FV85" i="4" s="1"/>
  <c r="FQ85" i="4"/>
  <c r="FR85" i="4" s="1"/>
  <c r="FM85" i="4"/>
  <c r="FN85" i="4" s="1"/>
  <c r="FI85" i="4"/>
  <c r="FJ85" i="4" s="1"/>
  <c r="FE85" i="4"/>
  <c r="FF85" i="4" s="1"/>
  <c r="FA85" i="4"/>
  <c r="FB85" i="4" s="1"/>
  <c r="EW85" i="4"/>
  <c r="EX85" i="4" s="1"/>
  <c r="ET85" i="4"/>
  <c r="GE85" i="4"/>
  <c r="GF85" i="4" s="1"/>
  <c r="FO85" i="4"/>
  <c r="FP85" i="4" s="1"/>
  <c r="EY85" i="4"/>
  <c r="EZ85" i="4" s="1"/>
  <c r="GA85" i="4"/>
  <c r="GB85" i="4" s="1"/>
  <c r="FK85" i="4"/>
  <c r="FL85" i="4" s="1"/>
  <c r="EU85" i="4"/>
  <c r="EV85" i="4" s="1"/>
  <c r="FS85" i="4"/>
  <c r="FT85" i="4" s="1"/>
  <c r="FG85" i="4"/>
  <c r="FH85" i="4" s="1"/>
  <c r="FC85" i="4"/>
  <c r="FD85" i="4" s="1"/>
  <c r="GI85" i="4"/>
  <c r="GJ85" i="4" s="1"/>
  <c r="FW85" i="4"/>
  <c r="FX85" i="4" s="1"/>
  <c r="AW73" i="4"/>
  <c r="AX73" i="4" s="1"/>
  <c r="AS73" i="4"/>
  <c r="AT73" i="4" s="1"/>
  <c r="AO73" i="4"/>
  <c r="AP73" i="4" s="1"/>
  <c r="AK73" i="4"/>
  <c r="AL73" i="4" s="1"/>
  <c r="AG73" i="4"/>
  <c r="AH73" i="4" s="1"/>
  <c r="AC73" i="4"/>
  <c r="AD73" i="4" s="1"/>
  <c r="Y73" i="4"/>
  <c r="Z73" i="4" s="1"/>
  <c r="U73" i="4"/>
  <c r="V73" i="4" s="1"/>
  <c r="Q73" i="4"/>
  <c r="R73" i="4" s="1"/>
  <c r="M73" i="4"/>
  <c r="N73" i="4" s="1"/>
  <c r="J73" i="4"/>
  <c r="AY73" i="4"/>
  <c r="AZ73" i="4" s="1"/>
  <c r="AQ73" i="4"/>
  <c r="AR73" i="4" s="1"/>
  <c r="AI73" i="4"/>
  <c r="AJ73" i="4" s="1"/>
  <c r="AA73" i="4"/>
  <c r="AB73" i="4" s="1"/>
  <c r="S73" i="4"/>
  <c r="T73" i="4" s="1"/>
  <c r="K73" i="4"/>
  <c r="L73" i="4" s="1"/>
  <c r="AM73" i="4"/>
  <c r="AN73" i="4" s="1"/>
  <c r="W73" i="4"/>
  <c r="X73" i="4" s="1"/>
  <c r="AU73" i="4"/>
  <c r="AV73" i="4" s="1"/>
  <c r="AE73" i="4"/>
  <c r="AF73" i="4" s="1"/>
  <c r="O73" i="4"/>
  <c r="P73" i="4" s="1"/>
  <c r="GI63" i="4"/>
  <c r="GJ63" i="4" s="1"/>
  <c r="GE63" i="4"/>
  <c r="GF63" i="4" s="1"/>
  <c r="GA63" i="4"/>
  <c r="GB63" i="4" s="1"/>
  <c r="FW63" i="4"/>
  <c r="FX63" i="4" s="1"/>
  <c r="FS63" i="4"/>
  <c r="FT63" i="4" s="1"/>
  <c r="FO63" i="4"/>
  <c r="FP63" i="4" s="1"/>
  <c r="FK63" i="4"/>
  <c r="FL63" i="4" s="1"/>
  <c r="FG63" i="4"/>
  <c r="FH63" i="4" s="1"/>
  <c r="FC63" i="4"/>
  <c r="FD63" i="4" s="1"/>
  <c r="EY63" i="4"/>
  <c r="EZ63" i="4" s="1"/>
  <c r="EU63" i="4"/>
  <c r="EV63" i="4" s="1"/>
  <c r="GC63" i="4"/>
  <c r="GD63" i="4" s="1"/>
  <c r="FU63" i="4"/>
  <c r="FV63" i="4" s="1"/>
  <c r="FM63" i="4"/>
  <c r="FN63" i="4" s="1"/>
  <c r="FE63" i="4"/>
  <c r="FF63" i="4" s="1"/>
  <c r="EW63" i="4"/>
  <c r="EX63" i="4" s="1"/>
  <c r="GG63" i="4"/>
  <c r="GH63" i="4" s="1"/>
  <c r="FY63" i="4"/>
  <c r="FZ63" i="4" s="1"/>
  <c r="FQ63" i="4"/>
  <c r="FR63" i="4" s="1"/>
  <c r="FI63" i="4"/>
  <c r="FJ63" i="4" s="1"/>
  <c r="FA63" i="4"/>
  <c r="FB63" i="4" s="1"/>
  <c r="ET63" i="4"/>
  <c r="GG54" i="4"/>
  <c r="GH54" i="4" s="1"/>
  <c r="GC54" i="4"/>
  <c r="GD54" i="4" s="1"/>
  <c r="FY54" i="4"/>
  <c r="FZ54" i="4" s="1"/>
  <c r="FU54" i="4"/>
  <c r="FV54" i="4" s="1"/>
  <c r="FQ54" i="4"/>
  <c r="FR54" i="4" s="1"/>
  <c r="FM54" i="4"/>
  <c r="FN54" i="4" s="1"/>
  <c r="FI54" i="4"/>
  <c r="FJ54" i="4" s="1"/>
  <c r="FE54" i="4"/>
  <c r="FF54" i="4" s="1"/>
  <c r="FA54" i="4"/>
  <c r="FB54" i="4" s="1"/>
  <c r="EW54" i="4"/>
  <c r="EX54" i="4" s="1"/>
  <c r="ET54" i="4"/>
  <c r="GE54" i="4"/>
  <c r="GF54" i="4" s="1"/>
  <c r="FW54" i="4"/>
  <c r="FX54" i="4" s="1"/>
  <c r="FO54" i="4"/>
  <c r="FP54" i="4" s="1"/>
  <c r="FG54" i="4"/>
  <c r="FH54" i="4" s="1"/>
  <c r="EY54" i="4"/>
  <c r="EZ54" i="4" s="1"/>
  <c r="GI54" i="4"/>
  <c r="GJ54" i="4" s="1"/>
  <c r="GA54" i="4"/>
  <c r="GB54" i="4" s="1"/>
  <c r="FS54" i="4"/>
  <c r="FT54" i="4" s="1"/>
  <c r="FK54" i="4"/>
  <c r="FL54" i="4" s="1"/>
  <c r="FC54" i="4"/>
  <c r="FD54" i="4" s="1"/>
  <c r="EU54" i="4"/>
  <c r="EV54" i="4" s="1"/>
  <c r="DO94" i="4"/>
  <c r="DP94" i="4" s="1"/>
  <c r="DK94" i="4"/>
  <c r="DL94" i="4" s="1"/>
  <c r="DG94" i="4"/>
  <c r="DH94" i="4" s="1"/>
  <c r="DC94" i="4"/>
  <c r="DD94" i="4" s="1"/>
  <c r="CY94" i="4"/>
  <c r="CZ94" i="4" s="1"/>
  <c r="CU94" i="4"/>
  <c r="CV94" i="4" s="1"/>
  <c r="CQ94" i="4"/>
  <c r="CR94" i="4" s="1"/>
  <c r="CM94" i="4"/>
  <c r="CN94" i="4" s="1"/>
  <c r="CI94" i="4"/>
  <c r="CJ94" i="4" s="1"/>
  <c r="CE94" i="4"/>
  <c r="CF94" i="4" s="1"/>
  <c r="CB94" i="4"/>
  <c r="DQ94" i="4"/>
  <c r="DR94" i="4" s="1"/>
  <c r="DM94" i="4"/>
  <c r="DN94" i="4" s="1"/>
  <c r="DI94" i="4"/>
  <c r="DJ94" i="4" s="1"/>
  <c r="DE94" i="4"/>
  <c r="DF94" i="4" s="1"/>
  <c r="DA94" i="4"/>
  <c r="DB94" i="4" s="1"/>
  <c r="CW94" i="4"/>
  <c r="CX94" i="4" s="1"/>
  <c r="CS94" i="4"/>
  <c r="CT94" i="4" s="1"/>
  <c r="CO94" i="4"/>
  <c r="CP94" i="4" s="1"/>
  <c r="CK94" i="4"/>
  <c r="CL94" i="4" s="1"/>
  <c r="CG94" i="4"/>
  <c r="CH94" i="4" s="1"/>
  <c r="CC94" i="4"/>
  <c r="CD94" i="4" s="1"/>
  <c r="GG78" i="4"/>
  <c r="GH78" i="4" s="1"/>
  <c r="GC78" i="4"/>
  <c r="GD78" i="4" s="1"/>
  <c r="FY78" i="4"/>
  <c r="FZ78" i="4" s="1"/>
  <c r="FU78" i="4"/>
  <c r="FV78" i="4" s="1"/>
  <c r="FQ78" i="4"/>
  <c r="FR78" i="4" s="1"/>
  <c r="FM78" i="4"/>
  <c r="FN78" i="4" s="1"/>
  <c r="FI78" i="4"/>
  <c r="FJ78" i="4" s="1"/>
  <c r="FE78" i="4"/>
  <c r="FF78" i="4" s="1"/>
  <c r="FA78" i="4"/>
  <c r="FB78" i="4" s="1"/>
  <c r="EW78" i="4"/>
  <c r="EX78" i="4" s="1"/>
  <c r="ET78" i="4"/>
  <c r="GI78" i="4"/>
  <c r="GJ78" i="4" s="1"/>
  <c r="GA78" i="4"/>
  <c r="GB78" i="4" s="1"/>
  <c r="FS78" i="4"/>
  <c r="FT78" i="4" s="1"/>
  <c r="FK78" i="4"/>
  <c r="FL78" i="4" s="1"/>
  <c r="FC78" i="4"/>
  <c r="FD78" i="4" s="1"/>
  <c r="EU78" i="4"/>
  <c r="EV78" i="4" s="1"/>
  <c r="FW78" i="4"/>
  <c r="FX78" i="4" s="1"/>
  <c r="FG78" i="4"/>
  <c r="FH78" i="4" s="1"/>
  <c r="GE78" i="4"/>
  <c r="GF78" i="4" s="1"/>
  <c r="FO78" i="4"/>
  <c r="FP78" i="4" s="1"/>
  <c r="EY78" i="4"/>
  <c r="EZ78" i="4" s="1"/>
  <c r="DQ103" i="4"/>
  <c r="DR103" i="4" s="1"/>
  <c r="DK103" i="4"/>
  <c r="DL103" i="4" s="1"/>
  <c r="DA103" i="4"/>
  <c r="DB103" i="4" s="1"/>
  <c r="CU103" i="4"/>
  <c r="CV103" i="4" s="1"/>
  <c r="CK103" i="4"/>
  <c r="CL103" i="4" s="1"/>
  <c r="CE103" i="4"/>
  <c r="CF103" i="4" s="1"/>
  <c r="DO103" i="4"/>
  <c r="DP103" i="4" s="1"/>
  <c r="DE103" i="4"/>
  <c r="DF103" i="4" s="1"/>
  <c r="CY103" i="4"/>
  <c r="CZ103" i="4" s="1"/>
  <c r="CO103" i="4"/>
  <c r="CP103" i="4" s="1"/>
  <c r="CI103" i="4"/>
  <c r="CJ103" i="4" s="1"/>
  <c r="DM103" i="4"/>
  <c r="DN103" i="4" s="1"/>
  <c r="DG103" i="4"/>
  <c r="DH103" i="4" s="1"/>
  <c r="CW103" i="4"/>
  <c r="CX103" i="4" s="1"/>
  <c r="CQ103" i="4"/>
  <c r="CR103" i="4" s="1"/>
  <c r="CG103" i="4"/>
  <c r="CH103" i="4" s="1"/>
  <c r="CB103" i="4"/>
  <c r="CC103" i="4"/>
  <c r="CD103" i="4" s="1"/>
  <c r="CS103" i="4"/>
  <c r="CT103" i="4" s="1"/>
  <c r="DC103" i="4"/>
  <c r="DD103" i="4" s="1"/>
  <c r="DI103" i="4"/>
  <c r="DJ103" i="4" s="1"/>
  <c r="CM103" i="4"/>
  <c r="CN103" i="4" s="1"/>
  <c r="GG64" i="4"/>
  <c r="GH64" i="4" s="1"/>
  <c r="GC64" i="4"/>
  <c r="GD64" i="4" s="1"/>
  <c r="FY64" i="4"/>
  <c r="FZ64" i="4" s="1"/>
  <c r="FU64" i="4"/>
  <c r="FV64" i="4" s="1"/>
  <c r="FQ64" i="4"/>
  <c r="FR64" i="4" s="1"/>
  <c r="FM64" i="4"/>
  <c r="FN64" i="4" s="1"/>
  <c r="FI64" i="4"/>
  <c r="FJ64" i="4" s="1"/>
  <c r="FE64" i="4"/>
  <c r="FF64" i="4" s="1"/>
  <c r="FA64" i="4"/>
  <c r="FB64" i="4" s="1"/>
  <c r="EW64" i="4"/>
  <c r="EX64" i="4" s="1"/>
  <c r="ET64" i="4"/>
  <c r="GI64" i="4"/>
  <c r="GJ64" i="4" s="1"/>
  <c r="GA64" i="4"/>
  <c r="GB64" i="4" s="1"/>
  <c r="FS64" i="4"/>
  <c r="FT64" i="4" s="1"/>
  <c r="FK64" i="4"/>
  <c r="FL64" i="4" s="1"/>
  <c r="FC64" i="4"/>
  <c r="FD64" i="4" s="1"/>
  <c r="EU64" i="4"/>
  <c r="EV64" i="4" s="1"/>
  <c r="GE64" i="4"/>
  <c r="GF64" i="4" s="1"/>
  <c r="FW64" i="4"/>
  <c r="FX64" i="4" s="1"/>
  <c r="FO64" i="4"/>
  <c r="FP64" i="4" s="1"/>
  <c r="FG64" i="4"/>
  <c r="FH64" i="4" s="1"/>
  <c r="EY64" i="4"/>
  <c r="EZ64" i="4" s="1"/>
  <c r="GI80" i="4"/>
  <c r="GJ80" i="4" s="1"/>
  <c r="GE80" i="4"/>
  <c r="GF80" i="4" s="1"/>
  <c r="GA80" i="4"/>
  <c r="GB80" i="4" s="1"/>
  <c r="FW80" i="4"/>
  <c r="FX80" i="4" s="1"/>
  <c r="FS80" i="4"/>
  <c r="FT80" i="4" s="1"/>
  <c r="FO80" i="4"/>
  <c r="FP80" i="4" s="1"/>
  <c r="FK80" i="4"/>
  <c r="FL80" i="4" s="1"/>
  <c r="FG80" i="4"/>
  <c r="FH80" i="4" s="1"/>
  <c r="FC80" i="4"/>
  <c r="FD80" i="4" s="1"/>
  <c r="EY80" i="4"/>
  <c r="EZ80" i="4" s="1"/>
  <c r="EU80" i="4"/>
  <c r="EV80" i="4" s="1"/>
  <c r="GC80" i="4"/>
  <c r="GD80" i="4" s="1"/>
  <c r="FU80" i="4"/>
  <c r="FV80" i="4" s="1"/>
  <c r="FM80" i="4"/>
  <c r="FN80" i="4" s="1"/>
  <c r="FE80" i="4"/>
  <c r="FF80" i="4" s="1"/>
  <c r="EW80" i="4"/>
  <c r="EX80" i="4" s="1"/>
  <c r="GG80" i="4"/>
  <c r="GH80" i="4" s="1"/>
  <c r="FQ80" i="4"/>
  <c r="FR80" i="4" s="1"/>
  <c r="FA80" i="4"/>
  <c r="FB80" i="4" s="1"/>
  <c r="FY80" i="4"/>
  <c r="FZ80" i="4" s="1"/>
  <c r="FI80" i="4"/>
  <c r="FJ80" i="4" s="1"/>
  <c r="ET80" i="4"/>
  <c r="CA69" i="4"/>
  <c r="ER69" i="4"/>
  <c r="ES69" i="4" s="1"/>
  <c r="DO47" i="4"/>
  <c r="DP47" i="4" s="1"/>
  <c r="DK47" i="4"/>
  <c r="DL47" i="4" s="1"/>
  <c r="DG47" i="4"/>
  <c r="DH47" i="4" s="1"/>
  <c r="DC47" i="4"/>
  <c r="DD47" i="4" s="1"/>
  <c r="CY47" i="4"/>
  <c r="CZ47" i="4" s="1"/>
  <c r="CU47" i="4"/>
  <c r="CV47" i="4" s="1"/>
  <c r="CQ47" i="4"/>
  <c r="CR47" i="4" s="1"/>
  <c r="CM47" i="4"/>
  <c r="CN47" i="4" s="1"/>
  <c r="CI47" i="4"/>
  <c r="CJ47" i="4" s="1"/>
  <c r="CE47" i="4"/>
  <c r="CF47" i="4" s="1"/>
  <c r="CB47" i="4"/>
  <c r="DQ47" i="4"/>
  <c r="DR47" i="4" s="1"/>
  <c r="DM47" i="4"/>
  <c r="DN47" i="4" s="1"/>
  <c r="DI47" i="4"/>
  <c r="DJ47" i="4" s="1"/>
  <c r="DE47" i="4"/>
  <c r="DF47" i="4" s="1"/>
  <c r="DA47" i="4"/>
  <c r="DB47" i="4" s="1"/>
  <c r="CW47" i="4"/>
  <c r="CX47" i="4" s="1"/>
  <c r="CS47" i="4"/>
  <c r="CT47" i="4" s="1"/>
  <c r="CO47" i="4"/>
  <c r="CP47" i="4" s="1"/>
  <c r="CK47" i="4"/>
  <c r="CL47" i="4" s="1"/>
  <c r="CG47" i="4"/>
  <c r="CH47" i="4" s="1"/>
  <c r="CC47" i="4"/>
  <c r="CD47" i="4" s="1"/>
  <c r="CA44" i="4"/>
  <c r="ER44" i="4"/>
  <c r="ES44" i="4" s="1"/>
  <c r="CB30" i="4" l="1"/>
  <c r="DG30" i="4"/>
  <c r="DH30" i="4" s="1"/>
  <c r="CM30" i="4"/>
  <c r="CN30" i="4" s="1"/>
  <c r="CK30" i="4"/>
  <c r="CL30" i="4" s="1"/>
  <c r="DA30" i="4"/>
  <c r="DB30" i="4" s="1"/>
  <c r="DQ30" i="4"/>
  <c r="DR30" i="4" s="1"/>
  <c r="CI30" i="4"/>
  <c r="CJ30" i="4" s="1"/>
  <c r="DO30" i="4"/>
  <c r="DP30" i="4" s="1"/>
  <c r="DC30" i="4"/>
  <c r="DD30" i="4" s="1"/>
  <c r="CO30" i="4"/>
  <c r="CP30" i="4" s="1"/>
  <c r="DE30" i="4"/>
  <c r="DF30" i="4" s="1"/>
  <c r="CQ30" i="4"/>
  <c r="CR30" i="4" s="1"/>
  <c r="CE30" i="4"/>
  <c r="CF30" i="4" s="1"/>
  <c r="CC30" i="4"/>
  <c r="CD30" i="4" s="1"/>
  <c r="CS30" i="4"/>
  <c r="CT30" i="4" s="1"/>
  <c r="GC140" i="4"/>
  <c r="GD140" i="4" s="1"/>
  <c r="FU140" i="4"/>
  <c r="FV140" i="4" s="1"/>
  <c r="FA140" i="4"/>
  <c r="FB140" i="4" s="1"/>
  <c r="FY140" i="4"/>
  <c r="FZ140" i="4" s="1"/>
  <c r="FQ140" i="4"/>
  <c r="FR140" i="4" s="1"/>
  <c r="ET140" i="4"/>
  <c r="GG140" i="4"/>
  <c r="GH140" i="4" s="1"/>
  <c r="FI140" i="4"/>
  <c r="FJ140" i="4" s="1"/>
  <c r="FE140" i="4"/>
  <c r="FF140" i="4" s="1"/>
  <c r="GI140" i="4"/>
  <c r="GJ140" i="4" s="1"/>
  <c r="FS140" i="4"/>
  <c r="FT140" i="4" s="1"/>
  <c r="FC140" i="4"/>
  <c r="FD140" i="4" s="1"/>
  <c r="FG140" i="4"/>
  <c r="FH140" i="4" s="1"/>
  <c r="EW140" i="4"/>
  <c r="EX140" i="4" s="1"/>
  <c r="GE140" i="4"/>
  <c r="GF140" i="4" s="1"/>
  <c r="FO140" i="4"/>
  <c r="FP140" i="4" s="1"/>
  <c r="EY140" i="4"/>
  <c r="EZ140" i="4" s="1"/>
  <c r="FM140" i="4"/>
  <c r="FN140" i="4" s="1"/>
  <c r="GA140" i="4"/>
  <c r="GB140" i="4" s="1"/>
  <c r="FK140" i="4"/>
  <c r="FL140" i="4" s="1"/>
  <c r="EU140" i="4"/>
  <c r="EV140" i="4" s="1"/>
  <c r="FW140" i="4"/>
  <c r="FX140" i="4" s="1"/>
  <c r="DO140" i="4"/>
  <c r="DP140" i="4" s="1"/>
  <c r="DE140" i="4"/>
  <c r="DF140" i="4" s="1"/>
  <c r="CO140" i="4"/>
  <c r="CP140" i="4" s="1"/>
  <c r="CB140" i="4"/>
  <c r="DI140" i="4"/>
  <c r="DJ140" i="4" s="1"/>
  <c r="DQ140" i="4"/>
  <c r="DR140" i="4" s="1"/>
  <c r="DA140" i="4"/>
  <c r="DB140" i="4" s="1"/>
  <c r="CK140" i="4"/>
  <c r="CL140" i="4" s="1"/>
  <c r="CC140" i="4"/>
  <c r="CD140" i="4" s="1"/>
  <c r="DM140" i="4"/>
  <c r="DN140" i="4" s="1"/>
  <c r="CW140" i="4"/>
  <c r="CX140" i="4" s="1"/>
  <c r="CG140" i="4"/>
  <c r="CH140" i="4" s="1"/>
  <c r="CS140" i="4"/>
  <c r="CT140" i="4" s="1"/>
  <c r="CM140" i="4"/>
  <c r="CN140" i="4" s="1"/>
  <c r="DC140" i="4"/>
  <c r="DD140" i="4" s="1"/>
  <c r="CQ140" i="4"/>
  <c r="CR140" i="4" s="1"/>
  <c r="DG140" i="4"/>
  <c r="DH140" i="4" s="1"/>
  <c r="CI140" i="4"/>
  <c r="CJ140" i="4" s="1"/>
  <c r="CE140" i="4"/>
  <c r="CF140" i="4" s="1"/>
  <c r="CU140" i="4"/>
  <c r="CV140" i="4" s="1"/>
  <c r="DK140" i="4"/>
  <c r="DL140" i="4" s="1"/>
  <c r="CY140" i="4"/>
  <c r="CZ140" i="4" s="1"/>
  <c r="GG29" i="4"/>
  <c r="GH29" i="4" s="1"/>
  <c r="FM29" i="4"/>
  <c r="FN29" i="4" s="1"/>
  <c r="FU29" i="4"/>
  <c r="FV29" i="4" s="1"/>
  <c r="FE29" i="4"/>
  <c r="FF29" i="4" s="1"/>
  <c r="GC29" i="4"/>
  <c r="GD29" i="4" s="1"/>
  <c r="EW29" i="4"/>
  <c r="EX29" i="4" s="1"/>
  <c r="FI29" i="4"/>
  <c r="FJ29" i="4" s="1"/>
  <c r="GE29" i="4"/>
  <c r="GF29" i="4" s="1"/>
  <c r="FO29" i="4"/>
  <c r="FP29" i="4" s="1"/>
  <c r="EY29" i="4"/>
  <c r="EZ29" i="4" s="1"/>
  <c r="FC29" i="4"/>
  <c r="FD29" i="4" s="1"/>
  <c r="FQ29" i="4"/>
  <c r="FR29" i="4" s="1"/>
  <c r="GA29" i="4"/>
  <c r="GB29" i="4" s="1"/>
  <c r="FK29" i="4"/>
  <c r="FL29" i="4" s="1"/>
  <c r="EU29" i="4"/>
  <c r="EV29" i="4" s="1"/>
  <c r="GI29" i="4"/>
  <c r="GJ29" i="4" s="1"/>
  <c r="ET29" i="4"/>
  <c r="FY29" i="4"/>
  <c r="FZ29" i="4" s="1"/>
  <c r="FW29" i="4"/>
  <c r="FX29" i="4" s="1"/>
  <c r="FG29" i="4"/>
  <c r="FH29" i="4" s="1"/>
  <c r="FA29" i="4"/>
  <c r="FB29" i="4" s="1"/>
  <c r="FS29" i="4"/>
  <c r="FT29" i="4" s="1"/>
  <c r="DQ29" i="4"/>
  <c r="DR29" i="4" s="1"/>
  <c r="DM29" i="4"/>
  <c r="DN29" i="4" s="1"/>
  <c r="DA29" i="4"/>
  <c r="DB29" i="4" s="1"/>
  <c r="DC29" i="4"/>
  <c r="DD29" i="4" s="1"/>
  <c r="CM29" i="4"/>
  <c r="CN29" i="4" s="1"/>
  <c r="CG29" i="4"/>
  <c r="CH29" i="4" s="1"/>
  <c r="CB29" i="4"/>
  <c r="DE29" i="4"/>
  <c r="DF29" i="4" s="1"/>
  <c r="CC29" i="4"/>
  <c r="CD29" i="4" s="1"/>
  <c r="DI29" i="4"/>
  <c r="DJ29" i="4" s="1"/>
  <c r="DO29" i="4"/>
  <c r="DP29" i="4" s="1"/>
  <c r="CY29" i="4"/>
  <c r="CZ29" i="4" s="1"/>
  <c r="CI29" i="4"/>
  <c r="CJ29" i="4" s="1"/>
  <c r="CW29" i="4"/>
  <c r="CX29" i="4" s="1"/>
  <c r="CO29" i="4"/>
  <c r="CP29" i="4" s="1"/>
  <c r="CS29" i="4"/>
  <c r="CT29" i="4" s="1"/>
  <c r="DG29" i="4"/>
  <c r="DH29" i="4" s="1"/>
  <c r="CK29" i="4"/>
  <c r="CL29" i="4" s="1"/>
  <c r="DK29" i="4"/>
  <c r="DL29" i="4" s="1"/>
  <c r="CU29" i="4"/>
  <c r="CV29" i="4" s="1"/>
  <c r="CE29" i="4"/>
  <c r="CF29" i="4" s="1"/>
  <c r="CQ29" i="4"/>
  <c r="CR29" i="4" s="1"/>
  <c r="FA104" i="4"/>
  <c r="FB104" i="4" s="1"/>
  <c r="EW104" i="4"/>
  <c r="EX104" i="4" s="1"/>
  <c r="FE104" i="4"/>
  <c r="FF104" i="4" s="1"/>
  <c r="ET104" i="4"/>
  <c r="FI104" i="4"/>
  <c r="FJ104" i="4" s="1"/>
  <c r="GC104" i="4"/>
  <c r="GD104" i="4" s="1"/>
  <c r="FM104" i="4"/>
  <c r="FN104" i="4" s="1"/>
  <c r="FW104" i="4"/>
  <c r="FX104" i="4" s="1"/>
  <c r="FG104" i="4"/>
  <c r="FH104" i="4" s="1"/>
  <c r="GG104" i="4"/>
  <c r="GH104" i="4" s="1"/>
  <c r="FK104" i="4"/>
  <c r="FL104" i="4" s="1"/>
  <c r="FY104" i="4"/>
  <c r="FZ104" i="4" s="1"/>
  <c r="GI104" i="4"/>
  <c r="GJ104" i="4" s="1"/>
  <c r="FS104" i="4"/>
  <c r="FT104" i="4" s="1"/>
  <c r="FC104" i="4"/>
  <c r="FD104" i="4" s="1"/>
  <c r="GA104" i="4"/>
  <c r="GB104" i="4" s="1"/>
  <c r="FU104" i="4"/>
  <c r="FV104" i="4" s="1"/>
  <c r="GE104" i="4"/>
  <c r="GF104" i="4" s="1"/>
  <c r="FO104" i="4"/>
  <c r="FP104" i="4" s="1"/>
  <c r="EY104" i="4"/>
  <c r="EZ104" i="4" s="1"/>
  <c r="FQ104" i="4"/>
  <c r="FR104" i="4" s="1"/>
  <c r="EU104" i="4"/>
  <c r="EV104" i="4" s="1"/>
  <c r="DE104" i="4"/>
  <c r="DF104" i="4" s="1"/>
  <c r="CW104" i="4"/>
  <c r="CX104" i="4" s="1"/>
  <c r="CK104" i="4"/>
  <c r="CL104" i="4" s="1"/>
  <c r="DA104" i="4"/>
  <c r="DB104" i="4" s="1"/>
  <c r="CS104" i="4"/>
  <c r="CT104" i="4" s="1"/>
  <c r="DM104" i="4"/>
  <c r="DN104" i="4" s="1"/>
  <c r="DQ104" i="4"/>
  <c r="DR104" i="4" s="1"/>
  <c r="DI104" i="4"/>
  <c r="DJ104" i="4" s="1"/>
  <c r="CO104" i="4"/>
  <c r="CP104" i="4" s="1"/>
  <c r="CG104" i="4"/>
  <c r="CH104" i="4" s="1"/>
  <c r="CC104" i="4"/>
  <c r="CD104" i="4" s="1"/>
  <c r="DO104" i="4"/>
  <c r="DP104" i="4" s="1"/>
  <c r="CY104" i="4"/>
  <c r="CZ104" i="4" s="1"/>
  <c r="CI104" i="4"/>
  <c r="CJ104" i="4" s="1"/>
  <c r="DC104" i="4"/>
  <c r="DD104" i="4" s="1"/>
  <c r="DK104" i="4"/>
  <c r="DL104" i="4" s="1"/>
  <c r="CU104" i="4"/>
  <c r="CV104" i="4" s="1"/>
  <c r="CE104" i="4"/>
  <c r="CF104" i="4" s="1"/>
  <c r="DG104" i="4"/>
  <c r="DH104" i="4" s="1"/>
  <c r="CQ104" i="4"/>
  <c r="CR104" i="4" s="1"/>
  <c r="CB104" i="4"/>
  <c r="CM104" i="4"/>
  <c r="CN104" i="4" s="1"/>
  <c r="CW31" i="4"/>
  <c r="CX31" i="4" s="1"/>
  <c r="CK31" i="4"/>
  <c r="CL31" i="4" s="1"/>
  <c r="DQ31" i="4"/>
  <c r="DR31" i="4" s="1"/>
  <c r="DC31" i="4"/>
  <c r="DD31" i="4" s="1"/>
  <c r="CM31" i="4"/>
  <c r="CN31" i="4" s="1"/>
  <c r="CS31" i="4"/>
  <c r="CT31" i="4" s="1"/>
  <c r="DO31" i="4"/>
  <c r="DP31" i="4" s="1"/>
  <c r="CY31" i="4"/>
  <c r="CZ31" i="4" s="1"/>
  <c r="CI31" i="4"/>
  <c r="CJ31" i="4" s="1"/>
  <c r="CO31" i="4"/>
  <c r="CP31" i="4" s="1"/>
  <c r="DA31" i="4"/>
  <c r="DB31" i="4" s="1"/>
  <c r="DK31" i="4"/>
  <c r="DL31" i="4" s="1"/>
  <c r="CU31" i="4"/>
  <c r="CV31" i="4" s="1"/>
  <c r="CE31" i="4"/>
  <c r="CF31" i="4" s="1"/>
  <c r="DE31" i="4"/>
  <c r="DF31" i="4" s="1"/>
  <c r="DM31" i="4"/>
  <c r="DN31" i="4" s="1"/>
  <c r="CC31" i="4"/>
  <c r="CD31" i="4" s="1"/>
  <c r="DI31" i="4"/>
  <c r="DJ31" i="4" s="1"/>
  <c r="CG31" i="4"/>
  <c r="CH31" i="4" s="1"/>
  <c r="DG31" i="4"/>
  <c r="DH31" i="4" s="1"/>
  <c r="CQ31" i="4"/>
  <c r="CR31" i="4" s="1"/>
  <c r="CB31" i="4"/>
  <c r="GG31" i="4"/>
  <c r="GH31" i="4" s="1"/>
  <c r="FU31" i="4"/>
  <c r="FV31" i="4" s="1"/>
  <c r="FM31" i="4"/>
  <c r="FN31" i="4" s="1"/>
  <c r="FE31" i="4"/>
  <c r="FF31" i="4" s="1"/>
  <c r="GC31" i="4"/>
  <c r="GD31" i="4" s="1"/>
  <c r="EW31" i="4"/>
  <c r="EX31" i="4" s="1"/>
  <c r="FQ31" i="4"/>
  <c r="FR31" i="4" s="1"/>
  <c r="GI31" i="4"/>
  <c r="GJ31" i="4" s="1"/>
  <c r="FS31" i="4"/>
  <c r="FT31" i="4" s="1"/>
  <c r="FC31" i="4"/>
  <c r="FD31" i="4" s="1"/>
  <c r="ET31" i="4"/>
  <c r="FY31" i="4"/>
  <c r="FZ31" i="4" s="1"/>
  <c r="GE31" i="4"/>
  <c r="GF31" i="4" s="1"/>
  <c r="FO31" i="4"/>
  <c r="FP31" i="4" s="1"/>
  <c r="EY31" i="4"/>
  <c r="EZ31" i="4" s="1"/>
  <c r="FA31" i="4"/>
  <c r="FB31" i="4" s="1"/>
  <c r="GA31" i="4"/>
  <c r="GB31" i="4" s="1"/>
  <c r="FK31" i="4"/>
  <c r="FL31" i="4" s="1"/>
  <c r="EU31" i="4"/>
  <c r="EV31" i="4" s="1"/>
  <c r="FI31" i="4"/>
  <c r="FJ31" i="4" s="1"/>
  <c r="FW31" i="4"/>
  <c r="FX31" i="4" s="1"/>
  <c r="FG31" i="4"/>
  <c r="FH31" i="4" s="1"/>
  <c r="FY119" i="4"/>
  <c r="FZ119" i="4" s="1"/>
  <c r="FU119" i="4"/>
  <c r="FV119" i="4" s="1"/>
  <c r="FA119" i="4"/>
  <c r="FB119" i="4" s="1"/>
  <c r="FQ119" i="4"/>
  <c r="FR119" i="4" s="1"/>
  <c r="EW119" i="4"/>
  <c r="EX119" i="4" s="1"/>
  <c r="FE119" i="4"/>
  <c r="FF119" i="4" s="1"/>
  <c r="GG119" i="4"/>
  <c r="GH119" i="4" s="1"/>
  <c r="FM119" i="4"/>
  <c r="FN119" i="4" s="1"/>
  <c r="GC119" i="4"/>
  <c r="GD119" i="4" s="1"/>
  <c r="FI119" i="4"/>
  <c r="FJ119" i="4" s="1"/>
  <c r="GI119" i="4"/>
  <c r="GJ119" i="4" s="1"/>
  <c r="FS119" i="4"/>
  <c r="FT119" i="4" s="1"/>
  <c r="FC119" i="4"/>
  <c r="FD119" i="4" s="1"/>
  <c r="FG119" i="4"/>
  <c r="FH119" i="4" s="1"/>
  <c r="GE119" i="4"/>
  <c r="GF119" i="4" s="1"/>
  <c r="FO119" i="4"/>
  <c r="FP119" i="4" s="1"/>
  <c r="EY119" i="4"/>
  <c r="EZ119" i="4" s="1"/>
  <c r="ET119" i="4"/>
  <c r="GA119" i="4"/>
  <c r="GB119" i="4" s="1"/>
  <c r="FK119" i="4"/>
  <c r="FL119" i="4" s="1"/>
  <c r="EU119" i="4"/>
  <c r="EV119" i="4" s="1"/>
  <c r="FW119" i="4"/>
  <c r="FX119" i="4" s="1"/>
  <c r="DO119" i="4"/>
  <c r="DP119" i="4" s="1"/>
  <c r="DE119" i="4"/>
  <c r="DF119" i="4" s="1"/>
  <c r="CO119" i="4"/>
  <c r="CP119" i="4" s="1"/>
  <c r="CI119" i="4"/>
  <c r="CJ119" i="4" s="1"/>
  <c r="DQ119" i="4"/>
  <c r="DR119" i="4" s="1"/>
  <c r="DA119" i="4"/>
  <c r="DB119" i="4" s="1"/>
  <c r="CS119" i="4"/>
  <c r="CT119" i="4" s="1"/>
  <c r="CM119" i="4"/>
  <c r="CN119" i="4" s="1"/>
  <c r="CC119" i="4"/>
  <c r="CD119" i="4" s="1"/>
  <c r="DI119" i="4"/>
  <c r="DJ119" i="4" s="1"/>
  <c r="CE119" i="4"/>
  <c r="CF119" i="4" s="1"/>
  <c r="DM119" i="4"/>
  <c r="DN119" i="4" s="1"/>
  <c r="CW119" i="4"/>
  <c r="CX119" i="4" s="1"/>
  <c r="CQ119" i="4"/>
  <c r="CR119" i="4" s="1"/>
  <c r="CG119" i="4"/>
  <c r="CH119" i="4" s="1"/>
  <c r="CB119" i="4"/>
  <c r="CU119" i="4"/>
  <c r="CV119" i="4" s="1"/>
  <c r="CK119" i="4"/>
  <c r="CL119" i="4" s="1"/>
  <c r="CY119" i="4"/>
  <c r="CZ119" i="4" s="1"/>
  <c r="DC119" i="4"/>
  <c r="DD119" i="4" s="1"/>
  <c r="DK119" i="4"/>
  <c r="DL119" i="4" s="1"/>
  <c r="DG119" i="4"/>
  <c r="DH119" i="4" s="1"/>
  <c r="FU28" i="4"/>
  <c r="FV28" i="4" s="1"/>
  <c r="FE28" i="4"/>
  <c r="FF28" i="4" s="1"/>
  <c r="GE28" i="4"/>
  <c r="GF28" i="4" s="1"/>
  <c r="EU28" i="4"/>
  <c r="EV28" i="4" s="1"/>
  <c r="EY28" i="4"/>
  <c r="EZ28" i="4" s="1"/>
  <c r="FG28" i="4"/>
  <c r="FH28" i="4" s="1"/>
  <c r="GG28" i="4"/>
  <c r="GH28" i="4" s="1"/>
  <c r="FQ28" i="4"/>
  <c r="FR28" i="4" s="1"/>
  <c r="FA28" i="4"/>
  <c r="FB28" i="4" s="1"/>
  <c r="GA28" i="4"/>
  <c r="GB28" i="4" s="1"/>
  <c r="FW28" i="4"/>
  <c r="FX28" i="4" s="1"/>
  <c r="GI28" i="4"/>
  <c r="GJ28" i="4" s="1"/>
  <c r="FY28" i="4"/>
  <c r="FZ28" i="4" s="1"/>
  <c r="FS28" i="4"/>
  <c r="FT28" i="4" s="1"/>
  <c r="GC28" i="4"/>
  <c r="GD28" i="4" s="1"/>
  <c r="FM28" i="4"/>
  <c r="FN28" i="4" s="1"/>
  <c r="EW28" i="4"/>
  <c r="EX28" i="4" s="1"/>
  <c r="FC28" i="4"/>
  <c r="FD28" i="4" s="1"/>
  <c r="FO28" i="4"/>
  <c r="FP28" i="4" s="1"/>
  <c r="FK28" i="4"/>
  <c r="FL28" i="4" s="1"/>
  <c r="FI28" i="4"/>
  <c r="FJ28" i="4" s="1"/>
  <c r="ET28" i="4"/>
  <c r="DK28" i="4"/>
  <c r="DL28" i="4" s="1"/>
  <c r="DO28" i="4"/>
  <c r="DP28" i="4" s="1"/>
  <c r="CI28" i="4"/>
  <c r="CJ28" i="4" s="1"/>
  <c r="CQ28" i="4"/>
  <c r="CR28" i="4" s="1"/>
  <c r="DG28" i="4"/>
  <c r="DH28" i="4" s="1"/>
  <c r="CB28" i="4"/>
  <c r="CY28" i="4"/>
  <c r="CZ28" i="4" s="1"/>
  <c r="DQ28" i="4"/>
  <c r="DR28" i="4" s="1"/>
  <c r="DA28" i="4"/>
  <c r="DB28" i="4" s="1"/>
  <c r="CK28" i="4"/>
  <c r="CL28" i="4" s="1"/>
  <c r="DE28" i="4"/>
  <c r="DF28" i="4" s="1"/>
  <c r="CE28" i="4"/>
  <c r="CF28" i="4" s="1"/>
  <c r="DM28" i="4"/>
  <c r="DN28" i="4" s="1"/>
  <c r="CW28" i="4"/>
  <c r="CX28" i="4" s="1"/>
  <c r="CG28" i="4"/>
  <c r="CH28" i="4" s="1"/>
  <c r="DC28" i="4"/>
  <c r="DD28" i="4" s="1"/>
  <c r="CO28" i="4"/>
  <c r="CP28" i="4" s="1"/>
  <c r="CM28" i="4"/>
  <c r="CN28" i="4" s="1"/>
  <c r="DI28" i="4"/>
  <c r="DJ28" i="4" s="1"/>
  <c r="CS28" i="4"/>
  <c r="CT28" i="4" s="1"/>
  <c r="CC28" i="4"/>
  <c r="CD28" i="4" s="1"/>
  <c r="CU28" i="4"/>
  <c r="CV28" i="4" s="1"/>
  <c r="DO95" i="4"/>
  <c r="DP95" i="4" s="1"/>
  <c r="DQ95" i="4"/>
  <c r="DR95" i="4" s="1"/>
  <c r="DA95" i="4"/>
  <c r="DB95" i="4" s="1"/>
  <c r="CK95" i="4"/>
  <c r="CL95" i="4" s="1"/>
  <c r="DM95" i="4"/>
  <c r="DN95" i="4" s="1"/>
  <c r="CW95" i="4"/>
  <c r="CX95" i="4" s="1"/>
  <c r="CG95" i="4"/>
  <c r="CH95" i="4" s="1"/>
  <c r="CO95" i="4"/>
  <c r="CP95" i="4" s="1"/>
  <c r="DI95" i="4"/>
  <c r="DJ95" i="4" s="1"/>
  <c r="CS95" i="4"/>
  <c r="CT95" i="4" s="1"/>
  <c r="CC95" i="4"/>
  <c r="CD95" i="4" s="1"/>
  <c r="DE95" i="4"/>
  <c r="DF95" i="4" s="1"/>
  <c r="CM95" i="4"/>
  <c r="CN95" i="4" s="1"/>
  <c r="DC95" i="4"/>
  <c r="DD95" i="4" s="1"/>
  <c r="CI95" i="4"/>
  <c r="CJ95" i="4" s="1"/>
  <c r="CB95" i="4"/>
  <c r="CQ95" i="4"/>
  <c r="CR95" i="4" s="1"/>
  <c r="DG95" i="4"/>
  <c r="DH95" i="4" s="1"/>
  <c r="CE95" i="4"/>
  <c r="CF95" i="4" s="1"/>
  <c r="CU95" i="4"/>
  <c r="CV95" i="4" s="1"/>
  <c r="DK95" i="4"/>
  <c r="DL95" i="4" s="1"/>
  <c r="CY95" i="4"/>
  <c r="CZ95" i="4" s="1"/>
  <c r="GG95" i="4"/>
  <c r="GH95" i="4" s="1"/>
  <c r="GC95" i="4"/>
  <c r="GD95" i="4" s="1"/>
  <c r="EW95" i="4"/>
  <c r="EX95" i="4" s="1"/>
  <c r="FU95" i="4"/>
  <c r="FV95" i="4" s="1"/>
  <c r="FM95" i="4"/>
  <c r="FN95" i="4" s="1"/>
  <c r="FE95" i="4"/>
  <c r="FF95" i="4" s="1"/>
  <c r="FI95" i="4"/>
  <c r="FJ95" i="4" s="1"/>
  <c r="FA95" i="4"/>
  <c r="FB95" i="4" s="1"/>
  <c r="FW95" i="4"/>
  <c r="FX95" i="4" s="1"/>
  <c r="FG95" i="4"/>
  <c r="FH95" i="4" s="1"/>
  <c r="GA95" i="4"/>
  <c r="GB95" i="4" s="1"/>
  <c r="FY95" i="4"/>
  <c r="FZ95" i="4" s="1"/>
  <c r="FQ95" i="4"/>
  <c r="FR95" i="4" s="1"/>
  <c r="GI95" i="4"/>
  <c r="GJ95" i="4" s="1"/>
  <c r="FS95" i="4"/>
  <c r="FT95" i="4" s="1"/>
  <c r="FC95" i="4"/>
  <c r="FD95" i="4" s="1"/>
  <c r="ET95" i="4"/>
  <c r="FK95" i="4"/>
  <c r="FL95" i="4" s="1"/>
  <c r="GE95" i="4"/>
  <c r="GF95" i="4" s="1"/>
  <c r="FO95" i="4"/>
  <c r="FP95" i="4" s="1"/>
  <c r="EY95" i="4"/>
  <c r="EZ95" i="4" s="1"/>
  <c r="EU95" i="4"/>
  <c r="EV95" i="4" s="1"/>
  <c r="CA33" i="4"/>
  <c r="ER33" i="4"/>
  <c r="ES33" i="4" s="1"/>
  <c r="AU33" i="4"/>
  <c r="AV33" i="4" s="1"/>
  <c r="AK33" i="4"/>
  <c r="AL33" i="4" s="1"/>
  <c r="AE33" i="4"/>
  <c r="AF33" i="4" s="1"/>
  <c r="U33" i="4"/>
  <c r="V33" i="4" s="1"/>
  <c r="O33" i="4"/>
  <c r="P33" i="4" s="1"/>
  <c r="AW33" i="4"/>
  <c r="AX33" i="4" s="1"/>
  <c r="AA33" i="4"/>
  <c r="AB33" i="4" s="1"/>
  <c r="K33" i="4"/>
  <c r="L33" i="4" s="1"/>
  <c r="AY33" i="4"/>
  <c r="AZ33" i="4" s="1"/>
  <c r="AO33" i="4"/>
  <c r="AP33" i="4" s="1"/>
  <c r="AI33" i="4"/>
  <c r="AJ33" i="4" s="1"/>
  <c r="Y33" i="4"/>
  <c r="Z33" i="4" s="1"/>
  <c r="S33" i="4"/>
  <c r="T33" i="4" s="1"/>
  <c r="J33" i="4"/>
  <c r="AS33" i="4"/>
  <c r="AT33" i="4" s="1"/>
  <c r="AM33" i="4"/>
  <c r="AN33" i="4" s="1"/>
  <c r="AC33" i="4"/>
  <c r="AD33" i="4" s="1"/>
  <c r="W33" i="4"/>
  <c r="X33" i="4" s="1"/>
  <c r="M33" i="4"/>
  <c r="N33" i="4" s="1"/>
  <c r="AQ33" i="4"/>
  <c r="AR33" i="4" s="1"/>
  <c r="AG33" i="4"/>
  <c r="AH33" i="4" s="1"/>
  <c r="Q33" i="4"/>
  <c r="R33" i="4" s="1"/>
  <c r="DE59" i="4"/>
  <c r="DF59" i="4" s="1"/>
  <c r="CO59" i="4"/>
  <c r="CP59" i="4" s="1"/>
  <c r="CM59" i="4"/>
  <c r="CN59" i="4" s="1"/>
  <c r="CI59" i="4"/>
  <c r="CJ59" i="4" s="1"/>
  <c r="DO59" i="4"/>
  <c r="DP59" i="4" s="1"/>
  <c r="CS59" i="4"/>
  <c r="CT59" i="4" s="1"/>
  <c r="CB59" i="4"/>
  <c r="DQ59" i="4"/>
  <c r="DR59" i="4" s="1"/>
  <c r="DA59" i="4"/>
  <c r="DB59" i="4" s="1"/>
  <c r="CK59" i="4"/>
  <c r="CL59" i="4" s="1"/>
  <c r="CU59" i="4"/>
  <c r="CV59" i="4" s="1"/>
  <c r="CQ59" i="4"/>
  <c r="CR59" i="4" s="1"/>
  <c r="CC59" i="4"/>
  <c r="CD59" i="4" s="1"/>
  <c r="CE59" i="4"/>
  <c r="CF59" i="4" s="1"/>
  <c r="DG59" i="4"/>
  <c r="DH59" i="4" s="1"/>
  <c r="DM59" i="4"/>
  <c r="DN59" i="4" s="1"/>
  <c r="CW59" i="4"/>
  <c r="CX59" i="4" s="1"/>
  <c r="CG59" i="4"/>
  <c r="CH59" i="4" s="1"/>
  <c r="DC59" i="4"/>
  <c r="DD59" i="4" s="1"/>
  <c r="CY59" i="4"/>
  <c r="CZ59" i="4" s="1"/>
  <c r="DI59" i="4"/>
  <c r="DJ59" i="4" s="1"/>
  <c r="DK59" i="4"/>
  <c r="DL59" i="4" s="1"/>
  <c r="BZ25" i="4"/>
  <c r="I25" i="4"/>
  <c r="FK59" i="4"/>
  <c r="FL59" i="4" s="1"/>
  <c r="GI59" i="4"/>
  <c r="GJ59" i="4" s="1"/>
  <c r="FC59" i="4"/>
  <c r="FD59" i="4" s="1"/>
  <c r="GA59" i="4"/>
  <c r="GB59" i="4" s="1"/>
  <c r="EU59" i="4"/>
  <c r="EV59" i="4" s="1"/>
  <c r="FS59" i="4"/>
  <c r="FT59" i="4" s="1"/>
  <c r="GG59" i="4"/>
  <c r="GH59" i="4" s="1"/>
  <c r="FQ59" i="4"/>
  <c r="FR59" i="4" s="1"/>
  <c r="FA59" i="4"/>
  <c r="FB59" i="4" s="1"/>
  <c r="FG59" i="4"/>
  <c r="FH59" i="4" s="1"/>
  <c r="FU59" i="4"/>
  <c r="FV59" i="4" s="1"/>
  <c r="GE59" i="4"/>
  <c r="GF59" i="4" s="1"/>
  <c r="GC59" i="4"/>
  <c r="GD59" i="4" s="1"/>
  <c r="FM59" i="4"/>
  <c r="FN59" i="4" s="1"/>
  <c r="EW59" i="4"/>
  <c r="EX59" i="4" s="1"/>
  <c r="FO59" i="4"/>
  <c r="FP59" i="4" s="1"/>
  <c r="FE59" i="4"/>
  <c r="FF59" i="4" s="1"/>
  <c r="EY59" i="4"/>
  <c r="EZ59" i="4" s="1"/>
  <c r="FY59" i="4"/>
  <c r="FZ59" i="4" s="1"/>
  <c r="FI59" i="4"/>
  <c r="FJ59" i="4" s="1"/>
  <c r="ET59" i="4"/>
  <c r="FW59" i="4"/>
  <c r="FX59" i="4" s="1"/>
  <c r="AS34" i="4"/>
  <c r="AT34" i="4" s="1"/>
  <c r="AC34" i="4"/>
  <c r="AD34" i="4" s="1"/>
  <c r="M34" i="4"/>
  <c r="N34" i="4" s="1"/>
  <c r="AU34" i="4"/>
  <c r="AV34" i="4" s="1"/>
  <c r="AA34" i="4"/>
  <c r="AB34" i="4" s="1"/>
  <c r="AW34" i="4"/>
  <c r="AX34" i="4" s="1"/>
  <c r="Q34" i="4"/>
  <c r="R34" i="4" s="1"/>
  <c r="W34" i="4"/>
  <c r="X34" i="4" s="1"/>
  <c r="S34" i="4"/>
  <c r="T34" i="4" s="1"/>
  <c r="AO34" i="4"/>
  <c r="AP34" i="4" s="1"/>
  <c r="Y34" i="4"/>
  <c r="Z34" i="4" s="1"/>
  <c r="J34" i="4"/>
  <c r="AI34" i="4"/>
  <c r="AJ34" i="4" s="1"/>
  <c r="AY34" i="4"/>
  <c r="AZ34" i="4" s="1"/>
  <c r="AK34" i="4"/>
  <c r="AL34" i="4" s="1"/>
  <c r="U34" i="4"/>
  <c r="V34" i="4" s="1"/>
  <c r="K34" i="4"/>
  <c r="L34" i="4" s="1"/>
  <c r="AQ34" i="4"/>
  <c r="AR34" i="4" s="1"/>
  <c r="AM34" i="4"/>
  <c r="AN34" i="4" s="1"/>
  <c r="O34" i="4"/>
  <c r="P34" i="4" s="1"/>
  <c r="AG34" i="4"/>
  <c r="AH34" i="4" s="1"/>
  <c r="AE34" i="4"/>
  <c r="AF34" i="4" s="1"/>
  <c r="GG69" i="4"/>
  <c r="GH69" i="4" s="1"/>
  <c r="GC69" i="4"/>
  <c r="GD69" i="4" s="1"/>
  <c r="FY69" i="4"/>
  <c r="FZ69" i="4" s="1"/>
  <c r="FU69" i="4"/>
  <c r="FV69" i="4" s="1"/>
  <c r="FQ69" i="4"/>
  <c r="FR69" i="4" s="1"/>
  <c r="FM69" i="4"/>
  <c r="FN69" i="4" s="1"/>
  <c r="FI69" i="4"/>
  <c r="FJ69" i="4" s="1"/>
  <c r="FE69" i="4"/>
  <c r="FF69" i="4" s="1"/>
  <c r="FA69" i="4"/>
  <c r="FB69" i="4" s="1"/>
  <c r="EW69" i="4"/>
  <c r="EX69" i="4" s="1"/>
  <c r="ET69" i="4"/>
  <c r="GI69" i="4"/>
  <c r="GJ69" i="4" s="1"/>
  <c r="GA69" i="4"/>
  <c r="GB69" i="4" s="1"/>
  <c r="FS69" i="4"/>
  <c r="FT69" i="4" s="1"/>
  <c r="FK69" i="4"/>
  <c r="FL69" i="4" s="1"/>
  <c r="FC69" i="4"/>
  <c r="FD69" i="4" s="1"/>
  <c r="EU69" i="4"/>
  <c r="EV69" i="4" s="1"/>
  <c r="GE69" i="4"/>
  <c r="GF69" i="4" s="1"/>
  <c r="FO69" i="4"/>
  <c r="FP69" i="4" s="1"/>
  <c r="EY69" i="4"/>
  <c r="EZ69" i="4" s="1"/>
  <c r="FW69" i="4"/>
  <c r="FX69" i="4" s="1"/>
  <c r="FG69" i="4"/>
  <c r="FH69" i="4" s="1"/>
  <c r="DQ138" i="4"/>
  <c r="DR138" i="4" s="1"/>
  <c r="DM138" i="4"/>
  <c r="DN138" i="4" s="1"/>
  <c r="DI138" i="4"/>
  <c r="DJ138" i="4" s="1"/>
  <c r="DE138" i="4"/>
  <c r="DF138" i="4" s="1"/>
  <c r="DA138" i="4"/>
  <c r="DB138" i="4" s="1"/>
  <c r="CW138" i="4"/>
  <c r="CX138" i="4" s="1"/>
  <c r="CS138" i="4"/>
  <c r="CT138" i="4" s="1"/>
  <c r="CO138" i="4"/>
  <c r="CP138" i="4" s="1"/>
  <c r="CK138" i="4"/>
  <c r="CL138" i="4" s="1"/>
  <c r="CG138" i="4"/>
  <c r="CH138" i="4" s="1"/>
  <c r="CC138" i="4"/>
  <c r="CD138" i="4" s="1"/>
  <c r="DG138" i="4"/>
  <c r="DH138" i="4" s="1"/>
  <c r="CQ138" i="4"/>
  <c r="CR138" i="4" s="1"/>
  <c r="CB138" i="4"/>
  <c r="DC138" i="4"/>
  <c r="DD138" i="4" s="1"/>
  <c r="CM138" i="4"/>
  <c r="CN138" i="4" s="1"/>
  <c r="DK138" i="4"/>
  <c r="DL138" i="4" s="1"/>
  <c r="CU138" i="4"/>
  <c r="CV138" i="4" s="1"/>
  <c r="CE138" i="4"/>
  <c r="CF138" i="4" s="1"/>
  <c r="CY138" i="4"/>
  <c r="CZ138" i="4" s="1"/>
  <c r="CI138" i="4"/>
  <c r="CJ138" i="4" s="1"/>
  <c r="DO138" i="4"/>
  <c r="DP138" i="4" s="1"/>
  <c r="GG105" i="4"/>
  <c r="GH105" i="4" s="1"/>
  <c r="GC105" i="4"/>
  <c r="GD105" i="4" s="1"/>
  <c r="FY105" i="4"/>
  <c r="FZ105" i="4" s="1"/>
  <c r="FU105" i="4"/>
  <c r="FV105" i="4" s="1"/>
  <c r="FQ105" i="4"/>
  <c r="FR105" i="4" s="1"/>
  <c r="FM105" i="4"/>
  <c r="FN105" i="4" s="1"/>
  <c r="FI105" i="4"/>
  <c r="FJ105" i="4" s="1"/>
  <c r="FE105" i="4"/>
  <c r="FF105" i="4" s="1"/>
  <c r="FA105" i="4"/>
  <c r="FB105" i="4" s="1"/>
  <c r="EW105" i="4"/>
  <c r="EX105" i="4" s="1"/>
  <c r="ET105" i="4"/>
  <c r="FW105" i="4"/>
  <c r="FX105" i="4" s="1"/>
  <c r="FG105" i="4"/>
  <c r="FH105" i="4" s="1"/>
  <c r="GI105" i="4"/>
  <c r="GJ105" i="4" s="1"/>
  <c r="FS105" i="4"/>
  <c r="FT105" i="4" s="1"/>
  <c r="FC105" i="4"/>
  <c r="FD105" i="4" s="1"/>
  <c r="GA105" i="4"/>
  <c r="GB105" i="4" s="1"/>
  <c r="FK105" i="4"/>
  <c r="FL105" i="4" s="1"/>
  <c r="EU105" i="4"/>
  <c r="EV105" i="4" s="1"/>
  <c r="GE105" i="4"/>
  <c r="GF105" i="4" s="1"/>
  <c r="EY105" i="4"/>
  <c r="EZ105" i="4" s="1"/>
  <c r="FO105" i="4"/>
  <c r="FP105" i="4" s="1"/>
  <c r="DQ109" i="4"/>
  <c r="DR109" i="4" s="1"/>
  <c r="DM109" i="4"/>
  <c r="DN109" i="4" s="1"/>
  <c r="DI109" i="4"/>
  <c r="DJ109" i="4" s="1"/>
  <c r="DE109" i="4"/>
  <c r="DF109" i="4" s="1"/>
  <c r="DA109" i="4"/>
  <c r="DB109" i="4" s="1"/>
  <c r="CW109" i="4"/>
  <c r="CX109" i="4" s="1"/>
  <c r="CS109" i="4"/>
  <c r="CT109" i="4" s="1"/>
  <c r="CO109" i="4"/>
  <c r="CP109" i="4" s="1"/>
  <c r="CK109" i="4"/>
  <c r="CL109" i="4" s="1"/>
  <c r="CG109" i="4"/>
  <c r="CH109" i="4" s="1"/>
  <c r="CC109" i="4"/>
  <c r="CD109" i="4" s="1"/>
  <c r="DG109" i="4"/>
  <c r="DH109" i="4" s="1"/>
  <c r="CQ109" i="4"/>
  <c r="CR109" i="4" s="1"/>
  <c r="CB109" i="4"/>
  <c r="DC109" i="4"/>
  <c r="DD109" i="4" s="1"/>
  <c r="CM109" i="4"/>
  <c r="CN109" i="4" s="1"/>
  <c r="DK109" i="4"/>
  <c r="DL109" i="4" s="1"/>
  <c r="CU109" i="4"/>
  <c r="CV109" i="4" s="1"/>
  <c r="CE109" i="4"/>
  <c r="CF109" i="4" s="1"/>
  <c r="DO109" i="4"/>
  <c r="DP109" i="4" s="1"/>
  <c r="CI109" i="4"/>
  <c r="CJ109" i="4" s="1"/>
  <c r="CY109" i="4"/>
  <c r="CZ109" i="4" s="1"/>
  <c r="DQ117" i="4"/>
  <c r="DR117" i="4" s="1"/>
  <c r="DM117" i="4"/>
  <c r="DN117" i="4" s="1"/>
  <c r="DI117" i="4"/>
  <c r="DJ117" i="4" s="1"/>
  <c r="DE117" i="4"/>
  <c r="DF117" i="4" s="1"/>
  <c r="DA117" i="4"/>
  <c r="DB117" i="4" s="1"/>
  <c r="CW117" i="4"/>
  <c r="CX117" i="4" s="1"/>
  <c r="CS117" i="4"/>
  <c r="CT117" i="4" s="1"/>
  <c r="CO117" i="4"/>
  <c r="CP117" i="4" s="1"/>
  <c r="CK117" i="4"/>
  <c r="CL117" i="4" s="1"/>
  <c r="CG117" i="4"/>
  <c r="CH117" i="4" s="1"/>
  <c r="CC117" i="4"/>
  <c r="CD117" i="4" s="1"/>
  <c r="DG117" i="4"/>
  <c r="DH117" i="4" s="1"/>
  <c r="CQ117" i="4"/>
  <c r="CR117" i="4" s="1"/>
  <c r="CB117" i="4"/>
  <c r="DC117" i="4"/>
  <c r="DD117" i="4" s="1"/>
  <c r="CM117" i="4"/>
  <c r="CN117" i="4" s="1"/>
  <c r="DK117" i="4"/>
  <c r="DL117" i="4" s="1"/>
  <c r="CU117" i="4"/>
  <c r="CV117" i="4" s="1"/>
  <c r="CE117" i="4"/>
  <c r="CF117" i="4" s="1"/>
  <c r="CY117" i="4"/>
  <c r="CZ117" i="4" s="1"/>
  <c r="CI117" i="4"/>
  <c r="CJ117" i="4" s="1"/>
  <c r="DO117" i="4"/>
  <c r="DP117" i="4" s="1"/>
  <c r="GE125" i="4"/>
  <c r="GF125" i="4" s="1"/>
  <c r="FY125" i="4"/>
  <c r="FZ125" i="4" s="1"/>
  <c r="FO125" i="4"/>
  <c r="FP125" i="4" s="1"/>
  <c r="FI125" i="4"/>
  <c r="FJ125" i="4" s="1"/>
  <c r="EY125" i="4"/>
  <c r="EZ125" i="4" s="1"/>
  <c r="ET125" i="4"/>
  <c r="GI125" i="4"/>
  <c r="GJ125" i="4" s="1"/>
  <c r="GC125" i="4"/>
  <c r="GD125" i="4" s="1"/>
  <c r="FS125" i="4"/>
  <c r="FT125" i="4" s="1"/>
  <c r="FM125" i="4"/>
  <c r="FN125" i="4" s="1"/>
  <c r="FC125" i="4"/>
  <c r="FD125" i="4" s="1"/>
  <c r="EW125" i="4"/>
  <c r="EX125" i="4" s="1"/>
  <c r="GA125" i="4"/>
  <c r="GB125" i="4" s="1"/>
  <c r="FU125" i="4"/>
  <c r="FV125" i="4" s="1"/>
  <c r="FK125" i="4"/>
  <c r="FL125" i="4" s="1"/>
  <c r="FE125" i="4"/>
  <c r="FF125" i="4" s="1"/>
  <c r="EU125" i="4"/>
  <c r="EV125" i="4" s="1"/>
  <c r="FQ125" i="4"/>
  <c r="FR125" i="4" s="1"/>
  <c r="GG125" i="4"/>
  <c r="GH125" i="4" s="1"/>
  <c r="FW125" i="4"/>
  <c r="FX125" i="4" s="1"/>
  <c r="FA125" i="4"/>
  <c r="FB125" i="4" s="1"/>
  <c r="FG125" i="4"/>
  <c r="FH125" i="4" s="1"/>
  <c r="GG109" i="4"/>
  <c r="GH109" i="4" s="1"/>
  <c r="GC109" i="4"/>
  <c r="GD109" i="4" s="1"/>
  <c r="FY109" i="4"/>
  <c r="FZ109" i="4" s="1"/>
  <c r="FU109" i="4"/>
  <c r="FV109" i="4" s="1"/>
  <c r="FQ109" i="4"/>
  <c r="FR109" i="4" s="1"/>
  <c r="FM109" i="4"/>
  <c r="FN109" i="4" s="1"/>
  <c r="FI109" i="4"/>
  <c r="FJ109" i="4" s="1"/>
  <c r="FE109" i="4"/>
  <c r="FF109" i="4" s="1"/>
  <c r="FA109" i="4"/>
  <c r="FB109" i="4" s="1"/>
  <c r="EW109" i="4"/>
  <c r="EX109" i="4" s="1"/>
  <c r="ET109" i="4"/>
  <c r="FW109" i="4"/>
  <c r="FX109" i="4" s="1"/>
  <c r="FG109" i="4"/>
  <c r="FH109" i="4" s="1"/>
  <c r="GI109" i="4"/>
  <c r="GJ109" i="4" s="1"/>
  <c r="FS109" i="4"/>
  <c r="FT109" i="4" s="1"/>
  <c r="FC109" i="4"/>
  <c r="FD109" i="4" s="1"/>
  <c r="GA109" i="4"/>
  <c r="GB109" i="4" s="1"/>
  <c r="FK109" i="4"/>
  <c r="FL109" i="4" s="1"/>
  <c r="EU109" i="4"/>
  <c r="EV109" i="4" s="1"/>
  <c r="GE109" i="4"/>
  <c r="GF109" i="4" s="1"/>
  <c r="FO109" i="4"/>
  <c r="FP109" i="4" s="1"/>
  <c r="EY109" i="4"/>
  <c r="EZ109" i="4" s="1"/>
  <c r="GG117" i="4"/>
  <c r="GH117" i="4" s="1"/>
  <c r="GC117" i="4"/>
  <c r="GD117" i="4" s="1"/>
  <c r="FY117" i="4"/>
  <c r="FZ117" i="4" s="1"/>
  <c r="FU117" i="4"/>
  <c r="FV117" i="4" s="1"/>
  <c r="FQ117" i="4"/>
  <c r="FR117" i="4" s="1"/>
  <c r="FM117" i="4"/>
  <c r="FN117" i="4" s="1"/>
  <c r="FI117" i="4"/>
  <c r="FJ117" i="4" s="1"/>
  <c r="FE117" i="4"/>
  <c r="FF117" i="4" s="1"/>
  <c r="FA117" i="4"/>
  <c r="FB117" i="4" s="1"/>
  <c r="EW117" i="4"/>
  <c r="EX117" i="4" s="1"/>
  <c r="ET117" i="4"/>
  <c r="FW117" i="4"/>
  <c r="FX117" i="4" s="1"/>
  <c r="FG117" i="4"/>
  <c r="FH117" i="4" s="1"/>
  <c r="GI117" i="4"/>
  <c r="GJ117" i="4" s="1"/>
  <c r="FS117" i="4"/>
  <c r="FT117" i="4" s="1"/>
  <c r="FC117" i="4"/>
  <c r="FD117" i="4" s="1"/>
  <c r="GA117" i="4"/>
  <c r="GB117" i="4" s="1"/>
  <c r="FK117" i="4"/>
  <c r="FL117" i="4" s="1"/>
  <c r="EU117" i="4"/>
  <c r="EV117" i="4" s="1"/>
  <c r="EY117" i="4"/>
  <c r="EZ117" i="4" s="1"/>
  <c r="FO117" i="4"/>
  <c r="FP117" i="4" s="1"/>
  <c r="GE117" i="4"/>
  <c r="GF117" i="4" s="1"/>
  <c r="DK125" i="4"/>
  <c r="DL125" i="4" s="1"/>
  <c r="DE125" i="4"/>
  <c r="DF125" i="4" s="1"/>
  <c r="CU125" i="4"/>
  <c r="CV125" i="4" s="1"/>
  <c r="CQ125" i="4"/>
  <c r="CR125" i="4" s="1"/>
  <c r="CM125" i="4"/>
  <c r="CN125" i="4" s="1"/>
  <c r="CI125" i="4"/>
  <c r="CJ125" i="4" s="1"/>
  <c r="CE125" i="4"/>
  <c r="CF125" i="4" s="1"/>
  <c r="CB125" i="4"/>
  <c r="DO125" i="4"/>
  <c r="DP125" i="4" s="1"/>
  <c r="DI125" i="4"/>
  <c r="DJ125" i="4" s="1"/>
  <c r="CY125" i="4"/>
  <c r="CZ125" i="4" s="1"/>
  <c r="DQ125" i="4"/>
  <c r="DR125" i="4" s="1"/>
  <c r="DG125" i="4"/>
  <c r="DH125" i="4" s="1"/>
  <c r="DA125" i="4"/>
  <c r="DB125" i="4" s="1"/>
  <c r="CO125" i="4"/>
  <c r="CP125" i="4" s="1"/>
  <c r="DC125" i="4"/>
  <c r="DD125" i="4" s="1"/>
  <c r="CK125" i="4"/>
  <c r="CL125" i="4" s="1"/>
  <c r="DM125" i="4"/>
  <c r="DN125" i="4" s="1"/>
  <c r="CS125" i="4"/>
  <c r="CT125" i="4" s="1"/>
  <c r="CC125" i="4"/>
  <c r="CD125" i="4" s="1"/>
  <c r="CW125" i="4"/>
  <c r="CX125" i="4" s="1"/>
  <c r="CG125" i="4"/>
  <c r="CH125" i="4" s="1"/>
  <c r="GI27" i="4"/>
  <c r="GJ27" i="4" s="1"/>
  <c r="GE27" i="4"/>
  <c r="GF27" i="4" s="1"/>
  <c r="GA27" i="4"/>
  <c r="GB27" i="4" s="1"/>
  <c r="FW27" i="4"/>
  <c r="FX27" i="4" s="1"/>
  <c r="FS27" i="4"/>
  <c r="FT27" i="4" s="1"/>
  <c r="FO27" i="4"/>
  <c r="FP27" i="4" s="1"/>
  <c r="FK27" i="4"/>
  <c r="FL27" i="4" s="1"/>
  <c r="FG27" i="4"/>
  <c r="FH27" i="4" s="1"/>
  <c r="FC27" i="4"/>
  <c r="FD27" i="4" s="1"/>
  <c r="EY27" i="4"/>
  <c r="EZ27" i="4" s="1"/>
  <c r="EU27" i="4"/>
  <c r="EV27" i="4" s="1"/>
  <c r="FU27" i="4"/>
  <c r="FV27" i="4" s="1"/>
  <c r="GG27" i="4"/>
  <c r="GH27" i="4" s="1"/>
  <c r="FA27" i="4"/>
  <c r="FB27" i="4" s="1"/>
  <c r="FY27" i="4"/>
  <c r="FZ27" i="4" s="1"/>
  <c r="FI27" i="4"/>
  <c r="FJ27" i="4" s="1"/>
  <c r="ET27" i="4"/>
  <c r="GC27" i="4"/>
  <c r="GD27" i="4" s="1"/>
  <c r="FM27" i="4"/>
  <c r="FN27" i="4" s="1"/>
  <c r="FE27" i="4"/>
  <c r="FF27" i="4" s="1"/>
  <c r="EW27" i="4"/>
  <c r="EX27" i="4" s="1"/>
  <c r="FQ27" i="4"/>
  <c r="FR27" i="4" s="1"/>
  <c r="GG89" i="4"/>
  <c r="GH89" i="4" s="1"/>
  <c r="GC89" i="4"/>
  <c r="GD89" i="4" s="1"/>
  <c r="FY89" i="4"/>
  <c r="FZ89" i="4" s="1"/>
  <c r="FU89" i="4"/>
  <c r="FV89" i="4" s="1"/>
  <c r="FQ89" i="4"/>
  <c r="FR89" i="4" s="1"/>
  <c r="FM89" i="4"/>
  <c r="FN89" i="4" s="1"/>
  <c r="FI89" i="4"/>
  <c r="FJ89" i="4" s="1"/>
  <c r="FE89" i="4"/>
  <c r="FF89" i="4" s="1"/>
  <c r="FA89" i="4"/>
  <c r="FB89" i="4" s="1"/>
  <c r="EW89" i="4"/>
  <c r="EX89" i="4" s="1"/>
  <c r="ET89" i="4"/>
  <c r="FW89" i="4"/>
  <c r="FX89" i="4" s="1"/>
  <c r="FG89" i="4"/>
  <c r="FH89" i="4" s="1"/>
  <c r="GI89" i="4"/>
  <c r="GJ89" i="4" s="1"/>
  <c r="FS89" i="4"/>
  <c r="FT89" i="4" s="1"/>
  <c r="FC89" i="4"/>
  <c r="FD89" i="4" s="1"/>
  <c r="GA89" i="4"/>
  <c r="GB89" i="4" s="1"/>
  <c r="EU89" i="4"/>
  <c r="EV89" i="4" s="1"/>
  <c r="FO89" i="4"/>
  <c r="FP89" i="4" s="1"/>
  <c r="FK89" i="4"/>
  <c r="FL89" i="4" s="1"/>
  <c r="EY89" i="4"/>
  <c r="EZ89" i="4" s="1"/>
  <c r="GE89" i="4"/>
  <c r="GF89" i="4" s="1"/>
  <c r="GE83" i="4"/>
  <c r="GF83" i="4" s="1"/>
  <c r="FU83" i="4"/>
  <c r="FV83" i="4" s="1"/>
  <c r="GI83" i="4"/>
  <c r="GJ83" i="4" s="1"/>
  <c r="FY83" i="4"/>
  <c r="FZ83" i="4" s="1"/>
  <c r="FS83" i="4"/>
  <c r="FT83" i="4" s="1"/>
  <c r="FO83" i="4"/>
  <c r="FP83" i="4" s="1"/>
  <c r="FK83" i="4"/>
  <c r="FL83" i="4" s="1"/>
  <c r="FG83" i="4"/>
  <c r="FH83" i="4" s="1"/>
  <c r="FC83" i="4"/>
  <c r="FD83" i="4" s="1"/>
  <c r="EY83" i="4"/>
  <c r="EZ83" i="4" s="1"/>
  <c r="EU83" i="4"/>
  <c r="EV83" i="4" s="1"/>
  <c r="GC83" i="4"/>
  <c r="GD83" i="4" s="1"/>
  <c r="GA83" i="4"/>
  <c r="GB83" i="4" s="1"/>
  <c r="FQ83" i="4"/>
  <c r="FR83" i="4" s="1"/>
  <c r="FI83" i="4"/>
  <c r="FJ83" i="4" s="1"/>
  <c r="FA83" i="4"/>
  <c r="FB83" i="4" s="1"/>
  <c r="ET83" i="4"/>
  <c r="GG83" i="4"/>
  <c r="GH83" i="4" s="1"/>
  <c r="FM83" i="4"/>
  <c r="FN83" i="4" s="1"/>
  <c r="EW83" i="4"/>
  <c r="EX83" i="4" s="1"/>
  <c r="FW83" i="4"/>
  <c r="FX83" i="4" s="1"/>
  <c r="FE83" i="4"/>
  <c r="FF83" i="4" s="1"/>
  <c r="GG73" i="4"/>
  <c r="GH73" i="4" s="1"/>
  <c r="GC73" i="4"/>
  <c r="GD73" i="4" s="1"/>
  <c r="FY73" i="4"/>
  <c r="FZ73" i="4" s="1"/>
  <c r="FU73" i="4"/>
  <c r="FV73" i="4" s="1"/>
  <c r="FQ73" i="4"/>
  <c r="FR73" i="4" s="1"/>
  <c r="FM73" i="4"/>
  <c r="FN73" i="4" s="1"/>
  <c r="FI73" i="4"/>
  <c r="FJ73" i="4" s="1"/>
  <c r="FE73" i="4"/>
  <c r="FF73" i="4" s="1"/>
  <c r="FA73" i="4"/>
  <c r="FB73" i="4" s="1"/>
  <c r="EW73" i="4"/>
  <c r="EX73" i="4" s="1"/>
  <c r="ET73" i="4"/>
  <c r="GI73" i="4"/>
  <c r="GJ73" i="4" s="1"/>
  <c r="GA73" i="4"/>
  <c r="GB73" i="4" s="1"/>
  <c r="FS73" i="4"/>
  <c r="FT73" i="4" s="1"/>
  <c r="FK73" i="4"/>
  <c r="FL73" i="4" s="1"/>
  <c r="FC73" i="4"/>
  <c r="FD73" i="4" s="1"/>
  <c r="EU73" i="4"/>
  <c r="EV73" i="4" s="1"/>
  <c r="FW73" i="4"/>
  <c r="FX73" i="4" s="1"/>
  <c r="FG73" i="4"/>
  <c r="FH73" i="4" s="1"/>
  <c r="GE73" i="4"/>
  <c r="GF73" i="4" s="1"/>
  <c r="FO73" i="4"/>
  <c r="FP73" i="4" s="1"/>
  <c r="EY73" i="4"/>
  <c r="EZ73" i="4" s="1"/>
  <c r="DQ82" i="4"/>
  <c r="DR82" i="4" s="1"/>
  <c r="DM82" i="4"/>
  <c r="DN82" i="4" s="1"/>
  <c r="DI82" i="4"/>
  <c r="DJ82" i="4" s="1"/>
  <c r="DE82" i="4"/>
  <c r="DF82" i="4" s="1"/>
  <c r="DA82" i="4"/>
  <c r="DB82" i="4" s="1"/>
  <c r="CW82" i="4"/>
  <c r="CX82" i="4" s="1"/>
  <c r="CS82" i="4"/>
  <c r="CT82" i="4" s="1"/>
  <c r="CO82" i="4"/>
  <c r="CP82" i="4" s="1"/>
  <c r="CK82" i="4"/>
  <c r="CL82" i="4" s="1"/>
  <c r="CG82" i="4"/>
  <c r="CH82" i="4" s="1"/>
  <c r="CC82" i="4"/>
  <c r="CD82" i="4" s="1"/>
  <c r="DK82" i="4"/>
  <c r="DL82" i="4" s="1"/>
  <c r="DC82" i="4"/>
  <c r="DD82" i="4" s="1"/>
  <c r="CU82" i="4"/>
  <c r="CV82" i="4" s="1"/>
  <c r="CM82" i="4"/>
  <c r="CN82" i="4" s="1"/>
  <c r="CE82" i="4"/>
  <c r="CF82" i="4" s="1"/>
  <c r="DG82" i="4"/>
  <c r="DH82" i="4" s="1"/>
  <c r="CQ82" i="4"/>
  <c r="CR82" i="4" s="1"/>
  <c r="CB82" i="4"/>
  <c r="DO82" i="4"/>
  <c r="DP82" i="4" s="1"/>
  <c r="CY82" i="4"/>
  <c r="CZ82" i="4" s="1"/>
  <c r="CI82" i="4"/>
  <c r="CJ82" i="4" s="1"/>
  <c r="DQ93" i="4"/>
  <c r="DR93" i="4" s="1"/>
  <c r="DM93" i="4"/>
  <c r="DN93" i="4" s="1"/>
  <c r="DI93" i="4"/>
  <c r="DJ93" i="4" s="1"/>
  <c r="DE93" i="4"/>
  <c r="DF93" i="4" s="1"/>
  <c r="DA93" i="4"/>
  <c r="DB93" i="4" s="1"/>
  <c r="CW93" i="4"/>
  <c r="CX93" i="4" s="1"/>
  <c r="CS93" i="4"/>
  <c r="CT93" i="4" s="1"/>
  <c r="CO93" i="4"/>
  <c r="CP93" i="4" s="1"/>
  <c r="CK93" i="4"/>
  <c r="CL93" i="4" s="1"/>
  <c r="CG93" i="4"/>
  <c r="CH93" i="4" s="1"/>
  <c r="CC93" i="4"/>
  <c r="CD93" i="4" s="1"/>
  <c r="DO93" i="4"/>
  <c r="DP93" i="4" s="1"/>
  <c r="CY93" i="4"/>
  <c r="CZ93" i="4" s="1"/>
  <c r="CI93" i="4"/>
  <c r="CJ93" i="4" s="1"/>
  <c r="DK93" i="4"/>
  <c r="DL93" i="4" s="1"/>
  <c r="CU93" i="4"/>
  <c r="CV93" i="4" s="1"/>
  <c r="CE93" i="4"/>
  <c r="CF93" i="4" s="1"/>
  <c r="CM93" i="4"/>
  <c r="CN93" i="4" s="1"/>
  <c r="DG93" i="4"/>
  <c r="DH93" i="4" s="1"/>
  <c r="CB93" i="4"/>
  <c r="DC93" i="4"/>
  <c r="DD93" i="4" s="1"/>
  <c r="CQ93" i="4"/>
  <c r="CR93" i="4" s="1"/>
  <c r="DQ105" i="4"/>
  <c r="DR105" i="4" s="1"/>
  <c r="DM105" i="4"/>
  <c r="DN105" i="4" s="1"/>
  <c r="DI105" i="4"/>
  <c r="DJ105" i="4" s="1"/>
  <c r="DE105" i="4"/>
  <c r="DF105" i="4" s="1"/>
  <c r="DA105" i="4"/>
  <c r="DB105" i="4" s="1"/>
  <c r="CW105" i="4"/>
  <c r="CX105" i="4" s="1"/>
  <c r="CS105" i="4"/>
  <c r="CT105" i="4" s="1"/>
  <c r="CO105" i="4"/>
  <c r="CP105" i="4" s="1"/>
  <c r="CK105" i="4"/>
  <c r="CL105" i="4" s="1"/>
  <c r="CG105" i="4"/>
  <c r="CH105" i="4" s="1"/>
  <c r="CC105" i="4"/>
  <c r="CD105" i="4" s="1"/>
  <c r="DG105" i="4"/>
  <c r="DH105" i="4" s="1"/>
  <c r="CQ105" i="4"/>
  <c r="CR105" i="4" s="1"/>
  <c r="CB105" i="4"/>
  <c r="DC105" i="4"/>
  <c r="DD105" i="4" s="1"/>
  <c r="CM105" i="4"/>
  <c r="CN105" i="4" s="1"/>
  <c r="DK105" i="4"/>
  <c r="DL105" i="4" s="1"/>
  <c r="CU105" i="4"/>
  <c r="CV105" i="4" s="1"/>
  <c r="CE105" i="4"/>
  <c r="CF105" i="4" s="1"/>
  <c r="CI105" i="4"/>
  <c r="CJ105" i="4" s="1"/>
  <c r="CY105" i="4"/>
  <c r="CZ105" i="4" s="1"/>
  <c r="DO105" i="4"/>
  <c r="DP105" i="4" s="1"/>
  <c r="DQ129" i="4"/>
  <c r="DR129" i="4" s="1"/>
  <c r="DM129" i="4"/>
  <c r="DN129" i="4" s="1"/>
  <c r="DI129" i="4"/>
  <c r="DJ129" i="4" s="1"/>
  <c r="DE129" i="4"/>
  <c r="DF129" i="4" s="1"/>
  <c r="DA129" i="4"/>
  <c r="DB129" i="4" s="1"/>
  <c r="CW129" i="4"/>
  <c r="CX129" i="4" s="1"/>
  <c r="CS129" i="4"/>
  <c r="CT129" i="4" s="1"/>
  <c r="CO129" i="4"/>
  <c r="CP129" i="4" s="1"/>
  <c r="CK129" i="4"/>
  <c r="CL129" i="4" s="1"/>
  <c r="CG129" i="4"/>
  <c r="CH129" i="4" s="1"/>
  <c r="CC129" i="4"/>
  <c r="CD129" i="4" s="1"/>
  <c r="DO129" i="4"/>
  <c r="DP129" i="4" s="1"/>
  <c r="CY129" i="4"/>
  <c r="CZ129" i="4" s="1"/>
  <c r="CI129" i="4"/>
  <c r="CJ129" i="4" s="1"/>
  <c r="DK129" i="4"/>
  <c r="DL129" i="4" s="1"/>
  <c r="CU129" i="4"/>
  <c r="CV129" i="4" s="1"/>
  <c r="CE129" i="4"/>
  <c r="CF129" i="4" s="1"/>
  <c r="DC129" i="4"/>
  <c r="DD129" i="4" s="1"/>
  <c r="CM129" i="4"/>
  <c r="CN129" i="4" s="1"/>
  <c r="CB129" i="4"/>
  <c r="CQ129" i="4"/>
  <c r="CR129" i="4" s="1"/>
  <c r="DG129" i="4"/>
  <c r="DH129" i="4" s="1"/>
  <c r="GG44" i="4"/>
  <c r="GH44" i="4" s="1"/>
  <c r="GC44" i="4"/>
  <c r="GD44" i="4" s="1"/>
  <c r="FY44" i="4"/>
  <c r="FZ44" i="4" s="1"/>
  <c r="FU44" i="4"/>
  <c r="FV44" i="4" s="1"/>
  <c r="FQ44" i="4"/>
  <c r="FR44" i="4" s="1"/>
  <c r="FM44" i="4"/>
  <c r="FN44" i="4" s="1"/>
  <c r="FI44" i="4"/>
  <c r="FJ44" i="4" s="1"/>
  <c r="FE44" i="4"/>
  <c r="FF44" i="4" s="1"/>
  <c r="FA44" i="4"/>
  <c r="FB44" i="4" s="1"/>
  <c r="EW44" i="4"/>
  <c r="EX44" i="4" s="1"/>
  <c r="ET44" i="4"/>
  <c r="GE44" i="4"/>
  <c r="GF44" i="4" s="1"/>
  <c r="FO44" i="4"/>
  <c r="FP44" i="4" s="1"/>
  <c r="EY44" i="4"/>
  <c r="EZ44" i="4" s="1"/>
  <c r="GA44" i="4"/>
  <c r="GB44" i="4" s="1"/>
  <c r="FW44" i="4"/>
  <c r="FX44" i="4" s="1"/>
  <c r="EU44" i="4"/>
  <c r="EV44" i="4" s="1"/>
  <c r="GI44" i="4"/>
  <c r="GJ44" i="4" s="1"/>
  <c r="FS44" i="4"/>
  <c r="FT44" i="4" s="1"/>
  <c r="FC44" i="4"/>
  <c r="FD44" i="4" s="1"/>
  <c r="FK44" i="4"/>
  <c r="FL44" i="4" s="1"/>
  <c r="FG44" i="4"/>
  <c r="FH44" i="4" s="1"/>
  <c r="DQ123" i="4"/>
  <c r="DR123" i="4" s="1"/>
  <c r="DM123" i="4"/>
  <c r="DN123" i="4" s="1"/>
  <c r="DI123" i="4"/>
  <c r="DJ123" i="4" s="1"/>
  <c r="DE123" i="4"/>
  <c r="DF123" i="4" s="1"/>
  <c r="DA123" i="4"/>
  <c r="DB123" i="4" s="1"/>
  <c r="CW123" i="4"/>
  <c r="CX123" i="4" s="1"/>
  <c r="CS123" i="4"/>
  <c r="CT123" i="4" s="1"/>
  <c r="CO123" i="4"/>
  <c r="CP123" i="4" s="1"/>
  <c r="CK123" i="4"/>
  <c r="CL123" i="4" s="1"/>
  <c r="CG123" i="4"/>
  <c r="CH123" i="4" s="1"/>
  <c r="CC123" i="4"/>
  <c r="CD123" i="4" s="1"/>
  <c r="DG123" i="4"/>
  <c r="DH123" i="4" s="1"/>
  <c r="CQ123" i="4"/>
  <c r="CR123" i="4" s="1"/>
  <c r="CB123" i="4"/>
  <c r="DC123" i="4"/>
  <c r="DD123" i="4" s="1"/>
  <c r="CM123" i="4"/>
  <c r="CN123" i="4" s="1"/>
  <c r="DK123" i="4"/>
  <c r="DL123" i="4" s="1"/>
  <c r="CU123" i="4"/>
  <c r="CV123" i="4" s="1"/>
  <c r="CE123" i="4"/>
  <c r="CF123" i="4" s="1"/>
  <c r="DO123" i="4"/>
  <c r="DP123" i="4" s="1"/>
  <c r="CY123" i="4"/>
  <c r="CZ123" i="4" s="1"/>
  <c r="CI123" i="4"/>
  <c r="CJ123" i="4" s="1"/>
  <c r="DQ73" i="4"/>
  <c r="DR73" i="4" s="1"/>
  <c r="DM73" i="4"/>
  <c r="DN73" i="4" s="1"/>
  <c r="DI73" i="4"/>
  <c r="DJ73" i="4" s="1"/>
  <c r="DE73" i="4"/>
  <c r="DF73" i="4" s="1"/>
  <c r="DA73" i="4"/>
  <c r="DB73" i="4" s="1"/>
  <c r="CW73" i="4"/>
  <c r="CX73" i="4" s="1"/>
  <c r="CS73" i="4"/>
  <c r="CT73" i="4" s="1"/>
  <c r="CO73" i="4"/>
  <c r="CP73" i="4" s="1"/>
  <c r="CK73" i="4"/>
  <c r="CL73" i="4" s="1"/>
  <c r="CG73" i="4"/>
  <c r="CH73" i="4" s="1"/>
  <c r="CC73" i="4"/>
  <c r="CD73" i="4" s="1"/>
  <c r="DO73" i="4"/>
  <c r="DP73" i="4" s="1"/>
  <c r="DG73" i="4"/>
  <c r="DH73" i="4" s="1"/>
  <c r="CY73" i="4"/>
  <c r="CZ73" i="4" s="1"/>
  <c r="CQ73" i="4"/>
  <c r="CR73" i="4" s="1"/>
  <c r="CI73" i="4"/>
  <c r="CJ73" i="4" s="1"/>
  <c r="CB73" i="4"/>
  <c r="DC73" i="4"/>
  <c r="DD73" i="4" s="1"/>
  <c r="CM73" i="4"/>
  <c r="CN73" i="4" s="1"/>
  <c r="DK73" i="4"/>
  <c r="DL73" i="4" s="1"/>
  <c r="CU73" i="4"/>
  <c r="CV73" i="4" s="1"/>
  <c r="CE73" i="4"/>
  <c r="CF73" i="4" s="1"/>
  <c r="GG82" i="4"/>
  <c r="GH82" i="4" s="1"/>
  <c r="GC82" i="4"/>
  <c r="GD82" i="4" s="1"/>
  <c r="FY82" i="4"/>
  <c r="FZ82" i="4" s="1"/>
  <c r="FU82" i="4"/>
  <c r="FV82" i="4" s="1"/>
  <c r="FQ82" i="4"/>
  <c r="FR82" i="4" s="1"/>
  <c r="FM82" i="4"/>
  <c r="FN82" i="4" s="1"/>
  <c r="FI82" i="4"/>
  <c r="FJ82" i="4" s="1"/>
  <c r="FE82" i="4"/>
  <c r="FF82" i="4" s="1"/>
  <c r="FA82" i="4"/>
  <c r="FB82" i="4" s="1"/>
  <c r="EW82" i="4"/>
  <c r="EX82" i="4" s="1"/>
  <c r="ET82" i="4"/>
  <c r="GE82" i="4"/>
  <c r="GF82" i="4" s="1"/>
  <c r="FW82" i="4"/>
  <c r="FX82" i="4" s="1"/>
  <c r="FO82" i="4"/>
  <c r="FP82" i="4" s="1"/>
  <c r="FG82" i="4"/>
  <c r="FH82" i="4" s="1"/>
  <c r="EY82" i="4"/>
  <c r="EZ82" i="4" s="1"/>
  <c r="GI82" i="4"/>
  <c r="GJ82" i="4" s="1"/>
  <c r="FS82" i="4"/>
  <c r="FT82" i="4" s="1"/>
  <c r="FC82" i="4"/>
  <c r="FD82" i="4" s="1"/>
  <c r="FK82" i="4"/>
  <c r="FL82" i="4" s="1"/>
  <c r="EU82" i="4"/>
  <c r="EV82" i="4" s="1"/>
  <c r="GA82" i="4"/>
  <c r="GB82" i="4" s="1"/>
  <c r="DQ69" i="4"/>
  <c r="DR69" i="4" s="1"/>
  <c r="DM69" i="4"/>
  <c r="DN69" i="4" s="1"/>
  <c r="DI69" i="4"/>
  <c r="DJ69" i="4" s="1"/>
  <c r="DE69" i="4"/>
  <c r="DF69" i="4" s="1"/>
  <c r="DA69" i="4"/>
  <c r="DB69" i="4" s="1"/>
  <c r="CW69" i="4"/>
  <c r="CX69" i="4" s="1"/>
  <c r="CS69" i="4"/>
  <c r="CT69" i="4" s="1"/>
  <c r="CO69" i="4"/>
  <c r="CP69" i="4" s="1"/>
  <c r="CK69" i="4"/>
  <c r="CL69" i="4" s="1"/>
  <c r="CG69" i="4"/>
  <c r="CH69" i="4" s="1"/>
  <c r="CC69" i="4"/>
  <c r="CD69" i="4" s="1"/>
  <c r="DO69" i="4"/>
  <c r="DP69" i="4" s="1"/>
  <c r="DG69" i="4"/>
  <c r="DH69" i="4" s="1"/>
  <c r="CY69" i="4"/>
  <c r="CZ69" i="4" s="1"/>
  <c r="CQ69" i="4"/>
  <c r="CR69" i="4" s="1"/>
  <c r="CI69" i="4"/>
  <c r="CJ69" i="4" s="1"/>
  <c r="CB69" i="4"/>
  <c r="DK69" i="4"/>
  <c r="DL69" i="4" s="1"/>
  <c r="CU69" i="4"/>
  <c r="CV69" i="4" s="1"/>
  <c r="CE69" i="4"/>
  <c r="CF69" i="4" s="1"/>
  <c r="DC69" i="4"/>
  <c r="DD69" i="4" s="1"/>
  <c r="CM69" i="4"/>
  <c r="CN69" i="4" s="1"/>
  <c r="GG99" i="4"/>
  <c r="GH99" i="4" s="1"/>
  <c r="GC99" i="4"/>
  <c r="GD99" i="4" s="1"/>
  <c r="FY99" i="4"/>
  <c r="FZ99" i="4" s="1"/>
  <c r="FU99" i="4"/>
  <c r="FV99" i="4" s="1"/>
  <c r="FQ99" i="4"/>
  <c r="FR99" i="4" s="1"/>
  <c r="FM99" i="4"/>
  <c r="FN99" i="4" s="1"/>
  <c r="FI99" i="4"/>
  <c r="FJ99" i="4" s="1"/>
  <c r="FE99" i="4"/>
  <c r="FF99" i="4" s="1"/>
  <c r="FA99" i="4"/>
  <c r="FB99" i="4" s="1"/>
  <c r="EW99" i="4"/>
  <c r="EX99" i="4" s="1"/>
  <c r="ET99" i="4"/>
  <c r="FW99" i="4"/>
  <c r="FX99" i="4" s="1"/>
  <c r="FG99" i="4"/>
  <c r="FH99" i="4" s="1"/>
  <c r="GI99" i="4"/>
  <c r="GJ99" i="4" s="1"/>
  <c r="FS99" i="4"/>
  <c r="FT99" i="4" s="1"/>
  <c r="FC99" i="4"/>
  <c r="FD99" i="4" s="1"/>
  <c r="GA99" i="4"/>
  <c r="GB99" i="4" s="1"/>
  <c r="FK99" i="4"/>
  <c r="FL99" i="4" s="1"/>
  <c r="EU99" i="4"/>
  <c r="EV99" i="4" s="1"/>
  <c r="FO99" i="4"/>
  <c r="FP99" i="4" s="1"/>
  <c r="EY99" i="4"/>
  <c r="EZ99" i="4" s="1"/>
  <c r="GE99" i="4"/>
  <c r="GF99" i="4" s="1"/>
  <c r="GG138" i="4"/>
  <c r="GH138" i="4" s="1"/>
  <c r="GC138" i="4"/>
  <c r="GD138" i="4" s="1"/>
  <c r="FY138" i="4"/>
  <c r="FZ138" i="4" s="1"/>
  <c r="FU138" i="4"/>
  <c r="FV138" i="4" s="1"/>
  <c r="FQ138" i="4"/>
  <c r="FR138" i="4" s="1"/>
  <c r="FM138" i="4"/>
  <c r="FN138" i="4" s="1"/>
  <c r="FI138" i="4"/>
  <c r="FJ138" i="4" s="1"/>
  <c r="FE138" i="4"/>
  <c r="FF138" i="4" s="1"/>
  <c r="FA138" i="4"/>
  <c r="FB138" i="4" s="1"/>
  <c r="EW138" i="4"/>
  <c r="EX138" i="4" s="1"/>
  <c r="ET138" i="4"/>
  <c r="FW138" i="4"/>
  <c r="FX138" i="4" s="1"/>
  <c r="FG138" i="4"/>
  <c r="FH138" i="4" s="1"/>
  <c r="GI138" i="4"/>
  <c r="GJ138" i="4" s="1"/>
  <c r="FS138" i="4"/>
  <c r="FT138" i="4" s="1"/>
  <c r="FC138" i="4"/>
  <c r="FD138" i="4" s="1"/>
  <c r="GA138" i="4"/>
  <c r="GB138" i="4" s="1"/>
  <c r="FK138" i="4"/>
  <c r="FL138" i="4" s="1"/>
  <c r="EU138" i="4"/>
  <c r="EV138" i="4" s="1"/>
  <c r="EY138" i="4"/>
  <c r="EZ138" i="4" s="1"/>
  <c r="FO138" i="4"/>
  <c r="FP138" i="4" s="1"/>
  <c r="GE138" i="4"/>
  <c r="GF138" i="4" s="1"/>
  <c r="DQ48" i="4"/>
  <c r="DR48" i="4" s="1"/>
  <c r="DM48" i="4"/>
  <c r="DN48" i="4" s="1"/>
  <c r="DI48" i="4"/>
  <c r="DJ48" i="4" s="1"/>
  <c r="DE48" i="4"/>
  <c r="DF48" i="4" s="1"/>
  <c r="DA48" i="4"/>
  <c r="DB48" i="4" s="1"/>
  <c r="CW48" i="4"/>
  <c r="CX48" i="4" s="1"/>
  <c r="CS48" i="4"/>
  <c r="CT48" i="4" s="1"/>
  <c r="CO48" i="4"/>
  <c r="CP48" i="4" s="1"/>
  <c r="CK48" i="4"/>
  <c r="CL48" i="4" s="1"/>
  <c r="CG48" i="4"/>
  <c r="CH48" i="4" s="1"/>
  <c r="CC48" i="4"/>
  <c r="CD48" i="4" s="1"/>
  <c r="DK48" i="4"/>
  <c r="DL48" i="4" s="1"/>
  <c r="CU48" i="4"/>
  <c r="CV48" i="4" s="1"/>
  <c r="CE48" i="4"/>
  <c r="CF48" i="4" s="1"/>
  <c r="DG48" i="4"/>
  <c r="DH48" i="4" s="1"/>
  <c r="CB48" i="4"/>
  <c r="DC48" i="4"/>
  <c r="DD48" i="4" s="1"/>
  <c r="DO48" i="4"/>
  <c r="DP48" i="4" s="1"/>
  <c r="CY48" i="4"/>
  <c r="CZ48" i="4" s="1"/>
  <c r="CI48" i="4"/>
  <c r="CJ48" i="4" s="1"/>
  <c r="CQ48" i="4"/>
  <c r="CR48" i="4" s="1"/>
  <c r="CM48" i="4"/>
  <c r="CN48" i="4" s="1"/>
  <c r="GG123" i="4"/>
  <c r="GH123" i="4" s="1"/>
  <c r="GC123" i="4"/>
  <c r="GD123" i="4" s="1"/>
  <c r="FY123" i="4"/>
  <c r="FZ123" i="4" s="1"/>
  <c r="FU123" i="4"/>
  <c r="FV123" i="4" s="1"/>
  <c r="FQ123" i="4"/>
  <c r="FR123" i="4" s="1"/>
  <c r="FM123" i="4"/>
  <c r="FN123" i="4" s="1"/>
  <c r="FI123" i="4"/>
  <c r="FJ123" i="4" s="1"/>
  <c r="FE123" i="4"/>
  <c r="FF123" i="4" s="1"/>
  <c r="FA123" i="4"/>
  <c r="FB123" i="4" s="1"/>
  <c r="EW123" i="4"/>
  <c r="EX123" i="4" s="1"/>
  <c r="ET123" i="4"/>
  <c r="FW123" i="4"/>
  <c r="FX123" i="4" s="1"/>
  <c r="FG123" i="4"/>
  <c r="FH123" i="4" s="1"/>
  <c r="GI123" i="4"/>
  <c r="GJ123" i="4" s="1"/>
  <c r="FS123" i="4"/>
  <c r="FT123" i="4" s="1"/>
  <c r="FC123" i="4"/>
  <c r="FD123" i="4" s="1"/>
  <c r="GA123" i="4"/>
  <c r="GB123" i="4" s="1"/>
  <c r="FK123" i="4"/>
  <c r="FL123" i="4" s="1"/>
  <c r="EU123" i="4"/>
  <c r="EV123" i="4" s="1"/>
  <c r="FO123" i="4"/>
  <c r="FP123" i="4" s="1"/>
  <c r="EY123" i="4"/>
  <c r="EZ123" i="4" s="1"/>
  <c r="GE123" i="4"/>
  <c r="GF123" i="4" s="1"/>
  <c r="DQ154" i="4"/>
  <c r="DR154" i="4" s="1"/>
  <c r="DM154" i="4"/>
  <c r="DN154" i="4" s="1"/>
  <c r="DI154" i="4"/>
  <c r="DJ154" i="4" s="1"/>
  <c r="DE154" i="4"/>
  <c r="DF154" i="4" s="1"/>
  <c r="DA154" i="4"/>
  <c r="DB154" i="4" s="1"/>
  <c r="CW154" i="4"/>
  <c r="CX154" i="4" s="1"/>
  <c r="CS154" i="4"/>
  <c r="CT154" i="4" s="1"/>
  <c r="CO154" i="4"/>
  <c r="CP154" i="4" s="1"/>
  <c r="CK154" i="4"/>
  <c r="CL154" i="4" s="1"/>
  <c r="CG154" i="4"/>
  <c r="CH154" i="4" s="1"/>
  <c r="CC154" i="4"/>
  <c r="CD154" i="4" s="1"/>
  <c r="DK154" i="4"/>
  <c r="DL154" i="4" s="1"/>
  <c r="CU154" i="4"/>
  <c r="CV154" i="4" s="1"/>
  <c r="CE154" i="4"/>
  <c r="CF154" i="4" s="1"/>
  <c r="DG154" i="4"/>
  <c r="DH154" i="4" s="1"/>
  <c r="CQ154" i="4"/>
  <c r="CR154" i="4" s="1"/>
  <c r="CB154" i="4"/>
  <c r="DO154" i="4"/>
  <c r="DP154" i="4" s="1"/>
  <c r="CY154" i="4"/>
  <c r="CZ154" i="4" s="1"/>
  <c r="CI154" i="4"/>
  <c r="CJ154" i="4" s="1"/>
  <c r="DC154" i="4"/>
  <c r="DD154" i="4" s="1"/>
  <c r="CM154" i="4"/>
  <c r="CN154" i="4" s="1"/>
  <c r="DQ161" i="4"/>
  <c r="DR161" i="4" s="1"/>
  <c r="DM161" i="4"/>
  <c r="DN161" i="4" s="1"/>
  <c r="DI161" i="4"/>
  <c r="DJ161" i="4" s="1"/>
  <c r="DE161" i="4"/>
  <c r="DF161" i="4" s="1"/>
  <c r="DA161" i="4"/>
  <c r="DB161" i="4" s="1"/>
  <c r="CW161" i="4"/>
  <c r="CX161" i="4" s="1"/>
  <c r="CS161" i="4"/>
  <c r="CT161" i="4" s="1"/>
  <c r="CO161" i="4"/>
  <c r="CP161" i="4" s="1"/>
  <c r="CK161" i="4"/>
  <c r="CL161" i="4" s="1"/>
  <c r="CG161" i="4"/>
  <c r="CH161" i="4" s="1"/>
  <c r="CC161" i="4"/>
  <c r="CD161" i="4" s="1"/>
  <c r="DO161" i="4"/>
  <c r="DP161" i="4" s="1"/>
  <c r="CY161" i="4"/>
  <c r="CZ161" i="4" s="1"/>
  <c r="CI161" i="4"/>
  <c r="CJ161" i="4" s="1"/>
  <c r="DK161" i="4"/>
  <c r="DL161" i="4" s="1"/>
  <c r="CU161" i="4"/>
  <c r="CV161" i="4" s="1"/>
  <c r="CE161" i="4"/>
  <c r="CF161" i="4" s="1"/>
  <c r="DC161" i="4"/>
  <c r="DD161" i="4" s="1"/>
  <c r="CM161" i="4"/>
  <c r="CN161" i="4" s="1"/>
  <c r="CQ161" i="4"/>
  <c r="CR161" i="4" s="1"/>
  <c r="CB161" i="4"/>
  <c r="DG161" i="4"/>
  <c r="DH161" i="4" s="1"/>
  <c r="DQ99" i="4"/>
  <c r="DR99" i="4" s="1"/>
  <c r="DM99" i="4"/>
  <c r="DN99" i="4" s="1"/>
  <c r="DI99" i="4"/>
  <c r="DJ99" i="4" s="1"/>
  <c r="DE99" i="4"/>
  <c r="DF99" i="4" s="1"/>
  <c r="DA99" i="4"/>
  <c r="DB99" i="4" s="1"/>
  <c r="CW99" i="4"/>
  <c r="CX99" i="4" s="1"/>
  <c r="CS99" i="4"/>
  <c r="CT99" i="4" s="1"/>
  <c r="CO99" i="4"/>
  <c r="CP99" i="4" s="1"/>
  <c r="CK99" i="4"/>
  <c r="CL99" i="4" s="1"/>
  <c r="CG99" i="4"/>
  <c r="CH99" i="4" s="1"/>
  <c r="CC99" i="4"/>
  <c r="CD99" i="4" s="1"/>
  <c r="DG99" i="4"/>
  <c r="DH99" i="4" s="1"/>
  <c r="CQ99" i="4"/>
  <c r="CR99" i="4" s="1"/>
  <c r="CB99" i="4"/>
  <c r="DC99" i="4"/>
  <c r="DD99" i="4" s="1"/>
  <c r="CM99" i="4"/>
  <c r="CN99" i="4" s="1"/>
  <c r="DK99" i="4"/>
  <c r="DL99" i="4" s="1"/>
  <c r="CU99" i="4"/>
  <c r="CV99" i="4" s="1"/>
  <c r="CE99" i="4"/>
  <c r="CF99" i="4" s="1"/>
  <c r="DO99" i="4"/>
  <c r="DP99" i="4" s="1"/>
  <c r="CY99" i="4"/>
  <c r="CZ99" i="4" s="1"/>
  <c r="CI99" i="4"/>
  <c r="CJ99" i="4" s="1"/>
  <c r="GG48" i="4"/>
  <c r="GH48" i="4" s="1"/>
  <c r="GC48" i="4"/>
  <c r="GD48" i="4" s="1"/>
  <c r="FY48" i="4"/>
  <c r="FZ48" i="4" s="1"/>
  <c r="FU48" i="4"/>
  <c r="FV48" i="4" s="1"/>
  <c r="FQ48" i="4"/>
  <c r="FR48" i="4" s="1"/>
  <c r="FM48" i="4"/>
  <c r="FN48" i="4" s="1"/>
  <c r="FI48" i="4"/>
  <c r="FJ48" i="4" s="1"/>
  <c r="FE48" i="4"/>
  <c r="FF48" i="4" s="1"/>
  <c r="FA48" i="4"/>
  <c r="FB48" i="4" s="1"/>
  <c r="EW48" i="4"/>
  <c r="EX48" i="4" s="1"/>
  <c r="ET48" i="4"/>
  <c r="GA48" i="4"/>
  <c r="GB48" i="4" s="1"/>
  <c r="FK48" i="4"/>
  <c r="FL48" i="4" s="1"/>
  <c r="EU48" i="4"/>
  <c r="EV48" i="4" s="1"/>
  <c r="FW48" i="4"/>
  <c r="FX48" i="4" s="1"/>
  <c r="FC48" i="4"/>
  <c r="FD48" i="4" s="1"/>
  <c r="GI48" i="4"/>
  <c r="GJ48" i="4" s="1"/>
  <c r="GE48" i="4"/>
  <c r="GF48" i="4" s="1"/>
  <c r="FO48" i="4"/>
  <c r="FP48" i="4" s="1"/>
  <c r="EY48" i="4"/>
  <c r="EZ48" i="4" s="1"/>
  <c r="FG48" i="4"/>
  <c r="FH48" i="4" s="1"/>
  <c r="FS48" i="4"/>
  <c r="FT48" i="4" s="1"/>
  <c r="GG93" i="4"/>
  <c r="GH93" i="4" s="1"/>
  <c r="GC93" i="4"/>
  <c r="GD93" i="4" s="1"/>
  <c r="FY93" i="4"/>
  <c r="FZ93" i="4" s="1"/>
  <c r="FU93" i="4"/>
  <c r="FV93" i="4" s="1"/>
  <c r="FQ93" i="4"/>
  <c r="FR93" i="4" s="1"/>
  <c r="FM93" i="4"/>
  <c r="FN93" i="4" s="1"/>
  <c r="FI93" i="4"/>
  <c r="FJ93" i="4" s="1"/>
  <c r="FE93" i="4"/>
  <c r="FF93" i="4" s="1"/>
  <c r="FA93" i="4"/>
  <c r="FB93" i="4" s="1"/>
  <c r="EW93" i="4"/>
  <c r="EX93" i="4" s="1"/>
  <c r="ET93" i="4"/>
  <c r="GE93" i="4"/>
  <c r="GF93" i="4" s="1"/>
  <c r="FO93" i="4"/>
  <c r="FP93" i="4" s="1"/>
  <c r="EY93" i="4"/>
  <c r="EZ93" i="4" s="1"/>
  <c r="GA93" i="4"/>
  <c r="GB93" i="4" s="1"/>
  <c r="FK93" i="4"/>
  <c r="FL93" i="4" s="1"/>
  <c r="EU93" i="4"/>
  <c r="EV93" i="4" s="1"/>
  <c r="FS93" i="4"/>
  <c r="FT93" i="4" s="1"/>
  <c r="FG93" i="4"/>
  <c r="FH93" i="4" s="1"/>
  <c r="FW93" i="4"/>
  <c r="FX93" i="4" s="1"/>
  <c r="FC93" i="4"/>
  <c r="FD93" i="4" s="1"/>
  <c r="GI93" i="4"/>
  <c r="GJ93" i="4" s="1"/>
  <c r="GG129" i="4"/>
  <c r="GH129" i="4" s="1"/>
  <c r="GC129" i="4"/>
  <c r="GD129" i="4" s="1"/>
  <c r="FY129" i="4"/>
  <c r="FZ129" i="4" s="1"/>
  <c r="FU129" i="4"/>
  <c r="FV129" i="4" s="1"/>
  <c r="FQ129" i="4"/>
  <c r="FR129" i="4" s="1"/>
  <c r="FM129" i="4"/>
  <c r="FN129" i="4" s="1"/>
  <c r="FI129" i="4"/>
  <c r="FJ129" i="4" s="1"/>
  <c r="FE129" i="4"/>
  <c r="FF129" i="4" s="1"/>
  <c r="FA129" i="4"/>
  <c r="FB129" i="4" s="1"/>
  <c r="EW129" i="4"/>
  <c r="EX129" i="4" s="1"/>
  <c r="ET129" i="4"/>
  <c r="GE129" i="4"/>
  <c r="GF129" i="4" s="1"/>
  <c r="FO129" i="4"/>
  <c r="FP129" i="4" s="1"/>
  <c r="EY129" i="4"/>
  <c r="EZ129" i="4" s="1"/>
  <c r="GA129" i="4"/>
  <c r="GB129" i="4" s="1"/>
  <c r="FK129" i="4"/>
  <c r="FL129" i="4" s="1"/>
  <c r="EU129" i="4"/>
  <c r="EV129" i="4" s="1"/>
  <c r="GI129" i="4"/>
  <c r="GJ129" i="4" s="1"/>
  <c r="FS129" i="4"/>
  <c r="FT129" i="4" s="1"/>
  <c r="FC129" i="4"/>
  <c r="FD129" i="4" s="1"/>
  <c r="FG129" i="4"/>
  <c r="FH129" i="4" s="1"/>
  <c r="FW129" i="4"/>
  <c r="FX129" i="4" s="1"/>
  <c r="DQ44" i="4"/>
  <c r="DR44" i="4" s="1"/>
  <c r="DM44" i="4"/>
  <c r="DN44" i="4" s="1"/>
  <c r="DI44" i="4"/>
  <c r="DJ44" i="4" s="1"/>
  <c r="DE44" i="4"/>
  <c r="DF44" i="4" s="1"/>
  <c r="DA44" i="4"/>
  <c r="DB44" i="4" s="1"/>
  <c r="CW44" i="4"/>
  <c r="CX44" i="4" s="1"/>
  <c r="CS44" i="4"/>
  <c r="CT44" i="4" s="1"/>
  <c r="CO44" i="4"/>
  <c r="CP44" i="4" s="1"/>
  <c r="CK44" i="4"/>
  <c r="CL44" i="4" s="1"/>
  <c r="CG44" i="4"/>
  <c r="CH44" i="4" s="1"/>
  <c r="CC44" i="4"/>
  <c r="CD44" i="4" s="1"/>
  <c r="DO44" i="4"/>
  <c r="DP44" i="4" s="1"/>
  <c r="CY44" i="4"/>
  <c r="CZ44" i="4" s="1"/>
  <c r="CI44" i="4"/>
  <c r="CJ44" i="4" s="1"/>
  <c r="CU44" i="4"/>
  <c r="CV44" i="4" s="1"/>
  <c r="CQ44" i="4"/>
  <c r="CR44" i="4" s="1"/>
  <c r="DG44" i="4"/>
  <c r="DH44" i="4" s="1"/>
  <c r="DC44" i="4"/>
  <c r="DD44" i="4" s="1"/>
  <c r="CM44" i="4"/>
  <c r="CN44" i="4" s="1"/>
  <c r="DK44" i="4"/>
  <c r="DL44" i="4" s="1"/>
  <c r="CE44" i="4"/>
  <c r="CF44" i="4" s="1"/>
  <c r="CB44" i="4"/>
  <c r="DO27" i="4"/>
  <c r="DP27" i="4" s="1"/>
  <c r="DK27" i="4"/>
  <c r="DL27" i="4" s="1"/>
  <c r="DG27" i="4"/>
  <c r="DH27" i="4" s="1"/>
  <c r="DC27" i="4"/>
  <c r="DD27" i="4" s="1"/>
  <c r="CY27" i="4"/>
  <c r="CZ27" i="4" s="1"/>
  <c r="CU27" i="4"/>
  <c r="CV27" i="4" s="1"/>
  <c r="CQ27" i="4"/>
  <c r="CR27" i="4" s="1"/>
  <c r="CM27" i="4"/>
  <c r="CN27" i="4" s="1"/>
  <c r="CI27" i="4"/>
  <c r="CJ27" i="4" s="1"/>
  <c r="CE27" i="4"/>
  <c r="CF27" i="4" s="1"/>
  <c r="CB27" i="4"/>
  <c r="CG27" i="4"/>
  <c r="CH27" i="4" s="1"/>
  <c r="DQ27" i="4"/>
  <c r="DR27" i="4" s="1"/>
  <c r="DA27" i="4"/>
  <c r="DB27" i="4" s="1"/>
  <c r="CC27" i="4"/>
  <c r="CD27" i="4" s="1"/>
  <c r="CS27" i="4"/>
  <c r="CT27" i="4" s="1"/>
  <c r="DM27" i="4"/>
  <c r="DN27" i="4" s="1"/>
  <c r="DE27" i="4"/>
  <c r="DF27" i="4" s="1"/>
  <c r="CW27" i="4"/>
  <c r="CX27" i="4" s="1"/>
  <c r="CO27" i="4"/>
  <c r="CP27" i="4" s="1"/>
  <c r="DI27" i="4"/>
  <c r="DJ27" i="4" s="1"/>
  <c r="CK27" i="4"/>
  <c r="CL27" i="4" s="1"/>
  <c r="DQ89" i="4"/>
  <c r="DR89" i="4" s="1"/>
  <c r="DM89" i="4"/>
  <c r="DN89" i="4" s="1"/>
  <c r="DI89" i="4"/>
  <c r="DJ89" i="4" s="1"/>
  <c r="DE89" i="4"/>
  <c r="DF89" i="4" s="1"/>
  <c r="DA89" i="4"/>
  <c r="DB89" i="4" s="1"/>
  <c r="CW89" i="4"/>
  <c r="CX89" i="4" s="1"/>
  <c r="CS89" i="4"/>
  <c r="CT89" i="4" s="1"/>
  <c r="CO89" i="4"/>
  <c r="CP89" i="4" s="1"/>
  <c r="CK89" i="4"/>
  <c r="CL89" i="4" s="1"/>
  <c r="CG89" i="4"/>
  <c r="CH89" i="4" s="1"/>
  <c r="CC89" i="4"/>
  <c r="CD89" i="4" s="1"/>
  <c r="DG89" i="4"/>
  <c r="DH89" i="4" s="1"/>
  <c r="CQ89" i="4"/>
  <c r="CR89" i="4" s="1"/>
  <c r="CB89" i="4"/>
  <c r="DC89" i="4"/>
  <c r="DD89" i="4" s="1"/>
  <c r="CM89" i="4"/>
  <c r="CN89" i="4" s="1"/>
  <c r="DK89" i="4"/>
  <c r="DL89" i="4" s="1"/>
  <c r="CE89" i="4"/>
  <c r="CF89" i="4" s="1"/>
  <c r="CY89" i="4"/>
  <c r="CZ89" i="4" s="1"/>
  <c r="DO89" i="4"/>
  <c r="DP89" i="4" s="1"/>
  <c r="CI89" i="4"/>
  <c r="CJ89" i="4" s="1"/>
  <c r="CU89" i="4"/>
  <c r="CV89" i="4" s="1"/>
  <c r="DO83" i="4"/>
  <c r="DP83" i="4" s="1"/>
  <c r="DK83" i="4"/>
  <c r="DL83" i="4" s="1"/>
  <c r="DG83" i="4"/>
  <c r="DH83" i="4" s="1"/>
  <c r="DC83" i="4"/>
  <c r="DD83" i="4" s="1"/>
  <c r="CY83" i="4"/>
  <c r="CZ83" i="4" s="1"/>
  <c r="CU83" i="4"/>
  <c r="CV83" i="4" s="1"/>
  <c r="CQ83" i="4"/>
  <c r="CR83" i="4" s="1"/>
  <c r="CM83" i="4"/>
  <c r="CN83" i="4" s="1"/>
  <c r="CI83" i="4"/>
  <c r="CJ83" i="4" s="1"/>
  <c r="CE83" i="4"/>
  <c r="CF83" i="4" s="1"/>
  <c r="CB83" i="4"/>
  <c r="DQ83" i="4"/>
  <c r="DR83" i="4" s="1"/>
  <c r="DI83" i="4"/>
  <c r="DJ83" i="4" s="1"/>
  <c r="DA83" i="4"/>
  <c r="DB83" i="4" s="1"/>
  <c r="CS83" i="4"/>
  <c r="CT83" i="4" s="1"/>
  <c r="CK83" i="4"/>
  <c r="CL83" i="4" s="1"/>
  <c r="CC83" i="4"/>
  <c r="CD83" i="4" s="1"/>
  <c r="DM83" i="4"/>
  <c r="DN83" i="4" s="1"/>
  <c r="CW83" i="4"/>
  <c r="CX83" i="4" s="1"/>
  <c r="CG83" i="4"/>
  <c r="CH83" i="4" s="1"/>
  <c r="DE83" i="4"/>
  <c r="DF83" i="4" s="1"/>
  <c r="CO83" i="4"/>
  <c r="CP83" i="4" s="1"/>
  <c r="GG154" i="4"/>
  <c r="GH154" i="4" s="1"/>
  <c r="GC154" i="4"/>
  <c r="GD154" i="4" s="1"/>
  <c r="FY154" i="4"/>
  <c r="FZ154" i="4" s="1"/>
  <c r="FU154" i="4"/>
  <c r="FV154" i="4" s="1"/>
  <c r="FQ154" i="4"/>
  <c r="FR154" i="4" s="1"/>
  <c r="FM154" i="4"/>
  <c r="FN154" i="4" s="1"/>
  <c r="FI154" i="4"/>
  <c r="FJ154" i="4" s="1"/>
  <c r="FE154" i="4"/>
  <c r="FF154" i="4" s="1"/>
  <c r="FA154" i="4"/>
  <c r="FB154" i="4" s="1"/>
  <c r="EW154" i="4"/>
  <c r="EX154" i="4" s="1"/>
  <c r="ET154" i="4"/>
  <c r="GA154" i="4"/>
  <c r="GB154" i="4" s="1"/>
  <c r="FK154" i="4"/>
  <c r="FL154" i="4" s="1"/>
  <c r="EU154" i="4"/>
  <c r="EV154" i="4" s="1"/>
  <c r="FW154" i="4"/>
  <c r="FX154" i="4" s="1"/>
  <c r="FG154" i="4"/>
  <c r="FH154" i="4" s="1"/>
  <c r="GE154" i="4"/>
  <c r="GF154" i="4" s="1"/>
  <c r="FO154" i="4"/>
  <c r="FP154" i="4" s="1"/>
  <c r="EY154" i="4"/>
  <c r="EZ154" i="4" s="1"/>
  <c r="FS154" i="4"/>
  <c r="FT154" i="4" s="1"/>
  <c r="FC154" i="4"/>
  <c r="FD154" i="4" s="1"/>
  <c r="GI154" i="4"/>
  <c r="GJ154" i="4" s="1"/>
  <c r="GG161" i="4"/>
  <c r="GH161" i="4" s="1"/>
  <c r="GC161" i="4"/>
  <c r="GD161" i="4" s="1"/>
  <c r="FY161" i="4"/>
  <c r="FZ161" i="4" s="1"/>
  <c r="FU161" i="4"/>
  <c r="FV161" i="4" s="1"/>
  <c r="FQ161" i="4"/>
  <c r="FR161" i="4" s="1"/>
  <c r="FM161" i="4"/>
  <c r="FN161" i="4" s="1"/>
  <c r="FI161" i="4"/>
  <c r="FJ161" i="4" s="1"/>
  <c r="FE161" i="4"/>
  <c r="FF161" i="4" s="1"/>
  <c r="FA161" i="4"/>
  <c r="FB161" i="4" s="1"/>
  <c r="EW161" i="4"/>
  <c r="EX161" i="4" s="1"/>
  <c r="ET161" i="4"/>
  <c r="GE161" i="4"/>
  <c r="GF161" i="4" s="1"/>
  <c r="FO161" i="4"/>
  <c r="FP161" i="4" s="1"/>
  <c r="EY161" i="4"/>
  <c r="EZ161" i="4" s="1"/>
  <c r="GA161" i="4"/>
  <c r="GB161" i="4" s="1"/>
  <c r="FK161" i="4"/>
  <c r="FL161" i="4" s="1"/>
  <c r="EU161" i="4"/>
  <c r="EV161" i="4" s="1"/>
  <c r="GI161" i="4"/>
  <c r="GJ161" i="4" s="1"/>
  <c r="FS161" i="4"/>
  <c r="FT161" i="4" s="1"/>
  <c r="FC161" i="4"/>
  <c r="FD161" i="4" s="1"/>
  <c r="FG161" i="4"/>
  <c r="FH161" i="4" s="1"/>
  <c r="FW161" i="4"/>
  <c r="FX161" i="4" s="1"/>
  <c r="AY25" i="4" l="1"/>
  <c r="AZ25" i="4" s="1"/>
  <c r="AS25" i="4"/>
  <c r="AT25" i="4" s="1"/>
  <c r="AM25" i="4"/>
  <c r="AN25" i="4" s="1"/>
  <c r="AC25" i="4"/>
  <c r="AD25" i="4" s="1"/>
  <c r="W25" i="4"/>
  <c r="X25" i="4" s="1"/>
  <c r="M25" i="4"/>
  <c r="N25" i="4" s="1"/>
  <c r="AW25" i="4"/>
  <c r="AX25" i="4" s="1"/>
  <c r="AQ25" i="4"/>
  <c r="AR25" i="4" s="1"/>
  <c r="AG25" i="4"/>
  <c r="AH25" i="4" s="1"/>
  <c r="AA25" i="4"/>
  <c r="AB25" i="4" s="1"/>
  <c r="Q25" i="4"/>
  <c r="R25" i="4" s="1"/>
  <c r="K25" i="4"/>
  <c r="L25" i="4" s="1"/>
  <c r="AO25" i="4"/>
  <c r="AP25" i="4" s="1"/>
  <c r="S25" i="4"/>
  <c r="T25" i="4" s="1"/>
  <c r="AU25" i="4"/>
  <c r="AV25" i="4" s="1"/>
  <c r="AK25" i="4"/>
  <c r="AL25" i="4" s="1"/>
  <c r="AE25" i="4"/>
  <c r="AF25" i="4" s="1"/>
  <c r="U25" i="4"/>
  <c r="V25" i="4" s="1"/>
  <c r="O25" i="4"/>
  <c r="P25" i="4" s="1"/>
  <c r="AI25" i="4"/>
  <c r="AJ25" i="4" s="1"/>
  <c r="Y25" i="4"/>
  <c r="Z25" i="4" s="1"/>
  <c r="J25" i="4"/>
  <c r="ER25" i="4"/>
  <c r="CA25" i="4"/>
  <c r="BZ34" i="4"/>
  <c r="CA34" i="4" s="1"/>
  <c r="GA33" i="4"/>
  <c r="GB33" i="4" s="1"/>
  <c r="FK33" i="4"/>
  <c r="FL33" i="4" s="1"/>
  <c r="EU33" i="4"/>
  <c r="EV33" i="4" s="1"/>
  <c r="ET33" i="4"/>
  <c r="FY33" i="4"/>
  <c r="FZ33" i="4" s="1"/>
  <c r="FE33" i="4"/>
  <c r="FF33" i="4" s="1"/>
  <c r="FO33" i="4"/>
  <c r="FP33" i="4" s="1"/>
  <c r="FW33" i="4"/>
  <c r="FX33" i="4" s="1"/>
  <c r="FG33" i="4"/>
  <c r="FH33" i="4" s="1"/>
  <c r="EW33" i="4"/>
  <c r="EX33" i="4" s="1"/>
  <c r="FA33" i="4"/>
  <c r="FB33" i="4" s="1"/>
  <c r="GG33" i="4"/>
  <c r="GH33" i="4" s="1"/>
  <c r="FM33" i="4"/>
  <c r="FN33" i="4" s="1"/>
  <c r="FU33" i="4"/>
  <c r="FV33" i="4" s="1"/>
  <c r="GI33" i="4"/>
  <c r="GJ33" i="4" s="1"/>
  <c r="FS33" i="4"/>
  <c r="FT33" i="4" s="1"/>
  <c r="FC33" i="4"/>
  <c r="FD33" i="4" s="1"/>
  <c r="GC33" i="4"/>
  <c r="GD33" i="4" s="1"/>
  <c r="FI33" i="4"/>
  <c r="FJ33" i="4" s="1"/>
  <c r="GE33" i="4"/>
  <c r="GF33" i="4" s="1"/>
  <c r="EY33" i="4"/>
  <c r="EZ33" i="4" s="1"/>
  <c r="FQ33" i="4"/>
  <c r="FR33" i="4" s="1"/>
  <c r="DO33" i="4"/>
  <c r="DP33" i="4" s="1"/>
  <c r="CY33" i="4"/>
  <c r="CZ33" i="4" s="1"/>
  <c r="CI33" i="4"/>
  <c r="CJ33" i="4" s="1"/>
  <c r="CW33" i="4"/>
  <c r="CX33" i="4" s="1"/>
  <c r="CS33" i="4"/>
  <c r="CT33" i="4" s="1"/>
  <c r="DE33" i="4"/>
  <c r="DF33" i="4" s="1"/>
  <c r="CM33" i="4"/>
  <c r="CN33" i="4" s="1"/>
  <c r="DQ33" i="4"/>
  <c r="DR33" i="4" s="1"/>
  <c r="DM33" i="4"/>
  <c r="DN33" i="4" s="1"/>
  <c r="DK33" i="4"/>
  <c r="DL33" i="4" s="1"/>
  <c r="CU33" i="4"/>
  <c r="CV33" i="4" s="1"/>
  <c r="CE33" i="4"/>
  <c r="CF33" i="4" s="1"/>
  <c r="DA33" i="4"/>
  <c r="DB33" i="4" s="1"/>
  <c r="DG33" i="4"/>
  <c r="DH33" i="4" s="1"/>
  <c r="CQ33" i="4"/>
  <c r="CR33" i="4" s="1"/>
  <c r="CB33" i="4"/>
  <c r="CC33" i="4"/>
  <c r="CD33" i="4" s="1"/>
  <c r="DI33" i="4"/>
  <c r="DJ33" i="4" s="1"/>
  <c r="CO33" i="4"/>
  <c r="CP33" i="4" s="1"/>
  <c r="DC33" i="4"/>
  <c r="DD33" i="4" s="1"/>
  <c r="CG33" i="4"/>
  <c r="CH33" i="4" s="1"/>
  <c r="CK33" i="4"/>
  <c r="CL33" i="4" s="1"/>
  <c r="DE25" i="4" l="1"/>
  <c r="DF25" i="4" s="1"/>
  <c r="DI25" i="4"/>
  <c r="DJ25" i="4" s="1"/>
  <c r="CC25" i="4"/>
  <c r="CD25" i="4" s="1"/>
  <c r="CK25" i="4"/>
  <c r="CL25" i="4" s="1"/>
  <c r="DA25" i="4"/>
  <c r="DB25" i="4" s="1"/>
  <c r="DQ25" i="4"/>
  <c r="DR25" i="4" s="1"/>
  <c r="CS25" i="4"/>
  <c r="CT25" i="4" s="1"/>
  <c r="DO25" i="4"/>
  <c r="DP25" i="4" s="1"/>
  <c r="CY25" i="4"/>
  <c r="CZ25" i="4" s="1"/>
  <c r="CI25" i="4"/>
  <c r="CJ25" i="4" s="1"/>
  <c r="CG25" i="4"/>
  <c r="CH25" i="4" s="1"/>
  <c r="DK25" i="4"/>
  <c r="DL25" i="4" s="1"/>
  <c r="CU25" i="4"/>
  <c r="CV25" i="4" s="1"/>
  <c r="CE25" i="4"/>
  <c r="CF25" i="4" s="1"/>
  <c r="CM25" i="4"/>
  <c r="CN25" i="4" s="1"/>
  <c r="DM25" i="4"/>
  <c r="DN25" i="4" s="1"/>
  <c r="CW25" i="4"/>
  <c r="CX25" i="4" s="1"/>
  <c r="DG25" i="4"/>
  <c r="DH25" i="4" s="1"/>
  <c r="CQ25" i="4"/>
  <c r="CR25" i="4" s="1"/>
  <c r="CB25" i="4"/>
  <c r="CO25" i="4"/>
  <c r="CP25" i="4" s="1"/>
  <c r="DC25" i="4"/>
  <c r="DD25" i="4" s="1"/>
  <c r="ES25" i="4"/>
  <c r="ER34" i="4"/>
  <c r="ES34" i="4" s="1"/>
  <c r="DE34" i="4"/>
  <c r="DF34" i="4" s="1"/>
  <c r="CO34" i="4"/>
  <c r="CP34" i="4" s="1"/>
  <c r="DK34" i="4"/>
  <c r="DL34" i="4" s="1"/>
  <c r="CE34" i="4"/>
  <c r="CF34" i="4" s="1"/>
  <c r="CB34" i="4"/>
  <c r="DQ34" i="4"/>
  <c r="DR34" i="4" s="1"/>
  <c r="DA34" i="4"/>
  <c r="DB34" i="4" s="1"/>
  <c r="CK34" i="4"/>
  <c r="CL34" i="4" s="1"/>
  <c r="DC34" i="4"/>
  <c r="DD34" i="4" s="1"/>
  <c r="DO34" i="4"/>
  <c r="DP34" i="4" s="1"/>
  <c r="DG34" i="4"/>
  <c r="DH34" i="4" s="1"/>
  <c r="DM34" i="4"/>
  <c r="DN34" i="4" s="1"/>
  <c r="CW34" i="4"/>
  <c r="CX34" i="4" s="1"/>
  <c r="CG34" i="4"/>
  <c r="CH34" i="4" s="1"/>
  <c r="CU34" i="4"/>
  <c r="CV34" i="4" s="1"/>
  <c r="CI34" i="4"/>
  <c r="CJ34" i="4" s="1"/>
  <c r="CQ34" i="4"/>
  <c r="CR34" i="4" s="1"/>
  <c r="DI34" i="4"/>
  <c r="DJ34" i="4" s="1"/>
  <c r="CS34" i="4"/>
  <c r="CT34" i="4" s="1"/>
  <c r="CC34" i="4"/>
  <c r="CD34" i="4" s="1"/>
  <c r="CM34" i="4"/>
  <c r="CN34" i="4" s="1"/>
  <c r="CY34" i="4"/>
  <c r="CZ34" i="4" s="1"/>
  <c r="GA34" i="4" l="1"/>
  <c r="GB34" i="4" s="1"/>
  <c r="FK34" i="4"/>
  <c r="FL34" i="4" s="1"/>
  <c r="EU34" i="4"/>
  <c r="EV34" i="4" s="1"/>
  <c r="GC34" i="4"/>
  <c r="GD34" i="4" s="1"/>
  <c r="EW34" i="4"/>
  <c r="EX34" i="4" s="1"/>
  <c r="GE34" i="4"/>
  <c r="GF34" i="4" s="1"/>
  <c r="FQ34" i="4"/>
  <c r="FR34" i="4" s="1"/>
  <c r="FW34" i="4"/>
  <c r="FX34" i="4" s="1"/>
  <c r="FG34" i="4"/>
  <c r="FH34" i="4" s="1"/>
  <c r="FY34" i="4"/>
  <c r="FZ34" i="4" s="1"/>
  <c r="FU34" i="4"/>
  <c r="FV34" i="4" s="1"/>
  <c r="GG34" i="4"/>
  <c r="GH34" i="4" s="1"/>
  <c r="EY34" i="4"/>
  <c r="EZ34" i="4" s="1"/>
  <c r="ET34" i="4"/>
  <c r="GI34" i="4"/>
  <c r="GJ34" i="4" s="1"/>
  <c r="FS34" i="4"/>
  <c r="FT34" i="4" s="1"/>
  <c r="FC34" i="4"/>
  <c r="FD34" i="4" s="1"/>
  <c r="FA34" i="4"/>
  <c r="FB34" i="4" s="1"/>
  <c r="FM34" i="4"/>
  <c r="FN34" i="4" s="1"/>
  <c r="FI34" i="4"/>
  <c r="FJ34" i="4" s="1"/>
  <c r="FO34" i="4"/>
  <c r="FP34" i="4" s="1"/>
  <c r="FE34" i="4"/>
  <c r="FF34" i="4" s="1"/>
  <c r="FU25" i="4"/>
  <c r="FV25" i="4" s="1"/>
  <c r="FE25" i="4"/>
  <c r="FF25" i="4" s="1"/>
  <c r="ET25" i="4"/>
  <c r="GG25" i="4"/>
  <c r="GH25" i="4" s="1"/>
  <c r="FQ25" i="4"/>
  <c r="FR25" i="4" s="1"/>
  <c r="FA25" i="4"/>
  <c r="FB25" i="4" s="1"/>
  <c r="FI25" i="4"/>
  <c r="FJ25" i="4" s="1"/>
  <c r="GC25" i="4"/>
  <c r="GD25" i="4" s="1"/>
  <c r="FM25" i="4"/>
  <c r="FN25" i="4" s="1"/>
  <c r="EW25" i="4"/>
  <c r="EX25" i="4" s="1"/>
  <c r="FY25" i="4"/>
  <c r="FZ25" i="4" s="1"/>
  <c r="GI25" i="4"/>
  <c r="GJ25" i="4" s="1"/>
  <c r="FS25" i="4"/>
  <c r="FT25" i="4" s="1"/>
  <c r="FC25" i="4"/>
  <c r="FD25" i="4" s="1"/>
  <c r="GE25" i="4"/>
  <c r="GF25" i="4" s="1"/>
  <c r="FO25" i="4"/>
  <c r="FP25" i="4" s="1"/>
  <c r="EY25" i="4"/>
  <c r="EZ25" i="4" s="1"/>
  <c r="FG25" i="4"/>
  <c r="FH25" i="4" s="1"/>
  <c r="GA25" i="4"/>
  <c r="GB25" i="4" s="1"/>
  <c r="FK25" i="4"/>
  <c r="FL25" i="4" s="1"/>
  <c r="EU25" i="4"/>
  <c r="EV25" i="4" s="1"/>
  <c r="FW25" i="4"/>
  <c r="FX25" i="4" s="1"/>
</calcChain>
</file>

<file path=xl/sharedStrings.xml><?xml version="1.0" encoding="utf-8"?>
<sst xmlns="http://schemas.openxmlformats.org/spreadsheetml/2006/main" count="719" uniqueCount="320">
  <si>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</si>
  <si>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</si>
  <si>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</si>
  <si>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</si>
  <si>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</si>
  <si>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</si>
  <si>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</si>
  <si>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</si>
  <si>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</si>
  <si>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</si>
  <si>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</si>
  <si>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</si>
  <si>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</si>
  <si>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</si>
  <si>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</si>
  <si>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</si>
  <si>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</si>
  <si>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</si>
  <si>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</si>
  <si>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</si>
  <si>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</si>
  <si>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</si>
  <si>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</si>
  <si>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</si>
  <si>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</si>
  <si>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</si>
  <si>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</si>
  <si>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</si>
  <si>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</si>
  <si>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</si>
  <si>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</si>
  <si>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</si>
  <si>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</si>
  <si>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</si>
  <si>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</si>
  <si>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</si>
  <si>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</si>
  <si>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</si>
  <si>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</si>
  <si>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</si>
  <si>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</si>
  <si>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</si>
  <si>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</si>
  <si>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</si>
  <si>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</si>
  <si>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</si>
  <si>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</si>
  <si>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</si>
  <si>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</si>
  <si>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</si>
  <si>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</si>
  <si>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</si>
  <si>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</si>
  <si>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</si>
  <si>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</si>
  <si>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</si>
  <si>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</si>
  <si>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</si>
  <si>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</si>
  <si>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</si>
  <si>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</si>
  <si>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</si>
  <si>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</si>
  <si>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</si>
  <si>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</si>
  <si>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</si>
  <si>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</si>
  <si>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</si>
  <si>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</si>
  <si>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</si>
  <si>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</si>
  <si>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</si>
  <si>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</si>
  <si>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</si>
  <si>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</si>
  <si>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</si>
  <si>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</si>
  <si>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</si>
  <si>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</si>
  <si>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</si>
  <si>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</si>
  <si>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</si>
  <si>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</si>
  <si>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</si>
  <si>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</si>
  <si>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</si>
  <si>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</si>
  <si>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</si>
  <si>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</si>
  <si>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</si>
  <si>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</si>
  <si>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</si>
  <si>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</si>
  <si>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</si>
  <si>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</si>
  <si>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</si>
  <si>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</si>
  <si>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</si>
  <si>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</si>
  <si>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</si>
  <si>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</si>
  <si>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</si>
  <si>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</si>
  <si>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</si>
  <si>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</si>
  <si>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</si>
  <si>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</si>
  <si>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</si>
  <si>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</si>
  <si>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</si>
  <si>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</si>
  <si>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</si>
  <si>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</si>
  <si>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</si>
  <si>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</si>
  <si>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</si>
  <si>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</si>
  <si>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</si>
  <si>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</si>
  <si>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</si>
  <si>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</si>
  <si>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</si>
  <si>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</si>
  <si>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</si>
  <si>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</si>
  <si>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</si>
  <si>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</si>
  <si>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</si>
  <si>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</si>
  <si>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</si>
  <si>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</si>
  <si>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</si>
  <si>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</si>
  <si>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</si>
  <si>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</si>
  <si>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</si>
  <si>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</si>
  <si>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</si>
  <si>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</si>
  <si>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</si>
  <si>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</si>
  <si>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</si>
  <si>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</si>
  <si>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</si>
  <si>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</si>
  <si>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</si>
  <si>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</si>
  <si>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</si>
  <si>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</si>
  <si>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</si>
  <si>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</si>
  <si>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</si>
  <si>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</si>
  <si>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</si>
  <si>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</si>
  <si>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</si>
  <si>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</si>
  <si>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</si>
  <si>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</si>
  <si>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</si>
  <si>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</si>
  <si>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</si>
  <si>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</si>
  <si>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</si>
  <si>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</si>
  <si>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</si>
  <si>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</si>
  <si>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</si>
  <si>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</si>
  <si>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</si>
  <si>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</si>
  <si>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</si>
  <si>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</si>
  <si>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</si>
  <si>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</si>
  <si>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</si>
  <si>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</si>
  <si>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</si>
  <si>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</si>
  <si>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</si>
  <si>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</si>
  <si>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</si>
  <si>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</si>
  <si>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</si>
  <si>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</si>
  <si>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</si>
  <si>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</si>
  <si>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</si>
  <si>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</si>
  <si>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</si>
  <si>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</si>
  <si>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</si>
  <si>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</si>
  <si>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</si>
  <si>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</si>
  <si>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</si>
  <si>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</si>
  <si>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</si>
  <si>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</si>
  <si>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</si>
  <si>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</si>
  <si>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</si>
  <si>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</si>
  <si>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</si>
  <si>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</si>
  <si>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</si>
  <si>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</si>
  <si>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</si>
  <si>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</si>
  <si>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</si>
  <si>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</si>
  <si>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</si>
  <si>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</si>
  <si>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</si>
  <si>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</si>
  <si>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</si>
  <si>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</si>
  <si>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</si>
  <si>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</si>
  <si>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</si>
  <si>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</si>
  <si>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</si>
  <si>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</si>
  <si>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</si>
  <si>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</si>
  <si>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</si>
  <si>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</si>
  <si>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</si>
  <si>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</si>
  <si>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</si>
  <si>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</si>
  <si>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</si>
  <si>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</si>
  <si>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</si>
  <si>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</si>
  <si>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</si>
  <si>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설계가</t>
    <phoneticPr fontId="2" type="noConversion"/>
  </si>
  <si>
    <t>물가인상율</t>
    <phoneticPr fontId="2" type="noConversion"/>
  </si>
  <si>
    <t>물가인상율</t>
    <phoneticPr fontId="2" type="noConversion"/>
  </si>
  <si>
    <t>도 급 가</t>
    <phoneticPr fontId="2" type="noConversion"/>
  </si>
  <si>
    <t>TLF GOD RK</t>
    <phoneticPr fontId="2" type="noConversion"/>
  </si>
  <si>
    <t>2020 추정</t>
    <phoneticPr fontId="2" type="noConversion"/>
  </si>
  <si>
    <t>2020 년</t>
    <phoneticPr fontId="2" type="noConversion"/>
  </si>
  <si>
    <t>2019년</t>
    <phoneticPr fontId="2" type="noConversion"/>
  </si>
  <si>
    <t>2018년</t>
    <phoneticPr fontId="2" type="noConversion"/>
  </si>
  <si>
    <t>2017년</t>
    <phoneticPr fontId="2" type="noConversion"/>
  </si>
  <si>
    <t>2016 년</t>
    <phoneticPr fontId="2" type="noConversion"/>
  </si>
  <si>
    <t>2015 년</t>
    <phoneticPr fontId="2" type="noConversion"/>
  </si>
  <si>
    <t>2014 년</t>
    <phoneticPr fontId="2" type="noConversion"/>
  </si>
  <si>
    <t>2013 년</t>
    <phoneticPr fontId="2" type="noConversion"/>
  </si>
  <si>
    <t>2012 년</t>
    <phoneticPr fontId="2" type="noConversion"/>
  </si>
  <si>
    <t>2011년</t>
    <phoneticPr fontId="2" type="noConversion"/>
  </si>
  <si>
    <t>2010년</t>
    <phoneticPr fontId="2" type="noConversion"/>
  </si>
  <si>
    <t>2009년</t>
    <phoneticPr fontId="2" type="noConversion"/>
  </si>
  <si>
    <t>2008년</t>
    <phoneticPr fontId="2" type="noConversion"/>
  </si>
  <si>
    <t>2007년</t>
    <phoneticPr fontId="2" type="noConversion"/>
  </si>
  <si>
    <t>2006년</t>
    <phoneticPr fontId="2" type="noConversion"/>
  </si>
  <si>
    <t>2005년</t>
    <phoneticPr fontId="2" type="noConversion"/>
  </si>
  <si>
    <t>2004년</t>
    <phoneticPr fontId="2" type="noConversion"/>
  </si>
  <si>
    <t>2003년</t>
    <phoneticPr fontId="2" type="noConversion"/>
  </si>
  <si>
    <t>2002년</t>
    <phoneticPr fontId="2" type="noConversion"/>
  </si>
  <si>
    <t>2001년</t>
    <phoneticPr fontId="2" type="noConversion"/>
  </si>
  <si>
    <t>2000년</t>
    <phoneticPr fontId="2" type="noConversion"/>
  </si>
  <si>
    <t>1999년</t>
    <phoneticPr fontId="2" type="noConversion"/>
  </si>
  <si>
    <t>2020년</t>
    <phoneticPr fontId="2" type="noConversion"/>
  </si>
  <si>
    <t>2004년</t>
  </si>
  <si>
    <t>2003년</t>
  </si>
  <si>
    <t>2002년</t>
  </si>
  <si>
    <t>2001년</t>
  </si>
  <si>
    <t>2000년</t>
  </si>
  <si>
    <t>1999년</t>
  </si>
  <si>
    <t>원/ m2</t>
    <phoneticPr fontId="2" type="noConversion"/>
  </si>
  <si>
    <t>원 /평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</si>
  <si>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</si>
  <si>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</si>
  <si>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</si>
  <si>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I</t>
    <phoneticPr fontId="2" type="noConversion"/>
  </si>
  <si>
    <t>J</t>
    <phoneticPr fontId="2" type="noConversion"/>
  </si>
  <si>
    <t>K</t>
    <phoneticPr fontId="2" type="noConversion"/>
  </si>
  <si>
    <t>L</t>
    <phoneticPr fontId="2" type="noConversion"/>
  </si>
  <si>
    <t>M</t>
    <phoneticPr fontId="2" type="noConversion"/>
  </si>
  <si>
    <t>N</t>
    <phoneticPr fontId="2" type="noConversion"/>
  </si>
  <si>
    <t>O</t>
    <phoneticPr fontId="2" type="noConversion"/>
  </si>
  <si>
    <t>P</t>
    <phoneticPr fontId="2" type="noConversion"/>
  </si>
  <si>
    <t>Q</t>
    <phoneticPr fontId="2" type="noConversion"/>
  </si>
  <si>
    <t>R</t>
    <phoneticPr fontId="2" type="noConversion"/>
  </si>
  <si>
    <t>S</t>
    <phoneticPr fontId="2" type="noConversion"/>
  </si>
  <si>
    <t>T</t>
    <phoneticPr fontId="2" type="noConversion"/>
  </si>
  <si>
    <t>U</t>
    <phoneticPr fontId="2" type="noConversion"/>
  </si>
  <si>
    <t>V</t>
    <phoneticPr fontId="2" type="noConversion"/>
  </si>
  <si>
    <t>W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</si>
  <si>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</si>
  <si>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</si>
  <si>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</si>
  <si>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</si>
  <si>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</si>
  <si>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</si>
  <si>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</si>
  <si>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</si>
  <si>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</si>
  <si>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</si>
  <si>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</si>
  <si>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</si>
  <si>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가칭)구지2유치원 신축공사</t>
    <phoneticPr fontId="2" type="noConversion"/>
  </si>
  <si>
    <t>교육연구</t>
  </si>
  <si>
    <t>대구시</t>
  </si>
  <si>
    <t>지붕및홈통공사 포함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</si>
  <si>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</si>
  <si>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</si>
  <si>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기초공사,골재비및운반비,기타공사</t>
    <phoneticPr fontId="2" type="noConversion"/>
  </si>
  <si>
    <t>난방배관공사,기타공사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</si>
  <si>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</si>
  <si>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</si>
  <si>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CCTV설비공사,기타공사</t>
    <phoneticPr fontId="2" type="noConversion"/>
  </si>
  <si>
    <t>펌프실배관공사,기타공사</t>
    <phoneticPr fontId="2" type="noConversion"/>
  </si>
  <si>
    <t>우수공사,오수공사</t>
    <phoneticPr fontId="2" type="noConversion"/>
  </si>
  <si>
    <t>운반비,기타공사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</si>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</sst>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Alignment="1">
      <alignment horizontal="right" vertical="center" shrinkToFit="1"/>
    </xf>
    <xf numFmtId="178" fontId="6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Border="1" applyAlignment="1">
      <alignment vertical="center" shrinkToFit="1"/>
    </xf>
    <xf numFmtId="178" fontId="0" fillId="0" borderId="29" xfId="1" applyNumberFormat="1" applyFont="1" applyFill="1" applyBorder="1" applyAlignment="1">
      <alignment vertical="center" shrinkToFit="1"/>
    </xf>
    <xf numFmtId="178" fontId="5" fillId="0" borderId="0" xfId="1" applyNumberFormat="1" applyFont="1" applyFill="1" applyAlignment="1">
      <alignment vertical="center" shrinkToFit="1"/>
    </xf>
    <xf numFmtId="178" fontId="0" fillId="5" borderId="0" xfId="1" applyNumberFormat="1" applyFont="1" applyFill="1" applyAlignment="1">
      <alignment vertical="center" shrinkToFit="1"/>
    </xf>
    <xf numFmtId="178" fontId="6" fillId="5" borderId="0" xfId="1" applyNumberFormat="1" applyFont="1" applyFill="1" applyAlignment="1">
      <alignment vertical="center" shrinkToFit="1"/>
    </xf>
    <xf numFmtId="178" fontId="5" fillId="5" borderId="0" xfId="1" applyNumberFormat="1" applyFont="1" applyFill="1" applyAlignment="1">
      <alignment vertical="center" shrinkToFit="1"/>
    </xf>
    <xf numFmtId="0" fontId="0" fillId="5" borderId="0" xfId="0" applyFill="1">
      <alignment vertical="center"/>
    </xf>
    <xf numFmtId="41" fontId="0" fillId="5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8" fontId="0" fillId="4" borderId="0" xfId="1" applyNumberFormat="1" applyFont="1" applyFill="1" applyAlignment="1">
      <alignment horizontal="center" vertical="center" shrinkToFit="1"/>
    </xf>
    <xf numFmtId="178" fontId="0" fillId="2" borderId="0" xfId="1" applyNumberFormat="1" applyFont="1" applyFill="1" applyAlignment="1">
      <alignment horizontal="center" vertical="center" shrinkToFit="1"/>
    </xf>
    <xf numFmtId="178" fontId="0" fillId="3" borderId="0" xfId="1" applyNumberFormat="1" applyFont="1" applyFill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157</v>
      </c>
      <c r="B2" s="80" t="s">
        <v>0</v>
      </c>
      <c r="C2" s="81"/>
      <c r="D2" s="80" t="s">
        <v>1</v>
      </c>
      <c r="E2" s="81"/>
      <c r="F2" s="80" t="s">
        <v>158</v>
      </c>
      <c r="G2" s="81"/>
      <c r="H2" s="80" t="s">
        <v>2</v>
      </c>
      <c r="I2" s="81"/>
      <c r="J2" s="80" t="s">
        <v>3</v>
      </c>
      <c r="K2" s="81"/>
      <c r="L2" s="80" t="s">
        <v>159</v>
      </c>
      <c r="M2" s="81"/>
      <c r="N2" s="80" t="s">
        <v>160</v>
      </c>
      <c r="O2" s="81"/>
      <c r="P2" s="80" t="s">
        <v>5</v>
      </c>
      <c r="Q2" s="81"/>
      <c r="R2" s="74" t="s">
        <v>94</v>
      </c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6"/>
    </row>
    <row r="3" spans="1:33" x14ac:dyDescent="0.3">
      <c r="A3" s="78"/>
      <c r="B3" s="82"/>
      <c r="C3" s="83"/>
      <c r="D3" s="82"/>
      <c r="E3" s="83"/>
      <c r="F3" s="82"/>
      <c r="G3" s="83"/>
      <c r="H3" s="82"/>
      <c r="I3" s="83"/>
      <c r="J3" s="82"/>
      <c r="K3" s="83"/>
      <c r="L3" s="82"/>
      <c r="M3" s="83"/>
      <c r="N3" s="82"/>
      <c r="O3" s="83"/>
      <c r="P3" s="82"/>
      <c r="Q3" s="83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9"/>
      <c r="B4" s="84"/>
      <c r="C4" s="85"/>
      <c r="D4" s="84"/>
      <c r="E4" s="85"/>
      <c r="F4" s="84"/>
      <c r="G4" s="85"/>
      <c r="H4" s="84"/>
      <c r="I4" s="85"/>
      <c r="J4" s="84"/>
      <c r="K4" s="85"/>
      <c r="L4" s="84"/>
      <c r="M4" s="85"/>
      <c r="N4" s="84"/>
      <c r="O4" s="85"/>
      <c r="P4" s="84"/>
      <c r="Q4" s="85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317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H308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8" width="8.75" style="55" customWidth="1"/>
    <col min="9" max="9" width="7.5" style="55" customWidth="1"/>
    <col min="10" max="10" width="7.5" style="56" customWidth="1"/>
    <col min="11" max="16" width="7.5" style="55" customWidth="1"/>
    <col min="17" max="17" width="7.5" style="57" customWidth="1"/>
    <col min="18" max="20" width="7.5" style="55" customWidth="1"/>
    <col min="21" max="21" width="7.5" style="57" customWidth="1"/>
    <col min="22" max="24" width="7.5" style="55" customWidth="1"/>
    <col min="25" max="25" width="7.5" style="57" customWidth="1"/>
    <col min="26" max="75" width="7.5" style="55" customWidth="1"/>
    <col min="76" max="76" width="9.25" style="55" bestFit="1" customWidth="1"/>
    <col min="77" max="77" width="9" style="55"/>
    <col min="78" max="84" width="12.375" style="55" bestFit="1" customWidth="1"/>
    <col min="85" max="85" width="9.75" style="55" bestFit="1" customWidth="1"/>
    <col min="86" max="86" width="10.875" style="55" bestFit="1" customWidth="1"/>
    <col min="87" max="87" width="9.75" style="55" bestFit="1" customWidth="1"/>
    <col min="88" max="88" width="10.875" style="55" bestFit="1" customWidth="1"/>
    <col min="89" max="89" width="9.75" style="55" bestFit="1" customWidth="1"/>
    <col min="90" max="90" width="10.875" style="55" bestFit="1" customWidth="1"/>
    <col min="91" max="91" width="9.75" style="55" bestFit="1" customWidth="1"/>
    <col min="92" max="92" width="10.875" style="55" bestFit="1" customWidth="1"/>
    <col min="93" max="93" width="9.75" style="55" bestFit="1" customWidth="1"/>
    <col min="94" max="94" width="10.875" style="55" bestFit="1" customWidth="1"/>
    <col min="95" max="122" width="9.75" style="55" bestFit="1" customWidth="1"/>
    <col min="123" max="124" width="9" style="55"/>
    <col min="125" max="146" width="9.25" style="55" bestFit="1" customWidth="1"/>
    <col min="147" max="16384" width="9" style="2"/>
  </cols>
  <sheetData>
    <row r="1" spans="1:216" ht="17.25" thickBot="1" x14ac:dyDescent="0.35"/>
    <row r="2" spans="1:216" ht="17.25" thickBot="1" x14ac:dyDescent="0.35">
      <c r="A2" s="2">
        <v>1</v>
      </c>
      <c r="B2" s="2" t="s">
        <v>102</v>
      </c>
      <c r="C2" s="36" t="s">
        <v>303</v>
      </c>
    </row>
    <row r="3" spans="1:216" ht="17.25" thickBot="1" x14ac:dyDescent="0.35"/>
    <row r="4" spans="1:216" ht="17.25" thickBot="1" x14ac:dyDescent="0.35">
      <c r="A4" s="2">
        <v>2</v>
      </c>
      <c r="B4" s="2" t="s">
        <v>103</v>
      </c>
      <c r="C4" s="36" t="s">
        <v>304</v>
      </c>
    </row>
    <row r="6" spans="1:216" ht="17.25" thickBot="1" x14ac:dyDescent="0.35">
      <c r="A6" s="2">
        <v>3</v>
      </c>
      <c r="B6" s="2" t="s">
        <v>151</v>
      </c>
      <c r="C6" s="2" t="s">
        <v>104</v>
      </c>
      <c r="D6" s="35" t="s">
        <v>291</v>
      </c>
    </row>
    <row r="7" spans="1:216" ht="17.25" thickBot="1" x14ac:dyDescent="0.35">
      <c r="C7" s="37">
        <v>6614.51</v>
      </c>
      <c r="D7" s="36">
        <f>+C7/3.3058</f>
        <v>2000.8802710387804</v>
      </c>
    </row>
    <row r="8" spans="1:216" ht="17.25" thickBot="1" x14ac:dyDescent="0.35"/>
    <row r="9" spans="1:216" ht="17.25" thickBot="1" x14ac:dyDescent="0.35">
      <c r="A9" s="2">
        <v>4</v>
      </c>
      <c r="B9" s="2" t="s">
        <v>105</v>
      </c>
      <c r="C9" s="36" t="s">
        <v>305</v>
      </c>
    </row>
    <row r="10" spans="1:216" ht="17.25" thickBot="1" x14ac:dyDescent="0.35"/>
    <row r="11" spans="1:216" ht="17.25" thickBot="1" x14ac:dyDescent="0.35">
      <c r="A11" s="2">
        <v>5</v>
      </c>
      <c r="B11" s="2" t="s">
        <v>106</v>
      </c>
      <c r="C11" s="36" t="s">
        <v>208</v>
      </c>
    </row>
    <row r="12" spans="1:216" ht="17.25" thickBot="1" x14ac:dyDescent="0.35"/>
    <row r="13" spans="1:216" ht="17.25" thickBot="1" x14ac:dyDescent="0.35">
      <c r="A13" s="2">
        <v>6</v>
      </c>
      <c r="B13" s="2" t="s">
        <v>107</v>
      </c>
      <c r="C13" s="36" t="s">
        <v>114</v>
      </c>
    </row>
    <row r="14" spans="1:216" ht="17.25" thickBot="1" x14ac:dyDescent="0.35"/>
    <row r="15" spans="1:216" ht="17.25" thickBot="1" x14ac:dyDescent="0.35">
      <c r="A15" s="2">
        <v>7</v>
      </c>
      <c r="B15" s="2" t="s">
        <v>108</v>
      </c>
      <c r="C15" s="36" t="s">
        <v>150</v>
      </c>
      <c r="I15" s="87" t="s">
        <v>236</v>
      </c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C15" s="87" t="s">
        <v>238</v>
      </c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CA15" s="88" t="s">
        <v>239</v>
      </c>
      <c r="CB15" s="88"/>
      <c r="CC15" s="88"/>
      <c r="CD15" s="88"/>
      <c r="CE15" s="88"/>
      <c r="CF15" s="88"/>
      <c r="CG15" s="88"/>
      <c r="CH15" s="88"/>
      <c r="CI15" s="88"/>
      <c r="CJ15" s="88"/>
      <c r="CK15" s="88"/>
      <c r="CL15" s="88"/>
      <c r="CM15" s="88"/>
      <c r="CN15" s="88"/>
      <c r="CO15" s="88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8"/>
      <c r="DA15" s="88"/>
      <c r="DB15" s="88"/>
      <c r="DC15" s="88"/>
      <c r="DD15" s="88"/>
      <c r="DE15" s="88"/>
      <c r="DF15" s="88"/>
      <c r="DG15" s="88"/>
      <c r="DH15" s="88"/>
      <c r="DI15" s="88"/>
      <c r="DJ15" s="88"/>
      <c r="DK15" s="88"/>
      <c r="DL15" s="88"/>
      <c r="DM15" s="88"/>
      <c r="DN15" s="88"/>
      <c r="DO15" s="88"/>
      <c r="DP15" s="88"/>
      <c r="DQ15" s="88"/>
      <c r="DR15" s="88"/>
      <c r="DU15" s="88" t="s">
        <v>237</v>
      </c>
      <c r="DV15" s="88"/>
      <c r="DW15" s="88"/>
      <c r="DX15" s="88"/>
      <c r="DY15" s="88"/>
      <c r="DZ15" s="88"/>
      <c r="EA15" s="88"/>
      <c r="EB15" s="88"/>
      <c r="EC15" s="88"/>
      <c r="ED15" s="88"/>
      <c r="EE15" s="88"/>
      <c r="EF15" s="88"/>
      <c r="EG15" s="88"/>
      <c r="EH15" s="88"/>
      <c r="EI15" s="88"/>
      <c r="EJ15" s="88"/>
      <c r="EK15" s="88"/>
      <c r="EL15" s="88"/>
      <c r="EM15" s="88"/>
      <c r="EN15" s="88"/>
      <c r="EO15" s="88"/>
      <c r="EP15" s="88"/>
      <c r="ER15" s="55"/>
      <c r="ES15" s="86" t="s">
        <v>240</v>
      </c>
      <c r="ET15" s="86"/>
      <c r="EU15" s="86"/>
      <c r="EV15" s="86"/>
      <c r="EW15" s="86"/>
      <c r="EX15" s="86"/>
      <c r="EY15" s="86"/>
      <c r="EZ15" s="86"/>
      <c r="FA15" s="86"/>
      <c r="FB15" s="86"/>
      <c r="FC15" s="86"/>
      <c r="FD15" s="86"/>
      <c r="FE15" s="86"/>
      <c r="FF15" s="86"/>
      <c r="FG15" s="86"/>
      <c r="FH15" s="86"/>
      <c r="FI15" s="86"/>
      <c r="FJ15" s="86"/>
      <c r="FK15" s="86"/>
      <c r="FL15" s="86"/>
      <c r="FM15" s="86"/>
      <c r="FN15" s="86"/>
      <c r="FO15" s="86"/>
      <c r="FP15" s="86"/>
      <c r="FQ15" s="86"/>
      <c r="FR15" s="86"/>
      <c r="FS15" s="86"/>
      <c r="FT15" s="86"/>
      <c r="FU15" s="86"/>
      <c r="FV15" s="86"/>
      <c r="FW15" s="86"/>
      <c r="FX15" s="86"/>
      <c r="FY15" s="86"/>
      <c r="FZ15" s="86"/>
      <c r="GA15" s="86"/>
      <c r="GB15" s="86"/>
      <c r="GC15" s="86"/>
      <c r="GD15" s="86"/>
      <c r="GE15" s="86"/>
      <c r="GF15" s="86"/>
      <c r="GG15" s="86"/>
      <c r="GH15" s="86"/>
      <c r="GI15" s="86"/>
      <c r="GJ15" s="86"/>
      <c r="GK15" s="55"/>
      <c r="GL15" s="55"/>
      <c r="GM15" s="86" t="s">
        <v>237</v>
      </c>
      <c r="GN15" s="86"/>
      <c r="GO15" s="86"/>
      <c r="GP15" s="86"/>
      <c r="GQ15" s="86"/>
      <c r="GR15" s="86"/>
      <c r="GS15" s="86"/>
      <c r="GT15" s="86"/>
      <c r="GU15" s="86"/>
      <c r="GV15" s="86"/>
      <c r="GW15" s="86"/>
      <c r="GX15" s="86"/>
      <c r="GY15" s="86"/>
      <c r="GZ15" s="86"/>
      <c r="HA15" s="86"/>
      <c r="HB15" s="86"/>
      <c r="HC15" s="86"/>
      <c r="HD15" s="86"/>
      <c r="HE15" s="86"/>
      <c r="HF15" s="86"/>
      <c r="HG15" s="86"/>
      <c r="HH15" s="86"/>
    </row>
    <row r="16" spans="1:216" x14ac:dyDescent="0.3">
      <c r="H16" s="55" t="s">
        <v>241</v>
      </c>
      <c r="I16" s="55" t="s">
        <v>242</v>
      </c>
      <c r="J16" s="55"/>
      <c r="K16" s="55" t="s">
        <v>243</v>
      </c>
      <c r="M16" s="55" t="s">
        <v>244</v>
      </c>
      <c r="O16" s="55" t="s">
        <v>245</v>
      </c>
      <c r="Q16" s="57" t="s">
        <v>246</v>
      </c>
      <c r="R16" s="56"/>
      <c r="S16" s="58" t="s">
        <v>247</v>
      </c>
      <c r="U16" s="57" t="s">
        <v>248</v>
      </c>
      <c r="W16" s="55" t="s">
        <v>249</v>
      </c>
      <c r="Y16" s="57" t="s">
        <v>250</v>
      </c>
      <c r="AA16" s="55" t="s">
        <v>251</v>
      </c>
      <c r="AC16" s="55" t="s">
        <v>252</v>
      </c>
      <c r="AE16" s="55" t="s">
        <v>253</v>
      </c>
      <c r="AG16" s="55" t="s">
        <v>254</v>
      </c>
      <c r="AH16" s="56"/>
      <c r="AI16" s="58" t="s">
        <v>255</v>
      </c>
      <c r="AK16" s="55" t="s">
        <v>256</v>
      </c>
      <c r="AM16" s="55" t="s">
        <v>257</v>
      </c>
      <c r="AO16" s="55" t="s">
        <v>258</v>
      </c>
      <c r="AQ16" s="55" t="s">
        <v>259</v>
      </c>
      <c r="AR16" s="56"/>
      <c r="AS16" s="58" t="s">
        <v>260</v>
      </c>
      <c r="AU16" s="55" t="s">
        <v>261</v>
      </c>
      <c r="AW16" s="55" t="s">
        <v>262</v>
      </c>
      <c r="AY16" s="55" t="s">
        <v>263</v>
      </c>
      <c r="BC16" s="55" t="s">
        <v>264</v>
      </c>
      <c r="BD16" s="55" t="s">
        <v>243</v>
      </c>
      <c r="BE16" s="55" t="s">
        <v>209</v>
      </c>
      <c r="BF16" s="55" t="s">
        <v>208</v>
      </c>
      <c r="BG16" s="55" t="s">
        <v>206</v>
      </c>
      <c r="BH16" s="55" t="s">
        <v>203</v>
      </c>
      <c r="BI16" s="55" t="s">
        <v>202</v>
      </c>
      <c r="BJ16" s="55" t="s">
        <v>200</v>
      </c>
      <c r="BK16" s="55" t="s">
        <v>199</v>
      </c>
      <c r="BL16" s="55" t="s">
        <v>198</v>
      </c>
      <c r="BM16" s="55" t="s">
        <v>195</v>
      </c>
      <c r="BN16" s="55" t="s">
        <v>192</v>
      </c>
      <c r="BO16" s="55" t="s">
        <v>189</v>
      </c>
      <c r="BP16" s="55" t="s">
        <v>187</v>
      </c>
      <c r="BQ16" s="55" t="s">
        <v>181</v>
      </c>
      <c r="BR16" s="55" t="s">
        <v>178</v>
      </c>
      <c r="BS16" s="55" t="s">
        <v>265</v>
      </c>
      <c r="BT16" s="55" t="s">
        <v>266</v>
      </c>
      <c r="BU16" s="55" t="s">
        <v>267</v>
      </c>
      <c r="BV16" s="55" t="s">
        <v>268</v>
      </c>
      <c r="BW16" s="55" t="s">
        <v>269</v>
      </c>
      <c r="BX16" s="55" t="s">
        <v>270</v>
      </c>
      <c r="BZ16" s="55" t="s">
        <v>241</v>
      </c>
      <c r="CA16" s="55" t="s">
        <v>242</v>
      </c>
      <c r="CC16" s="55" t="s">
        <v>243</v>
      </c>
      <c r="CE16" s="55" t="s">
        <v>244</v>
      </c>
      <c r="CG16" s="55" t="s">
        <v>245</v>
      </c>
      <c r="CI16" s="55" t="s">
        <v>246</v>
      </c>
      <c r="CJ16" s="56"/>
      <c r="CK16" s="58" t="s">
        <v>247</v>
      </c>
      <c r="CM16" s="55" t="s">
        <v>248</v>
      </c>
      <c r="CO16" s="55" t="s">
        <v>249</v>
      </c>
      <c r="CQ16" s="55" t="s">
        <v>250</v>
      </c>
      <c r="CS16" s="55" t="s">
        <v>251</v>
      </c>
      <c r="CU16" s="55" t="s">
        <v>252</v>
      </c>
      <c r="CW16" s="55" t="s">
        <v>253</v>
      </c>
      <c r="CY16" s="55" t="s">
        <v>254</v>
      </c>
      <c r="CZ16" s="56"/>
      <c r="DA16" s="58" t="s">
        <v>255</v>
      </c>
      <c r="DC16" s="55" t="s">
        <v>256</v>
      </c>
      <c r="DE16" s="55" t="s">
        <v>257</v>
      </c>
      <c r="DG16" s="55" t="s">
        <v>258</v>
      </c>
      <c r="DI16" s="55" t="s">
        <v>259</v>
      </c>
      <c r="DJ16" s="56"/>
      <c r="DK16" s="58" t="s">
        <v>260</v>
      </c>
      <c r="DM16" s="55" t="s">
        <v>261</v>
      </c>
      <c r="DO16" s="55" t="s">
        <v>262</v>
      </c>
      <c r="DQ16" s="55" t="s">
        <v>263</v>
      </c>
      <c r="DU16" s="55" t="s">
        <v>264</v>
      </c>
      <c r="DV16" s="55" t="s">
        <v>243</v>
      </c>
      <c r="DW16" s="55" t="s">
        <v>209</v>
      </c>
      <c r="DX16" s="55" t="s">
        <v>208</v>
      </c>
      <c r="DY16" s="55" t="s">
        <v>206</v>
      </c>
      <c r="DZ16" s="55" t="s">
        <v>203</v>
      </c>
      <c r="EA16" s="55" t="s">
        <v>202</v>
      </c>
      <c r="EB16" s="55" t="s">
        <v>200</v>
      </c>
      <c r="EC16" s="55" t="s">
        <v>199</v>
      </c>
      <c r="ED16" s="55" t="s">
        <v>198</v>
      </c>
      <c r="EE16" s="55" t="s">
        <v>195</v>
      </c>
      <c r="EF16" s="55" t="s">
        <v>192</v>
      </c>
      <c r="EG16" s="55" t="s">
        <v>189</v>
      </c>
      <c r="EH16" s="55" t="s">
        <v>187</v>
      </c>
      <c r="EI16" s="55" t="s">
        <v>181</v>
      </c>
      <c r="EJ16" s="55" t="s">
        <v>178</v>
      </c>
      <c r="EK16" s="55" t="s">
        <v>265</v>
      </c>
      <c r="EL16" s="55" t="s">
        <v>266</v>
      </c>
      <c r="EM16" s="55" t="s">
        <v>267</v>
      </c>
      <c r="EN16" s="55" t="s">
        <v>268</v>
      </c>
      <c r="EO16" s="55" t="s">
        <v>269</v>
      </c>
      <c r="EP16" s="55" t="s">
        <v>270</v>
      </c>
      <c r="ER16" s="55" t="s">
        <v>241</v>
      </c>
      <c r="ES16" s="55" t="s">
        <v>242</v>
      </c>
      <c r="ET16" s="55"/>
      <c r="EU16" s="55" t="s">
        <v>243</v>
      </c>
      <c r="EV16" s="55"/>
      <c r="EW16" s="55" t="s">
        <v>244</v>
      </c>
      <c r="EX16" s="55"/>
      <c r="EY16" s="55" t="s">
        <v>245</v>
      </c>
      <c r="EZ16" s="55"/>
      <c r="FA16" s="55" t="s">
        <v>246</v>
      </c>
      <c r="FB16" s="56"/>
      <c r="FC16" s="58" t="s">
        <v>247</v>
      </c>
      <c r="FD16" s="55"/>
      <c r="FE16" s="55" t="s">
        <v>248</v>
      </c>
      <c r="FF16" s="55"/>
      <c r="FG16" s="55" t="s">
        <v>249</v>
      </c>
      <c r="FH16" s="55"/>
      <c r="FI16" s="55" t="s">
        <v>250</v>
      </c>
      <c r="FJ16" s="55"/>
      <c r="FK16" s="55" t="s">
        <v>251</v>
      </c>
      <c r="FL16" s="55"/>
      <c r="FM16" s="55" t="s">
        <v>252</v>
      </c>
      <c r="FN16" s="55"/>
      <c r="FO16" s="55" t="s">
        <v>253</v>
      </c>
      <c r="FP16" s="55"/>
      <c r="FQ16" s="55" t="s">
        <v>254</v>
      </c>
      <c r="FR16" s="56"/>
      <c r="FS16" s="58" t="s">
        <v>255</v>
      </c>
      <c r="FT16" s="55"/>
      <c r="FU16" s="55" t="s">
        <v>256</v>
      </c>
      <c r="FV16" s="55"/>
      <c r="FW16" s="55" t="s">
        <v>257</v>
      </c>
      <c r="FX16" s="55"/>
      <c r="FY16" s="55" t="s">
        <v>258</v>
      </c>
      <c r="FZ16" s="55"/>
      <c r="GA16" s="55" t="s">
        <v>259</v>
      </c>
      <c r="GB16" s="56"/>
      <c r="GC16" s="58" t="s">
        <v>260</v>
      </c>
      <c r="GD16" s="55"/>
      <c r="GE16" s="55" t="s">
        <v>261</v>
      </c>
      <c r="GF16" s="55"/>
      <c r="GG16" s="55" t="s">
        <v>262</v>
      </c>
      <c r="GH16" s="55"/>
      <c r="GI16" s="55" t="s">
        <v>263</v>
      </c>
      <c r="GJ16" s="55"/>
      <c r="GK16" s="55"/>
      <c r="GL16" s="55"/>
      <c r="GM16" s="55" t="s">
        <v>264</v>
      </c>
      <c r="GN16" s="55" t="s">
        <v>243</v>
      </c>
      <c r="GO16" s="55" t="s">
        <v>209</v>
      </c>
      <c r="GP16" s="55" t="s">
        <v>208</v>
      </c>
      <c r="GQ16" s="55" t="s">
        <v>206</v>
      </c>
      <c r="GR16" s="55" t="s">
        <v>203</v>
      </c>
      <c r="GS16" s="55" t="s">
        <v>202</v>
      </c>
      <c r="GT16" s="55" t="s">
        <v>200</v>
      </c>
      <c r="GU16" s="55" t="s">
        <v>199</v>
      </c>
      <c r="GV16" s="55" t="s">
        <v>198</v>
      </c>
      <c r="GW16" s="55" t="s">
        <v>195</v>
      </c>
      <c r="GX16" s="55" t="s">
        <v>192</v>
      </c>
      <c r="GY16" s="55" t="s">
        <v>189</v>
      </c>
      <c r="GZ16" s="55" t="s">
        <v>187</v>
      </c>
      <c r="HA16" s="55" t="s">
        <v>181</v>
      </c>
      <c r="HB16" s="55" t="s">
        <v>178</v>
      </c>
      <c r="HC16" s="55" t="s">
        <v>265</v>
      </c>
      <c r="HD16" s="55" t="s">
        <v>266</v>
      </c>
      <c r="HE16" s="55" t="s">
        <v>267</v>
      </c>
      <c r="HF16" s="55" t="s">
        <v>268</v>
      </c>
      <c r="HG16" s="55" t="s">
        <v>269</v>
      </c>
      <c r="HH16" s="55" t="s">
        <v>270</v>
      </c>
    </row>
    <row r="17" spans="1:216" x14ac:dyDescent="0.3">
      <c r="A17" s="2">
        <v>8</v>
      </c>
      <c r="B17" s="2" t="s">
        <v>318</v>
      </c>
      <c r="J17" s="55"/>
      <c r="R17" s="56"/>
      <c r="S17" s="58"/>
      <c r="AH17" s="56"/>
      <c r="AI17" s="58"/>
      <c r="AR17" s="56"/>
      <c r="AS17" s="58"/>
      <c r="CJ17" s="56"/>
      <c r="CK17" s="58"/>
      <c r="CZ17" s="56"/>
      <c r="DA17" s="58"/>
      <c r="DJ17" s="56"/>
      <c r="DK17" s="58"/>
      <c r="ER17" s="55"/>
      <c r="ES17" s="55"/>
      <c r="ET17" s="55"/>
      <c r="EU17" s="55"/>
      <c r="EV17" s="55"/>
      <c r="EW17" s="55"/>
      <c r="EX17" s="55"/>
      <c r="EY17" s="55"/>
      <c r="EZ17" s="55"/>
      <c r="FA17" s="55"/>
      <c r="FB17" s="56"/>
      <c r="FC17" s="58"/>
      <c r="FD17" s="55"/>
      <c r="FE17" s="55"/>
      <c r="FF17" s="55"/>
      <c r="FG17" s="55"/>
      <c r="FH17" s="55"/>
      <c r="FI17" s="55"/>
      <c r="FJ17" s="55"/>
      <c r="FK17" s="55"/>
      <c r="FL17" s="55"/>
      <c r="FM17" s="55"/>
      <c r="FN17" s="55"/>
      <c r="FO17" s="55"/>
      <c r="FP17" s="55"/>
      <c r="FQ17" s="55"/>
      <c r="FR17" s="56"/>
      <c r="FS17" s="58"/>
      <c r="FT17" s="55"/>
      <c r="FU17" s="55"/>
      <c r="FV17" s="55"/>
      <c r="FW17" s="55"/>
      <c r="FX17" s="55"/>
      <c r="FY17" s="55"/>
      <c r="FZ17" s="55"/>
      <c r="GA17" s="55"/>
      <c r="GB17" s="56"/>
      <c r="GC17" s="58"/>
      <c r="GD17" s="55"/>
      <c r="GE17" s="55"/>
      <c r="GF17" s="55"/>
      <c r="GG17" s="55"/>
      <c r="GH17" s="55"/>
      <c r="GI17" s="55"/>
      <c r="GJ17" s="55"/>
      <c r="GK17" s="55"/>
      <c r="GL17" s="55"/>
      <c r="GM17" s="55"/>
      <c r="GN17" s="55"/>
      <c r="GO17" s="55"/>
      <c r="GP17" s="55"/>
      <c r="GQ17" s="55"/>
      <c r="GR17" s="55"/>
      <c r="GS17" s="55"/>
      <c r="GT17" s="55"/>
      <c r="GU17" s="55"/>
      <c r="GV17" s="55"/>
      <c r="GW17" s="55"/>
      <c r="GX17" s="55"/>
      <c r="GY17" s="55"/>
      <c r="GZ17" s="55"/>
      <c r="HA17" s="55"/>
      <c r="HB17" s="55"/>
      <c r="HC17" s="55"/>
      <c r="HD17" s="55"/>
      <c r="HE17" s="55"/>
      <c r="HF17" s="55"/>
      <c r="HG17" s="55"/>
      <c r="HH17" s="55"/>
    </row>
    <row r="18" spans="1:216" x14ac:dyDescent="0.3">
      <c r="J18" s="55"/>
      <c r="R18" s="56"/>
      <c r="S18" s="58"/>
      <c r="AH18" s="56"/>
      <c r="AI18" s="58"/>
      <c r="AR18" s="56"/>
      <c r="AS18" s="58"/>
      <c r="CJ18" s="56"/>
      <c r="CK18" s="58"/>
      <c r="CZ18" s="56"/>
      <c r="DA18" s="58"/>
      <c r="DJ18" s="56"/>
      <c r="DK18" s="58"/>
      <c r="ER18" s="55"/>
      <c r="ES18" s="55"/>
      <c r="ET18" s="55"/>
      <c r="EU18" s="55"/>
      <c r="EV18" s="55"/>
      <c r="EW18" s="55"/>
      <c r="EX18" s="55"/>
      <c r="EY18" s="55"/>
      <c r="EZ18" s="55"/>
      <c r="FA18" s="55"/>
      <c r="FB18" s="56"/>
      <c r="FC18" s="58"/>
      <c r="FD18" s="55"/>
      <c r="FE18" s="55"/>
      <c r="FF18" s="55"/>
      <c r="FG18" s="55"/>
      <c r="FH18" s="55"/>
      <c r="FI18" s="55"/>
      <c r="FJ18" s="55"/>
      <c r="FK18" s="55"/>
      <c r="FL18" s="55"/>
      <c r="FM18" s="55"/>
      <c r="FN18" s="55"/>
      <c r="FO18" s="55"/>
      <c r="FP18" s="55"/>
      <c r="FQ18" s="55"/>
      <c r="FR18" s="56"/>
      <c r="FS18" s="58"/>
      <c r="FT18" s="55"/>
      <c r="FU18" s="55"/>
      <c r="FV18" s="55"/>
      <c r="FW18" s="55"/>
      <c r="FX18" s="55"/>
      <c r="FY18" s="55"/>
      <c r="FZ18" s="55"/>
      <c r="GA18" s="55"/>
      <c r="GB18" s="56"/>
      <c r="GC18" s="58"/>
      <c r="GD18" s="55"/>
      <c r="GE18" s="55"/>
      <c r="GF18" s="55"/>
      <c r="GG18" s="55"/>
      <c r="GH18" s="55"/>
      <c r="GI18" s="55"/>
      <c r="GJ18" s="55"/>
      <c r="GK18" s="55"/>
      <c r="GL18" s="55"/>
      <c r="GM18" s="55"/>
      <c r="GN18" s="55"/>
      <c r="GO18" s="55"/>
      <c r="GP18" s="55"/>
      <c r="GQ18" s="55"/>
      <c r="GR18" s="55"/>
      <c r="GS18" s="55"/>
      <c r="GT18" s="55"/>
      <c r="GU18" s="55"/>
      <c r="GV18" s="55"/>
      <c r="GW18" s="55"/>
      <c r="GX18" s="55"/>
      <c r="GY18" s="55"/>
      <c r="GZ18" s="55"/>
      <c r="HA18" s="55"/>
      <c r="HB18" s="55"/>
      <c r="HC18" s="55"/>
      <c r="HD18" s="55"/>
      <c r="HE18" s="55"/>
      <c r="HF18" s="55"/>
      <c r="HG18" s="55"/>
      <c r="HH18" s="55"/>
    </row>
    <row r="19" spans="1:216" x14ac:dyDescent="0.3">
      <c r="A19" s="2">
        <v>9</v>
      </c>
      <c r="B19" s="2" t="s">
        <v>319</v>
      </c>
      <c r="J19" s="55"/>
      <c r="R19" s="56"/>
      <c r="S19" s="58"/>
      <c r="AH19" s="56"/>
      <c r="AI19" s="58"/>
      <c r="AR19" s="56"/>
      <c r="AS19" s="58"/>
      <c r="CJ19" s="56"/>
      <c r="CK19" s="58"/>
      <c r="CZ19" s="56"/>
      <c r="DA19" s="58"/>
      <c r="DJ19" s="56"/>
      <c r="DK19" s="58"/>
      <c r="ER19" s="55"/>
      <c r="ES19" s="55"/>
      <c r="ET19" s="55"/>
      <c r="EU19" s="55"/>
      <c r="EV19" s="55"/>
      <c r="EW19" s="55"/>
      <c r="EX19" s="55"/>
      <c r="EY19" s="55"/>
      <c r="EZ19" s="55"/>
      <c r="FA19" s="55"/>
      <c r="FB19" s="56"/>
      <c r="FC19" s="58"/>
      <c r="FD19" s="55"/>
      <c r="FE19" s="55"/>
      <c r="FF19" s="55"/>
      <c r="FG19" s="55"/>
      <c r="FH19" s="55"/>
      <c r="FI19" s="55"/>
      <c r="FJ19" s="55"/>
      <c r="FK19" s="55"/>
      <c r="FL19" s="55"/>
      <c r="FM19" s="55"/>
      <c r="FN19" s="55"/>
      <c r="FO19" s="55"/>
      <c r="FP19" s="55"/>
      <c r="FQ19" s="55"/>
      <c r="FR19" s="56"/>
      <c r="FS19" s="58"/>
      <c r="FT19" s="55"/>
      <c r="FU19" s="55"/>
      <c r="FV19" s="55"/>
      <c r="FW19" s="55"/>
      <c r="FX19" s="55"/>
      <c r="FY19" s="55"/>
      <c r="FZ19" s="55"/>
      <c r="GA19" s="55"/>
      <c r="GB19" s="56"/>
      <c r="GC19" s="58"/>
      <c r="GD19" s="55"/>
      <c r="GE19" s="55"/>
      <c r="GF19" s="55"/>
      <c r="GG19" s="55"/>
      <c r="GH19" s="55"/>
      <c r="GI19" s="55"/>
      <c r="GJ19" s="55"/>
      <c r="GK19" s="55"/>
      <c r="GL19" s="55"/>
      <c r="GM19" s="55"/>
      <c r="GN19" s="55"/>
      <c r="GO19" s="55"/>
      <c r="GP19" s="55"/>
      <c r="GQ19" s="55"/>
      <c r="GR19" s="55"/>
      <c r="GS19" s="55"/>
      <c r="GT19" s="55"/>
      <c r="GU19" s="55"/>
      <c r="GV19" s="55"/>
      <c r="GW19" s="55"/>
      <c r="GX19" s="55"/>
      <c r="GY19" s="55"/>
      <c r="GZ19" s="55"/>
      <c r="HA19" s="55"/>
      <c r="HB19" s="55"/>
      <c r="HC19" s="55"/>
      <c r="HD19" s="55"/>
      <c r="HE19" s="55"/>
      <c r="HF19" s="55"/>
      <c r="HG19" s="55"/>
      <c r="HH19" s="55"/>
    </row>
    <row r="20" spans="1:216" x14ac:dyDescent="0.3">
      <c r="J20" s="55"/>
      <c r="R20" s="56"/>
      <c r="S20" s="58"/>
      <c r="AH20" s="56"/>
      <c r="AI20" s="58"/>
      <c r="AR20" s="56"/>
      <c r="AS20" s="58"/>
      <c r="CJ20" s="56"/>
      <c r="CK20" s="58"/>
      <c r="CZ20" s="56"/>
      <c r="DA20" s="58"/>
      <c r="DJ20" s="56"/>
      <c r="DK20" s="58"/>
      <c r="ER20" s="55"/>
      <c r="ES20" s="55"/>
      <c r="ET20" s="55"/>
      <c r="EU20" s="55"/>
      <c r="EV20" s="55"/>
      <c r="EW20" s="55"/>
      <c r="EX20" s="55"/>
      <c r="EY20" s="55"/>
      <c r="EZ20" s="55"/>
      <c r="FA20" s="55"/>
      <c r="FB20" s="56"/>
      <c r="FC20" s="58"/>
      <c r="FD20" s="55"/>
      <c r="FE20" s="55"/>
      <c r="FF20" s="55"/>
      <c r="FG20" s="55"/>
      <c r="FH20" s="55"/>
      <c r="FI20" s="55"/>
      <c r="FJ20" s="55"/>
      <c r="FK20" s="55"/>
      <c r="FL20" s="55"/>
      <c r="FM20" s="55"/>
      <c r="FN20" s="55"/>
      <c r="FO20" s="55"/>
      <c r="FP20" s="55"/>
      <c r="FQ20" s="55"/>
      <c r="FR20" s="56"/>
      <c r="FS20" s="58"/>
      <c r="FT20" s="55"/>
      <c r="FU20" s="55"/>
      <c r="FV20" s="55"/>
      <c r="FW20" s="55"/>
      <c r="FX20" s="55"/>
      <c r="FY20" s="55"/>
      <c r="FZ20" s="55"/>
      <c r="GA20" s="55"/>
      <c r="GB20" s="56"/>
      <c r="GC20" s="58"/>
      <c r="GD20" s="55"/>
      <c r="GE20" s="55"/>
      <c r="GF20" s="55"/>
      <c r="GG20" s="55"/>
      <c r="GH20" s="55"/>
      <c r="GI20" s="55"/>
      <c r="GJ20" s="55"/>
      <c r="GK20" s="55"/>
      <c r="GL20" s="55"/>
      <c r="GM20" s="55"/>
      <c r="GN20" s="55"/>
      <c r="GO20" s="55"/>
      <c r="GP20" s="55"/>
      <c r="GQ20" s="55"/>
      <c r="GR20" s="55"/>
      <c r="GS20" s="55"/>
      <c r="GT20" s="55"/>
      <c r="GU20" s="55"/>
      <c r="GV20" s="55"/>
      <c r="GW20" s="55"/>
      <c r="GX20" s="55"/>
      <c r="GY20" s="55"/>
      <c r="GZ20" s="55"/>
      <c r="HA20" s="55"/>
      <c r="HB20" s="55"/>
      <c r="HC20" s="55"/>
      <c r="HD20" s="55"/>
      <c r="HE20" s="55"/>
      <c r="HF20" s="55"/>
      <c r="HG20" s="55"/>
      <c r="HH20" s="55"/>
    </row>
    <row r="21" spans="1:216" x14ac:dyDescent="0.3">
      <c r="J21" s="55"/>
      <c r="R21" s="56"/>
      <c r="S21" s="58"/>
      <c r="AH21" s="56"/>
      <c r="AI21" s="58"/>
      <c r="AR21" s="56"/>
      <c r="AS21" s="58"/>
      <c r="CJ21" s="56"/>
      <c r="CK21" s="58"/>
      <c r="CZ21" s="56"/>
      <c r="DA21" s="58"/>
      <c r="DJ21" s="56"/>
      <c r="DK21" s="58"/>
      <c r="ER21" s="55"/>
      <c r="ES21" s="55"/>
      <c r="ET21" s="55"/>
      <c r="EU21" s="55"/>
      <c r="EV21" s="55"/>
      <c r="EW21" s="55"/>
      <c r="EX21" s="55"/>
      <c r="EY21" s="55"/>
      <c r="EZ21" s="55"/>
      <c r="FA21" s="55"/>
      <c r="FB21" s="56"/>
      <c r="FC21" s="58"/>
      <c r="FD21" s="55"/>
      <c r="FE21" s="55"/>
      <c r="FF21" s="55"/>
      <c r="FG21" s="55"/>
      <c r="FH21" s="55"/>
      <c r="FI21" s="55"/>
      <c r="FJ21" s="55"/>
      <c r="FK21" s="55"/>
      <c r="FL21" s="55"/>
      <c r="FM21" s="55"/>
      <c r="FN21" s="55"/>
      <c r="FO21" s="55"/>
      <c r="FP21" s="55"/>
      <c r="FQ21" s="55"/>
      <c r="FR21" s="56"/>
      <c r="FS21" s="58"/>
      <c r="FT21" s="55"/>
      <c r="FU21" s="55"/>
      <c r="FV21" s="55"/>
      <c r="FW21" s="55"/>
      <c r="FX21" s="55"/>
      <c r="FY21" s="55"/>
      <c r="FZ21" s="55"/>
      <c r="GA21" s="55"/>
      <c r="GB21" s="56"/>
      <c r="GC21" s="58"/>
      <c r="GD21" s="55"/>
      <c r="GE21" s="55"/>
      <c r="GF21" s="55"/>
      <c r="GG21" s="55"/>
      <c r="GH21" s="55"/>
      <c r="GI21" s="55"/>
      <c r="GJ21" s="55"/>
      <c r="GK21" s="55"/>
      <c r="GL21" s="55"/>
      <c r="GM21" s="55"/>
      <c r="GN21" s="55"/>
      <c r="GO21" s="55"/>
      <c r="GP21" s="55"/>
      <c r="GQ21" s="55"/>
      <c r="GR21" s="55"/>
      <c r="GS21" s="55"/>
      <c r="GT21" s="55"/>
      <c r="GU21" s="55"/>
      <c r="GV21" s="55"/>
      <c r="GW21" s="55"/>
      <c r="GX21" s="55"/>
      <c r="GY21" s="55"/>
      <c r="GZ21" s="55"/>
      <c r="HA21" s="55"/>
      <c r="HB21" s="55"/>
      <c r="HC21" s="55"/>
      <c r="HD21" s="55"/>
      <c r="HE21" s="55"/>
      <c r="HF21" s="55"/>
      <c r="HG21" s="55"/>
      <c r="HH21" s="55"/>
    </row>
    <row r="22" spans="1:216" x14ac:dyDescent="0.3">
      <c r="J22" s="55"/>
      <c r="R22" s="56"/>
      <c r="S22" s="58"/>
      <c r="AH22" s="56"/>
      <c r="AI22" s="58"/>
      <c r="AR22" s="56"/>
      <c r="AS22" s="58"/>
      <c r="CJ22" s="56"/>
      <c r="CK22" s="58"/>
      <c r="CZ22" s="56"/>
      <c r="DA22" s="58"/>
      <c r="DJ22" s="56"/>
      <c r="DK22" s="58"/>
      <c r="ER22" s="55"/>
      <c r="ES22" s="55"/>
      <c r="ET22" s="55"/>
      <c r="EU22" s="55"/>
      <c r="EV22" s="55"/>
      <c r="EW22" s="55"/>
      <c r="EX22" s="55"/>
      <c r="EY22" s="55"/>
      <c r="EZ22" s="55"/>
      <c r="FA22" s="55"/>
      <c r="FB22" s="56"/>
      <c r="FC22" s="58"/>
      <c r="FD22" s="55"/>
      <c r="FE22" s="55"/>
      <c r="FF22" s="55"/>
      <c r="FG22" s="55"/>
      <c r="FH22" s="55"/>
      <c r="FI22" s="55"/>
      <c r="FJ22" s="55"/>
      <c r="FK22" s="55"/>
      <c r="FL22" s="55"/>
      <c r="FM22" s="55"/>
      <c r="FN22" s="55"/>
      <c r="FO22" s="55"/>
      <c r="FP22" s="55"/>
      <c r="FQ22" s="55"/>
      <c r="FR22" s="56"/>
      <c r="FS22" s="58"/>
      <c r="FT22" s="55"/>
      <c r="FU22" s="55"/>
      <c r="FV22" s="55"/>
      <c r="FW22" s="55"/>
      <c r="FX22" s="55"/>
      <c r="FY22" s="55"/>
      <c r="FZ22" s="55"/>
      <c r="GA22" s="55"/>
      <c r="GB22" s="56"/>
      <c r="GC22" s="58"/>
      <c r="GD22" s="55"/>
      <c r="GE22" s="55"/>
      <c r="GF22" s="55"/>
      <c r="GG22" s="55"/>
      <c r="GH22" s="55"/>
      <c r="GI22" s="55"/>
      <c r="GJ22" s="55"/>
      <c r="GK22" s="55"/>
      <c r="GL22" s="55"/>
      <c r="GM22" s="55"/>
      <c r="GN22" s="55"/>
      <c r="GO22" s="55"/>
      <c r="GP22" s="55"/>
      <c r="GQ22" s="55"/>
      <c r="GR22" s="55"/>
      <c r="GS22" s="55"/>
      <c r="GT22" s="55"/>
      <c r="GU22" s="55"/>
      <c r="GV22" s="55"/>
      <c r="GW22" s="55"/>
      <c r="GX22" s="55"/>
      <c r="GY22" s="55"/>
      <c r="GZ22" s="55"/>
      <c r="HA22" s="55"/>
      <c r="HB22" s="55"/>
      <c r="HC22" s="55"/>
      <c r="HD22" s="55"/>
      <c r="HE22" s="55"/>
      <c r="HF22" s="55"/>
      <c r="HG22" s="55"/>
      <c r="HH22" s="55"/>
    </row>
    <row r="23" spans="1:216" x14ac:dyDescent="0.3">
      <c r="A23" s="2">
        <v>10</v>
      </c>
      <c r="B23" s="2" t="s">
        <v>109</v>
      </c>
      <c r="C23" s="2" t="s">
        <v>113</v>
      </c>
      <c r="D23" s="2" t="s">
        <v>292</v>
      </c>
      <c r="E23" s="35" t="s">
        <v>154</v>
      </c>
      <c r="I23" s="55" t="s">
        <v>271</v>
      </c>
      <c r="J23" s="55" t="s">
        <v>272</v>
      </c>
      <c r="K23" s="55" t="s">
        <v>271</v>
      </c>
      <c r="L23" s="55" t="s">
        <v>272</v>
      </c>
      <c r="M23" s="55" t="s">
        <v>271</v>
      </c>
      <c r="N23" s="55" t="s">
        <v>272</v>
      </c>
      <c r="O23" s="55" t="s">
        <v>271</v>
      </c>
      <c r="P23" s="55" t="s">
        <v>272</v>
      </c>
      <c r="Q23" s="57" t="s">
        <v>271</v>
      </c>
      <c r="R23" s="55" t="s">
        <v>272</v>
      </c>
      <c r="S23" s="55" t="s">
        <v>271</v>
      </c>
      <c r="T23" s="55" t="s">
        <v>272</v>
      </c>
      <c r="U23" s="57" t="s">
        <v>271</v>
      </c>
      <c r="V23" s="55" t="s">
        <v>272</v>
      </c>
      <c r="W23" s="55" t="s">
        <v>271</v>
      </c>
      <c r="X23" s="55" t="s">
        <v>272</v>
      </c>
      <c r="Y23" s="57" t="s">
        <v>271</v>
      </c>
      <c r="Z23" s="55" t="s">
        <v>272</v>
      </c>
      <c r="AA23" s="55" t="s">
        <v>271</v>
      </c>
      <c r="AB23" s="55" t="s">
        <v>272</v>
      </c>
      <c r="AC23" s="55" t="s">
        <v>271</v>
      </c>
      <c r="AD23" s="55" t="s">
        <v>272</v>
      </c>
      <c r="AE23" s="55" t="s">
        <v>271</v>
      </c>
      <c r="AF23" s="55" t="s">
        <v>272</v>
      </c>
      <c r="AG23" s="55" t="s">
        <v>271</v>
      </c>
      <c r="AH23" s="55" t="s">
        <v>272</v>
      </c>
      <c r="AI23" s="55" t="s">
        <v>271</v>
      </c>
      <c r="AJ23" s="55" t="s">
        <v>272</v>
      </c>
      <c r="AK23" s="55" t="s">
        <v>271</v>
      </c>
      <c r="AL23" s="55" t="s">
        <v>272</v>
      </c>
      <c r="AM23" s="55" t="s">
        <v>271</v>
      </c>
      <c r="AN23" s="55" t="s">
        <v>272</v>
      </c>
      <c r="AO23" s="55" t="s">
        <v>271</v>
      </c>
      <c r="AP23" s="55" t="s">
        <v>272</v>
      </c>
      <c r="AQ23" s="55" t="s">
        <v>271</v>
      </c>
      <c r="AR23" s="55" t="s">
        <v>272</v>
      </c>
      <c r="AS23" s="55" t="s">
        <v>271</v>
      </c>
      <c r="AT23" s="55" t="s">
        <v>272</v>
      </c>
      <c r="AU23" s="55" t="s">
        <v>271</v>
      </c>
      <c r="AV23" s="55" t="s">
        <v>272</v>
      </c>
      <c r="AW23" s="55" t="s">
        <v>271</v>
      </c>
      <c r="AX23" s="55" t="s">
        <v>272</v>
      </c>
      <c r="AY23" s="55" t="s">
        <v>271</v>
      </c>
      <c r="AZ23" s="55" t="s">
        <v>272</v>
      </c>
      <c r="CA23" s="55" t="s">
        <v>271</v>
      </c>
      <c r="CB23" s="55" t="s">
        <v>272</v>
      </c>
      <c r="CC23" s="55" t="s">
        <v>271</v>
      </c>
      <c r="CD23" s="55" t="s">
        <v>272</v>
      </c>
      <c r="CE23" s="55" t="s">
        <v>271</v>
      </c>
      <c r="CF23" s="55" t="s">
        <v>272</v>
      </c>
      <c r="CG23" s="55" t="s">
        <v>271</v>
      </c>
      <c r="CH23" s="55" t="s">
        <v>272</v>
      </c>
      <c r="CI23" s="55" t="s">
        <v>271</v>
      </c>
      <c r="CJ23" s="55" t="s">
        <v>272</v>
      </c>
      <c r="CK23" s="55" t="s">
        <v>271</v>
      </c>
      <c r="CL23" s="55" t="s">
        <v>272</v>
      </c>
      <c r="CM23" s="55" t="s">
        <v>271</v>
      </c>
      <c r="CN23" s="55" t="s">
        <v>272</v>
      </c>
      <c r="CO23" s="55" t="s">
        <v>271</v>
      </c>
      <c r="CP23" s="55" t="s">
        <v>272</v>
      </c>
      <c r="CQ23" s="55" t="s">
        <v>271</v>
      </c>
      <c r="CR23" s="55" t="s">
        <v>272</v>
      </c>
      <c r="CS23" s="55" t="s">
        <v>271</v>
      </c>
      <c r="CT23" s="55" t="s">
        <v>272</v>
      </c>
      <c r="CU23" s="55" t="s">
        <v>271</v>
      </c>
      <c r="CV23" s="55" t="s">
        <v>272</v>
      </c>
      <c r="CW23" s="55" t="s">
        <v>271</v>
      </c>
      <c r="CX23" s="55" t="s">
        <v>272</v>
      </c>
      <c r="CY23" s="55" t="s">
        <v>271</v>
      </c>
      <c r="CZ23" s="55" t="s">
        <v>272</v>
      </c>
      <c r="DA23" s="55" t="s">
        <v>271</v>
      </c>
      <c r="DB23" s="55" t="s">
        <v>272</v>
      </c>
      <c r="DC23" s="55" t="s">
        <v>271</v>
      </c>
      <c r="DD23" s="55" t="s">
        <v>272</v>
      </c>
      <c r="DE23" s="55" t="s">
        <v>271</v>
      </c>
      <c r="DF23" s="55" t="s">
        <v>272</v>
      </c>
      <c r="DG23" s="55" t="s">
        <v>271</v>
      </c>
      <c r="DH23" s="55" t="s">
        <v>272</v>
      </c>
      <c r="DI23" s="55" t="s">
        <v>271</v>
      </c>
      <c r="DJ23" s="55" t="s">
        <v>272</v>
      </c>
      <c r="DK23" s="55" t="s">
        <v>271</v>
      </c>
      <c r="DL23" s="55" t="s">
        <v>272</v>
      </c>
      <c r="DM23" s="55" t="s">
        <v>271</v>
      </c>
      <c r="DN23" s="55" t="s">
        <v>272</v>
      </c>
      <c r="DO23" s="55" t="s">
        <v>271</v>
      </c>
      <c r="DP23" s="55" t="s">
        <v>272</v>
      </c>
      <c r="DQ23" s="55" t="s">
        <v>271</v>
      </c>
      <c r="DR23" s="55" t="s">
        <v>272</v>
      </c>
      <c r="ER23" s="55"/>
      <c r="ES23" s="55" t="s">
        <v>271</v>
      </c>
      <c r="ET23" s="55" t="s">
        <v>272</v>
      </c>
      <c r="EU23" s="55" t="s">
        <v>271</v>
      </c>
      <c r="EV23" s="55" t="s">
        <v>272</v>
      </c>
      <c r="EW23" s="55" t="s">
        <v>271</v>
      </c>
      <c r="EX23" s="55" t="s">
        <v>272</v>
      </c>
      <c r="EY23" s="55" t="s">
        <v>271</v>
      </c>
      <c r="EZ23" s="55" t="s">
        <v>272</v>
      </c>
      <c r="FA23" s="55" t="s">
        <v>271</v>
      </c>
      <c r="FB23" s="55" t="s">
        <v>272</v>
      </c>
      <c r="FC23" s="55" t="s">
        <v>271</v>
      </c>
      <c r="FD23" s="55" t="s">
        <v>272</v>
      </c>
      <c r="FE23" s="55" t="s">
        <v>271</v>
      </c>
      <c r="FF23" s="55" t="s">
        <v>272</v>
      </c>
      <c r="FG23" s="55" t="s">
        <v>271</v>
      </c>
      <c r="FH23" s="55" t="s">
        <v>272</v>
      </c>
      <c r="FI23" s="55" t="s">
        <v>271</v>
      </c>
      <c r="FJ23" s="55" t="s">
        <v>272</v>
      </c>
      <c r="FK23" s="55" t="s">
        <v>271</v>
      </c>
      <c r="FL23" s="55" t="s">
        <v>272</v>
      </c>
      <c r="FM23" s="55" t="s">
        <v>271</v>
      </c>
      <c r="FN23" s="55" t="s">
        <v>272</v>
      </c>
      <c r="FO23" s="55" t="s">
        <v>271</v>
      </c>
      <c r="FP23" s="55" t="s">
        <v>272</v>
      </c>
      <c r="FQ23" s="55" t="s">
        <v>271</v>
      </c>
      <c r="FR23" s="55" t="s">
        <v>272</v>
      </c>
      <c r="FS23" s="55" t="s">
        <v>271</v>
      </c>
      <c r="FT23" s="55" t="s">
        <v>272</v>
      </c>
      <c r="FU23" s="55" t="s">
        <v>271</v>
      </c>
      <c r="FV23" s="55" t="s">
        <v>272</v>
      </c>
      <c r="FW23" s="55" t="s">
        <v>271</v>
      </c>
      <c r="FX23" s="55" t="s">
        <v>272</v>
      </c>
      <c r="FY23" s="55" t="s">
        <v>271</v>
      </c>
      <c r="FZ23" s="55" t="s">
        <v>272</v>
      </c>
      <c r="GA23" s="55" t="s">
        <v>271</v>
      </c>
      <c r="GB23" s="55" t="s">
        <v>272</v>
      </c>
      <c r="GC23" s="55" t="s">
        <v>271</v>
      </c>
      <c r="GD23" s="55" t="s">
        <v>272</v>
      </c>
      <c r="GE23" s="55" t="s">
        <v>271</v>
      </c>
      <c r="GF23" s="55" t="s">
        <v>272</v>
      </c>
      <c r="GG23" s="55" t="s">
        <v>271</v>
      </c>
      <c r="GH23" s="55" t="s">
        <v>272</v>
      </c>
      <c r="GI23" s="55" t="s">
        <v>271</v>
      </c>
      <c r="GJ23" s="55" t="s">
        <v>272</v>
      </c>
      <c r="GK23" s="55"/>
      <c r="GL23" s="55"/>
      <c r="GM23" s="55"/>
      <c r="GN23" s="55"/>
      <c r="GO23" s="55"/>
      <c r="GP23" s="55"/>
      <c r="GQ23" s="55"/>
      <c r="GR23" s="55"/>
      <c r="GS23" s="55"/>
      <c r="GT23" s="55"/>
      <c r="GU23" s="55"/>
      <c r="GV23" s="55"/>
      <c r="GW23" s="55"/>
      <c r="GX23" s="55"/>
      <c r="GY23" s="55"/>
      <c r="GZ23" s="55"/>
      <c r="HA23" s="55"/>
      <c r="HB23" s="55"/>
      <c r="HC23" s="55"/>
      <c r="HD23" s="55"/>
      <c r="HE23" s="55"/>
      <c r="HF23" s="55"/>
      <c r="HG23" s="55"/>
      <c r="HH23" s="55"/>
    </row>
    <row r="24" spans="1:216" x14ac:dyDescent="0.3">
      <c r="B24" s="2">
        <v>1</v>
      </c>
      <c r="C24" s="35" t="s">
        <v>110</v>
      </c>
      <c r="D24" s="41">
        <f>+D37</f>
        <v>0</v>
      </c>
      <c r="E24" s="66">
        <f t="shared" ref="E24:E33" si="0">TRUNC(+D24*3.3058,-1)</f>
        <v>0</v>
      </c>
      <c r="H24" s="55">
        <f>+E24*1.1</f>
        <v>0</v>
      </c>
      <c r="I24" s="55">
        <f>+H24</f>
        <v>0</v>
      </c>
      <c r="J24" s="59">
        <f>+I24*3.3058</f>
        <v>0</v>
      </c>
      <c r="K24" s="55">
        <f>+I24*BD24</f>
        <v>0</v>
      </c>
      <c r="L24" s="59">
        <f>+K24*3.3058</f>
        <v>0</v>
      </c>
      <c r="M24" s="55">
        <f>+I24*BE24</f>
        <v>0</v>
      </c>
      <c r="N24" s="59">
        <f>+M24*3.3058</f>
        <v>0</v>
      </c>
      <c r="O24" s="55">
        <f t="shared" ref="O24:O34" si="1">+I24*BF24</f>
        <v>0</v>
      </c>
      <c r="P24" s="59">
        <f>+O24*3.3058</f>
        <v>0</v>
      </c>
      <c r="Q24" s="57">
        <f t="shared" ref="Q24:Q34" si="2">+I24*BG24</f>
        <v>0</v>
      </c>
      <c r="R24" s="59">
        <f>+Q24*3.3058</f>
        <v>0</v>
      </c>
      <c r="S24" s="55">
        <f t="shared" ref="S24:S34" si="3">+I24*BH24</f>
        <v>0</v>
      </c>
      <c r="T24" s="59">
        <f>+S24*3.3058</f>
        <v>0</v>
      </c>
      <c r="U24" s="57">
        <f t="shared" ref="U24:U34" si="4">+I24*BI24</f>
        <v>0</v>
      </c>
      <c r="V24" s="59">
        <f>+U24*3.3058</f>
        <v>0</v>
      </c>
      <c r="W24" s="60">
        <f t="shared" ref="W24:W34" si="5">+I24*BJ24</f>
        <v>0</v>
      </c>
      <c r="X24" s="59">
        <f>+W24*3.3058</f>
        <v>0</v>
      </c>
      <c r="Y24" s="57">
        <f t="shared" ref="Y24:Y34" si="6">+I24*BK24</f>
        <v>0</v>
      </c>
      <c r="Z24" s="59">
        <f>+Y24*3.3058</f>
        <v>0</v>
      </c>
      <c r="AA24" s="55">
        <f t="shared" ref="AA24:AA34" si="7">+I24*BL24</f>
        <v>0</v>
      </c>
      <c r="AB24" s="59">
        <f>+AA24*3.3058</f>
        <v>0</v>
      </c>
      <c r="AC24" s="60">
        <f t="shared" ref="AC24:AC34" si="8">+I24*BM24</f>
        <v>0</v>
      </c>
      <c r="AD24" s="59">
        <f>+AC24*3.3058</f>
        <v>0</v>
      </c>
      <c r="AE24" s="60">
        <f t="shared" ref="AE24:AE34" si="9">+I24*BN24</f>
        <v>0</v>
      </c>
      <c r="AF24" s="59">
        <f>+AE24*3.3058</f>
        <v>0</v>
      </c>
      <c r="AG24" s="60">
        <f t="shared" ref="AG24:AG34" si="10">+I24*BO24</f>
        <v>0</v>
      </c>
      <c r="AH24" s="59">
        <f>+AG24*3.3058</f>
        <v>0</v>
      </c>
      <c r="AI24" s="55">
        <f t="shared" ref="AI24:AI34" si="11">+I24*BP24</f>
        <v>0</v>
      </c>
      <c r="AJ24" s="59">
        <f>+AI24*3.3058</f>
        <v>0</v>
      </c>
      <c r="AK24" s="60">
        <f t="shared" ref="AK24:AK34" si="12">+I24*BQ24</f>
        <v>0</v>
      </c>
      <c r="AL24" s="59">
        <f>+AK24*3.3058</f>
        <v>0</v>
      </c>
      <c r="AM24" s="60">
        <f t="shared" ref="AM24:AM34" si="13">+I24*BR24</f>
        <v>0</v>
      </c>
      <c r="AN24" s="59">
        <f>+AM24*3.3058</f>
        <v>0</v>
      </c>
      <c r="AO24" s="60">
        <f t="shared" ref="AO24:AO34" si="14">+I24*BS24</f>
        <v>0</v>
      </c>
      <c r="AP24" s="59">
        <f>+AO24*3.3058</f>
        <v>0</v>
      </c>
      <c r="AQ24" s="60">
        <f t="shared" ref="AQ24:AQ34" si="15">+I24*BT24</f>
        <v>0</v>
      </c>
      <c r="AR24" s="59">
        <f>+AQ24*3.3058</f>
        <v>0</v>
      </c>
      <c r="AS24" s="55">
        <f t="shared" ref="AS24:AS34" si="16">+I24*BU24</f>
        <v>0</v>
      </c>
      <c r="AT24" s="59">
        <f>+AS24*3.3058</f>
        <v>0</v>
      </c>
      <c r="AU24" s="60">
        <f t="shared" ref="AU24:AU34" si="17">+I24*BV24</f>
        <v>0</v>
      </c>
      <c r="AV24" s="59">
        <f>+AU24*3.3058</f>
        <v>0</v>
      </c>
      <c r="AW24" s="60">
        <f t="shared" ref="AW24:AW34" si="18">+I24*BW24</f>
        <v>0</v>
      </c>
      <c r="AX24" s="59">
        <f>+AW24*3.3058</f>
        <v>0</v>
      </c>
      <c r="AY24" s="55">
        <f t="shared" ref="AY24:AY34" si="19">+I24*BX24</f>
        <v>0</v>
      </c>
      <c r="AZ24" s="59">
        <f>+AY24*3.3058</f>
        <v>0</v>
      </c>
      <c r="BC24" s="55">
        <v>1</v>
      </c>
      <c r="BD24" s="55">
        <v>0.97</v>
      </c>
      <c r="BE24" s="55">
        <v>0.95</v>
      </c>
      <c r="BF24" s="55">
        <v>0.93</v>
      </c>
      <c r="BG24" s="55">
        <f>+BF24-0.02</f>
        <v>0.91</v>
      </c>
      <c r="BH24" s="55">
        <f t="shared" ref="BH24:BX24" si="20">+BG24-0.02</f>
        <v>0.89</v>
      </c>
      <c r="BI24" s="55">
        <f t="shared" si="20"/>
        <v>0.87</v>
      </c>
      <c r="BJ24" s="55">
        <f t="shared" si="20"/>
        <v>0.85</v>
      </c>
      <c r="BK24" s="55">
        <f t="shared" si="20"/>
        <v>0.83</v>
      </c>
      <c r="BL24" s="55">
        <f t="shared" si="20"/>
        <v>0.80999999999999994</v>
      </c>
      <c r="BM24" s="55">
        <f t="shared" si="20"/>
        <v>0.78999999999999992</v>
      </c>
      <c r="BN24" s="55">
        <f t="shared" si="20"/>
        <v>0.76999999999999991</v>
      </c>
      <c r="BO24" s="55">
        <f t="shared" si="20"/>
        <v>0.74999999999999989</v>
      </c>
      <c r="BP24" s="55">
        <f t="shared" si="20"/>
        <v>0.72999999999999987</v>
      </c>
      <c r="BQ24" s="55">
        <f t="shared" si="20"/>
        <v>0.70999999999999985</v>
      </c>
      <c r="BR24" s="55">
        <f t="shared" si="20"/>
        <v>0.68999999999999984</v>
      </c>
      <c r="BS24" s="55">
        <f t="shared" si="20"/>
        <v>0.66999999999999982</v>
      </c>
      <c r="BT24" s="55">
        <f t="shared" si="20"/>
        <v>0.6499999999999998</v>
      </c>
      <c r="BU24" s="55">
        <f t="shared" si="20"/>
        <v>0.62999999999999978</v>
      </c>
      <c r="BV24" s="55">
        <f t="shared" si="20"/>
        <v>0.60999999999999976</v>
      </c>
      <c r="BW24" s="55">
        <f t="shared" si="20"/>
        <v>0.58999999999999975</v>
      </c>
      <c r="BX24" s="55">
        <f t="shared" si="20"/>
        <v>0.56999999999999973</v>
      </c>
      <c r="BZ24" s="55">
        <f>+H24*0.91</f>
        <v>0</v>
      </c>
      <c r="CA24" s="55">
        <f>+BZ24</f>
        <v>0</v>
      </c>
      <c r="CB24" s="59">
        <f>+CA24*3.3058</f>
        <v>0</v>
      </c>
      <c r="CC24" s="55">
        <f>+CA24*DV24</f>
        <v>0</v>
      </c>
      <c r="CD24" s="59">
        <f>+CC24*3.3058</f>
        <v>0</v>
      </c>
      <c r="CE24" s="55">
        <f>+CA24*DW24</f>
        <v>0</v>
      </c>
      <c r="CF24" s="59">
        <f>+CE24*3.3058</f>
        <v>0</v>
      </c>
      <c r="CG24" s="55">
        <f t="shared" ref="CG24:CG34" si="21">+CA24*DX24</f>
        <v>0</v>
      </c>
      <c r="CH24" s="59">
        <f>+CG24*3.3058</f>
        <v>0</v>
      </c>
      <c r="CI24" s="57">
        <f t="shared" ref="CI24:CI34" si="22">+CA24*DY24</f>
        <v>0</v>
      </c>
      <c r="CJ24" s="59">
        <f>+CI24*3.3058</f>
        <v>0</v>
      </c>
      <c r="CK24" s="55">
        <f t="shared" ref="CK24:CK34" si="23">+CA24*DZ24</f>
        <v>0</v>
      </c>
      <c r="CL24" s="59">
        <f>+CK24*3.3058</f>
        <v>0</v>
      </c>
      <c r="CM24" s="57">
        <f t="shared" ref="CM24:CM34" si="24">+CA24*EA24</f>
        <v>0</v>
      </c>
      <c r="CN24" s="59">
        <f>+CM24*3.3058</f>
        <v>0</v>
      </c>
      <c r="CO24" s="60">
        <f t="shared" ref="CO24:CO34" si="25">+CA24*EB24</f>
        <v>0</v>
      </c>
      <c r="CP24" s="59">
        <f>+CO24*3.3058</f>
        <v>0</v>
      </c>
      <c r="CQ24" s="57">
        <f t="shared" ref="CQ24:CQ34" si="26">+CA24*EC24</f>
        <v>0</v>
      </c>
      <c r="CR24" s="59">
        <f>+CQ24*3.3058</f>
        <v>0</v>
      </c>
      <c r="CS24" s="55">
        <f t="shared" ref="CS24:CS34" si="27">+CA24*ED24</f>
        <v>0</v>
      </c>
      <c r="CT24" s="59">
        <f>+CS24*3.3058</f>
        <v>0</v>
      </c>
      <c r="CU24" s="60">
        <f t="shared" ref="CU24:CU34" si="28">+CA24*EE24</f>
        <v>0</v>
      </c>
      <c r="CV24" s="59">
        <f>+CU24*3.3058</f>
        <v>0</v>
      </c>
      <c r="CW24" s="60">
        <f t="shared" ref="CW24:CW34" si="29">+CA24*EF24</f>
        <v>0</v>
      </c>
      <c r="CX24" s="59">
        <f>+CW24*3.3058</f>
        <v>0</v>
      </c>
      <c r="CY24" s="60">
        <f t="shared" ref="CY24:CY34" si="30">+CA24*EG24</f>
        <v>0</v>
      </c>
      <c r="CZ24" s="59">
        <f>+CY24*3.3058</f>
        <v>0</v>
      </c>
      <c r="DA24" s="55">
        <f t="shared" ref="DA24:DA34" si="31">+CA24*EH24</f>
        <v>0</v>
      </c>
      <c r="DB24" s="59">
        <f>+DA24*3.3058</f>
        <v>0</v>
      </c>
      <c r="DC24" s="60">
        <f t="shared" ref="DC24:DC34" si="32">+CA24*EI24</f>
        <v>0</v>
      </c>
      <c r="DD24" s="59">
        <f>+DC24*3.3058</f>
        <v>0</v>
      </c>
      <c r="DE24" s="60">
        <f t="shared" ref="DE24:DE34" si="33">+CA24*EJ24</f>
        <v>0</v>
      </c>
      <c r="DF24" s="59">
        <f>+DE24*3.3058</f>
        <v>0</v>
      </c>
      <c r="DG24" s="60">
        <f t="shared" ref="DG24:DG34" si="34">+CA24*EK24</f>
        <v>0</v>
      </c>
      <c r="DH24" s="59">
        <f>+DG24*3.3058</f>
        <v>0</v>
      </c>
      <c r="DI24" s="60">
        <f t="shared" ref="DI24:DI34" si="35">+CA24*EL24</f>
        <v>0</v>
      </c>
      <c r="DJ24" s="59">
        <f>+DI24*3.3058</f>
        <v>0</v>
      </c>
      <c r="DK24" s="55">
        <f t="shared" ref="DK24:DK34" si="36">+CA24*EM24</f>
        <v>0</v>
      </c>
      <c r="DL24" s="59">
        <f>+DK24*3.3058</f>
        <v>0</v>
      </c>
      <c r="DM24" s="60">
        <f t="shared" ref="DM24:DM34" si="37">+CA24*EN24</f>
        <v>0</v>
      </c>
      <c r="DN24" s="59">
        <f>+DM24*3.3058</f>
        <v>0</v>
      </c>
      <c r="DO24" s="60">
        <f t="shared" ref="DO24:DO34" si="38">+CA24*EO24</f>
        <v>0</v>
      </c>
      <c r="DP24" s="59">
        <f>+DO24*3.3058</f>
        <v>0</v>
      </c>
      <c r="DQ24" s="55">
        <f t="shared" ref="DQ24:DQ34" si="39">+CA24*EP24</f>
        <v>0</v>
      </c>
      <c r="DR24" s="59">
        <f>+DQ24*3.3058</f>
        <v>0</v>
      </c>
      <c r="DU24" s="55">
        <v>1</v>
      </c>
      <c r="DV24" s="55">
        <v>0.97</v>
      </c>
      <c r="DW24" s="55">
        <v>0.95</v>
      </c>
      <c r="DX24" s="55">
        <v>0.93</v>
      </c>
      <c r="DY24" s="55">
        <f>+DX24-0.02</f>
        <v>0.91</v>
      </c>
      <c r="DZ24" s="55">
        <f t="shared" ref="DZ24:EP24" si="40">+DY24-0.02</f>
        <v>0.89</v>
      </c>
      <c r="EA24" s="55">
        <f t="shared" si="40"/>
        <v>0.87</v>
      </c>
      <c r="EB24" s="55">
        <f t="shared" si="40"/>
        <v>0.85</v>
      </c>
      <c r="EC24" s="55">
        <f t="shared" si="40"/>
        <v>0.83</v>
      </c>
      <c r="ED24" s="55">
        <f t="shared" si="40"/>
        <v>0.80999999999999994</v>
      </c>
      <c r="EE24" s="55">
        <f t="shared" si="40"/>
        <v>0.78999999999999992</v>
      </c>
      <c r="EF24" s="55">
        <f t="shared" si="40"/>
        <v>0.76999999999999991</v>
      </c>
      <c r="EG24" s="55">
        <f t="shared" si="40"/>
        <v>0.74999999999999989</v>
      </c>
      <c r="EH24" s="55">
        <f t="shared" si="40"/>
        <v>0.72999999999999987</v>
      </c>
      <c r="EI24" s="55">
        <f t="shared" si="40"/>
        <v>0.70999999999999985</v>
      </c>
      <c r="EJ24" s="55">
        <f t="shared" si="40"/>
        <v>0.68999999999999984</v>
      </c>
      <c r="EK24" s="55">
        <f t="shared" si="40"/>
        <v>0.66999999999999982</v>
      </c>
      <c r="EL24" s="55">
        <f t="shared" si="40"/>
        <v>0.6499999999999998</v>
      </c>
      <c r="EM24" s="55">
        <f t="shared" si="40"/>
        <v>0.62999999999999978</v>
      </c>
      <c r="EN24" s="55">
        <f t="shared" si="40"/>
        <v>0.60999999999999976</v>
      </c>
      <c r="EO24" s="55">
        <f t="shared" si="40"/>
        <v>0.58999999999999975</v>
      </c>
      <c r="EP24" s="55">
        <f t="shared" si="40"/>
        <v>0.56999999999999973</v>
      </c>
      <c r="ER24" s="55">
        <f>+BZ24*0.91</f>
        <v>0</v>
      </c>
      <c r="ES24" s="55">
        <f>+ER24</f>
        <v>0</v>
      </c>
      <c r="ET24" s="59">
        <f>+ES24*3.3058</f>
        <v>0</v>
      </c>
      <c r="EU24" s="55">
        <f>+ES24*GN24</f>
        <v>0</v>
      </c>
      <c r="EV24" s="59">
        <f>+EU24*3.3058</f>
        <v>0</v>
      </c>
      <c r="EW24" s="55">
        <f>+ES24*GO24</f>
        <v>0</v>
      </c>
      <c r="EX24" s="59">
        <f>+EW24*3.3058</f>
        <v>0</v>
      </c>
      <c r="EY24" s="55">
        <f t="shared" ref="EY24:EY34" si="41">+ES24*GP24</f>
        <v>0</v>
      </c>
      <c r="EZ24" s="59">
        <f>+EY24*3.3058</f>
        <v>0</v>
      </c>
      <c r="FA24" s="57">
        <f t="shared" ref="FA24:FA34" si="42">+ES24*GQ24</f>
        <v>0</v>
      </c>
      <c r="FB24" s="59">
        <f>+FA24*3.3058</f>
        <v>0</v>
      </c>
      <c r="FC24" s="55">
        <f t="shared" ref="FC24:FC34" si="43">+ES24*GR24</f>
        <v>0</v>
      </c>
      <c r="FD24" s="59">
        <f>+FC24*3.3058</f>
        <v>0</v>
      </c>
      <c r="FE24" s="57">
        <f t="shared" ref="FE24:FE34" si="44">+ES24*GS24</f>
        <v>0</v>
      </c>
      <c r="FF24" s="59">
        <f>+FE24*3.3058</f>
        <v>0</v>
      </c>
      <c r="FG24" s="60">
        <f t="shared" ref="FG24:FG34" si="45">+ES24*GT24</f>
        <v>0</v>
      </c>
      <c r="FH24" s="59">
        <f>+FG24*3.3058</f>
        <v>0</v>
      </c>
      <c r="FI24" s="57">
        <f t="shared" ref="FI24:FI34" si="46">+ES24*GU24</f>
        <v>0</v>
      </c>
      <c r="FJ24" s="59">
        <f>+FI24*3.3058</f>
        <v>0</v>
      </c>
      <c r="FK24" s="55">
        <f t="shared" ref="FK24:FK34" si="47">+ES24*GV24</f>
        <v>0</v>
      </c>
      <c r="FL24" s="59">
        <f>+FK24*3.3058</f>
        <v>0</v>
      </c>
      <c r="FM24" s="60">
        <f t="shared" ref="FM24:FM34" si="48">+ES24*GW24</f>
        <v>0</v>
      </c>
      <c r="FN24" s="59">
        <f>+FM24*3.3058</f>
        <v>0</v>
      </c>
      <c r="FO24" s="60">
        <f t="shared" ref="FO24:FO34" si="49">+ES24*GX24</f>
        <v>0</v>
      </c>
      <c r="FP24" s="59">
        <f>+FO24*3.3058</f>
        <v>0</v>
      </c>
      <c r="FQ24" s="60">
        <f t="shared" ref="FQ24:FQ34" si="50">+ES24*GY24</f>
        <v>0</v>
      </c>
      <c r="FR24" s="59">
        <f>+FQ24*3.3058</f>
        <v>0</v>
      </c>
      <c r="FS24" s="55">
        <f t="shared" ref="FS24:FS34" si="51">+ES24*GZ24</f>
        <v>0</v>
      </c>
      <c r="FT24" s="59">
        <f>+FS24*3.3058</f>
        <v>0</v>
      </c>
      <c r="FU24" s="60">
        <f t="shared" ref="FU24:FU34" si="52">+ES24*HA24</f>
        <v>0</v>
      </c>
      <c r="FV24" s="59">
        <f>+FU24*3.3058</f>
        <v>0</v>
      </c>
      <c r="FW24" s="60">
        <f t="shared" ref="FW24:FW34" si="53">+ES24*HB24</f>
        <v>0</v>
      </c>
      <c r="FX24" s="59">
        <f>+FW24*3.3058</f>
        <v>0</v>
      </c>
      <c r="FY24" s="60">
        <f t="shared" ref="FY24:FY34" si="54">+ES24*HC24</f>
        <v>0</v>
      </c>
      <c r="FZ24" s="59">
        <f>+FY24*3.3058</f>
        <v>0</v>
      </c>
      <c r="GA24" s="60">
        <f t="shared" ref="GA24:GA34" si="55">+ES24*HD24</f>
        <v>0</v>
      </c>
      <c r="GB24" s="59">
        <f>+GA24*3.3058</f>
        <v>0</v>
      </c>
      <c r="GC24" s="55">
        <f t="shared" ref="GC24:GC34" si="56">+ES24*HE24</f>
        <v>0</v>
      </c>
      <c r="GD24" s="59">
        <f>+GC24*3.3058</f>
        <v>0</v>
      </c>
      <c r="GE24" s="60">
        <f t="shared" ref="GE24:GE34" si="57">+ES24*HF24</f>
        <v>0</v>
      </c>
      <c r="GF24" s="59">
        <f>+GE24*3.3058</f>
        <v>0</v>
      </c>
      <c r="GG24" s="60">
        <f t="shared" ref="GG24:GG34" si="58">+ES24*HG24</f>
        <v>0</v>
      </c>
      <c r="GH24" s="59">
        <f>+GG24*3.3058</f>
        <v>0</v>
      </c>
      <c r="GI24" s="55">
        <f t="shared" ref="GI24:GI34" si="59">+ES24*HH24</f>
        <v>0</v>
      </c>
      <c r="GJ24" s="59">
        <f>+GI24*3.3058</f>
        <v>0</v>
      </c>
      <c r="GK24" s="55"/>
      <c r="GL24" s="55"/>
      <c r="GM24" s="55">
        <v>1</v>
      </c>
      <c r="GN24" s="55">
        <v>0.97</v>
      </c>
      <c r="GO24" s="55">
        <v>0.95</v>
      </c>
      <c r="GP24" s="55">
        <v>0.93</v>
      </c>
      <c r="GQ24" s="55">
        <f>+GP24-0.02</f>
        <v>0.91</v>
      </c>
      <c r="GR24" s="55">
        <f t="shared" ref="GR24:HH24" si="60">+GQ24-0.02</f>
        <v>0.89</v>
      </c>
      <c r="GS24" s="55">
        <f t="shared" si="60"/>
        <v>0.87</v>
      </c>
      <c r="GT24" s="55">
        <f t="shared" si="60"/>
        <v>0.85</v>
      </c>
      <c r="GU24" s="55">
        <f t="shared" si="60"/>
        <v>0.83</v>
      </c>
      <c r="GV24" s="55">
        <f t="shared" si="60"/>
        <v>0.80999999999999994</v>
      </c>
      <c r="GW24" s="55">
        <f t="shared" si="60"/>
        <v>0.78999999999999992</v>
      </c>
      <c r="GX24" s="55">
        <f t="shared" si="60"/>
        <v>0.76999999999999991</v>
      </c>
      <c r="GY24" s="55">
        <f t="shared" si="60"/>
        <v>0.74999999999999989</v>
      </c>
      <c r="GZ24" s="55">
        <f t="shared" si="60"/>
        <v>0.72999999999999987</v>
      </c>
      <c r="HA24" s="55">
        <f t="shared" si="60"/>
        <v>0.70999999999999985</v>
      </c>
      <c r="HB24" s="55">
        <f t="shared" si="60"/>
        <v>0.68999999999999984</v>
      </c>
      <c r="HC24" s="55">
        <f t="shared" si="60"/>
        <v>0.66999999999999982</v>
      </c>
      <c r="HD24" s="55">
        <f t="shared" si="60"/>
        <v>0.6499999999999998</v>
      </c>
      <c r="HE24" s="55">
        <f t="shared" si="60"/>
        <v>0.62999999999999978</v>
      </c>
      <c r="HF24" s="55">
        <f t="shared" si="60"/>
        <v>0.60999999999999976</v>
      </c>
      <c r="HG24" s="55">
        <f t="shared" si="60"/>
        <v>0.58999999999999975</v>
      </c>
      <c r="HH24" s="55">
        <f t="shared" si="60"/>
        <v>0.56999999999999973</v>
      </c>
    </row>
    <row r="25" spans="1:216" x14ac:dyDescent="0.3">
      <c r="B25" s="2">
        <v>2</v>
      </c>
      <c r="C25" s="35" t="s">
        <v>111</v>
      </c>
      <c r="D25" s="45">
        <f>+D60</f>
        <v>858950</v>
      </c>
      <c r="E25" s="67">
        <f t="shared" si="0"/>
        <v>2839510</v>
      </c>
      <c r="H25" s="55">
        <f t="shared" ref="H25:H89" si="61">+E25*1.1</f>
        <v>3123461.0000000005</v>
      </c>
      <c r="I25" s="55">
        <f t="shared" ref="I25:I89" si="62">+H25</f>
        <v>3123461.0000000005</v>
      </c>
      <c r="J25" s="59">
        <f t="shared" ref="J25:J89" si="63">+I25*3.3058</f>
        <v>10325537.373800002</v>
      </c>
      <c r="K25" s="55">
        <f t="shared" ref="K25:K34" si="64">+I25*BD25</f>
        <v>3029757.1700000004</v>
      </c>
      <c r="L25" s="59">
        <f t="shared" ref="L25:L34" si="65">+K25*3.3058</f>
        <v>10015771.252586002</v>
      </c>
      <c r="M25" s="55">
        <f t="shared" ref="M25:M34" si="66">+I25*BE25</f>
        <v>2967287.95</v>
      </c>
      <c r="N25" s="59">
        <f t="shared" ref="N25:N34" si="67">+M25*3.3058</f>
        <v>9809260.5051100012</v>
      </c>
      <c r="O25" s="55">
        <f t="shared" si="1"/>
        <v>2904818.7300000004</v>
      </c>
      <c r="P25" s="59">
        <f t="shared" ref="P25:P34" si="68">+O25*3.3058</f>
        <v>9602749.7576340009</v>
      </c>
      <c r="Q25" s="57">
        <f t="shared" si="2"/>
        <v>2842349.5100000007</v>
      </c>
      <c r="R25" s="59">
        <f t="shared" ref="R25:R34" si="69">+Q25*3.3058</f>
        <v>9396239.0101580024</v>
      </c>
      <c r="S25" s="55">
        <f t="shared" si="3"/>
        <v>2779880.2900000005</v>
      </c>
      <c r="T25" s="59">
        <f t="shared" ref="T25:T34" si="70">+S25*3.3058</f>
        <v>9189728.262682002</v>
      </c>
      <c r="U25" s="57">
        <f t="shared" si="4"/>
        <v>2717411.0700000003</v>
      </c>
      <c r="V25" s="59">
        <f t="shared" ref="V25:V34" si="71">+U25*3.3058</f>
        <v>8983217.5152060017</v>
      </c>
      <c r="W25" s="60">
        <f t="shared" si="5"/>
        <v>2654941.8500000006</v>
      </c>
      <c r="X25" s="59">
        <f t="shared" ref="X25:X34" si="72">+W25*3.3058</f>
        <v>8776706.7677300014</v>
      </c>
      <c r="Y25" s="57">
        <f t="shared" si="6"/>
        <v>2592472.6300000004</v>
      </c>
      <c r="Z25" s="59">
        <f t="shared" ref="Z25:Z34" si="73">+Y25*3.3058</f>
        <v>8570196.020254001</v>
      </c>
      <c r="AA25" s="55">
        <f t="shared" si="7"/>
        <v>2530003.41</v>
      </c>
      <c r="AB25" s="59">
        <f t="shared" ref="AB25:AB34" si="74">+AA25*3.3058</f>
        <v>8363685.2727780007</v>
      </c>
      <c r="AC25" s="60">
        <f t="shared" si="8"/>
        <v>2467534.19</v>
      </c>
      <c r="AD25" s="59">
        <f t="shared" ref="AD25:AD34" si="75">+AC25*3.3058</f>
        <v>8157174.5253020003</v>
      </c>
      <c r="AE25" s="60">
        <f t="shared" si="9"/>
        <v>2405064.9700000002</v>
      </c>
      <c r="AF25" s="59">
        <f t="shared" ref="AF25:AF34" si="76">+AE25*3.3058</f>
        <v>7950663.7778260009</v>
      </c>
      <c r="AG25" s="60">
        <f t="shared" si="10"/>
        <v>2342595.75</v>
      </c>
      <c r="AH25" s="59">
        <f t="shared" ref="AH25:AH34" si="77">+AG25*3.3058</f>
        <v>7744153.0303500006</v>
      </c>
      <c r="AI25" s="55">
        <f t="shared" si="11"/>
        <v>2280126.5299999998</v>
      </c>
      <c r="AJ25" s="59">
        <f t="shared" ref="AJ25:AJ34" si="78">+AI25*3.3058</f>
        <v>7537642.2828739993</v>
      </c>
      <c r="AK25" s="60">
        <f t="shared" si="12"/>
        <v>2217657.31</v>
      </c>
      <c r="AL25" s="59">
        <f t="shared" ref="AL25:AL34" si="79">+AK25*3.3058</f>
        <v>7331131.5353979999</v>
      </c>
      <c r="AM25" s="60">
        <f t="shared" si="13"/>
        <v>2155188.09</v>
      </c>
      <c r="AN25" s="59">
        <f t="shared" ref="AN25:AN34" si="80">+AM25*3.3058</f>
        <v>7124620.7879219996</v>
      </c>
      <c r="AO25" s="60">
        <f t="shared" si="14"/>
        <v>2092718.8699999996</v>
      </c>
      <c r="AP25" s="59">
        <f t="shared" ref="AP25:AP34" si="81">+AO25*3.3058</f>
        <v>6918110.0404459992</v>
      </c>
      <c r="AQ25" s="60">
        <f t="shared" si="15"/>
        <v>2030249.6499999997</v>
      </c>
      <c r="AR25" s="59">
        <f t="shared" ref="AR25:AR34" si="82">+AQ25*3.3058</f>
        <v>6711599.2929699989</v>
      </c>
      <c r="AS25" s="55">
        <f t="shared" si="16"/>
        <v>1967780.4299999997</v>
      </c>
      <c r="AT25" s="59">
        <f t="shared" ref="AT25:AT34" si="83">+AS25*3.3058</f>
        <v>6505088.5454939995</v>
      </c>
      <c r="AU25" s="60">
        <f t="shared" si="17"/>
        <v>1905311.2099999995</v>
      </c>
      <c r="AV25" s="59">
        <f t="shared" ref="AV25:AV34" si="84">+AU25*3.3058</f>
        <v>6298577.7980179982</v>
      </c>
      <c r="AW25" s="60">
        <f t="shared" si="18"/>
        <v>1842841.9899999995</v>
      </c>
      <c r="AX25" s="59">
        <f t="shared" ref="AX25:AX34" si="85">+AW25*3.3058</f>
        <v>6092067.0505419988</v>
      </c>
      <c r="AY25" s="55">
        <f t="shared" si="19"/>
        <v>1780372.7699999993</v>
      </c>
      <c r="AZ25" s="59">
        <f t="shared" ref="AZ25:AZ34" si="86">+AY25*3.3058</f>
        <v>5885556.3030659975</v>
      </c>
      <c r="BC25" s="55">
        <v>1</v>
      </c>
      <c r="BD25" s="55">
        <v>0.97</v>
      </c>
      <c r="BE25" s="55">
        <v>0.95</v>
      </c>
      <c r="BF25" s="55">
        <v>0.93</v>
      </c>
      <c r="BG25" s="55">
        <f t="shared" ref="BG25:BX34" si="87">+BF25-0.02</f>
        <v>0.91</v>
      </c>
      <c r="BH25" s="55">
        <f t="shared" si="87"/>
        <v>0.89</v>
      </c>
      <c r="BI25" s="55">
        <f t="shared" si="87"/>
        <v>0.87</v>
      </c>
      <c r="BJ25" s="55">
        <f t="shared" si="87"/>
        <v>0.85</v>
      </c>
      <c r="BK25" s="55">
        <f t="shared" si="87"/>
        <v>0.83</v>
      </c>
      <c r="BL25" s="55">
        <f t="shared" si="87"/>
        <v>0.80999999999999994</v>
      </c>
      <c r="BM25" s="55">
        <f t="shared" si="87"/>
        <v>0.78999999999999992</v>
      </c>
      <c r="BN25" s="55">
        <f t="shared" si="87"/>
        <v>0.76999999999999991</v>
      </c>
      <c r="BO25" s="55">
        <f t="shared" si="87"/>
        <v>0.74999999999999989</v>
      </c>
      <c r="BP25" s="55">
        <f t="shared" si="87"/>
        <v>0.72999999999999987</v>
      </c>
      <c r="BQ25" s="55">
        <f t="shared" si="87"/>
        <v>0.70999999999999985</v>
      </c>
      <c r="BR25" s="55">
        <f t="shared" si="87"/>
        <v>0.68999999999999984</v>
      </c>
      <c r="BS25" s="55">
        <f t="shared" si="87"/>
        <v>0.66999999999999982</v>
      </c>
      <c r="BT25" s="55">
        <f t="shared" si="87"/>
        <v>0.6499999999999998</v>
      </c>
      <c r="BU25" s="55">
        <f t="shared" si="87"/>
        <v>0.62999999999999978</v>
      </c>
      <c r="BV25" s="55">
        <f t="shared" si="87"/>
        <v>0.60999999999999976</v>
      </c>
      <c r="BW25" s="55">
        <f t="shared" si="87"/>
        <v>0.58999999999999975</v>
      </c>
      <c r="BX25" s="55">
        <f t="shared" si="87"/>
        <v>0.56999999999999973</v>
      </c>
      <c r="BZ25" s="55">
        <f t="shared" ref="BZ25:BZ89" si="88">+H25*0.91</f>
        <v>2842349.5100000007</v>
      </c>
      <c r="CA25" s="55">
        <f t="shared" ref="CA25:CA89" si="89">+BZ25</f>
        <v>2842349.5100000007</v>
      </c>
      <c r="CB25" s="59">
        <f t="shared" ref="CB25:CB34" si="90">+CA25*3.3058</f>
        <v>9396239.0101580024</v>
      </c>
      <c r="CC25" s="55">
        <f t="shared" ref="CC25:CC34" si="91">+CA25*DV25</f>
        <v>2757079.0247000004</v>
      </c>
      <c r="CD25" s="59">
        <f t="shared" ref="CD25:CD34" si="92">+CC25*3.3058</f>
        <v>9114351.8398532607</v>
      </c>
      <c r="CE25" s="55">
        <f t="shared" ref="CE25:CE34" si="93">+CA25*DW25</f>
        <v>2700232.0345000005</v>
      </c>
      <c r="CF25" s="59">
        <f t="shared" ref="CF25:CF34" si="94">+CE25*3.3058</f>
        <v>8926427.0596501026</v>
      </c>
      <c r="CG25" s="55">
        <f t="shared" si="21"/>
        <v>2643385.0443000006</v>
      </c>
      <c r="CH25" s="59">
        <f t="shared" ref="CH25:CH34" si="95">+CG25*3.3058</f>
        <v>8738502.2794469427</v>
      </c>
      <c r="CI25" s="57">
        <f t="shared" si="22"/>
        <v>2586538.0541000008</v>
      </c>
      <c r="CJ25" s="59">
        <f t="shared" ref="CJ25:CJ34" si="96">+CI25*3.3058</f>
        <v>8550577.4992437828</v>
      </c>
      <c r="CK25" s="55">
        <f t="shared" si="23"/>
        <v>2529691.0639000009</v>
      </c>
      <c r="CL25" s="59">
        <f t="shared" ref="CL25:CL34" si="97">+CK25*3.3058</f>
        <v>8362652.7190406229</v>
      </c>
      <c r="CM25" s="57">
        <f t="shared" si="24"/>
        <v>2472844.0737000005</v>
      </c>
      <c r="CN25" s="59">
        <f t="shared" ref="CN25:CN34" si="98">+CM25*3.3058</f>
        <v>8174727.9388374621</v>
      </c>
      <c r="CO25" s="60">
        <f t="shared" si="25"/>
        <v>2415997.0835000006</v>
      </c>
      <c r="CP25" s="59">
        <f t="shared" ref="CP25:CP34" si="99">+CO25*3.3058</f>
        <v>7986803.1586343022</v>
      </c>
      <c r="CQ25" s="57">
        <f t="shared" si="26"/>
        <v>2359150.0933000003</v>
      </c>
      <c r="CR25" s="59">
        <f t="shared" ref="CR25:CR34" si="100">+CQ25*3.3058</f>
        <v>7798878.3784311414</v>
      </c>
      <c r="CS25" s="55">
        <f t="shared" si="27"/>
        <v>2302303.1031000004</v>
      </c>
      <c r="CT25" s="59">
        <f t="shared" ref="CT25:CT34" si="101">+CS25*3.3058</f>
        <v>7610953.5982279815</v>
      </c>
      <c r="CU25" s="60">
        <f t="shared" si="28"/>
        <v>2245456.1129000005</v>
      </c>
      <c r="CV25" s="59">
        <f t="shared" ref="CV25:CV34" si="102">+CU25*3.3058</f>
        <v>7423028.8180248216</v>
      </c>
      <c r="CW25" s="60">
        <f t="shared" si="29"/>
        <v>2188609.1227000002</v>
      </c>
      <c r="CX25" s="59">
        <f t="shared" ref="CX25:CX34" si="103">+CW25*3.3058</f>
        <v>7235104.0378216607</v>
      </c>
      <c r="CY25" s="60">
        <f t="shared" si="30"/>
        <v>2131762.1325000003</v>
      </c>
      <c r="CZ25" s="59">
        <f t="shared" ref="CZ25:CZ34" si="104">+CY25*3.3058</f>
        <v>7047179.2576185009</v>
      </c>
      <c r="DA25" s="55">
        <f t="shared" si="31"/>
        <v>2074915.1423000002</v>
      </c>
      <c r="DB25" s="59">
        <f t="shared" ref="DB25:DB34" si="105">+DA25*3.3058</f>
        <v>6859254.477415341</v>
      </c>
      <c r="DC25" s="60">
        <f t="shared" si="32"/>
        <v>2018068.1521000001</v>
      </c>
      <c r="DD25" s="59">
        <f t="shared" ref="DD25:DD34" si="106">+DC25*3.3058</f>
        <v>6671329.6972121801</v>
      </c>
      <c r="DE25" s="60">
        <f t="shared" si="33"/>
        <v>1961221.1618999999</v>
      </c>
      <c r="DF25" s="59">
        <f t="shared" ref="DF25:DF34" si="107">+DE25*3.3058</f>
        <v>6483404.9170090202</v>
      </c>
      <c r="DG25" s="60">
        <f t="shared" si="34"/>
        <v>1904374.1717000001</v>
      </c>
      <c r="DH25" s="59">
        <f t="shared" ref="DH25:DH34" si="108">+DG25*3.3058</f>
        <v>6295480.1368058603</v>
      </c>
      <c r="DI25" s="60">
        <f t="shared" si="35"/>
        <v>1847527.1814999999</v>
      </c>
      <c r="DJ25" s="59">
        <f t="shared" ref="DJ25:DJ34" si="109">+DI25*3.3058</f>
        <v>6107555.3566026995</v>
      </c>
      <c r="DK25" s="55">
        <f t="shared" si="36"/>
        <v>1790680.1912999998</v>
      </c>
      <c r="DL25" s="59">
        <f t="shared" ref="DL25:DL34" si="110">+DK25*3.3058</f>
        <v>5919630.5763995396</v>
      </c>
      <c r="DM25" s="60">
        <f t="shared" si="37"/>
        <v>1733833.2010999997</v>
      </c>
      <c r="DN25" s="59">
        <f t="shared" ref="DN25:DN34" si="111">+DM25*3.3058</f>
        <v>5731705.7961963788</v>
      </c>
      <c r="DO25" s="60">
        <f t="shared" si="38"/>
        <v>1676986.2108999996</v>
      </c>
      <c r="DP25" s="59">
        <f t="shared" ref="DP25:DP34" si="112">+DO25*3.3058</f>
        <v>5543781.0159932189</v>
      </c>
      <c r="DQ25" s="55">
        <f t="shared" si="39"/>
        <v>1620139.2206999997</v>
      </c>
      <c r="DR25" s="59">
        <f t="shared" ref="DR25:DR34" si="113">+DQ25*3.3058</f>
        <v>5355856.235790059</v>
      </c>
      <c r="DU25" s="55">
        <v>1</v>
      </c>
      <c r="DV25" s="55">
        <v>0.97</v>
      </c>
      <c r="DW25" s="55">
        <v>0.95</v>
      </c>
      <c r="DX25" s="55">
        <v>0.93</v>
      </c>
      <c r="DY25" s="55">
        <f t="shared" ref="DY25:EP37" si="114">+DX25-0.02</f>
        <v>0.91</v>
      </c>
      <c r="DZ25" s="55">
        <f t="shared" si="114"/>
        <v>0.89</v>
      </c>
      <c r="EA25" s="55">
        <f t="shared" si="114"/>
        <v>0.87</v>
      </c>
      <c r="EB25" s="55">
        <f t="shared" si="114"/>
        <v>0.85</v>
      </c>
      <c r="EC25" s="55">
        <f t="shared" si="114"/>
        <v>0.83</v>
      </c>
      <c r="ED25" s="55">
        <f t="shared" si="114"/>
        <v>0.80999999999999994</v>
      </c>
      <c r="EE25" s="55">
        <f t="shared" si="114"/>
        <v>0.78999999999999992</v>
      </c>
      <c r="EF25" s="55">
        <f t="shared" si="114"/>
        <v>0.76999999999999991</v>
      </c>
      <c r="EG25" s="55">
        <f t="shared" si="114"/>
        <v>0.74999999999999989</v>
      </c>
      <c r="EH25" s="55">
        <f t="shared" si="114"/>
        <v>0.72999999999999987</v>
      </c>
      <c r="EI25" s="55">
        <f t="shared" si="114"/>
        <v>0.70999999999999985</v>
      </c>
      <c r="EJ25" s="55">
        <f t="shared" si="114"/>
        <v>0.68999999999999984</v>
      </c>
      <c r="EK25" s="55">
        <f t="shared" si="114"/>
        <v>0.66999999999999982</v>
      </c>
      <c r="EL25" s="55">
        <f t="shared" si="114"/>
        <v>0.6499999999999998</v>
      </c>
      <c r="EM25" s="55">
        <f t="shared" si="114"/>
        <v>0.62999999999999978</v>
      </c>
      <c r="EN25" s="55">
        <f t="shared" si="114"/>
        <v>0.60999999999999976</v>
      </c>
      <c r="EO25" s="55">
        <f t="shared" si="114"/>
        <v>0.58999999999999975</v>
      </c>
      <c r="EP25" s="55">
        <f t="shared" si="114"/>
        <v>0.56999999999999973</v>
      </c>
      <c r="ER25" s="55">
        <f t="shared" ref="ER25:ER32" si="115">+BZ25*0.91</f>
        <v>2586538.0541000008</v>
      </c>
      <c r="ES25" s="55">
        <f t="shared" ref="ES25:ES89" si="116">+ER25</f>
        <v>2586538.0541000008</v>
      </c>
      <c r="ET25" s="59">
        <f t="shared" ref="ET25:ET34" si="117">+ES25*3.3058</f>
        <v>8550577.4992437828</v>
      </c>
      <c r="EU25" s="55">
        <f t="shared" ref="EU25:EU34" si="118">+ES25*GN25</f>
        <v>2508941.9124770006</v>
      </c>
      <c r="EV25" s="59">
        <f t="shared" ref="EV25:EV34" si="119">+EU25*3.3058</f>
        <v>8294060.1742664687</v>
      </c>
      <c r="EW25" s="55">
        <f t="shared" ref="EW25:EW34" si="120">+ES25*GO25</f>
        <v>2457211.1513950005</v>
      </c>
      <c r="EX25" s="59">
        <f t="shared" ref="EX25:EX34" si="121">+EW25*3.3058</f>
        <v>8123048.6242815927</v>
      </c>
      <c r="EY25" s="55">
        <f t="shared" si="41"/>
        <v>2405480.3903130009</v>
      </c>
      <c r="EZ25" s="59">
        <f t="shared" ref="EZ25:EZ34" si="122">+EY25*3.3058</f>
        <v>7952037.0742967185</v>
      </c>
      <c r="FA25" s="57">
        <f t="shared" si="42"/>
        <v>2353749.6292310008</v>
      </c>
      <c r="FB25" s="59">
        <f t="shared" ref="FB25:FB34" si="123">+FA25*3.3058</f>
        <v>7781025.5243118424</v>
      </c>
      <c r="FC25" s="55">
        <f t="shared" si="43"/>
        <v>2302018.8681490007</v>
      </c>
      <c r="FD25" s="59">
        <f t="shared" ref="FD25:FD34" si="124">+FC25*3.3058</f>
        <v>7610013.9743269663</v>
      </c>
      <c r="FE25" s="57">
        <f t="shared" si="44"/>
        <v>2250288.1070670006</v>
      </c>
      <c r="FF25" s="59">
        <f t="shared" ref="FF25:FF34" si="125">+FE25*3.3058</f>
        <v>7439002.4243420903</v>
      </c>
      <c r="FG25" s="60">
        <f t="shared" si="45"/>
        <v>2198557.3459850005</v>
      </c>
      <c r="FH25" s="59">
        <f t="shared" ref="FH25:FH34" si="126">+FG25*3.3058</f>
        <v>7267990.8743572151</v>
      </c>
      <c r="FI25" s="57">
        <f t="shared" si="46"/>
        <v>2146826.5849030004</v>
      </c>
      <c r="FJ25" s="59">
        <f t="shared" ref="FJ25:FJ34" si="127">+FI25*3.3058</f>
        <v>7096979.3243723391</v>
      </c>
      <c r="FK25" s="55">
        <f t="shared" si="47"/>
        <v>2095095.8238210005</v>
      </c>
      <c r="FL25" s="59">
        <f t="shared" ref="FL25:FL34" si="128">+FK25*3.3058</f>
        <v>6925967.7743874639</v>
      </c>
      <c r="FM25" s="60">
        <f t="shared" si="48"/>
        <v>2043365.0627390004</v>
      </c>
      <c r="FN25" s="59">
        <f t="shared" ref="FN25:FN34" si="129">+FM25*3.3058</f>
        <v>6754956.2244025879</v>
      </c>
      <c r="FO25" s="60">
        <f t="shared" si="49"/>
        <v>1991634.3016570003</v>
      </c>
      <c r="FP25" s="59">
        <f t="shared" ref="FP25:FP34" si="130">+FO25*3.3058</f>
        <v>6583944.6744177118</v>
      </c>
      <c r="FQ25" s="60">
        <f t="shared" si="50"/>
        <v>1939903.5405750002</v>
      </c>
      <c r="FR25" s="59">
        <f t="shared" ref="FR25:FR34" si="131">+FQ25*3.3058</f>
        <v>6412933.1244328357</v>
      </c>
      <c r="FS25" s="55">
        <f t="shared" si="51"/>
        <v>1888172.7794930001</v>
      </c>
      <c r="FT25" s="59">
        <f t="shared" ref="FT25:FT34" si="132">+FS25*3.3058</f>
        <v>6241921.5744479597</v>
      </c>
      <c r="FU25" s="60">
        <f t="shared" si="52"/>
        <v>1836442.0184110003</v>
      </c>
      <c r="FV25" s="59">
        <f t="shared" ref="FV25:FV34" si="133">+FU25*3.3058</f>
        <v>6070910.0244630845</v>
      </c>
      <c r="FW25" s="60">
        <f t="shared" si="53"/>
        <v>1784711.2573290002</v>
      </c>
      <c r="FX25" s="59">
        <f t="shared" ref="FX25:FX34" si="134">+FW25*3.3058</f>
        <v>5899898.4744782085</v>
      </c>
      <c r="FY25" s="60">
        <f t="shared" si="54"/>
        <v>1732980.4962470001</v>
      </c>
      <c r="FZ25" s="59">
        <f t="shared" ref="FZ25:FZ34" si="135">+FY25*3.3058</f>
        <v>5728886.9244933333</v>
      </c>
      <c r="GA25" s="60">
        <f t="shared" si="55"/>
        <v>1681249.735165</v>
      </c>
      <c r="GB25" s="59">
        <f t="shared" ref="GB25:GB34" si="136">+GA25*3.3058</f>
        <v>5557875.3745084573</v>
      </c>
      <c r="GC25" s="55">
        <f t="shared" si="56"/>
        <v>1629518.9740829999</v>
      </c>
      <c r="GD25" s="59">
        <f t="shared" ref="GD25:GD34" si="137">+GC25*3.3058</f>
        <v>5386863.8245235812</v>
      </c>
      <c r="GE25" s="60">
        <f t="shared" si="57"/>
        <v>1577788.2130009998</v>
      </c>
      <c r="GF25" s="59">
        <f t="shared" ref="GF25:GF34" si="138">+GE25*3.3058</f>
        <v>5215852.2745387051</v>
      </c>
      <c r="GG25" s="60">
        <f t="shared" si="58"/>
        <v>1526057.4519189999</v>
      </c>
      <c r="GH25" s="59">
        <f t="shared" ref="GH25:GH34" si="139">+GG25*3.3058</f>
        <v>5044840.72455383</v>
      </c>
      <c r="GI25" s="55">
        <f t="shared" si="59"/>
        <v>1474326.6908369998</v>
      </c>
      <c r="GJ25" s="59">
        <f t="shared" ref="GJ25:GJ34" si="140">+GI25*3.3058</f>
        <v>4873829.1745689539</v>
      </c>
      <c r="GK25" s="55"/>
      <c r="GL25" s="55"/>
      <c r="GM25" s="55">
        <v>1</v>
      </c>
      <c r="GN25" s="55">
        <v>0.97</v>
      </c>
      <c r="GO25" s="55">
        <v>0.95</v>
      </c>
      <c r="GP25" s="55">
        <v>0.93</v>
      </c>
      <c r="GQ25" s="55">
        <f t="shared" ref="GQ25:HH37" si="141">+GP25-0.02</f>
        <v>0.91</v>
      </c>
      <c r="GR25" s="55">
        <f t="shared" si="141"/>
        <v>0.89</v>
      </c>
      <c r="GS25" s="55">
        <f t="shared" si="141"/>
        <v>0.87</v>
      </c>
      <c r="GT25" s="55">
        <f t="shared" si="141"/>
        <v>0.85</v>
      </c>
      <c r="GU25" s="55">
        <f t="shared" si="141"/>
        <v>0.83</v>
      </c>
      <c r="GV25" s="55">
        <f t="shared" si="141"/>
        <v>0.80999999999999994</v>
      </c>
      <c r="GW25" s="55">
        <f t="shared" si="141"/>
        <v>0.78999999999999992</v>
      </c>
      <c r="GX25" s="55">
        <f t="shared" si="141"/>
        <v>0.76999999999999991</v>
      </c>
      <c r="GY25" s="55">
        <f t="shared" si="141"/>
        <v>0.74999999999999989</v>
      </c>
      <c r="GZ25" s="55">
        <f t="shared" si="141"/>
        <v>0.72999999999999987</v>
      </c>
      <c r="HA25" s="55">
        <f t="shared" si="141"/>
        <v>0.70999999999999985</v>
      </c>
      <c r="HB25" s="55">
        <f t="shared" si="141"/>
        <v>0.68999999999999984</v>
      </c>
      <c r="HC25" s="55">
        <f t="shared" si="141"/>
        <v>0.66999999999999982</v>
      </c>
      <c r="HD25" s="55">
        <f t="shared" si="141"/>
        <v>0.6499999999999998</v>
      </c>
      <c r="HE25" s="55">
        <f t="shared" si="141"/>
        <v>0.62999999999999978</v>
      </c>
      <c r="HF25" s="55">
        <f t="shared" si="141"/>
        <v>0.60999999999999976</v>
      </c>
      <c r="HG25" s="55">
        <f t="shared" si="141"/>
        <v>0.58999999999999975</v>
      </c>
      <c r="HH25" s="55">
        <f t="shared" si="141"/>
        <v>0.56999999999999973</v>
      </c>
    </row>
    <row r="26" spans="1:216" x14ac:dyDescent="0.3">
      <c r="B26" s="2">
        <v>3</v>
      </c>
      <c r="C26" s="35" t="s">
        <v>95</v>
      </c>
      <c r="D26" s="45">
        <f>+D66</f>
        <v>7250</v>
      </c>
      <c r="E26" s="67">
        <f t="shared" si="0"/>
        <v>23960</v>
      </c>
      <c r="H26" s="55">
        <f t="shared" si="61"/>
        <v>26356.000000000004</v>
      </c>
      <c r="I26" s="55">
        <f t="shared" si="62"/>
        <v>26356.000000000004</v>
      </c>
      <c r="J26" s="59">
        <f t="shared" si="63"/>
        <v>87127.664800000013</v>
      </c>
      <c r="K26" s="55">
        <f t="shared" si="64"/>
        <v>25565.320000000003</v>
      </c>
      <c r="L26" s="59">
        <f t="shared" si="65"/>
        <v>84513.834856000016</v>
      </c>
      <c r="M26" s="55">
        <f t="shared" si="66"/>
        <v>25038.2</v>
      </c>
      <c r="N26" s="59">
        <f t="shared" si="67"/>
        <v>82771.281560000003</v>
      </c>
      <c r="O26" s="55">
        <f t="shared" si="1"/>
        <v>24511.080000000005</v>
      </c>
      <c r="P26" s="59">
        <f t="shared" si="68"/>
        <v>81028.728264000019</v>
      </c>
      <c r="Q26" s="57">
        <f t="shared" si="2"/>
        <v>23983.960000000003</v>
      </c>
      <c r="R26" s="59">
        <f t="shared" si="69"/>
        <v>79286.174968000007</v>
      </c>
      <c r="S26" s="55">
        <f t="shared" si="3"/>
        <v>23456.840000000004</v>
      </c>
      <c r="T26" s="59">
        <f t="shared" si="70"/>
        <v>77543.621672000008</v>
      </c>
      <c r="U26" s="57">
        <f t="shared" si="4"/>
        <v>22929.720000000005</v>
      </c>
      <c r="V26" s="59">
        <f t="shared" si="71"/>
        <v>75801.068376000025</v>
      </c>
      <c r="W26" s="60">
        <f t="shared" si="5"/>
        <v>22402.600000000002</v>
      </c>
      <c r="X26" s="59">
        <f t="shared" si="72"/>
        <v>74058.515080000012</v>
      </c>
      <c r="Y26" s="57">
        <f t="shared" si="6"/>
        <v>21875.480000000003</v>
      </c>
      <c r="Z26" s="59">
        <f t="shared" si="73"/>
        <v>72315.961784000014</v>
      </c>
      <c r="AA26" s="55">
        <f t="shared" si="7"/>
        <v>21348.36</v>
      </c>
      <c r="AB26" s="59">
        <f t="shared" si="74"/>
        <v>70573.408488000001</v>
      </c>
      <c r="AC26" s="60">
        <f t="shared" si="8"/>
        <v>20821.240000000002</v>
      </c>
      <c r="AD26" s="59">
        <f t="shared" si="75"/>
        <v>68830.855192000003</v>
      </c>
      <c r="AE26" s="60">
        <f t="shared" si="9"/>
        <v>20294.12</v>
      </c>
      <c r="AF26" s="59">
        <f t="shared" si="76"/>
        <v>67088.301896000004</v>
      </c>
      <c r="AG26" s="60">
        <f t="shared" si="10"/>
        <v>19767</v>
      </c>
      <c r="AH26" s="59">
        <f t="shared" si="77"/>
        <v>65345.748599999999</v>
      </c>
      <c r="AI26" s="55">
        <f t="shared" si="11"/>
        <v>19239.88</v>
      </c>
      <c r="AJ26" s="59">
        <f t="shared" si="78"/>
        <v>63603.195304000008</v>
      </c>
      <c r="AK26" s="60">
        <f t="shared" si="12"/>
        <v>18712.759999999998</v>
      </c>
      <c r="AL26" s="59">
        <f t="shared" si="79"/>
        <v>61860.642007999995</v>
      </c>
      <c r="AM26" s="60">
        <f t="shared" si="13"/>
        <v>18185.64</v>
      </c>
      <c r="AN26" s="59">
        <f t="shared" si="80"/>
        <v>60118.088711999997</v>
      </c>
      <c r="AO26" s="60">
        <f t="shared" si="14"/>
        <v>17658.519999999997</v>
      </c>
      <c r="AP26" s="59">
        <f t="shared" si="81"/>
        <v>58375.535415999992</v>
      </c>
      <c r="AQ26" s="60">
        <f t="shared" si="15"/>
        <v>17131.399999999998</v>
      </c>
      <c r="AR26" s="59">
        <f t="shared" si="82"/>
        <v>56632.982119999993</v>
      </c>
      <c r="AS26" s="55">
        <f t="shared" si="16"/>
        <v>16604.279999999995</v>
      </c>
      <c r="AT26" s="59">
        <f t="shared" si="83"/>
        <v>54890.428823999988</v>
      </c>
      <c r="AU26" s="60">
        <f t="shared" si="17"/>
        <v>16077.159999999996</v>
      </c>
      <c r="AV26" s="59">
        <f t="shared" si="84"/>
        <v>53147.87552799999</v>
      </c>
      <c r="AW26" s="60">
        <f t="shared" si="18"/>
        <v>15550.039999999995</v>
      </c>
      <c r="AX26" s="59">
        <f t="shared" si="85"/>
        <v>51405.322231999984</v>
      </c>
      <c r="AY26" s="55">
        <f t="shared" si="19"/>
        <v>15022.919999999995</v>
      </c>
      <c r="AZ26" s="59">
        <f t="shared" si="86"/>
        <v>49662.768935999986</v>
      </c>
      <c r="BC26" s="55">
        <v>1</v>
      </c>
      <c r="BD26" s="55">
        <v>0.97</v>
      </c>
      <c r="BE26" s="55">
        <v>0.95</v>
      </c>
      <c r="BF26" s="55">
        <v>0.93</v>
      </c>
      <c r="BG26" s="55">
        <f t="shared" si="87"/>
        <v>0.91</v>
      </c>
      <c r="BH26" s="55">
        <f t="shared" si="87"/>
        <v>0.89</v>
      </c>
      <c r="BI26" s="55">
        <f t="shared" si="87"/>
        <v>0.87</v>
      </c>
      <c r="BJ26" s="55">
        <f t="shared" si="87"/>
        <v>0.85</v>
      </c>
      <c r="BK26" s="55">
        <f t="shared" si="87"/>
        <v>0.83</v>
      </c>
      <c r="BL26" s="55">
        <f t="shared" si="87"/>
        <v>0.80999999999999994</v>
      </c>
      <c r="BM26" s="55">
        <f t="shared" si="87"/>
        <v>0.78999999999999992</v>
      </c>
      <c r="BN26" s="55">
        <f t="shared" si="87"/>
        <v>0.76999999999999991</v>
      </c>
      <c r="BO26" s="55">
        <f t="shared" si="87"/>
        <v>0.74999999999999989</v>
      </c>
      <c r="BP26" s="55">
        <f t="shared" si="87"/>
        <v>0.72999999999999987</v>
      </c>
      <c r="BQ26" s="55">
        <f t="shared" si="87"/>
        <v>0.70999999999999985</v>
      </c>
      <c r="BR26" s="55">
        <f t="shared" si="87"/>
        <v>0.68999999999999984</v>
      </c>
      <c r="BS26" s="55">
        <f t="shared" si="87"/>
        <v>0.66999999999999982</v>
      </c>
      <c r="BT26" s="55">
        <f t="shared" si="87"/>
        <v>0.6499999999999998</v>
      </c>
      <c r="BU26" s="55">
        <f t="shared" si="87"/>
        <v>0.62999999999999978</v>
      </c>
      <c r="BV26" s="55">
        <f t="shared" si="87"/>
        <v>0.60999999999999976</v>
      </c>
      <c r="BW26" s="55">
        <f t="shared" si="87"/>
        <v>0.58999999999999975</v>
      </c>
      <c r="BX26" s="55">
        <f t="shared" si="87"/>
        <v>0.56999999999999973</v>
      </c>
      <c r="BZ26" s="55">
        <f t="shared" si="88"/>
        <v>23983.960000000003</v>
      </c>
      <c r="CA26" s="55">
        <f t="shared" si="89"/>
        <v>23983.960000000003</v>
      </c>
      <c r="CB26" s="59">
        <f t="shared" si="90"/>
        <v>79286.174968000007</v>
      </c>
      <c r="CC26" s="55">
        <f t="shared" si="91"/>
        <v>23264.441200000001</v>
      </c>
      <c r="CD26" s="59">
        <f t="shared" si="92"/>
        <v>76907.589718960007</v>
      </c>
      <c r="CE26" s="55">
        <f t="shared" si="93"/>
        <v>22784.762000000002</v>
      </c>
      <c r="CF26" s="59">
        <f t="shared" si="94"/>
        <v>75321.866219600008</v>
      </c>
      <c r="CG26" s="55">
        <f t="shared" si="21"/>
        <v>22305.082800000004</v>
      </c>
      <c r="CH26" s="59">
        <f t="shared" si="95"/>
        <v>73736.142720240008</v>
      </c>
      <c r="CI26" s="57">
        <f t="shared" si="22"/>
        <v>21825.403600000001</v>
      </c>
      <c r="CJ26" s="59">
        <f t="shared" si="96"/>
        <v>72150.419220880009</v>
      </c>
      <c r="CK26" s="55">
        <f t="shared" si="23"/>
        <v>21345.724400000003</v>
      </c>
      <c r="CL26" s="59">
        <f t="shared" si="97"/>
        <v>70564.695721520009</v>
      </c>
      <c r="CM26" s="57">
        <f t="shared" si="24"/>
        <v>20866.045200000004</v>
      </c>
      <c r="CN26" s="59">
        <f t="shared" si="98"/>
        <v>68978.97222216001</v>
      </c>
      <c r="CO26" s="60">
        <f t="shared" si="25"/>
        <v>20386.366000000002</v>
      </c>
      <c r="CP26" s="59">
        <f t="shared" si="99"/>
        <v>67393.24872280001</v>
      </c>
      <c r="CQ26" s="57">
        <f t="shared" si="26"/>
        <v>19906.686800000003</v>
      </c>
      <c r="CR26" s="59">
        <f t="shared" si="100"/>
        <v>65807.52522344001</v>
      </c>
      <c r="CS26" s="55">
        <f t="shared" si="27"/>
        <v>19427.007600000001</v>
      </c>
      <c r="CT26" s="59">
        <f t="shared" si="101"/>
        <v>64221.801724080004</v>
      </c>
      <c r="CU26" s="60">
        <f t="shared" si="28"/>
        <v>18947.328400000002</v>
      </c>
      <c r="CV26" s="59">
        <f t="shared" si="102"/>
        <v>62636.078224720011</v>
      </c>
      <c r="CW26" s="60">
        <f t="shared" si="29"/>
        <v>18467.6492</v>
      </c>
      <c r="CX26" s="59">
        <f t="shared" si="103"/>
        <v>61050.354725359997</v>
      </c>
      <c r="CY26" s="60">
        <f t="shared" si="30"/>
        <v>17987.97</v>
      </c>
      <c r="CZ26" s="59">
        <f t="shared" si="104"/>
        <v>59464.631226000005</v>
      </c>
      <c r="DA26" s="55">
        <f t="shared" si="31"/>
        <v>17508.290799999999</v>
      </c>
      <c r="DB26" s="59">
        <f t="shared" si="105"/>
        <v>57878.907726639998</v>
      </c>
      <c r="DC26" s="60">
        <f t="shared" si="32"/>
        <v>17028.6116</v>
      </c>
      <c r="DD26" s="59">
        <f t="shared" si="106"/>
        <v>56293.184227279999</v>
      </c>
      <c r="DE26" s="60">
        <f t="shared" si="33"/>
        <v>16548.932399999998</v>
      </c>
      <c r="DF26" s="59">
        <f t="shared" si="107"/>
        <v>54707.460727919992</v>
      </c>
      <c r="DG26" s="60">
        <f t="shared" si="34"/>
        <v>16069.253199999997</v>
      </c>
      <c r="DH26" s="59">
        <f t="shared" si="108"/>
        <v>53121.737228559992</v>
      </c>
      <c r="DI26" s="60">
        <f t="shared" si="35"/>
        <v>15589.573999999997</v>
      </c>
      <c r="DJ26" s="59">
        <f t="shared" si="109"/>
        <v>51536.013729199993</v>
      </c>
      <c r="DK26" s="55">
        <f t="shared" si="36"/>
        <v>15109.894799999996</v>
      </c>
      <c r="DL26" s="59">
        <f t="shared" si="110"/>
        <v>49950.290229839986</v>
      </c>
      <c r="DM26" s="60">
        <f t="shared" si="37"/>
        <v>14630.215599999996</v>
      </c>
      <c r="DN26" s="59">
        <f t="shared" si="111"/>
        <v>48364.566730479986</v>
      </c>
      <c r="DO26" s="60">
        <f t="shared" si="38"/>
        <v>14150.536399999995</v>
      </c>
      <c r="DP26" s="59">
        <f t="shared" si="112"/>
        <v>46778.843231119987</v>
      </c>
      <c r="DQ26" s="55">
        <f t="shared" si="39"/>
        <v>13670.857199999995</v>
      </c>
      <c r="DR26" s="59">
        <f t="shared" si="113"/>
        <v>45193.119731759987</v>
      </c>
      <c r="DU26" s="55">
        <v>1</v>
      </c>
      <c r="DV26" s="55">
        <v>0.97</v>
      </c>
      <c r="DW26" s="55">
        <v>0.95</v>
      </c>
      <c r="DX26" s="55">
        <v>0.93</v>
      </c>
      <c r="DY26" s="55">
        <f t="shared" si="114"/>
        <v>0.91</v>
      </c>
      <c r="DZ26" s="55">
        <f t="shared" si="114"/>
        <v>0.89</v>
      </c>
      <c r="EA26" s="55">
        <f t="shared" si="114"/>
        <v>0.87</v>
      </c>
      <c r="EB26" s="55">
        <f t="shared" si="114"/>
        <v>0.85</v>
      </c>
      <c r="EC26" s="55">
        <f t="shared" si="114"/>
        <v>0.83</v>
      </c>
      <c r="ED26" s="55">
        <f t="shared" si="114"/>
        <v>0.80999999999999994</v>
      </c>
      <c r="EE26" s="55">
        <f t="shared" si="114"/>
        <v>0.78999999999999992</v>
      </c>
      <c r="EF26" s="55">
        <f t="shared" si="114"/>
        <v>0.76999999999999991</v>
      </c>
      <c r="EG26" s="55">
        <f t="shared" si="114"/>
        <v>0.74999999999999989</v>
      </c>
      <c r="EH26" s="55">
        <f t="shared" si="114"/>
        <v>0.72999999999999987</v>
      </c>
      <c r="EI26" s="55">
        <f t="shared" si="114"/>
        <v>0.70999999999999985</v>
      </c>
      <c r="EJ26" s="55">
        <f t="shared" si="114"/>
        <v>0.68999999999999984</v>
      </c>
      <c r="EK26" s="55">
        <f t="shared" si="114"/>
        <v>0.66999999999999982</v>
      </c>
      <c r="EL26" s="55">
        <f t="shared" si="114"/>
        <v>0.6499999999999998</v>
      </c>
      <c r="EM26" s="55">
        <f t="shared" si="114"/>
        <v>0.62999999999999978</v>
      </c>
      <c r="EN26" s="55">
        <f t="shared" si="114"/>
        <v>0.60999999999999976</v>
      </c>
      <c r="EO26" s="55">
        <f t="shared" si="114"/>
        <v>0.58999999999999975</v>
      </c>
      <c r="EP26" s="55">
        <f t="shared" si="114"/>
        <v>0.56999999999999973</v>
      </c>
      <c r="ER26" s="55">
        <f t="shared" si="115"/>
        <v>21825.403600000001</v>
      </c>
      <c r="ES26" s="55">
        <f t="shared" si="116"/>
        <v>21825.403600000001</v>
      </c>
      <c r="ET26" s="59">
        <f t="shared" si="117"/>
        <v>72150.419220880009</v>
      </c>
      <c r="EU26" s="55">
        <f t="shared" si="118"/>
        <v>21170.641492000002</v>
      </c>
      <c r="EV26" s="59">
        <f t="shared" si="119"/>
        <v>69985.906644253613</v>
      </c>
      <c r="EW26" s="55">
        <f t="shared" si="120"/>
        <v>20734.133420000002</v>
      </c>
      <c r="EX26" s="59">
        <f t="shared" si="121"/>
        <v>68542.898259836002</v>
      </c>
      <c r="EY26" s="55">
        <f t="shared" si="41"/>
        <v>20297.625348000001</v>
      </c>
      <c r="EZ26" s="59">
        <f t="shared" si="122"/>
        <v>67099.889875418405</v>
      </c>
      <c r="FA26" s="57">
        <f t="shared" si="42"/>
        <v>19861.117276000001</v>
      </c>
      <c r="FB26" s="59">
        <f t="shared" si="123"/>
        <v>65656.881491000808</v>
      </c>
      <c r="FC26" s="55">
        <f t="shared" si="43"/>
        <v>19424.609204</v>
      </c>
      <c r="FD26" s="59">
        <f t="shared" si="124"/>
        <v>64213.873106583203</v>
      </c>
      <c r="FE26" s="57">
        <f t="shared" si="44"/>
        <v>18988.101132</v>
      </c>
      <c r="FF26" s="59">
        <f t="shared" si="125"/>
        <v>62770.864722165599</v>
      </c>
      <c r="FG26" s="60">
        <f t="shared" si="45"/>
        <v>18551.593059999999</v>
      </c>
      <c r="FH26" s="59">
        <f t="shared" si="126"/>
        <v>61327.856337748002</v>
      </c>
      <c r="FI26" s="57">
        <f t="shared" si="46"/>
        <v>18115.084987999999</v>
      </c>
      <c r="FJ26" s="59">
        <f t="shared" si="127"/>
        <v>59884.847953330398</v>
      </c>
      <c r="FK26" s="55">
        <f t="shared" si="47"/>
        <v>17678.576915999998</v>
      </c>
      <c r="FL26" s="59">
        <f t="shared" si="128"/>
        <v>58441.839568912794</v>
      </c>
      <c r="FM26" s="60">
        <f t="shared" si="48"/>
        <v>17242.068844000001</v>
      </c>
      <c r="FN26" s="59">
        <f t="shared" si="129"/>
        <v>56998.831184495204</v>
      </c>
      <c r="FO26" s="60">
        <f t="shared" si="49"/>
        <v>16805.560772000001</v>
      </c>
      <c r="FP26" s="59">
        <f t="shared" si="130"/>
        <v>55555.822800077607</v>
      </c>
      <c r="FQ26" s="60">
        <f t="shared" si="50"/>
        <v>16369.052699999998</v>
      </c>
      <c r="FR26" s="59">
        <f t="shared" si="131"/>
        <v>54112.814415659996</v>
      </c>
      <c r="FS26" s="55">
        <f t="shared" si="51"/>
        <v>15932.544627999998</v>
      </c>
      <c r="FT26" s="59">
        <f t="shared" si="132"/>
        <v>52669.806031242391</v>
      </c>
      <c r="FU26" s="60">
        <f t="shared" si="52"/>
        <v>15496.036555999997</v>
      </c>
      <c r="FV26" s="59">
        <f t="shared" si="133"/>
        <v>51226.797646824794</v>
      </c>
      <c r="FW26" s="60">
        <f t="shared" si="53"/>
        <v>15059.528483999997</v>
      </c>
      <c r="FX26" s="59">
        <f t="shared" si="134"/>
        <v>49783.78926240719</v>
      </c>
      <c r="FY26" s="60">
        <f t="shared" si="54"/>
        <v>14623.020411999996</v>
      </c>
      <c r="FZ26" s="59">
        <f t="shared" si="135"/>
        <v>48340.780877989586</v>
      </c>
      <c r="GA26" s="60">
        <f t="shared" si="55"/>
        <v>14186.512339999997</v>
      </c>
      <c r="GB26" s="59">
        <f t="shared" si="136"/>
        <v>46897.772493571996</v>
      </c>
      <c r="GC26" s="55">
        <f t="shared" si="56"/>
        <v>13750.004267999997</v>
      </c>
      <c r="GD26" s="59">
        <f t="shared" si="137"/>
        <v>45454.764109154392</v>
      </c>
      <c r="GE26" s="60">
        <f t="shared" si="57"/>
        <v>13313.496195999996</v>
      </c>
      <c r="GF26" s="59">
        <f t="shared" si="138"/>
        <v>44011.755724736788</v>
      </c>
      <c r="GG26" s="60">
        <f t="shared" si="58"/>
        <v>12876.988123999996</v>
      </c>
      <c r="GH26" s="59">
        <f t="shared" si="139"/>
        <v>42568.747340319191</v>
      </c>
      <c r="GI26" s="55">
        <f t="shared" si="59"/>
        <v>12440.480051999995</v>
      </c>
      <c r="GJ26" s="59">
        <f t="shared" si="140"/>
        <v>41125.738955901586</v>
      </c>
      <c r="GK26" s="55"/>
      <c r="GL26" s="55"/>
      <c r="GM26" s="55">
        <v>1</v>
      </c>
      <c r="GN26" s="55">
        <v>0.97</v>
      </c>
      <c r="GO26" s="55">
        <v>0.95</v>
      </c>
      <c r="GP26" s="55">
        <v>0.93</v>
      </c>
      <c r="GQ26" s="55">
        <f t="shared" si="141"/>
        <v>0.91</v>
      </c>
      <c r="GR26" s="55">
        <f t="shared" si="141"/>
        <v>0.89</v>
      </c>
      <c r="GS26" s="55">
        <f t="shared" si="141"/>
        <v>0.87</v>
      </c>
      <c r="GT26" s="55">
        <f t="shared" si="141"/>
        <v>0.85</v>
      </c>
      <c r="GU26" s="55">
        <f t="shared" si="141"/>
        <v>0.83</v>
      </c>
      <c r="GV26" s="55">
        <f t="shared" si="141"/>
        <v>0.80999999999999994</v>
      </c>
      <c r="GW26" s="55">
        <f t="shared" si="141"/>
        <v>0.78999999999999992</v>
      </c>
      <c r="GX26" s="55">
        <f t="shared" si="141"/>
        <v>0.76999999999999991</v>
      </c>
      <c r="GY26" s="55">
        <f t="shared" si="141"/>
        <v>0.74999999999999989</v>
      </c>
      <c r="GZ26" s="55">
        <f t="shared" si="141"/>
        <v>0.72999999999999987</v>
      </c>
      <c r="HA26" s="55">
        <f t="shared" si="141"/>
        <v>0.70999999999999985</v>
      </c>
      <c r="HB26" s="55">
        <f t="shared" si="141"/>
        <v>0.68999999999999984</v>
      </c>
      <c r="HC26" s="55">
        <f t="shared" si="141"/>
        <v>0.66999999999999982</v>
      </c>
      <c r="HD26" s="55">
        <f t="shared" si="141"/>
        <v>0.6499999999999998</v>
      </c>
      <c r="HE26" s="55">
        <f t="shared" si="141"/>
        <v>0.62999999999999978</v>
      </c>
      <c r="HF26" s="55">
        <f t="shared" si="141"/>
        <v>0.60999999999999976</v>
      </c>
      <c r="HG26" s="55">
        <f t="shared" si="141"/>
        <v>0.58999999999999975</v>
      </c>
      <c r="HH26" s="55">
        <f t="shared" si="141"/>
        <v>0.56999999999999973</v>
      </c>
    </row>
    <row r="27" spans="1:216" x14ac:dyDescent="0.3">
      <c r="B27" s="2">
        <v>4</v>
      </c>
      <c r="C27" s="35" t="s">
        <v>96</v>
      </c>
      <c r="D27" s="45">
        <f>+D95</f>
        <v>223670</v>
      </c>
      <c r="E27" s="67">
        <f t="shared" si="0"/>
        <v>739400</v>
      </c>
      <c r="H27" s="55">
        <f t="shared" si="61"/>
        <v>813340.00000000012</v>
      </c>
      <c r="I27" s="55">
        <f t="shared" si="62"/>
        <v>813340.00000000012</v>
      </c>
      <c r="J27" s="59">
        <f t="shared" si="63"/>
        <v>2688739.3720000004</v>
      </c>
      <c r="K27" s="55">
        <f t="shared" si="64"/>
        <v>788939.8</v>
      </c>
      <c r="L27" s="59">
        <f t="shared" si="65"/>
        <v>2608077.1908400003</v>
      </c>
      <c r="M27" s="55">
        <f t="shared" si="66"/>
        <v>772673.00000000012</v>
      </c>
      <c r="N27" s="59">
        <f t="shared" si="67"/>
        <v>2554302.4034000007</v>
      </c>
      <c r="O27" s="55">
        <f t="shared" si="1"/>
        <v>756406.20000000019</v>
      </c>
      <c r="P27" s="59">
        <f t="shared" si="68"/>
        <v>2500527.6159600005</v>
      </c>
      <c r="Q27" s="57">
        <f t="shared" si="2"/>
        <v>740139.40000000014</v>
      </c>
      <c r="R27" s="59">
        <f t="shared" si="69"/>
        <v>2446752.8285200004</v>
      </c>
      <c r="S27" s="55">
        <f t="shared" si="3"/>
        <v>723872.60000000009</v>
      </c>
      <c r="T27" s="59">
        <f t="shared" si="70"/>
        <v>2392978.0410800003</v>
      </c>
      <c r="U27" s="57">
        <f t="shared" si="4"/>
        <v>707605.8</v>
      </c>
      <c r="V27" s="59">
        <f t="shared" si="71"/>
        <v>2339203.2536400002</v>
      </c>
      <c r="W27" s="60">
        <f t="shared" si="5"/>
        <v>691339.00000000012</v>
      </c>
      <c r="X27" s="59">
        <f t="shared" si="72"/>
        <v>2285428.4662000006</v>
      </c>
      <c r="Y27" s="57">
        <f t="shared" si="6"/>
        <v>675072.20000000007</v>
      </c>
      <c r="Z27" s="59">
        <f t="shared" si="73"/>
        <v>2231653.6787600005</v>
      </c>
      <c r="AA27" s="55">
        <f t="shared" si="7"/>
        <v>658805.4</v>
      </c>
      <c r="AB27" s="59">
        <f t="shared" si="74"/>
        <v>2177878.8913199999</v>
      </c>
      <c r="AC27" s="60">
        <f t="shared" si="8"/>
        <v>642538.6</v>
      </c>
      <c r="AD27" s="59">
        <f t="shared" si="75"/>
        <v>2124104.1038799998</v>
      </c>
      <c r="AE27" s="60">
        <f t="shared" si="9"/>
        <v>626271.80000000005</v>
      </c>
      <c r="AF27" s="59">
        <f t="shared" si="76"/>
        <v>2070329.3164400002</v>
      </c>
      <c r="AG27" s="60">
        <f t="shared" si="10"/>
        <v>610005</v>
      </c>
      <c r="AH27" s="59">
        <f t="shared" si="77"/>
        <v>2016554.5290000001</v>
      </c>
      <c r="AI27" s="55">
        <f t="shared" si="11"/>
        <v>593738.19999999995</v>
      </c>
      <c r="AJ27" s="59">
        <f t="shared" si="78"/>
        <v>1962779.74156</v>
      </c>
      <c r="AK27" s="60">
        <f t="shared" si="12"/>
        <v>577471.39999999991</v>
      </c>
      <c r="AL27" s="59">
        <f t="shared" si="79"/>
        <v>1909004.9541199997</v>
      </c>
      <c r="AM27" s="60">
        <f t="shared" si="13"/>
        <v>561204.6</v>
      </c>
      <c r="AN27" s="59">
        <f t="shared" si="80"/>
        <v>1855230.16668</v>
      </c>
      <c r="AO27" s="60">
        <f t="shared" si="14"/>
        <v>544937.79999999993</v>
      </c>
      <c r="AP27" s="59">
        <f t="shared" si="81"/>
        <v>1801455.3792399999</v>
      </c>
      <c r="AQ27" s="60">
        <f t="shared" si="15"/>
        <v>528670.99999999988</v>
      </c>
      <c r="AR27" s="59">
        <f t="shared" si="82"/>
        <v>1747680.5917999996</v>
      </c>
      <c r="AS27" s="55">
        <f t="shared" si="16"/>
        <v>512404.1999999999</v>
      </c>
      <c r="AT27" s="59">
        <f t="shared" si="83"/>
        <v>1693905.8043599997</v>
      </c>
      <c r="AU27" s="60">
        <f t="shared" si="17"/>
        <v>496137.39999999991</v>
      </c>
      <c r="AV27" s="59">
        <f t="shared" si="84"/>
        <v>1640131.0169199996</v>
      </c>
      <c r="AW27" s="60">
        <f t="shared" si="18"/>
        <v>479870.59999999986</v>
      </c>
      <c r="AX27" s="59">
        <f t="shared" si="85"/>
        <v>1586356.2294799995</v>
      </c>
      <c r="AY27" s="55">
        <f t="shared" si="19"/>
        <v>463603.79999999987</v>
      </c>
      <c r="AZ27" s="59">
        <f t="shared" si="86"/>
        <v>1532581.4420399996</v>
      </c>
      <c r="BC27" s="55">
        <v>1</v>
      </c>
      <c r="BD27" s="55">
        <v>0.97</v>
      </c>
      <c r="BE27" s="55">
        <v>0.95</v>
      </c>
      <c r="BF27" s="55">
        <v>0.93</v>
      </c>
      <c r="BG27" s="55">
        <f t="shared" si="87"/>
        <v>0.91</v>
      </c>
      <c r="BH27" s="55">
        <f t="shared" si="87"/>
        <v>0.89</v>
      </c>
      <c r="BI27" s="55">
        <f t="shared" si="87"/>
        <v>0.87</v>
      </c>
      <c r="BJ27" s="55">
        <f t="shared" si="87"/>
        <v>0.85</v>
      </c>
      <c r="BK27" s="55">
        <f t="shared" si="87"/>
        <v>0.83</v>
      </c>
      <c r="BL27" s="55">
        <f t="shared" si="87"/>
        <v>0.80999999999999994</v>
      </c>
      <c r="BM27" s="55">
        <f t="shared" si="87"/>
        <v>0.78999999999999992</v>
      </c>
      <c r="BN27" s="55">
        <f t="shared" si="87"/>
        <v>0.76999999999999991</v>
      </c>
      <c r="BO27" s="55">
        <f t="shared" si="87"/>
        <v>0.74999999999999989</v>
      </c>
      <c r="BP27" s="55">
        <f t="shared" si="87"/>
        <v>0.72999999999999987</v>
      </c>
      <c r="BQ27" s="55">
        <f t="shared" si="87"/>
        <v>0.70999999999999985</v>
      </c>
      <c r="BR27" s="55">
        <f t="shared" si="87"/>
        <v>0.68999999999999984</v>
      </c>
      <c r="BS27" s="55">
        <f t="shared" si="87"/>
        <v>0.66999999999999982</v>
      </c>
      <c r="BT27" s="55">
        <f t="shared" si="87"/>
        <v>0.6499999999999998</v>
      </c>
      <c r="BU27" s="55">
        <f t="shared" si="87"/>
        <v>0.62999999999999978</v>
      </c>
      <c r="BV27" s="55">
        <f t="shared" si="87"/>
        <v>0.60999999999999976</v>
      </c>
      <c r="BW27" s="55">
        <f t="shared" si="87"/>
        <v>0.58999999999999975</v>
      </c>
      <c r="BX27" s="55">
        <f t="shared" si="87"/>
        <v>0.56999999999999973</v>
      </c>
      <c r="BZ27" s="55">
        <f t="shared" si="88"/>
        <v>740139.40000000014</v>
      </c>
      <c r="CA27" s="55">
        <f t="shared" si="89"/>
        <v>740139.40000000014</v>
      </c>
      <c r="CB27" s="59">
        <f t="shared" si="90"/>
        <v>2446752.8285200004</v>
      </c>
      <c r="CC27" s="55">
        <f t="shared" si="91"/>
        <v>717935.21800000011</v>
      </c>
      <c r="CD27" s="59">
        <f t="shared" si="92"/>
        <v>2373350.2436644002</v>
      </c>
      <c r="CE27" s="55">
        <f t="shared" si="93"/>
        <v>703132.43</v>
      </c>
      <c r="CF27" s="59">
        <f t="shared" si="94"/>
        <v>2324415.1870940002</v>
      </c>
      <c r="CG27" s="55">
        <f t="shared" si="21"/>
        <v>688329.64200000011</v>
      </c>
      <c r="CH27" s="59">
        <f t="shared" si="95"/>
        <v>2275480.1305236006</v>
      </c>
      <c r="CI27" s="57">
        <f t="shared" si="22"/>
        <v>673526.85400000017</v>
      </c>
      <c r="CJ27" s="59">
        <f t="shared" si="96"/>
        <v>2226545.0739532006</v>
      </c>
      <c r="CK27" s="55">
        <f t="shared" si="23"/>
        <v>658724.06600000011</v>
      </c>
      <c r="CL27" s="59">
        <f t="shared" si="97"/>
        <v>2177610.0173828006</v>
      </c>
      <c r="CM27" s="57">
        <f t="shared" si="24"/>
        <v>643921.27800000017</v>
      </c>
      <c r="CN27" s="59">
        <f t="shared" si="98"/>
        <v>2128674.9608124006</v>
      </c>
      <c r="CO27" s="60">
        <f t="shared" si="25"/>
        <v>629118.49000000011</v>
      </c>
      <c r="CP27" s="59">
        <f t="shared" si="99"/>
        <v>2079739.9042420003</v>
      </c>
      <c r="CQ27" s="57">
        <f t="shared" si="26"/>
        <v>614315.70200000005</v>
      </c>
      <c r="CR27" s="59">
        <f t="shared" si="100"/>
        <v>2030804.8476716003</v>
      </c>
      <c r="CS27" s="55">
        <f t="shared" si="27"/>
        <v>599512.91400000011</v>
      </c>
      <c r="CT27" s="59">
        <f t="shared" si="101"/>
        <v>1981869.7911012005</v>
      </c>
      <c r="CU27" s="60">
        <f t="shared" si="28"/>
        <v>584710.12600000005</v>
      </c>
      <c r="CV27" s="59">
        <f t="shared" si="102"/>
        <v>1932934.7345308003</v>
      </c>
      <c r="CW27" s="60">
        <f t="shared" si="29"/>
        <v>569907.33799999999</v>
      </c>
      <c r="CX27" s="59">
        <f t="shared" si="103"/>
        <v>1883999.6779604</v>
      </c>
      <c r="CY27" s="60">
        <f t="shared" si="30"/>
        <v>555104.55000000005</v>
      </c>
      <c r="CZ27" s="59">
        <f t="shared" si="104"/>
        <v>1835064.6213900002</v>
      </c>
      <c r="DA27" s="55">
        <f t="shared" si="31"/>
        <v>540301.76199999999</v>
      </c>
      <c r="DB27" s="59">
        <f t="shared" si="105"/>
        <v>1786129.5648196</v>
      </c>
      <c r="DC27" s="60">
        <f t="shared" si="32"/>
        <v>525498.97400000005</v>
      </c>
      <c r="DD27" s="59">
        <f t="shared" si="106"/>
        <v>1737194.5082492002</v>
      </c>
      <c r="DE27" s="60">
        <f t="shared" si="33"/>
        <v>510696.18599999999</v>
      </c>
      <c r="DF27" s="59">
        <f t="shared" si="107"/>
        <v>1688259.4516787999</v>
      </c>
      <c r="DG27" s="60">
        <f t="shared" si="34"/>
        <v>495893.39799999999</v>
      </c>
      <c r="DH27" s="59">
        <f t="shared" si="108"/>
        <v>1639324.3951083999</v>
      </c>
      <c r="DI27" s="60">
        <f t="shared" si="35"/>
        <v>481090.60999999993</v>
      </c>
      <c r="DJ27" s="59">
        <f t="shared" si="109"/>
        <v>1590389.3385379999</v>
      </c>
      <c r="DK27" s="55">
        <f t="shared" si="36"/>
        <v>466287.82199999993</v>
      </c>
      <c r="DL27" s="59">
        <f t="shared" si="110"/>
        <v>1541454.2819675999</v>
      </c>
      <c r="DM27" s="60">
        <f t="shared" si="37"/>
        <v>451485.03399999993</v>
      </c>
      <c r="DN27" s="59">
        <f t="shared" si="111"/>
        <v>1492519.2253971999</v>
      </c>
      <c r="DO27" s="60">
        <f t="shared" si="38"/>
        <v>436682.24599999987</v>
      </c>
      <c r="DP27" s="59">
        <f t="shared" si="112"/>
        <v>1443584.1688267996</v>
      </c>
      <c r="DQ27" s="55">
        <f t="shared" si="39"/>
        <v>421879.45799999987</v>
      </c>
      <c r="DR27" s="59">
        <f t="shared" si="113"/>
        <v>1394649.1122563996</v>
      </c>
      <c r="DU27" s="55">
        <v>1</v>
      </c>
      <c r="DV27" s="55">
        <v>0.97</v>
      </c>
      <c r="DW27" s="55">
        <v>0.95</v>
      </c>
      <c r="DX27" s="55">
        <v>0.93</v>
      </c>
      <c r="DY27" s="55">
        <f t="shared" si="114"/>
        <v>0.91</v>
      </c>
      <c r="DZ27" s="55">
        <f t="shared" si="114"/>
        <v>0.89</v>
      </c>
      <c r="EA27" s="55">
        <f t="shared" si="114"/>
        <v>0.87</v>
      </c>
      <c r="EB27" s="55">
        <f t="shared" si="114"/>
        <v>0.85</v>
      </c>
      <c r="EC27" s="55">
        <f t="shared" si="114"/>
        <v>0.83</v>
      </c>
      <c r="ED27" s="55">
        <f t="shared" si="114"/>
        <v>0.80999999999999994</v>
      </c>
      <c r="EE27" s="55">
        <f t="shared" si="114"/>
        <v>0.78999999999999992</v>
      </c>
      <c r="EF27" s="55">
        <f t="shared" si="114"/>
        <v>0.76999999999999991</v>
      </c>
      <c r="EG27" s="55">
        <f t="shared" si="114"/>
        <v>0.74999999999999989</v>
      </c>
      <c r="EH27" s="55">
        <f t="shared" si="114"/>
        <v>0.72999999999999987</v>
      </c>
      <c r="EI27" s="55">
        <f t="shared" si="114"/>
        <v>0.70999999999999985</v>
      </c>
      <c r="EJ27" s="55">
        <f t="shared" si="114"/>
        <v>0.68999999999999984</v>
      </c>
      <c r="EK27" s="55">
        <f t="shared" si="114"/>
        <v>0.66999999999999982</v>
      </c>
      <c r="EL27" s="55">
        <f t="shared" si="114"/>
        <v>0.6499999999999998</v>
      </c>
      <c r="EM27" s="55">
        <f t="shared" si="114"/>
        <v>0.62999999999999978</v>
      </c>
      <c r="EN27" s="55">
        <f t="shared" si="114"/>
        <v>0.60999999999999976</v>
      </c>
      <c r="EO27" s="55">
        <f t="shared" si="114"/>
        <v>0.58999999999999975</v>
      </c>
      <c r="EP27" s="55">
        <f t="shared" si="114"/>
        <v>0.56999999999999973</v>
      </c>
      <c r="ER27" s="55">
        <f t="shared" si="115"/>
        <v>673526.85400000017</v>
      </c>
      <c r="ES27" s="55">
        <f t="shared" si="116"/>
        <v>673526.85400000017</v>
      </c>
      <c r="ET27" s="59">
        <f t="shared" si="117"/>
        <v>2226545.0739532006</v>
      </c>
      <c r="EU27" s="55">
        <f t="shared" si="118"/>
        <v>653321.04838000017</v>
      </c>
      <c r="EV27" s="59">
        <f t="shared" si="119"/>
        <v>2159748.7217346048</v>
      </c>
      <c r="EW27" s="55">
        <f t="shared" si="120"/>
        <v>639850.51130000013</v>
      </c>
      <c r="EX27" s="59">
        <f t="shared" si="121"/>
        <v>2115217.8202555403</v>
      </c>
      <c r="EY27" s="55">
        <f t="shared" si="41"/>
        <v>626379.97422000021</v>
      </c>
      <c r="EZ27" s="59">
        <f t="shared" si="122"/>
        <v>2070686.9187764768</v>
      </c>
      <c r="FA27" s="57">
        <f t="shared" si="42"/>
        <v>612909.43714000017</v>
      </c>
      <c r="FB27" s="59">
        <f t="shared" si="123"/>
        <v>2026156.0172974125</v>
      </c>
      <c r="FC27" s="55">
        <f t="shared" si="43"/>
        <v>599438.90006000013</v>
      </c>
      <c r="FD27" s="59">
        <f t="shared" si="124"/>
        <v>1981625.1158183485</v>
      </c>
      <c r="FE27" s="57">
        <f t="shared" si="44"/>
        <v>585968.36298000009</v>
      </c>
      <c r="FF27" s="59">
        <f t="shared" si="125"/>
        <v>1937094.2143392845</v>
      </c>
      <c r="FG27" s="60">
        <f t="shared" si="45"/>
        <v>572497.82590000017</v>
      </c>
      <c r="FH27" s="59">
        <f t="shared" si="126"/>
        <v>1892563.3128602207</v>
      </c>
      <c r="FI27" s="57">
        <f t="shared" si="46"/>
        <v>559027.28882000013</v>
      </c>
      <c r="FJ27" s="59">
        <f t="shared" si="127"/>
        <v>1848032.4113811564</v>
      </c>
      <c r="FK27" s="55">
        <f t="shared" si="47"/>
        <v>545556.75174000009</v>
      </c>
      <c r="FL27" s="59">
        <f t="shared" si="128"/>
        <v>1803501.5099020924</v>
      </c>
      <c r="FM27" s="60">
        <f t="shared" si="48"/>
        <v>532086.21466000006</v>
      </c>
      <c r="FN27" s="59">
        <f t="shared" si="129"/>
        <v>1758970.6084230281</v>
      </c>
      <c r="FO27" s="60">
        <f t="shared" si="49"/>
        <v>518615.67758000008</v>
      </c>
      <c r="FP27" s="59">
        <f t="shared" si="130"/>
        <v>1714439.7069439644</v>
      </c>
      <c r="FQ27" s="60">
        <f t="shared" si="50"/>
        <v>505145.14050000004</v>
      </c>
      <c r="FR27" s="59">
        <f t="shared" si="131"/>
        <v>1669908.8054649001</v>
      </c>
      <c r="FS27" s="55">
        <f t="shared" si="51"/>
        <v>491674.60342000006</v>
      </c>
      <c r="FT27" s="59">
        <f t="shared" si="132"/>
        <v>1625377.9039858363</v>
      </c>
      <c r="FU27" s="60">
        <f t="shared" si="52"/>
        <v>478204.06634000002</v>
      </c>
      <c r="FV27" s="59">
        <f t="shared" si="133"/>
        <v>1580847.0025067721</v>
      </c>
      <c r="FW27" s="60">
        <f t="shared" si="53"/>
        <v>464733.52925999998</v>
      </c>
      <c r="FX27" s="59">
        <f t="shared" si="134"/>
        <v>1536316.101027708</v>
      </c>
      <c r="FY27" s="60">
        <f t="shared" si="54"/>
        <v>451262.99218</v>
      </c>
      <c r="FZ27" s="59">
        <f t="shared" si="135"/>
        <v>1491785.199548644</v>
      </c>
      <c r="GA27" s="60">
        <f t="shared" si="55"/>
        <v>437792.45509999996</v>
      </c>
      <c r="GB27" s="59">
        <f t="shared" si="136"/>
        <v>1447254.29806958</v>
      </c>
      <c r="GC27" s="55">
        <f t="shared" si="56"/>
        <v>424321.91801999998</v>
      </c>
      <c r="GD27" s="59">
        <f t="shared" si="137"/>
        <v>1402723.396590516</v>
      </c>
      <c r="GE27" s="60">
        <f t="shared" si="57"/>
        <v>410851.38093999994</v>
      </c>
      <c r="GF27" s="59">
        <f t="shared" si="138"/>
        <v>1358192.4951114519</v>
      </c>
      <c r="GG27" s="60">
        <f t="shared" si="58"/>
        <v>397380.84385999991</v>
      </c>
      <c r="GH27" s="59">
        <f t="shared" si="139"/>
        <v>1313661.5936323877</v>
      </c>
      <c r="GI27" s="55">
        <f t="shared" si="59"/>
        <v>383910.30677999993</v>
      </c>
      <c r="GJ27" s="59">
        <f t="shared" si="140"/>
        <v>1269130.6921533237</v>
      </c>
      <c r="GK27" s="55"/>
      <c r="GL27" s="55"/>
      <c r="GM27" s="55">
        <v>1</v>
      </c>
      <c r="GN27" s="55">
        <v>0.97</v>
      </c>
      <c r="GO27" s="55">
        <v>0.95</v>
      </c>
      <c r="GP27" s="55">
        <v>0.93</v>
      </c>
      <c r="GQ27" s="55">
        <f t="shared" si="141"/>
        <v>0.91</v>
      </c>
      <c r="GR27" s="55">
        <f t="shared" si="141"/>
        <v>0.89</v>
      </c>
      <c r="GS27" s="55">
        <f t="shared" si="141"/>
        <v>0.87</v>
      </c>
      <c r="GT27" s="55">
        <f t="shared" si="141"/>
        <v>0.85</v>
      </c>
      <c r="GU27" s="55">
        <f t="shared" si="141"/>
        <v>0.83</v>
      </c>
      <c r="GV27" s="55">
        <f t="shared" si="141"/>
        <v>0.80999999999999994</v>
      </c>
      <c r="GW27" s="55">
        <f t="shared" si="141"/>
        <v>0.78999999999999992</v>
      </c>
      <c r="GX27" s="55">
        <f t="shared" si="141"/>
        <v>0.76999999999999991</v>
      </c>
      <c r="GY27" s="55">
        <f t="shared" si="141"/>
        <v>0.74999999999999989</v>
      </c>
      <c r="GZ27" s="55">
        <f t="shared" si="141"/>
        <v>0.72999999999999987</v>
      </c>
      <c r="HA27" s="55">
        <f t="shared" si="141"/>
        <v>0.70999999999999985</v>
      </c>
      <c r="HB27" s="55">
        <f t="shared" si="141"/>
        <v>0.68999999999999984</v>
      </c>
      <c r="HC27" s="55">
        <f t="shared" si="141"/>
        <v>0.66999999999999982</v>
      </c>
      <c r="HD27" s="55">
        <f t="shared" si="141"/>
        <v>0.6499999999999998</v>
      </c>
      <c r="HE27" s="55">
        <f t="shared" si="141"/>
        <v>0.62999999999999978</v>
      </c>
      <c r="HF27" s="55">
        <f t="shared" si="141"/>
        <v>0.60999999999999976</v>
      </c>
      <c r="HG27" s="55">
        <f t="shared" si="141"/>
        <v>0.58999999999999975</v>
      </c>
      <c r="HH27" s="55">
        <f t="shared" si="141"/>
        <v>0.56999999999999973</v>
      </c>
    </row>
    <row r="28" spans="1:216" x14ac:dyDescent="0.3">
      <c r="B28" s="2">
        <v>5</v>
      </c>
      <c r="C28" s="35" t="s">
        <v>97</v>
      </c>
      <c r="D28" s="45">
        <f>+D119</f>
        <v>201600</v>
      </c>
      <c r="E28" s="67">
        <f t="shared" si="0"/>
        <v>666440</v>
      </c>
      <c r="H28" s="55">
        <f t="shared" si="61"/>
        <v>733084.00000000012</v>
      </c>
      <c r="I28" s="55">
        <f t="shared" si="62"/>
        <v>733084.00000000012</v>
      </c>
      <c r="J28" s="59">
        <f t="shared" si="63"/>
        <v>2423429.0872000004</v>
      </c>
      <c r="K28" s="55">
        <f t="shared" si="64"/>
        <v>711091.4800000001</v>
      </c>
      <c r="L28" s="59">
        <f t="shared" si="65"/>
        <v>2350726.2145840004</v>
      </c>
      <c r="M28" s="55">
        <f t="shared" si="66"/>
        <v>696429.8</v>
      </c>
      <c r="N28" s="59">
        <f t="shared" si="67"/>
        <v>2302257.6328400001</v>
      </c>
      <c r="O28" s="55">
        <f t="shared" si="1"/>
        <v>681768.12000000011</v>
      </c>
      <c r="P28" s="59">
        <f t="shared" si="68"/>
        <v>2253789.0510960002</v>
      </c>
      <c r="Q28" s="57">
        <f t="shared" si="2"/>
        <v>667106.44000000018</v>
      </c>
      <c r="R28" s="59">
        <f t="shared" si="69"/>
        <v>2205320.4693520009</v>
      </c>
      <c r="S28" s="55">
        <f t="shared" si="3"/>
        <v>652444.76000000013</v>
      </c>
      <c r="T28" s="59">
        <f t="shared" si="70"/>
        <v>2156851.8876080005</v>
      </c>
      <c r="U28" s="57">
        <f t="shared" si="4"/>
        <v>637783.08000000007</v>
      </c>
      <c r="V28" s="59">
        <f t="shared" si="71"/>
        <v>2108383.3058640002</v>
      </c>
      <c r="W28" s="60">
        <f t="shared" si="5"/>
        <v>623121.40000000014</v>
      </c>
      <c r="X28" s="59">
        <f t="shared" si="72"/>
        <v>2059914.7241200006</v>
      </c>
      <c r="Y28" s="57">
        <f t="shared" si="6"/>
        <v>608459.72000000009</v>
      </c>
      <c r="Z28" s="59">
        <f t="shared" si="73"/>
        <v>2011446.1423760003</v>
      </c>
      <c r="AA28" s="55">
        <f t="shared" si="7"/>
        <v>593798.04</v>
      </c>
      <c r="AB28" s="59">
        <f t="shared" si="74"/>
        <v>1962977.5606320002</v>
      </c>
      <c r="AC28" s="60">
        <f t="shared" si="8"/>
        <v>579136.36</v>
      </c>
      <c r="AD28" s="59">
        <f t="shared" si="75"/>
        <v>1914508.9788879999</v>
      </c>
      <c r="AE28" s="60">
        <f t="shared" si="9"/>
        <v>564474.68000000005</v>
      </c>
      <c r="AF28" s="59">
        <f t="shared" si="76"/>
        <v>1866040.3971440003</v>
      </c>
      <c r="AG28" s="60">
        <f t="shared" si="10"/>
        <v>549813</v>
      </c>
      <c r="AH28" s="59">
        <f t="shared" si="77"/>
        <v>1817571.8154</v>
      </c>
      <c r="AI28" s="55">
        <f t="shared" si="11"/>
        <v>535151.31999999995</v>
      </c>
      <c r="AJ28" s="59">
        <f t="shared" si="78"/>
        <v>1769103.2336559999</v>
      </c>
      <c r="AK28" s="60">
        <f t="shared" si="12"/>
        <v>520489.63999999996</v>
      </c>
      <c r="AL28" s="59">
        <f t="shared" si="79"/>
        <v>1720634.6519119998</v>
      </c>
      <c r="AM28" s="60">
        <f t="shared" si="13"/>
        <v>505827.95999999996</v>
      </c>
      <c r="AN28" s="59">
        <f t="shared" si="80"/>
        <v>1672166.0701679999</v>
      </c>
      <c r="AO28" s="60">
        <f t="shared" si="14"/>
        <v>491166.27999999997</v>
      </c>
      <c r="AP28" s="59">
        <f t="shared" si="81"/>
        <v>1623697.4884239999</v>
      </c>
      <c r="AQ28" s="60">
        <f t="shared" si="15"/>
        <v>476504.59999999992</v>
      </c>
      <c r="AR28" s="59">
        <f t="shared" si="82"/>
        <v>1575228.9066799998</v>
      </c>
      <c r="AS28" s="55">
        <f t="shared" si="16"/>
        <v>461842.91999999993</v>
      </c>
      <c r="AT28" s="59">
        <f t="shared" si="83"/>
        <v>1526760.3249359997</v>
      </c>
      <c r="AU28" s="60">
        <f t="shared" si="17"/>
        <v>447181.23999999987</v>
      </c>
      <c r="AV28" s="59">
        <f t="shared" si="84"/>
        <v>1478291.7431919996</v>
      </c>
      <c r="AW28" s="60">
        <f t="shared" si="18"/>
        <v>432519.55999999988</v>
      </c>
      <c r="AX28" s="59">
        <f t="shared" si="85"/>
        <v>1429823.1614479995</v>
      </c>
      <c r="AY28" s="55">
        <f t="shared" si="19"/>
        <v>417857.87999999989</v>
      </c>
      <c r="AZ28" s="59">
        <f t="shared" si="86"/>
        <v>1381354.5797039997</v>
      </c>
      <c r="BC28" s="55">
        <v>1</v>
      </c>
      <c r="BD28" s="55">
        <v>0.97</v>
      </c>
      <c r="BE28" s="55">
        <v>0.95</v>
      </c>
      <c r="BF28" s="55">
        <v>0.93</v>
      </c>
      <c r="BG28" s="55">
        <f t="shared" si="87"/>
        <v>0.91</v>
      </c>
      <c r="BH28" s="55">
        <f t="shared" si="87"/>
        <v>0.89</v>
      </c>
      <c r="BI28" s="55">
        <f t="shared" si="87"/>
        <v>0.87</v>
      </c>
      <c r="BJ28" s="55">
        <f t="shared" si="87"/>
        <v>0.85</v>
      </c>
      <c r="BK28" s="55">
        <f t="shared" si="87"/>
        <v>0.83</v>
      </c>
      <c r="BL28" s="55">
        <f t="shared" si="87"/>
        <v>0.80999999999999994</v>
      </c>
      <c r="BM28" s="55">
        <f t="shared" si="87"/>
        <v>0.78999999999999992</v>
      </c>
      <c r="BN28" s="55">
        <f t="shared" si="87"/>
        <v>0.76999999999999991</v>
      </c>
      <c r="BO28" s="55">
        <f t="shared" si="87"/>
        <v>0.74999999999999989</v>
      </c>
      <c r="BP28" s="55">
        <f t="shared" si="87"/>
        <v>0.72999999999999987</v>
      </c>
      <c r="BQ28" s="55">
        <f t="shared" si="87"/>
        <v>0.70999999999999985</v>
      </c>
      <c r="BR28" s="55">
        <f t="shared" si="87"/>
        <v>0.68999999999999984</v>
      </c>
      <c r="BS28" s="55">
        <f t="shared" si="87"/>
        <v>0.66999999999999982</v>
      </c>
      <c r="BT28" s="55">
        <f t="shared" si="87"/>
        <v>0.6499999999999998</v>
      </c>
      <c r="BU28" s="55">
        <f t="shared" si="87"/>
        <v>0.62999999999999978</v>
      </c>
      <c r="BV28" s="55">
        <f t="shared" si="87"/>
        <v>0.60999999999999976</v>
      </c>
      <c r="BW28" s="55">
        <f t="shared" si="87"/>
        <v>0.58999999999999975</v>
      </c>
      <c r="BX28" s="55">
        <f t="shared" si="87"/>
        <v>0.56999999999999973</v>
      </c>
      <c r="BZ28" s="55">
        <f t="shared" si="88"/>
        <v>667106.44000000018</v>
      </c>
      <c r="CA28" s="55">
        <f t="shared" si="89"/>
        <v>667106.44000000018</v>
      </c>
      <c r="CB28" s="59">
        <f t="shared" si="90"/>
        <v>2205320.4693520009</v>
      </c>
      <c r="CC28" s="55">
        <f t="shared" si="91"/>
        <v>647093.2468000002</v>
      </c>
      <c r="CD28" s="59">
        <f t="shared" si="92"/>
        <v>2139160.8552714409</v>
      </c>
      <c r="CE28" s="55">
        <f t="shared" si="93"/>
        <v>633751.11800000013</v>
      </c>
      <c r="CF28" s="59">
        <f t="shared" si="94"/>
        <v>2095054.4458844005</v>
      </c>
      <c r="CG28" s="55">
        <f t="shared" si="21"/>
        <v>620408.98920000019</v>
      </c>
      <c r="CH28" s="59">
        <f t="shared" si="95"/>
        <v>2050948.0364973606</v>
      </c>
      <c r="CI28" s="57">
        <f t="shared" si="22"/>
        <v>607066.86040000024</v>
      </c>
      <c r="CJ28" s="59">
        <f t="shared" si="96"/>
        <v>2006841.6271103208</v>
      </c>
      <c r="CK28" s="55">
        <f t="shared" si="23"/>
        <v>593724.73160000017</v>
      </c>
      <c r="CL28" s="59">
        <f t="shared" si="97"/>
        <v>1962735.2177232807</v>
      </c>
      <c r="CM28" s="57">
        <f t="shared" si="24"/>
        <v>580382.60280000011</v>
      </c>
      <c r="CN28" s="59">
        <f t="shared" si="98"/>
        <v>1918628.8083362405</v>
      </c>
      <c r="CO28" s="60">
        <f t="shared" si="25"/>
        <v>567040.47400000016</v>
      </c>
      <c r="CP28" s="59">
        <f t="shared" si="99"/>
        <v>1874522.3989492005</v>
      </c>
      <c r="CQ28" s="57">
        <f t="shared" si="26"/>
        <v>553698.3452000001</v>
      </c>
      <c r="CR28" s="59">
        <f t="shared" si="100"/>
        <v>1830415.9895621603</v>
      </c>
      <c r="CS28" s="55">
        <f t="shared" si="27"/>
        <v>540356.21640000015</v>
      </c>
      <c r="CT28" s="59">
        <f t="shared" si="101"/>
        <v>1786309.5801751206</v>
      </c>
      <c r="CU28" s="60">
        <f t="shared" si="28"/>
        <v>527014.08760000009</v>
      </c>
      <c r="CV28" s="59">
        <f t="shared" si="102"/>
        <v>1742203.1707880804</v>
      </c>
      <c r="CW28" s="60">
        <f t="shared" si="29"/>
        <v>513671.95880000008</v>
      </c>
      <c r="CX28" s="59">
        <f t="shared" si="103"/>
        <v>1698096.7614010402</v>
      </c>
      <c r="CY28" s="60">
        <f t="shared" si="30"/>
        <v>500329.83000000007</v>
      </c>
      <c r="CZ28" s="59">
        <f t="shared" si="104"/>
        <v>1653990.3520140003</v>
      </c>
      <c r="DA28" s="55">
        <f t="shared" si="31"/>
        <v>486987.70120000007</v>
      </c>
      <c r="DB28" s="59">
        <f t="shared" si="105"/>
        <v>1609883.9426269603</v>
      </c>
      <c r="DC28" s="60">
        <f t="shared" si="32"/>
        <v>473645.5724</v>
      </c>
      <c r="DD28" s="59">
        <f t="shared" si="106"/>
        <v>1565777.5332399202</v>
      </c>
      <c r="DE28" s="60">
        <f t="shared" si="33"/>
        <v>460303.4436</v>
      </c>
      <c r="DF28" s="59">
        <f t="shared" si="107"/>
        <v>1521671.12385288</v>
      </c>
      <c r="DG28" s="60">
        <f t="shared" si="34"/>
        <v>446961.31479999999</v>
      </c>
      <c r="DH28" s="59">
        <f t="shared" si="108"/>
        <v>1477564.71446584</v>
      </c>
      <c r="DI28" s="60">
        <f t="shared" si="35"/>
        <v>433619.18599999999</v>
      </c>
      <c r="DJ28" s="59">
        <f t="shared" si="109"/>
        <v>1433458.3050788001</v>
      </c>
      <c r="DK28" s="55">
        <f t="shared" si="36"/>
        <v>420277.05719999998</v>
      </c>
      <c r="DL28" s="59">
        <f t="shared" si="110"/>
        <v>1389351.8956917599</v>
      </c>
      <c r="DM28" s="60">
        <f t="shared" si="37"/>
        <v>406934.92839999998</v>
      </c>
      <c r="DN28" s="59">
        <f t="shared" si="111"/>
        <v>1345245.4863047199</v>
      </c>
      <c r="DO28" s="60">
        <f t="shared" si="38"/>
        <v>393592.79959999991</v>
      </c>
      <c r="DP28" s="59">
        <f t="shared" si="112"/>
        <v>1301139.0769176797</v>
      </c>
      <c r="DQ28" s="55">
        <f t="shared" si="39"/>
        <v>380250.67079999991</v>
      </c>
      <c r="DR28" s="59">
        <f t="shared" si="113"/>
        <v>1257032.6675306398</v>
      </c>
      <c r="DU28" s="55">
        <v>1</v>
      </c>
      <c r="DV28" s="55">
        <v>0.97</v>
      </c>
      <c r="DW28" s="55">
        <v>0.95</v>
      </c>
      <c r="DX28" s="55">
        <v>0.93</v>
      </c>
      <c r="DY28" s="55">
        <f t="shared" si="114"/>
        <v>0.91</v>
      </c>
      <c r="DZ28" s="55">
        <f t="shared" si="114"/>
        <v>0.89</v>
      </c>
      <c r="EA28" s="55">
        <f t="shared" si="114"/>
        <v>0.87</v>
      </c>
      <c r="EB28" s="55">
        <f t="shared" si="114"/>
        <v>0.85</v>
      </c>
      <c r="EC28" s="55">
        <f t="shared" si="114"/>
        <v>0.83</v>
      </c>
      <c r="ED28" s="55">
        <f t="shared" si="114"/>
        <v>0.80999999999999994</v>
      </c>
      <c r="EE28" s="55">
        <f t="shared" si="114"/>
        <v>0.78999999999999992</v>
      </c>
      <c r="EF28" s="55">
        <f t="shared" si="114"/>
        <v>0.76999999999999991</v>
      </c>
      <c r="EG28" s="55">
        <f t="shared" si="114"/>
        <v>0.74999999999999989</v>
      </c>
      <c r="EH28" s="55">
        <f t="shared" si="114"/>
        <v>0.72999999999999987</v>
      </c>
      <c r="EI28" s="55">
        <f t="shared" si="114"/>
        <v>0.70999999999999985</v>
      </c>
      <c r="EJ28" s="55">
        <f t="shared" si="114"/>
        <v>0.68999999999999984</v>
      </c>
      <c r="EK28" s="55">
        <f t="shared" si="114"/>
        <v>0.66999999999999982</v>
      </c>
      <c r="EL28" s="55">
        <f t="shared" si="114"/>
        <v>0.6499999999999998</v>
      </c>
      <c r="EM28" s="55">
        <f t="shared" si="114"/>
        <v>0.62999999999999978</v>
      </c>
      <c r="EN28" s="55">
        <f t="shared" si="114"/>
        <v>0.60999999999999976</v>
      </c>
      <c r="EO28" s="55">
        <f t="shared" si="114"/>
        <v>0.58999999999999975</v>
      </c>
      <c r="EP28" s="55">
        <f t="shared" si="114"/>
        <v>0.56999999999999973</v>
      </c>
      <c r="ER28" s="55">
        <f t="shared" si="115"/>
        <v>607066.86040000024</v>
      </c>
      <c r="ES28" s="55">
        <f t="shared" si="116"/>
        <v>607066.86040000024</v>
      </c>
      <c r="ET28" s="59">
        <f t="shared" si="117"/>
        <v>2006841.6271103208</v>
      </c>
      <c r="EU28" s="55">
        <f t="shared" si="118"/>
        <v>588854.85458800022</v>
      </c>
      <c r="EV28" s="59">
        <f t="shared" si="119"/>
        <v>1946636.3782970111</v>
      </c>
      <c r="EW28" s="55">
        <f t="shared" si="120"/>
        <v>576713.51738000021</v>
      </c>
      <c r="EX28" s="59">
        <f t="shared" si="121"/>
        <v>1906499.5457548047</v>
      </c>
      <c r="EY28" s="55">
        <f t="shared" si="41"/>
        <v>564572.1801720002</v>
      </c>
      <c r="EZ28" s="59">
        <f t="shared" si="122"/>
        <v>1866362.7132125983</v>
      </c>
      <c r="FA28" s="57">
        <f t="shared" si="42"/>
        <v>552430.84296400019</v>
      </c>
      <c r="FB28" s="59">
        <f t="shared" si="123"/>
        <v>1826225.880670392</v>
      </c>
      <c r="FC28" s="55">
        <f t="shared" si="43"/>
        <v>540289.50575600017</v>
      </c>
      <c r="FD28" s="59">
        <f t="shared" si="124"/>
        <v>1786089.0481281853</v>
      </c>
      <c r="FE28" s="57">
        <f t="shared" si="44"/>
        <v>528148.16854800016</v>
      </c>
      <c r="FF28" s="59">
        <f t="shared" si="125"/>
        <v>1745952.2155859789</v>
      </c>
      <c r="FG28" s="60">
        <f t="shared" si="45"/>
        <v>516006.83134000021</v>
      </c>
      <c r="FH28" s="59">
        <f t="shared" si="126"/>
        <v>1705815.3830437728</v>
      </c>
      <c r="FI28" s="57">
        <f t="shared" si="46"/>
        <v>503865.4941320002</v>
      </c>
      <c r="FJ28" s="59">
        <f t="shared" si="127"/>
        <v>1665678.5505015664</v>
      </c>
      <c r="FK28" s="55">
        <f t="shared" si="47"/>
        <v>491724.15692400018</v>
      </c>
      <c r="FL28" s="59">
        <f t="shared" si="128"/>
        <v>1625541.7179593598</v>
      </c>
      <c r="FM28" s="60">
        <f t="shared" si="48"/>
        <v>479582.81971600011</v>
      </c>
      <c r="FN28" s="59">
        <f t="shared" si="129"/>
        <v>1585404.8854171531</v>
      </c>
      <c r="FO28" s="60">
        <f t="shared" si="49"/>
        <v>467441.4825080001</v>
      </c>
      <c r="FP28" s="59">
        <f t="shared" si="130"/>
        <v>1545268.0528749467</v>
      </c>
      <c r="FQ28" s="60">
        <f t="shared" si="50"/>
        <v>455300.14530000009</v>
      </c>
      <c r="FR28" s="59">
        <f t="shared" si="131"/>
        <v>1505131.2203327403</v>
      </c>
      <c r="FS28" s="55">
        <f t="shared" si="51"/>
        <v>443158.80809200008</v>
      </c>
      <c r="FT28" s="59">
        <f t="shared" si="132"/>
        <v>1464994.3877905339</v>
      </c>
      <c r="FU28" s="60">
        <f t="shared" si="52"/>
        <v>431017.47088400007</v>
      </c>
      <c r="FV28" s="59">
        <f t="shared" si="133"/>
        <v>1424857.5552483276</v>
      </c>
      <c r="FW28" s="60">
        <f t="shared" si="53"/>
        <v>418876.13367600006</v>
      </c>
      <c r="FX28" s="59">
        <f t="shared" si="134"/>
        <v>1384720.7227061209</v>
      </c>
      <c r="FY28" s="60">
        <f t="shared" si="54"/>
        <v>406734.79646800004</v>
      </c>
      <c r="FZ28" s="59">
        <f t="shared" si="135"/>
        <v>1344583.8901639145</v>
      </c>
      <c r="GA28" s="60">
        <f t="shared" si="55"/>
        <v>394593.45926000003</v>
      </c>
      <c r="GB28" s="59">
        <f t="shared" si="136"/>
        <v>1304447.0576217081</v>
      </c>
      <c r="GC28" s="55">
        <f t="shared" si="56"/>
        <v>382452.12205200002</v>
      </c>
      <c r="GD28" s="59">
        <f t="shared" si="137"/>
        <v>1264310.2250795017</v>
      </c>
      <c r="GE28" s="60">
        <f t="shared" si="57"/>
        <v>370310.78484400001</v>
      </c>
      <c r="GF28" s="59">
        <f t="shared" si="138"/>
        <v>1224173.3925372954</v>
      </c>
      <c r="GG28" s="60">
        <f t="shared" si="58"/>
        <v>358169.447636</v>
      </c>
      <c r="GH28" s="59">
        <f t="shared" si="139"/>
        <v>1184036.5599950887</v>
      </c>
      <c r="GI28" s="55">
        <f t="shared" si="59"/>
        <v>346028.11042799999</v>
      </c>
      <c r="GJ28" s="59">
        <f t="shared" si="140"/>
        <v>1143899.7274528823</v>
      </c>
      <c r="GK28" s="55"/>
      <c r="GL28" s="55"/>
      <c r="GM28" s="55">
        <v>1</v>
      </c>
      <c r="GN28" s="55">
        <v>0.97</v>
      </c>
      <c r="GO28" s="55">
        <v>0.95</v>
      </c>
      <c r="GP28" s="55">
        <v>0.93</v>
      </c>
      <c r="GQ28" s="55">
        <f t="shared" si="141"/>
        <v>0.91</v>
      </c>
      <c r="GR28" s="55">
        <f t="shared" si="141"/>
        <v>0.89</v>
      </c>
      <c r="GS28" s="55">
        <f t="shared" si="141"/>
        <v>0.87</v>
      </c>
      <c r="GT28" s="55">
        <f t="shared" si="141"/>
        <v>0.85</v>
      </c>
      <c r="GU28" s="55">
        <f t="shared" si="141"/>
        <v>0.83</v>
      </c>
      <c r="GV28" s="55">
        <f t="shared" si="141"/>
        <v>0.80999999999999994</v>
      </c>
      <c r="GW28" s="55">
        <f t="shared" si="141"/>
        <v>0.78999999999999992</v>
      </c>
      <c r="GX28" s="55">
        <f t="shared" si="141"/>
        <v>0.76999999999999991</v>
      </c>
      <c r="GY28" s="55">
        <f t="shared" si="141"/>
        <v>0.74999999999999989</v>
      </c>
      <c r="GZ28" s="55">
        <f t="shared" si="141"/>
        <v>0.72999999999999987</v>
      </c>
      <c r="HA28" s="55">
        <f t="shared" si="141"/>
        <v>0.70999999999999985</v>
      </c>
      <c r="HB28" s="55">
        <f t="shared" si="141"/>
        <v>0.68999999999999984</v>
      </c>
      <c r="HC28" s="55">
        <f t="shared" si="141"/>
        <v>0.66999999999999982</v>
      </c>
      <c r="HD28" s="55">
        <f t="shared" si="141"/>
        <v>0.6499999999999998</v>
      </c>
      <c r="HE28" s="55">
        <f t="shared" si="141"/>
        <v>0.62999999999999978</v>
      </c>
      <c r="HF28" s="55">
        <f t="shared" si="141"/>
        <v>0.60999999999999976</v>
      </c>
      <c r="HG28" s="55">
        <f t="shared" si="141"/>
        <v>0.58999999999999975</v>
      </c>
      <c r="HH28" s="55">
        <f t="shared" si="141"/>
        <v>0.56999999999999973</v>
      </c>
    </row>
    <row r="29" spans="1:216" x14ac:dyDescent="0.3">
      <c r="B29" s="2">
        <v>6</v>
      </c>
      <c r="C29" s="35" t="s">
        <v>98</v>
      </c>
      <c r="D29" s="45">
        <f>+D133</f>
        <v>26140</v>
      </c>
      <c r="E29" s="67">
        <f t="shared" si="0"/>
        <v>86410</v>
      </c>
      <c r="H29" s="55">
        <f t="shared" si="61"/>
        <v>95051.000000000015</v>
      </c>
      <c r="I29" s="55">
        <f t="shared" si="62"/>
        <v>95051.000000000015</v>
      </c>
      <c r="J29" s="59">
        <f t="shared" si="63"/>
        <v>314219.59580000007</v>
      </c>
      <c r="K29" s="55">
        <f t="shared" si="64"/>
        <v>92199.470000000016</v>
      </c>
      <c r="L29" s="59">
        <f t="shared" si="65"/>
        <v>304793.00792600005</v>
      </c>
      <c r="M29" s="55">
        <f t="shared" si="66"/>
        <v>90298.450000000012</v>
      </c>
      <c r="N29" s="59">
        <f t="shared" si="67"/>
        <v>298508.61601000006</v>
      </c>
      <c r="O29" s="55">
        <f t="shared" si="1"/>
        <v>88397.430000000022</v>
      </c>
      <c r="P29" s="59">
        <f t="shared" si="68"/>
        <v>292224.22409400006</v>
      </c>
      <c r="Q29" s="57">
        <f t="shared" si="2"/>
        <v>86496.410000000018</v>
      </c>
      <c r="R29" s="59">
        <f t="shared" si="69"/>
        <v>285939.83217800007</v>
      </c>
      <c r="S29" s="55">
        <f t="shared" si="3"/>
        <v>84595.390000000014</v>
      </c>
      <c r="T29" s="59">
        <f t="shared" si="70"/>
        <v>279655.44026200008</v>
      </c>
      <c r="U29" s="57">
        <f t="shared" si="4"/>
        <v>82694.37000000001</v>
      </c>
      <c r="V29" s="59">
        <f t="shared" si="71"/>
        <v>273371.04834600003</v>
      </c>
      <c r="W29" s="60">
        <f t="shared" si="5"/>
        <v>80793.350000000006</v>
      </c>
      <c r="X29" s="59">
        <f t="shared" si="72"/>
        <v>267086.65643000003</v>
      </c>
      <c r="Y29" s="57">
        <f t="shared" si="6"/>
        <v>78892.33</v>
      </c>
      <c r="Z29" s="59">
        <f t="shared" si="73"/>
        <v>260802.26451400001</v>
      </c>
      <c r="AA29" s="55">
        <f t="shared" si="7"/>
        <v>76991.310000000012</v>
      </c>
      <c r="AB29" s="59">
        <f t="shared" si="74"/>
        <v>254517.87259800005</v>
      </c>
      <c r="AC29" s="60">
        <f t="shared" si="8"/>
        <v>75090.290000000008</v>
      </c>
      <c r="AD29" s="59">
        <f t="shared" si="75"/>
        <v>248233.48068200002</v>
      </c>
      <c r="AE29" s="60">
        <f t="shared" si="9"/>
        <v>73189.27</v>
      </c>
      <c r="AF29" s="59">
        <f t="shared" si="76"/>
        <v>241949.08876600003</v>
      </c>
      <c r="AG29" s="60">
        <f t="shared" si="10"/>
        <v>71288.25</v>
      </c>
      <c r="AH29" s="59">
        <f t="shared" si="77"/>
        <v>235664.69685000001</v>
      </c>
      <c r="AI29" s="55">
        <f t="shared" si="11"/>
        <v>69387.23</v>
      </c>
      <c r="AJ29" s="59">
        <f t="shared" si="78"/>
        <v>229380.30493399999</v>
      </c>
      <c r="AK29" s="60">
        <f t="shared" si="12"/>
        <v>67486.209999999992</v>
      </c>
      <c r="AL29" s="59">
        <f t="shared" si="79"/>
        <v>223095.91301799999</v>
      </c>
      <c r="AM29" s="60">
        <f t="shared" si="13"/>
        <v>65585.189999999988</v>
      </c>
      <c r="AN29" s="59">
        <f t="shared" si="80"/>
        <v>216811.52110199997</v>
      </c>
      <c r="AO29" s="60">
        <f t="shared" si="14"/>
        <v>63684.169999999991</v>
      </c>
      <c r="AP29" s="59">
        <f t="shared" si="81"/>
        <v>210527.12918599998</v>
      </c>
      <c r="AQ29" s="60">
        <f t="shared" si="15"/>
        <v>61783.149999999987</v>
      </c>
      <c r="AR29" s="59">
        <f t="shared" si="82"/>
        <v>204242.73726999995</v>
      </c>
      <c r="AS29" s="55">
        <f t="shared" si="16"/>
        <v>59882.12999999999</v>
      </c>
      <c r="AT29" s="59">
        <f t="shared" si="83"/>
        <v>197958.34535399996</v>
      </c>
      <c r="AU29" s="60">
        <f t="shared" si="17"/>
        <v>57981.109999999986</v>
      </c>
      <c r="AV29" s="59">
        <f t="shared" si="84"/>
        <v>191673.95343799997</v>
      </c>
      <c r="AW29" s="60">
        <f t="shared" si="18"/>
        <v>56080.089999999982</v>
      </c>
      <c r="AX29" s="59">
        <f t="shared" si="85"/>
        <v>185389.56152199995</v>
      </c>
      <c r="AY29" s="55">
        <f t="shared" si="19"/>
        <v>54179.069999999985</v>
      </c>
      <c r="AZ29" s="59">
        <f t="shared" si="86"/>
        <v>179105.16960599995</v>
      </c>
      <c r="BC29" s="55">
        <v>1</v>
      </c>
      <c r="BD29" s="55">
        <v>0.97</v>
      </c>
      <c r="BE29" s="55">
        <v>0.95</v>
      </c>
      <c r="BF29" s="55">
        <v>0.93</v>
      </c>
      <c r="BG29" s="55">
        <f t="shared" si="87"/>
        <v>0.91</v>
      </c>
      <c r="BH29" s="55">
        <f t="shared" si="87"/>
        <v>0.89</v>
      </c>
      <c r="BI29" s="55">
        <f t="shared" si="87"/>
        <v>0.87</v>
      </c>
      <c r="BJ29" s="55">
        <f t="shared" si="87"/>
        <v>0.85</v>
      </c>
      <c r="BK29" s="55">
        <f t="shared" si="87"/>
        <v>0.83</v>
      </c>
      <c r="BL29" s="55">
        <f t="shared" si="87"/>
        <v>0.80999999999999994</v>
      </c>
      <c r="BM29" s="55">
        <f t="shared" si="87"/>
        <v>0.78999999999999992</v>
      </c>
      <c r="BN29" s="55">
        <f t="shared" si="87"/>
        <v>0.76999999999999991</v>
      </c>
      <c r="BO29" s="55">
        <f t="shared" si="87"/>
        <v>0.74999999999999989</v>
      </c>
      <c r="BP29" s="55">
        <f t="shared" si="87"/>
        <v>0.72999999999999987</v>
      </c>
      <c r="BQ29" s="55">
        <f t="shared" si="87"/>
        <v>0.70999999999999985</v>
      </c>
      <c r="BR29" s="55">
        <f t="shared" si="87"/>
        <v>0.68999999999999984</v>
      </c>
      <c r="BS29" s="55">
        <f t="shared" si="87"/>
        <v>0.66999999999999982</v>
      </c>
      <c r="BT29" s="55">
        <f t="shared" si="87"/>
        <v>0.6499999999999998</v>
      </c>
      <c r="BU29" s="55">
        <f t="shared" si="87"/>
        <v>0.62999999999999978</v>
      </c>
      <c r="BV29" s="55">
        <f t="shared" si="87"/>
        <v>0.60999999999999976</v>
      </c>
      <c r="BW29" s="55">
        <f t="shared" si="87"/>
        <v>0.58999999999999975</v>
      </c>
      <c r="BX29" s="55">
        <f t="shared" si="87"/>
        <v>0.56999999999999973</v>
      </c>
      <c r="BZ29" s="55">
        <f t="shared" si="88"/>
        <v>86496.410000000018</v>
      </c>
      <c r="CA29" s="55">
        <f t="shared" si="89"/>
        <v>86496.410000000018</v>
      </c>
      <c r="CB29" s="59">
        <f t="shared" si="90"/>
        <v>285939.83217800007</v>
      </c>
      <c r="CC29" s="55">
        <f t="shared" si="91"/>
        <v>83901.517700000011</v>
      </c>
      <c r="CD29" s="59">
        <f t="shared" si="92"/>
        <v>277361.63721266005</v>
      </c>
      <c r="CE29" s="55">
        <f t="shared" si="93"/>
        <v>82171.589500000016</v>
      </c>
      <c r="CF29" s="59">
        <f t="shared" si="94"/>
        <v>271642.84056910005</v>
      </c>
      <c r="CG29" s="55">
        <f t="shared" si="21"/>
        <v>80441.661300000022</v>
      </c>
      <c r="CH29" s="59">
        <f t="shared" si="95"/>
        <v>265924.04392554006</v>
      </c>
      <c r="CI29" s="57">
        <f t="shared" si="22"/>
        <v>78711.733100000012</v>
      </c>
      <c r="CJ29" s="59">
        <f t="shared" si="96"/>
        <v>260205.24728198006</v>
      </c>
      <c r="CK29" s="55">
        <f t="shared" si="23"/>
        <v>76981.804900000017</v>
      </c>
      <c r="CL29" s="59">
        <f t="shared" si="97"/>
        <v>254486.45063842006</v>
      </c>
      <c r="CM29" s="57">
        <f t="shared" si="24"/>
        <v>75251.876700000023</v>
      </c>
      <c r="CN29" s="59">
        <f t="shared" si="98"/>
        <v>248767.65399486007</v>
      </c>
      <c r="CO29" s="60">
        <f t="shared" si="25"/>
        <v>73521.948500000013</v>
      </c>
      <c r="CP29" s="59">
        <f t="shared" si="99"/>
        <v>243048.85735130004</v>
      </c>
      <c r="CQ29" s="57">
        <f t="shared" si="26"/>
        <v>71792.020300000018</v>
      </c>
      <c r="CR29" s="59">
        <f t="shared" si="100"/>
        <v>237330.06070774008</v>
      </c>
      <c r="CS29" s="55">
        <f t="shared" si="27"/>
        <v>70062.092100000009</v>
      </c>
      <c r="CT29" s="59">
        <f t="shared" si="101"/>
        <v>231611.26406418002</v>
      </c>
      <c r="CU29" s="60">
        <f t="shared" si="28"/>
        <v>68332.163900000014</v>
      </c>
      <c r="CV29" s="59">
        <f t="shared" si="102"/>
        <v>225892.46742062006</v>
      </c>
      <c r="CW29" s="60">
        <f t="shared" si="29"/>
        <v>66602.235700000005</v>
      </c>
      <c r="CX29" s="59">
        <f t="shared" si="103"/>
        <v>220173.67077706003</v>
      </c>
      <c r="CY29" s="60">
        <f t="shared" si="30"/>
        <v>64872.307500000003</v>
      </c>
      <c r="CZ29" s="59">
        <f t="shared" si="104"/>
        <v>214454.87413350001</v>
      </c>
      <c r="DA29" s="55">
        <f t="shared" si="31"/>
        <v>63142.379300000001</v>
      </c>
      <c r="DB29" s="59">
        <f t="shared" si="105"/>
        <v>208736.07748994001</v>
      </c>
      <c r="DC29" s="60">
        <f t="shared" si="32"/>
        <v>61412.451099999998</v>
      </c>
      <c r="DD29" s="59">
        <f t="shared" si="106"/>
        <v>203017.28084637999</v>
      </c>
      <c r="DE29" s="60">
        <f t="shared" si="33"/>
        <v>59682.522899999996</v>
      </c>
      <c r="DF29" s="59">
        <f t="shared" si="107"/>
        <v>197298.48420281999</v>
      </c>
      <c r="DG29" s="60">
        <f t="shared" si="34"/>
        <v>57952.594699999994</v>
      </c>
      <c r="DH29" s="59">
        <f t="shared" si="108"/>
        <v>191579.68755926</v>
      </c>
      <c r="DI29" s="60">
        <f t="shared" si="35"/>
        <v>56222.666499999992</v>
      </c>
      <c r="DJ29" s="59">
        <f t="shared" si="109"/>
        <v>185860.89091569997</v>
      </c>
      <c r="DK29" s="55">
        <f t="shared" si="36"/>
        <v>54492.73829999999</v>
      </c>
      <c r="DL29" s="59">
        <f t="shared" si="110"/>
        <v>180142.09427213998</v>
      </c>
      <c r="DM29" s="60">
        <f t="shared" si="37"/>
        <v>52762.810099999988</v>
      </c>
      <c r="DN29" s="59">
        <f t="shared" si="111"/>
        <v>174423.29762857995</v>
      </c>
      <c r="DO29" s="60">
        <f t="shared" si="38"/>
        <v>51032.881899999986</v>
      </c>
      <c r="DP29" s="59">
        <f t="shared" si="112"/>
        <v>168704.50098501996</v>
      </c>
      <c r="DQ29" s="55">
        <f t="shared" si="39"/>
        <v>49302.953699999984</v>
      </c>
      <c r="DR29" s="59">
        <f t="shared" si="113"/>
        <v>162985.70434145996</v>
      </c>
      <c r="DU29" s="55">
        <v>1</v>
      </c>
      <c r="DV29" s="55">
        <v>0.97</v>
      </c>
      <c r="DW29" s="55">
        <v>0.95</v>
      </c>
      <c r="DX29" s="55">
        <v>0.93</v>
      </c>
      <c r="DY29" s="55">
        <f t="shared" si="114"/>
        <v>0.91</v>
      </c>
      <c r="DZ29" s="55">
        <f t="shared" si="114"/>
        <v>0.89</v>
      </c>
      <c r="EA29" s="55">
        <f t="shared" si="114"/>
        <v>0.87</v>
      </c>
      <c r="EB29" s="55">
        <f t="shared" si="114"/>
        <v>0.85</v>
      </c>
      <c r="EC29" s="55">
        <f t="shared" si="114"/>
        <v>0.83</v>
      </c>
      <c r="ED29" s="55">
        <f t="shared" si="114"/>
        <v>0.80999999999999994</v>
      </c>
      <c r="EE29" s="55">
        <f t="shared" si="114"/>
        <v>0.78999999999999992</v>
      </c>
      <c r="EF29" s="55">
        <f t="shared" si="114"/>
        <v>0.76999999999999991</v>
      </c>
      <c r="EG29" s="55">
        <f t="shared" si="114"/>
        <v>0.74999999999999989</v>
      </c>
      <c r="EH29" s="55">
        <f t="shared" si="114"/>
        <v>0.72999999999999987</v>
      </c>
      <c r="EI29" s="55">
        <f t="shared" si="114"/>
        <v>0.70999999999999985</v>
      </c>
      <c r="EJ29" s="55">
        <f t="shared" si="114"/>
        <v>0.68999999999999984</v>
      </c>
      <c r="EK29" s="55">
        <f t="shared" si="114"/>
        <v>0.66999999999999982</v>
      </c>
      <c r="EL29" s="55">
        <f t="shared" si="114"/>
        <v>0.6499999999999998</v>
      </c>
      <c r="EM29" s="55">
        <f t="shared" si="114"/>
        <v>0.62999999999999978</v>
      </c>
      <c r="EN29" s="55">
        <f t="shared" si="114"/>
        <v>0.60999999999999976</v>
      </c>
      <c r="EO29" s="55">
        <f t="shared" si="114"/>
        <v>0.58999999999999975</v>
      </c>
      <c r="EP29" s="55">
        <f t="shared" si="114"/>
        <v>0.56999999999999973</v>
      </c>
      <c r="ER29" s="55">
        <f t="shared" si="115"/>
        <v>78711.733100000012</v>
      </c>
      <c r="ES29" s="55">
        <f t="shared" si="116"/>
        <v>78711.733100000012</v>
      </c>
      <c r="ET29" s="59">
        <f t="shared" si="117"/>
        <v>260205.24728198006</v>
      </c>
      <c r="EU29" s="55">
        <f t="shared" si="118"/>
        <v>76350.381107000008</v>
      </c>
      <c r="EV29" s="59">
        <f t="shared" si="119"/>
        <v>252399.08986352064</v>
      </c>
      <c r="EW29" s="55">
        <f t="shared" si="120"/>
        <v>74776.146445000006</v>
      </c>
      <c r="EX29" s="59">
        <f t="shared" si="121"/>
        <v>247194.98491788103</v>
      </c>
      <c r="EY29" s="55">
        <f t="shared" si="41"/>
        <v>73201.911783000018</v>
      </c>
      <c r="EZ29" s="59">
        <f t="shared" si="122"/>
        <v>241990.87997224147</v>
      </c>
      <c r="FA29" s="57">
        <f t="shared" si="42"/>
        <v>71627.677121000015</v>
      </c>
      <c r="FB29" s="59">
        <f t="shared" si="123"/>
        <v>236786.77502660186</v>
      </c>
      <c r="FC29" s="55">
        <f t="shared" si="43"/>
        <v>70053.442459000013</v>
      </c>
      <c r="FD29" s="59">
        <f t="shared" si="124"/>
        <v>231582.67008096224</v>
      </c>
      <c r="FE29" s="57">
        <f t="shared" si="44"/>
        <v>68479.20779700001</v>
      </c>
      <c r="FF29" s="59">
        <f t="shared" si="125"/>
        <v>226378.56513532263</v>
      </c>
      <c r="FG29" s="60">
        <f t="shared" si="45"/>
        <v>66904.973135000007</v>
      </c>
      <c r="FH29" s="59">
        <f t="shared" si="126"/>
        <v>221174.46018968304</v>
      </c>
      <c r="FI29" s="57">
        <f t="shared" si="46"/>
        <v>65330.738473000005</v>
      </c>
      <c r="FJ29" s="59">
        <f t="shared" si="127"/>
        <v>215970.35524404343</v>
      </c>
      <c r="FK29" s="55">
        <f t="shared" si="47"/>
        <v>63756.503811000002</v>
      </c>
      <c r="FL29" s="59">
        <f t="shared" si="128"/>
        <v>210766.25029840381</v>
      </c>
      <c r="FM29" s="60">
        <f t="shared" si="48"/>
        <v>62182.269149000007</v>
      </c>
      <c r="FN29" s="59">
        <f t="shared" si="129"/>
        <v>205562.14535276423</v>
      </c>
      <c r="FO29" s="60">
        <f t="shared" si="49"/>
        <v>60608.034487000004</v>
      </c>
      <c r="FP29" s="59">
        <f t="shared" si="130"/>
        <v>200358.04040712462</v>
      </c>
      <c r="FQ29" s="60">
        <f t="shared" si="50"/>
        <v>59033.799825000002</v>
      </c>
      <c r="FR29" s="59">
        <f t="shared" si="131"/>
        <v>195153.935461485</v>
      </c>
      <c r="FS29" s="55">
        <f t="shared" si="51"/>
        <v>57459.565162999999</v>
      </c>
      <c r="FT29" s="59">
        <f t="shared" si="132"/>
        <v>189949.83051584539</v>
      </c>
      <c r="FU29" s="60">
        <f t="shared" si="52"/>
        <v>55885.330500999997</v>
      </c>
      <c r="FV29" s="59">
        <f t="shared" si="133"/>
        <v>184745.7255702058</v>
      </c>
      <c r="FW29" s="60">
        <f t="shared" si="53"/>
        <v>54311.095838999994</v>
      </c>
      <c r="FX29" s="59">
        <f t="shared" si="134"/>
        <v>179541.62062456619</v>
      </c>
      <c r="FY29" s="60">
        <f t="shared" si="54"/>
        <v>52736.861176999992</v>
      </c>
      <c r="FZ29" s="59">
        <f t="shared" si="135"/>
        <v>174337.51567892657</v>
      </c>
      <c r="GA29" s="60">
        <f t="shared" si="55"/>
        <v>51162.626514999989</v>
      </c>
      <c r="GB29" s="59">
        <f t="shared" si="136"/>
        <v>169133.41073328696</v>
      </c>
      <c r="GC29" s="55">
        <f t="shared" si="56"/>
        <v>49588.391852999994</v>
      </c>
      <c r="GD29" s="59">
        <f t="shared" si="137"/>
        <v>163929.30578764738</v>
      </c>
      <c r="GE29" s="60">
        <f t="shared" si="57"/>
        <v>48014.157190999991</v>
      </c>
      <c r="GF29" s="59">
        <f t="shared" si="138"/>
        <v>158725.20084200776</v>
      </c>
      <c r="GG29" s="60">
        <f t="shared" si="58"/>
        <v>46439.922528999989</v>
      </c>
      <c r="GH29" s="59">
        <f t="shared" si="139"/>
        <v>153521.09589636818</v>
      </c>
      <c r="GI29" s="55">
        <f t="shared" si="59"/>
        <v>44865.687866999986</v>
      </c>
      <c r="GJ29" s="59">
        <f t="shared" si="140"/>
        <v>148316.99095072856</v>
      </c>
      <c r="GK29" s="55"/>
      <c r="GL29" s="55"/>
      <c r="GM29" s="55">
        <v>1</v>
      </c>
      <c r="GN29" s="55">
        <v>0.97</v>
      </c>
      <c r="GO29" s="55">
        <v>0.95</v>
      </c>
      <c r="GP29" s="55">
        <v>0.93</v>
      </c>
      <c r="GQ29" s="55">
        <f t="shared" si="141"/>
        <v>0.91</v>
      </c>
      <c r="GR29" s="55">
        <f t="shared" si="141"/>
        <v>0.89</v>
      </c>
      <c r="GS29" s="55">
        <f t="shared" si="141"/>
        <v>0.87</v>
      </c>
      <c r="GT29" s="55">
        <f t="shared" si="141"/>
        <v>0.85</v>
      </c>
      <c r="GU29" s="55">
        <f t="shared" si="141"/>
        <v>0.83</v>
      </c>
      <c r="GV29" s="55">
        <f t="shared" si="141"/>
        <v>0.80999999999999994</v>
      </c>
      <c r="GW29" s="55">
        <f t="shared" si="141"/>
        <v>0.78999999999999992</v>
      </c>
      <c r="GX29" s="55">
        <f t="shared" si="141"/>
        <v>0.76999999999999991</v>
      </c>
      <c r="GY29" s="55">
        <f t="shared" si="141"/>
        <v>0.74999999999999989</v>
      </c>
      <c r="GZ29" s="55">
        <f t="shared" si="141"/>
        <v>0.72999999999999987</v>
      </c>
      <c r="HA29" s="55">
        <f t="shared" si="141"/>
        <v>0.70999999999999985</v>
      </c>
      <c r="HB29" s="55">
        <f t="shared" si="141"/>
        <v>0.68999999999999984</v>
      </c>
      <c r="HC29" s="55">
        <f t="shared" si="141"/>
        <v>0.66999999999999982</v>
      </c>
      <c r="HD29" s="55">
        <f t="shared" si="141"/>
        <v>0.6499999999999998</v>
      </c>
      <c r="HE29" s="55">
        <f t="shared" si="141"/>
        <v>0.62999999999999978</v>
      </c>
      <c r="HF29" s="55">
        <f t="shared" si="141"/>
        <v>0.60999999999999976</v>
      </c>
      <c r="HG29" s="55">
        <f t="shared" si="141"/>
        <v>0.58999999999999975</v>
      </c>
      <c r="HH29" s="55">
        <f t="shared" si="141"/>
        <v>0.56999999999999973</v>
      </c>
    </row>
    <row r="30" spans="1:216" x14ac:dyDescent="0.3">
      <c r="B30" s="2">
        <v>7</v>
      </c>
      <c r="C30" s="35" t="s">
        <v>99</v>
      </c>
      <c r="D30" s="45">
        <f>+D146</f>
        <v>83760</v>
      </c>
      <c r="E30" s="67">
        <f t="shared" si="0"/>
        <v>276890</v>
      </c>
      <c r="H30" s="55">
        <f t="shared" si="61"/>
        <v>304579</v>
      </c>
      <c r="I30" s="55">
        <f t="shared" si="62"/>
        <v>304579</v>
      </c>
      <c r="J30" s="59">
        <f t="shared" si="63"/>
        <v>1006877.2582</v>
      </c>
      <c r="K30" s="55">
        <f t="shared" si="64"/>
        <v>295441.63</v>
      </c>
      <c r="L30" s="59">
        <f t="shared" si="65"/>
        <v>976670.94045400003</v>
      </c>
      <c r="M30" s="55">
        <f t="shared" si="66"/>
        <v>289350.05</v>
      </c>
      <c r="N30" s="59">
        <f t="shared" si="67"/>
        <v>956533.39529000001</v>
      </c>
      <c r="O30" s="55">
        <f t="shared" si="1"/>
        <v>283258.47000000003</v>
      </c>
      <c r="P30" s="59">
        <f t="shared" si="68"/>
        <v>936395.85012600012</v>
      </c>
      <c r="Q30" s="57">
        <f t="shared" si="2"/>
        <v>277166.89</v>
      </c>
      <c r="R30" s="59">
        <f t="shared" si="69"/>
        <v>916258.30496200011</v>
      </c>
      <c r="S30" s="55">
        <f t="shared" si="3"/>
        <v>271075.31</v>
      </c>
      <c r="T30" s="59">
        <f t="shared" si="70"/>
        <v>896120.75979799998</v>
      </c>
      <c r="U30" s="57">
        <f t="shared" si="4"/>
        <v>264983.73</v>
      </c>
      <c r="V30" s="59">
        <f t="shared" si="71"/>
        <v>875983.21463399997</v>
      </c>
      <c r="W30" s="60">
        <f t="shared" si="5"/>
        <v>258892.15</v>
      </c>
      <c r="X30" s="59">
        <f t="shared" si="72"/>
        <v>855845.66946999996</v>
      </c>
      <c r="Y30" s="57">
        <f t="shared" si="6"/>
        <v>252800.56999999998</v>
      </c>
      <c r="Z30" s="59">
        <f t="shared" si="73"/>
        <v>835708.12430599995</v>
      </c>
      <c r="AA30" s="55">
        <f t="shared" si="7"/>
        <v>246708.99</v>
      </c>
      <c r="AB30" s="59">
        <f t="shared" si="74"/>
        <v>815570.57914199994</v>
      </c>
      <c r="AC30" s="60">
        <f t="shared" si="8"/>
        <v>240617.40999999997</v>
      </c>
      <c r="AD30" s="59">
        <f t="shared" si="75"/>
        <v>795433.03397799993</v>
      </c>
      <c r="AE30" s="60">
        <f t="shared" si="9"/>
        <v>234525.82999999996</v>
      </c>
      <c r="AF30" s="59">
        <f t="shared" si="76"/>
        <v>775295.48881399992</v>
      </c>
      <c r="AG30" s="60">
        <f t="shared" si="10"/>
        <v>228434.24999999997</v>
      </c>
      <c r="AH30" s="59">
        <f t="shared" si="77"/>
        <v>755157.94364999991</v>
      </c>
      <c r="AI30" s="55">
        <f t="shared" si="11"/>
        <v>222342.66999999995</v>
      </c>
      <c r="AJ30" s="59">
        <f t="shared" si="78"/>
        <v>735020.3984859999</v>
      </c>
      <c r="AK30" s="60">
        <f t="shared" si="12"/>
        <v>216251.08999999997</v>
      </c>
      <c r="AL30" s="59">
        <f t="shared" si="79"/>
        <v>714882.85332199989</v>
      </c>
      <c r="AM30" s="60">
        <f t="shared" si="13"/>
        <v>210159.50999999995</v>
      </c>
      <c r="AN30" s="59">
        <f t="shared" si="80"/>
        <v>694745.30815799988</v>
      </c>
      <c r="AO30" s="60">
        <f t="shared" si="14"/>
        <v>204067.92999999993</v>
      </c>
      <c r="AP30" s="59">
        <f t="shared" si="81"/>
        <v>674607.76299399976</v>
      </c>
      <c r="AQ30" s="60">
        <f t="shared" si="15"/>
        <v>197976.34999999995</v>
      </c>
      <c r="AR30" s="59">
        <f t="shared" si="82"/>
        <v>654470.21782999986</v>
      </c>
      <c r="AS30" s="55">
        <f t="shared" si="16"/>
        <v>191884.76999999993</v>
      </c>
      <c r="AT30" s="59">
        <f t="shared" si="83"/>
        <v>634332.67266599974</v>
      </c>
      <c r="AU30" s="60">
        <f t="shared" si="17"/>
        <v>185793.18999999992</v>
      </c>
      <c r="AV30" s="59">
        <f t="shared" si="84"/>
        <v>614195.12750199973</v>
      </c>
      <c r="AW30" s="60">
        <f t="shared" si="18"/>
        <v>179701.60999999993</v>
      </c>
      <c r="AX30" s="59">
        <f t="shared" si="85"/>
        <v>594057.58233799972</v>
      </c>
      <c r="AY30" s="55">
        <f t="shared" si="19"/>
        <v>173610.02999999991</v>
      </c>
      <c r="AZ30" s="59">
        <f t="shared" si="86"/>
        <v>573920.03717399971</v>
      </c>
      <c r="BC30" s="55">
        <v>1</v>
      </c>
      <c r="BD30" s="55">
        <v>0.97</v>
      </c>
      <c r="BE30" s="55">
        <v>0.95</v>
      </c>
      <c r="BF30" s="55">
        <v>0.93</v>
      </c>
      <c r="BG30" s="55">
        <f t="shared" si="87"/>
        <v>0.91</v>
      </c>
      <c r="BH30" s="55">
        <f t="shared" si="87"/>
        <v>0.89</v>
      </c>
      <c r="BI30" s="55">
        <f t="shared" si="87"/>
        <v>0.87</v>
      </c>
      <c r="BJ30" s="55">
        <f t="shared" si="87"/>
        <v>0.85</v>
      </c>
      <c r="BK30" s="55">
        <f t="shared" si="87"/>
        <v>0.83</v>
      </c>
      <c r="BL30" s="55">
        <f t="shared" si="87"/>
        <v>0.80999999999999994</v>
      </c>
      <c r="BM30" s="55">
        <f t="shared" si="87"/>
        <v>0.78999999999999992</v>
      </c>
      <c r="BN30" s="55">
        <f t="shared" si="87"/>
        <v>0.76999999999999991</v>
      </c>
      <c r="BO30" s="55">
        <f t="shared" si="87"/>
        <v>0.74999999999999989</v>
      </c>
      <c r="BP30" s="55">
        <f t="shared" si="87"/>
        <v>0.72999999999999987</v>
      </c>
      <c r="BQ30" s="55">
        <f t="shared" si="87"/>
        <v>0.70999999999999985</v>
      </c>
      <c r="BR30" s="55">
        <f t="shared" si="87"/>
        <v>0.68999999999999984</v>
      </c>
      <c r="BS30" s="55">
        <f t="shared" si="87"/>
        <v>0.66999999999999982</v>
      </c>
      <c r="BT30" s="55">
        <f t="shared" si="87"/>
        <v>0.6499999999999998</v>
      </c>
      <c r="BU30" s="55">
        <f t="shared" si="87"/>
        <v>0.62999999999999978</v>
      </c>
      <c r="BV30" s="55">
        <f t="shared" si="87"/>
        <v>0.60999999999999976</v>
      </c>
      <c r="BW30" s="55">
        <f t="shared" si="87"/>
        <v>0.58999999999999975</v>
      </c>
      <c r="BX30" s="55">
        <f t="shared" si="87"/>
        <v>0.56999999999999973</v>
      </c>
      <c r="BZ30" s="55">
        <f t="shared" si="88"/>
        <v>277166.89</v>
      </c>
      <c r="CA30" s="55">
        <f t="shared" si="89"/>
        <v>277166.89</v>
      </c>
      <c r="CB30" s="59">
        <f t="shared" si="90"/>
        <v>916258.30496200011</v>
      </c>
      <c r="CC30" s="55">
        <f t="shared" si="91"/>
        <v>268851.88329999999</v>
      </c>
      <c r="CD30" s="59">
        <f t="shared" si="92"/>
        <v>888770.55581314</v>
      </c>
      <c r="CE30" s="55">
        <f t="shared" si="93"/>
        <v>263308.54550000001</v>
      </c>
      <c r="CF30" s="59">
        <f t="shared" si="94"/>
        <v>870445.38971390005</v>
      </c>
      <c r="CG30" s="55">
        <f t="shared" si="21"/>
        <v>257765.20770000003</v>
      </c>
      <c r="CH30" s="59">
        <f t="shared" si="95"/>
        <v>852120.22361466009</v>
      </c>
      <c r="CI30" s="57">
        <f t="shared" si="22"/>
        <v>252221.86990000002</v>
      </c>
      <c r="CJ30" s="59">
        <f t="shared" si="96"/>
        <v>833795.05751542014</v>
      </c>
      <c r="CK30" s="55">
        <f t="shared" si="23"/>
        <v>246678.53210000001</v>
      </c>
      <c r="CL30" s="59">
        <f t="shared" si="97"/>
        <v>815469.89141618006</v>
      </c>
      <c r="CM30" s="57">
        <f t="shared" si="24"/>
        <v>241135.1943</v>
      </c>
      <c r="CN30" s="59">
        <f t="shared" si="98"/>
        <v>797144.72531693999</v>
      </c>
      <c r="CO30" s="60">
        <f t="shared" si="25"/>
        <v>235591.85649999999</v>
      </c>
      <c r="CP30" s="59">
        <f t="shared" si="99"/>
        <v>778819.55921770004</v>
      </c>
      <c r="CQ30" s="57">
        <f t="shared" si="26"/>
        <v>230048.51869999999</v>
      </c>
      <c r="CR30" s="59">
        <f t="shared" si="100"/>
        <v>760494.39311845996</v>
      </c>
      <c r="CS30" s="55">
        <f t="shared" si="27"/>
        <v>224505.18090000001</v>
      </c>
      <c r="CT30" s="59">
        <f t="shared" si="101"/>
        <v>742169.22701922001</v>
      </c>
      <c r="CU30" s="60">
        <f t="shared" si="28"/>
        <v>218961.8431</v>
      </c>
      <c r="CV30" s="59">
        <f t="shared" si="102"/>
        <v>723844.06091998005</v>
      </c>
      <c r="CW30" s="60">
        <f t="shared" si="29"/>
        <v>213418.50529999999</v>
      </c>
      <c r="CX30" s="59">
        <f t="shared" si="103"/>
        <v>705518.89482073998</v>
      </c>
      <c r="CY30" s="60">
        <f t="shared" si="30"/>
        <v>207875.16749999998</v>
      </c>
      <c r="CZ30" s="59">
        <f t="shared" si="104"/>
        <v>687193.72872149991</v>
      </c>
      <c r="DA30" s="55">
        <f t="shared" si="31"/>
        <v>202331.82969999997</v>
      </c>
      <c r="DB30" s="59">
        <f t="shared" si="105"/>
        <v>668868.56262225995</v>
      </c>
      <c r="DC30" s="60">
        <f t="shared" si="32"/>
        <v>196788.49189999996</v>
      </c>
      <c r="DD30" s="59">
        <f t="shared" si="106"/>
        <v>650543.39652301988</v>
      </c>
      <c r="DE30" s="60">
        <f t="shared" si="33"/>
        <v>191245.15409999996</v>
      </c>
      <c r="DF30" s="59">
        <f t="shared" si="107"/>
        <v>632218.23042377993</v>
      </c>
      <c r="DG30" s="60">
        <f t="shared" si="34"/>
        <v>185701.81629999995</v>
      </c>
      <c r="DH30" s="59">
        <f t="shared" si="108"/>
        <v>613893.06432453985</v>
      </c>
      <c r="DI30" s="60">
        <f t="shared" si="35"/>
        <v>180158.47849999994</v>
      </c>
      <c r="DJ30" s="59">
        <f t="shared" si="109"/>
        <v>595567.89822529978</v>
      </c>
      <c r="DK30" s="55">
        <f t="shared" si="36"/>
        <v>174615.14069999996</v>
      </c>
      <c r="DL30" s="59">
        <f t="shared" si="110"/>
        <v>577242.73212605983</v>
      </c>
      <c r="DM30" s="60">
        <f t="shared" si="37"/>
        <v>169071.80289999995</v>
      </c>
      <c r="DN30" s="59">
        <f t="shared" si="111"/>
        <v>558917.56602681987</v>
      </c>
      <c r="DO30" s="60">
        <f t="shared" si="38"/>
        <v>163528.46509999994</v>
      </c>
      <c r="DP30" s="59">
        <f t="shared" si="112"/>
        <v>540592.3999275798</v>
      </c>
      <c r="DQ30" s="55">
        <f t="shared" si="39"/>
        <v>157985.12729999993</v>
      </c>
      <c r="DR30" s="59">
        <f t="shared" si="113"/>
        <v>522267.23382833978</v>
      </c>
      <c r="DU30" s="55">
        <v>1</v>
      </c>
      <c r="DV30" s="55">
        <v>0.97</v>
      </c>
      <c r="DW30" s="55">
        <v>0.95</v>
      </c>
      <c r="DX30" s="55">
        <v>0.93</v>
      </c>
      <c r="DY30" s="55">
        <f t="shared" si="114"/>
        <v>0.91</v>
      </c>
      <c r="DZ30" s="55">
        <f t="shared" si="114"/>
        <v>0.89</v>
      </c>
      <c r="EA30" s="55">
        <f t="shared" si="114"/>
        <v>0.87</v>
      </c>
      <c r="EB30" s="55">
        <f t="shared" si="114"/>
        <v>0.85</v>
      </c>
      <c r="EC30" s="55">
        <f t="shared" si="114"/>
        <v>0.83</v>
      </c>
      <c r="ED30" s="55">
        <f t="shared" si="114"/>
        <v>0.80999999999999994</v>
      </c>
      <c r="EE30" s="55">
        <f t="shared" si="114"/>
        <v>0.78999999999999992</v>
      </c>
      <c r="EF30" s="55">
        <f t="shared" si="114"/>
        <v>0.76999999999999991</v>
      </c>
      <c r="EG30" s="55">
        <f t="shared" si="114"/>
        <v>0.74999999999999989</v>
      </c>
      <c r="EH30" s="55">
        <f t="shared" si="114"/>
        <v>0.72999999999999987</v>
      </c>
      <c r="EI30" s="55">
        <f t="shared" si="114"/>
        <v>0.70999999999999985</v>
      </c>
      <c r="EJ30" s="55">
        <f t="shared" si="114"/>
        <v>0.68999999999999984</v>
      </c>
      <c r="EK30" s="55">
        <f t="shared" si="114"/>
        <v>0.66999999999999982</v>
      </c>
      <c r="EL30" s="55">
        <f t="shared" si="114"/>
        <v>0.6499999999999998</v>
      </c>
      <c r="EM30" s="55">
        <f t="shared" si="114"/>
        <v>0.62999999999999978</v>
      </c>
      <c r="EN30" s="55">
        <f t="shared" si="114"/>
        <v>0.60999999999999976</v>
      </c>
      <c r="EO30" s="55">
        <f t="shared" si="114"/>
        <v>0.58999999999999975</v>
      </c>
      <c r="EP30" s="55">
        <f t="shared" si="114"/>
        <v>0.56999999999999973</v>
      </c>
      <c r="ER30" s="55">
        <f t="shared" si="115"/>
        <v>252221.86990000002</v>
      </c>
      <c r="ES30" s="55">
        <f t="shared" si="116"/>
        <v>252221.86990000002</v>
      </c>
      <c r="ET30" s="59">
        <f t="shared" si="117"/>
        <v>833795.05751542014</v>
      </c>
      <c r="EU30" s="55">
        <f t="shared" si="118"/>
        <v>244655.21380300002</v>
      </c>
      <c r="EV30" s="59">
        <f t="shared" si="119"/>
        <v>808781.20578995743</v>
      </c>
      <c r="EW30" s="55">
        <f t="shared" si="120"/>
        <v>239610.77640500001</v>
      </c>
      <c r="EX30" s="59">
        <f t="shared" si="121"/>
        <v>792105.30463964911</v>
      </c>
      <c r="EY30" s="55">
        <f t="shared" si="41"/>
        <v>234566.33900700003</v>
      </c>
      <c r="EZ30" s="59">
        <f t="shared" si="122"/>
        <v>775429.40348934068</v>
      </c>
      <c r="FA30" s="57">
        <f t="shared" si="42"/>
        <v>229521.90160900002</v>
      </c>
      <c r="FB30" s="59">
        <f t="shared" si="123"/>
        <v>758753.50233903225</v>
      </c>
      <c r="FC30" s="55">
        <f t="shared" si="43"/>
        <v>224477.46421100001</v>
      </c>
      <c r="FD30" s="59">
        <f t="shared" si="124"/>
        <v>742077.60118872381</v>
      </c>
      <c r="FE30" s="57">
        <f t="shared" si="44"/>
        <v>219433.026813</v>
      </c>
      <c r="FF30" s="59">
        <f t="shared" si="125"/>
        <v>725401.70003841538</v>
      </c>
      <c r="FG30" s="60">
        <f t="shared" si="45"/>
        <v>214388.58941500002</v>
      </c>
      <c r="FH30" s="59">
        <f t="shared" si="126"/>
        <v>708725.79888810706</v>
      </c>
      <c r="FI30" s="57">
        <f t="shared" si="46"/>
        <v>209344.15201700001</v>
      </c>
      <c r="FJ30" s="59">
        <f t="shared" si="127"/>
        <v>692049.89773779863</v>
      </c>
      <c r="FK30" s="55">
        <f t="shared" si="47"/>
        <v>204299.71461900001</v>
      </c>
      <c r="FL30" s="59">
        <f t="shared" si="128"/>
        <v>675373.9965874902</v>
      </c>
      <c r="FM30" s="60">
        <f t="shared" si="48"/>
        <v>199255.277221</v>
      </c>
      <c r="FN30" s="59">
        <f t="shared" si="129"/>
        <v>658698.09543718176</v>
      </c>
      <c r="FO30" s="60">
        <f t="shared" si="49"/>
        <v>194210.83982299999</v>
      </c>
      <c r="FP30" s="59">
        <f t="shared" si="130"/>
        <v>642022.19428687333</v>
      </c>
      <c r="FQ30" s="60">
        <f t="shared" si="50"/>
        <v>189166.40242499998</v>
      </c>
      <c r="FR30" s="59">
        <f t="shared" si="131"/>
        <v>625346.2931365649</v>
      </c>
      <c r="FS30" s="55">
        <f t="shared" si="51"/>
        <v>184121.96502699997</v>
      </c>
      <c r="FT30" s="59">
        <f t="shared" si="132"/>
        <v>608670.39198625647</v>
      </c>
      <c r="FU30" s="60">
        <f t="shared" si="52"/>
        <v>179077.52762899999</v>
      </c>
      <c r="FV30" s="59">
        <f t="shared" si="133"/>
        <v>591994.49083594815</v>
      </c>
      <c r="FW30" s="60">
        <f t="shared" si="53"/>
        <v>174033.09023099998</v>
      </c>
      <c r="FX30" s="59">
        <f t="shared" si="134"/>
        <v>575318.58968563972</v>
      </c>
      <c r="FY30" s="60">
        <f t="shared" si="54"/>
        <v>168988.65283299997</v>
      </c>
      <c r="FZ30" s="59">
        <f t="shared" si="135"/>
        <v>558642.68853533128</v>
      </c>
      <c r="GA30" s="60">
        <f t="shared" si="55"/>
        <v>163944.21543499996</v>
      </c>
      <c r="GB30" s="59">
        <f t="shared" si="136"/>
        <v>541966.78738502285</v>
      </c>
      <c r="GC30" s="55">
        <f t="shared" si="56"/>
        <v>158899.77803699995</v>
      </c>
      <c r="GD30" s="59">
        <f t="shared" si="137"/>
        <v>525290.88623471442</v>
      </c>
      <c r="GE30" s="60">
        <f t="shared" si="57"/>
        <v>153855.34063899994</v>
      </c>
      <c r="GF30" s="59">
        <f t="shared" si="138"/>
        <v>508614.98508440604</v>
      </c>
      <c r="GG30" s="60">
        <f t="shared" si="58"/>
        <v>148810.90324099993</v>
      </c>
      <c r="GH30" s="59">
        <f t="shared" si="139"/>
        <v>491939.08393409761</v>
      </c>
      <c r="GI30" s="55">
        <f t="shared" si="59"/>
        <v>143766.46584299995</v>
      </c>
      <c r="GJ30" s="59">
        <f t="shared" si="140"/>
        <v>475263.18278378923</v>
      </c>
      <c r="GK30" s="55"/>
      <c r="GL30" s="55"/>
      <c r="GM30" s="55">
        <v>1</v>
      </c>
      <c r="GN30" s="55">
        <v>0.97</v>
      </c>
      <c r="GO30" s="55">
        <v>0.95</v>
      </c>
      <c r="GP30" s="55">
        <v>0.93</v>
      </c>
      <c r="GQ30" s="55">
        <f t="shared" si="141"/>
        <v>0.91</v>
      </c>
      <c r="GR30" s="55">
        <f t="shared" si="141"/>
        <v>0.89</v>
      </c>
      <c r="GS30" s="55">
        <f t="shared" si="141"/>
        <v>0.87</v>
      </c>
      <c r="GT30" s="55">
        <f t="shared" si="141"/>
        <v>0.85</v>
      </c>
      <c r="GU30" s="55">
        <f t="shared" si="141"/>
        <v>0.83</v>
      </c>
      <c r="GV30" s="55">
        <f t="shared" si="141"/>
        <v>0.80999999999999994</v>
      </c>
      <c r="GW30" s="55">
        <f t="shared" si="141"/>
        <v>0.78999999999999992</v>
      </c>
      <c r="GX30" s="55">
        <f t="shared" si="141"/>
        <v>0.76999999999999991</v>
      </c>
      <c r="GY30" s="55">
        <f t="shared" si="141"/>
        <v>0.74999999999999989</v>
      </c>
      <c r="GZ30" s="55">
        <f t="shared" si="141"/>
        <v>0.72999999999999987</v>
      </c>
      <c r="HA30" s="55">
        <f t="shared" si="141"/>
        <v>0.70999999999999985</v>
      </c>
      <c r="HB30" s="55">
        <f t="shared" si="141"/>
        <v>0.68999999999999984</v>
      </c>
      <c r="HC30" s="55">
        <f t="shared" si="141"/>
        <v>0.66999999999999982</v>
      </c>
      <c r="HD30" s="55">
        <f t="shared" si="141"/>
        <v>0.6499999999999998</v>
      </c>
      <c r="HE30" s="55">
        <f t="shared" si="141"/>
        <v>0.62999999999999978</v>
      </c>
      <c r="HF30" s="55">
        <f t="shared" si="141"/>
        <v>0.60999999999999976</v>
      </c>
      <c r="HG30" s="55">
        <f t="shared" si="141"/>
        <v>0.58999999999999975</v>
      </c>
      <c r="HH30" s="55">
        <f t="shared" si="141"/>
        <v>0.56999999999999973</v>
      </c>
    </row>
    <row r="31" spans="1:216" x14ac:dyDescent="0.3">
      <c r="B31" s="2">
        <v>8</v>
      </c>
      <c r="C31" s="35" t="s">
        <v>100</v>
      </c>
      <c r="D31" s="45">
        <f>+D154</f>
        <v>39410</v>
      </c>
      <c r="E31" s="67">
        <f t="shared" si="0"/>
        <v>130280</v>
      </c>
      <c r="H31" s="55">
        <f t="shared" si="61"/>
        <v>143308</v>
      </c>
      <c r="I31" s="55">
        <f t="shared" si="62"/>
        <v>143308</v>
      </c>
      <c r="J31" s="59">
        <f t="shared" si="63"/>
        <v>473747.58640000003</v>
      </c>
      <c r="K31" s="55">
        <f t="shared" si="64"/>
        <v>139008.76</v>
      </c>
      <c r="L31" s="59">
        <f t="shared" si="65"/>
        <v>459535.15880800004</v>
      </c>
      <c r="M31" s="55">
        <f t="shared" si="66"/>
        <v>136142.6</v>
      </c>
      <c r="N31" s="59">
        <f t="shared" si="67"/>
        <v>450060.20708000002</v>
      </c>
      <c r="O31" s="55">
        <f t="shared" si="1"/>
        <v>133276.44</v>
      </c>
      <c r="P31" s="59">
        <f t="shared" si="68"/>
        <v>440585.25535200001</v>
      </c>
      <c r="Q31" s="57">
        <f t="shared" si="2"/>
        <v>130410.28</v>
      </c>
      <c r="R31" s="59">
        <f t="shared" si="69"/>
        <v>431110.30362399999</v>
      </c>
      <c r="S31" s="55">
        <f t="shared" si="3"/>
        <v>127544.12</v>
      </c>
      <c r="T31" s="59">
        <f t="shared" si="70"/>
        <v>421635.35189599998</v>
      </c>
      <c r="U31" s="57">
        <f t="shared" si="4"/>
        <v>124677.96</v>
      </c>
      <c r="V31" s="59">
        <f t="shared" si="71"/>
        <v>412160.40016800002</v>
      </c>
      <c r="W31" s="60">
        <f t="shared" si="5"/>
        <v>121811.8</v>
      </c>
      <c r="X31" s="59">
        <f t="shared" si="72"/>
        <v>402685.44844000001</v>
      </c>
      <c r="Y31" s="57">
        <f t="shared" si="6"/>
        <v>118945.64</v>
      </c>
      <c r="Z31" s="59">
        <f t="shared" si="73"/>
        <v>393210.49671199999</v>
      </c>
      <c r="AA31" s="55">
        <f t="shared" si="7"/>
        <v>116079.48</v>
      </c>
      <c r="AB31" s="59">
        <f t="shared" si="74"/>
        <v>383735.54498399998</v>
      </c>
      <c r="AC31" s="60">
        <f t="shared" si="8"/>
        <v>113213.31999999999</v>
      </c>
      <c r="AD31" s="59">
        <f t="shared" si="75"/>
        <v>374260.59325599996</v>
      </c>
      <c r="AE31" s="60">
        <f t="shared" si="9"/>
        <v>110347.15999999999</v>
      </c>
      <c r="AF31" s="59">
        <f t="shared" si="76"/>
        <v>364785.64152799995</v>
      </c>
      <c r="AG31" s="60">
        <f t="shared" si="10"/>
        <v>107480.99999999999</v>
      </c>
      <c r="AH31" s="59">
        <f t="shared" si="77"/>
        <v>355310.68979999993</v>
      </c>
      <c r="AI31" s="55">
        <f t="shared" si="11"/>
        <v>104614.83999999998</v>
      </c>
      <c r="AJ31" s="59">
        <f t="shared" si="78"/>
        <v>345835.73807199992</v>
      </c>
      <c r="AK31" s="60">
        <f t="shared" si="12"/>
        <v>101748.67999999998</v>
      </c>
      <c r="AL31" s="59">
        <f t="shared" si="79"/>
        <v>336360.78634399996</v>
      </c>
      <c r="AM31" s="60">
        <f t="shared" si="13"/>
        <v>98882.519999999975</v>
      </c>
      <c r="AN31" s="59">
        <f t="shared" si="80"/>
        <v>326885.83461599995</v>
      </c>
      <c r="AO31" s="60">
        <f t="shared" si="14"/>
        <v>96016.359999999971</v>
      </c>
      <c r="AP31" s="59">
        <f t="shared" si="81"/>
        <v>317410.88288799993</v>
      </c>
      <c r="AQ31" s="60">
        <f t="shared" si="15"/>
        <v>93150.199999999968</v>
      </c>
      <c r="AR31" s="59">
        <f t="shared" si="82"/>
        <v>307935.93115999992</v>
      </c>
      <c r="AS31" s="55">
        <f t="shared" si="16"/>
        <v>90284.039999999964</v>
      </c>
      <c r="AT31" s="59">
        <f t="shared" si="83"/>
        <v>298460.97943199991</v>
      </c>
      <c r="AU31" s="60">
        <f t="shared" si="17"/>
        <v>87417.879999999961</v>
      </c>
      <c r="AV31" s="59">
        <f t="shared" si="84"/>
        <v>288986.02770399989</v>
      </c>
      <c r="AW31" s="60">
        <f t="shared" si="18"/>
        <v>84551.719999999958</v>
      </c>
      <c r="AX31" s="59">
        <f t="shared" si="85"/>
        <v>279511.07597599988</v>
      </c>
      <c r="AY31" s="55">
        <f t="shared" si="19"/>
        <v>81685.559999999954</v>
      </c>
      <c r="AZ31" s="59">
        <f t="shared" si="86"/>
        <v>270036.12424799986</v>
      </c>
      <c r="BC31" s="55">
        <v>1</v>
      </c>
      <c r="BD31" s="55">
        <v>0.97</v>
      </c>
      <c r="BE31" s="55">
        <v>0.95</v>
      </c>
      <c r="BF31" s="55">
        <v>0.93</v>
      </c>
      <c r="BG31" s="55">
        <f t="shared" si="87"/>
        <v>0.91</v>
      </c>
      <c r="BH31" s="55">
        <f t="shared" si="87"/>
        <v>0.89</v>
      </c>
      <c r="BI31" s="55">
        <f t="shared" si="87"/>
        <v>0.87</v>
      </c>
      <c r="BJ31" s="55">
        <f t="shared" si="87"/>
        <v>0.85</v>
      </c>
      <c r="BK31" s="55">
        <f t="shared" si="87"/>
        <v>0.83</v>
      </c>
      <c r="BL31" s="55">
        <f t="shared" si="87"/>
        <v>0.80999999999999994</v>
      </c>
      <c r="BM31" s="55">
        <f t="shared" si="87"/>
        <v>0.78999999999999992</v>
      </c>
      <c r="BN31" s="55">
        <f t="shared" si="87"/>
        <v>0.76999999999999991</v>
      </c>
      <c r="BO31" s="55">
        <f t="shared" si="87"/>
        <v>0.74999999999999989</v>
      </c>
      <c r="BP31" s="55">
        <f t="shared" si="87"/>
        <v>0.72999999999999987</v>
      </c>
      <c r="BQ31" s="55">
        <f t="shared" si="87"/>
        <v>0.70999999999999985</v>
      </c>
      <c r="BR31" s="55">
        <f t="shared" si="87"/>
        <v>0.68999999999999984</v>
      </c>
      <c r="BS31" s="55">
        <f t="shared" si="87"/>
        <v>0.66999999999999982</v>
      </c>
      <c r="BT31" s="55">
        <f t="shared" si="87"/>
        <v>0.6499999999999998</v>
      </c>
      <c r="BU31" s="55">
        <f t="shared" si="87"/>
        <v>0.62999999999999978</v>
      </c>
      <c r="BV31" s="55">
        <f t="shared" si="87"/>
        <v>0.60999999999999976</v>
      </c>
      <c r="BW31" s="55">
        <f t="shared" si="87"/>
        <v>0.58999999999999975</v>
      </c>
      <c r="BX31" s="55">
        <f t="shared" si="87"/>
        <v>0.56999999999999973</v>
      </c>
      <c r="BZ31" s="55">
        <f t="shared" si="88"/>
        <v>130410.28</v>
      </c>
      <c r="CA31" s="55">
        <f t="shared" si="89"/>
        <v>130410.28</v>
      </c>
      <c r="CB31" s="59">
        <f t="shared" si="90"/>
        <v>431110.30362399999</v>
      </c>
      <c r="CC31" s="55">
        <f t="shared" si="91"/>
        <v>126497.97159999999</v>
      </c>
      <c r="CD31" s="59">
        <f t="shared" si="92"/>
        <v>418176.99451527995</v>
      </c>
      <c r="CE31" s="55">
        <f t="shared" si="93"/>
        <v>123889.76599999999</v>
      </c>
      <c r="CF31" s="59">
        <f t="shared" si="94"/>
        <v>409554.7884428</v>
      </c>
      <c r="CG31" s="55">
        <f t="shared" si="21"/>
        <v>121281.5604</v>
      </c>
      <c r="CH31" s="59">
        <f t="shared" si="95"/>
        <v>400932.58237032004</v>
      </c>
      <c r="CI31" s="57">
        <f t="shared" si="22"/>
        <v>118673.3548</v>
      </c>
      <c r="CJ31" s="59">
        <f t="shared" si="96"/>
        <v>392310.37629784003</v>
      </c>
      <c r="CK31" s="55">
        <f t="shared" si="23"/>
        <v>116065.1492</v>
      </c>
      <c r="CL31" s="59">
        <f t="shared" si="97"/>
        <v>383688.17022536002</v>
      </c>
      <c r="CM31" s="57">
        <f t="shared" si="24"/>
        <v>113456.9436</v>
      </c>
      <c r="CN31" s="59">
        <f t="shared" si="98"/>
        <v>375065.96415288001</v>
      </c>
      <c r="CO31" s="60">
        <f t="shared" si="25"/>
        <v>110848.738</v>
      </c>
      <c r="CP31" s="59">
        <f t="shared" si="99"/>
        <v>366443.7580804</v>
      </c>
      <c r="CQ31" s="57">
        <f t="shared" si="26"/>
        <v>108240.5324</v>
      </c>
      <c r="CR31" s="59">
        <f t="shared" si="100"/>
        <v>357821.55200791999</v>
      </c>
      <c r="CS31" s="55">
        <f t="shared" si="27"/>
        <v>105632.3268</v>
      </c>
      <c r="CT31" s="59">
        <f t="shared" si="101"/>
        <v>349199.34593543998</v>
      </c>
      <c r="CU31" s="60">
        <f t="shared" si="28"/>
        <v>103024.12119999999</v>
      </c>
      <c r="CV31" s="59">
        <f t="shared" si="102"/>
        <v>340577.13986295997</v>
      </c>
      <c r="CW31" s="60">
        <f t="shared" si="29"/>
        <v>100415.91559999999</v>
      </c>
      <c r="CX31" s="59">
        <f t="shared" si="103"/>
        <v>331954.93379047996</v>
      </c>
      <c r="CY31" s="60">
        <f t="shared" si="30"/>
        <v>97807.709999999992</v>
      </c>
      <c r="CZ31" s="59">
        <f t="shared" si="104"/>
        <v>323332.72771799995</v>
      </c>
      <c r="DA31" s="55">
        <f t="shared" si="31"/>
        <v>95199.504399999976</v>
      </c>
      <c r="DB31" s="59">
        <f t="shared" si="105"/>
        <v>314710.52164551994</v>
      </c>
      <c r="DC31" s="60">
        <f t="shared" si="32"/>
        <v>92591.298799999975</v>
      </c>
      <c r="DD31" s="59">
        <f t="shared" si="106"/>
        <v>306088.31557303993</v>
      </c>
      <c r="DE31" s="60">
        <f t="shared" si="33"/>
        <v>89983.093199999974</v>
      </c>
      <c r="DF31" s="59">
        <f t="shared" si="107"/>
        <v>297466.10950055992</v>
      </c>
      <c r="DG31" s="60">
        <f t="shared" si="34"/>
        <v>87374.887599999973</v>
      </c>
      <c r="DH31" s="59">
        <f t="shared" si="108"/>
        <v>288843.90342807991</v>
      </c>
      <c r="DI31" s="60">
        <f t="shared" si="35"/>
        <v>84766.681999999972</v>
      </c>
      <c r="DJ31" s="59">
        <f t="shared" si="109"/>
        <v>280221.6973555999</v>
      </c>
      <c r="DK31" s="55">
        <f t="shared" si="36"/>
        <v>82158.47639999997</v>
      </c>
      <c r="DL31" s="59">
        <f t="shared" si="110"/>
        <v>271599.49128311989</v>
      </c>
      <c r="DM31" s="60">
        <f t="shared" si="37"/>
        <v>79550.270799999969</v>
      </c>
      <c r="DN31" s="59">
        <f t="shared" si="111"/>
        <v>262977.28521063988</v>
      </c>
      <c r="DO31" s="60">
        <f t="shared" si="38"/>
        <v>76942.065199999968</v>
      </c>
      <c r="DP31" s="59">
        <f t="shared" si="112"/>
        <v>254355.0791381599</v>
      </c>
      <c r="DQ31" s="55">
        <f t="shared" si="39"/>
        <v>74333.859599999967</v>
      </c>
      <c r="DR31" s="59">
        <f t="shared" si="113"/>
        <v>245732.87306567989</v>
      </c>
      <c r="DU31" s="55">
        <v>1</v>
      </c>
      <c r="DV31" s="55">
        <v>0.97</v>
      </c>
      <c r="DW31" s="55">
        <v>0.95</v>
      </c>
      <c r="DX31" s="55">
        <v>0.93</v>
      </c>
      <c r="DY31" s="55">
        <f t="shared" si="114"/>
        <v>0.91</v>
      </c>
      <c r="DZ31" s="55">
        <f t="shared" si="114"/>
        <v>0.89</v>
      </c>
      <c r="EA31" s="55">
        <f t="shared" si="114"/>
        <v>0.87</v>
      </c>
      <c r="EB31" s="55">
        <f t="shared" si="114"/>
        <v>0.85</v>
      </c>
      <c r="EC31" s="55">
        <f t="shared" si="114"/>
        <v>0.83</v>
      </c>
      <c r="ED31" s="55">
        <f t="shared" si="114"/>
        <v>0.80999999999999994</v>
      </c>
      <c r="EE31" s="55">
        <f t="shared" si="114"/>
        <v>0.78999999999999992</v>
      </c>
      <c r="EF31" s="55">
        <f t="shared" si="114"/>
        <v>0.76999999999999991</v>
      </c>
      <c r="EG31" s="55">
        <f t="shared" si="114"/>
        <v>0.74999999999999989</v>
      </c>
      <c r="EH31" s="55">
        <f t="shared" si="114"/>
        <v>0.72999999999999987</v>
      </c>
      <c r="EI31" s="55">
        <f t="shared" si="114"/>
        <v>0.70999999999999985</v>
      </c>
      <c r="EJ31" s="55">
        <f t="shared" si="114"/>
        <v>0.68999999999999984</v>
      </c>
      <c r="EK31" s="55">
        <f t="shared" si="114"/>
        <v>0.66999999999999982</v>
      </c>
      <c r="EL31" s="55">
        <f t="shared" si="114"/>
        <v>0.6499999999999998</v>
      </c>
      <c r="EM31" s="55">
        <f t="shared" si="114"/>
        <v>0.62999999999999978</v>
      </c>
      <c r="EN31" s="55">
        <f t="shared" si="114"/>
        <v>0.60999999999999976</v>
      </c>
      <c r="EO31" s="55">
        <f t="shared" si="114"/>
        <v>0.58999999999999975</v>
      </c>
      <c r="EP31" s="55">
        <f t="shared" si="114"/>
        <v>0.56999999999999973</v>
      </c>
      <c r="ER31" s="55">
        <f t="shared" si="115"/>
        <v>118673.3548</v>
      </c>
      <c r="ES31" s="55">
        <f t="shared" si="116"/>
        <v>118673.3548</v>
      </c>
      <c r="ET31" s="59">
        <f t="shared" si="117"/>
        <v>392310.37629784003</v>
      </c>
      <c r="EU31" s="55">
        <f t="shared" si="118"/>
        <v>115113.154156</v>
      </c>
      <c r="EV31" s="59">
        <f t="shared" si="119"/>
        <v>380541.06500890484</v>
      </c>
      <c r="EW31" s="55">
        <f t="shared" si="120"/>
        <v>112739.68706</v>
      </c>
      <c r="EX31" s="59">
        <f t="shared" si="121"/>
        <v>372694.85748294799</v>
      </c>
      <c r="EY31" s="55">
        <f t="shared" si="41"/>
        <v>110366.219964</v>
      </c>
      <c r="EZ31" s="59">
        <f t="shared" si="122"/>
        <v>364848.6499569912</v>
      </c>
      <c r="FA31" s="57">
        <f t="shared" si="42"/>
        <v>107992.75286800001</v>
      </c>
      <c r="FB31" s="59">
        <f t="shared" si="123"/>
        <v>357002.44243103446</v>
      </c>
      <c r="FC31" s="55">
        <f t="shared" si="43"/>
        <v>105619.285772</v>
      </c>
      <c r="FD31" s="59">
        <f t="shared" si="124"/>
        <v>349156.23490507761</v>
      </c>
      <c r="FE31" s="57">
        <f t="shared" si="44"/>
        <v>103245.818676</v>
      </c>
      <c r="FF31" s="59">
        <f t="shared" si="125"/>
        <v>341310.02737912082</v>
      </c>
      <c r="FG31" s="60">
        <f t="shared" si="45"/>
        <v>100872.35158</v>
      </c>
      <c r="FH31" s="59">
        <f t="shared" si="126"/>
        <v>333463.81985316402</v>
      </c>
      <c r="FI31" s="57">
        <f t="shared" si="46"/>
        <v>98498.884483999995</v>
      </c>
      <c r="FJ31" s="59">
        <f t="shared" si="127"/>
        <v>325617.61232720717</v>
      </c>
      <c r="FK31" s="55">
        <f t="shared" si="47"/>
        <v>96125.417387999987</v>
      </c>
      <c r="FL31" s="59">
        <f t="shared" si="128"/>
        <v>317771.40480125038</v>
      </c>
      <c r="FM31" s="60">
        <f t="shared" si="48"/>
        <v>93751.950291999994</v>
      </c>
      <c r="FN31" s="59">
        <f t="shared" si="129"/>
        <v>309925.19727529358</v>
      </c>
      <c r="FO31" s="60">
        <f t="shared" si="49"/>
        <v>91378.483195999986</v>
      </c>
      <c r="FP31" s="59">
        <f t="shared" si="130"/>
        <v>302078.98974933679</v>
      </c>
      <c r="FQ31" s="60">
        <f t="shared" si="50"/>
        <v>89005.016099999993</v>
      </c>
      <c r="FR31" s="59">
        <f t="shared" si="131"/>
        <v>294232.78222338</v>
      </c>
      <c r="FS31" s="55">
        <f t="shared" si="51"/>
        <v>86631.549003999986</v>
      </c>
      <c r="FT31" s="59">
        <f t="shared" si="132"/>
        <v>286386.57469742314</v>
      </c>
      <c r="FU31" s="60">
        <f t="shared" si="52"/>
        <v>84258.081907999978</v>
      </c>
      <c r="FV31" s="59">
        <f t="shared" si="133"/>
        <v>278540.36717146635</v>
      </c>
      <c r="FW31" s="60">
        <f t="shared" si="53"/>
        <v>81884.614811999985</v>
      </c>
      <c r="FX31" s="59">
        <f t="shared" si="134"/>
        <v>270694.15964550956</v>
      </c>
      <c r="FY31" s="60">
        <f t="shared" si="54"/>
        <v>79511.147715999978</v>
      </c>
      <c r="FZ31" s="59">
        <f t="shared" si="135"/>
        <v>262847.9521195527</v>
      </c>
      <c r="GA31" s="60">
        <f t="shared" si="55"/>
        <v>77137.68061999997</v>
      </c>
      <c r="GB31" s="59">
        <f t="shared" si="136"/>
        <v>255001.74459359591</v>
      </c>
      <c r="GC31" s="55">
        <f t="shared" si="56"/>
        <v>74764.213523999977</v>
      </c>
      <c r="GD31" s="59">
        <f t="shared" si="137"/>
        <v>247155.53706763912</v>
      </c>
      <c r="GE31" s="60">
        <f t="shared" si="57"/>
        <v>72390.746427999969</v>
      </c>
      <c r="GF31" s="59">
        <f t="shared" si="138"/>
        <v>239309.32954168229</v>
      </c>
      <c r="GG31" s="60">
        <f t="shared" si="58"/>
        <v>70017.279331999976</v>
      </c>
      <c r="GH31" s="59">
        <f t="shared" si="139"/>
        <v>231463.12201572553</v>
      </c>
      <c r="GI31" s="55">
        <f t="shared" si="59"/>
        <v>67643.812235999969</v>
      </c>
      <c r="GJ31" s="59">
        <f t="shared" si="140"/>
        <v>223616.91448976871</v>
      </c>
      <c r="GK31" s="55"/>
      <c r="GL31" s="55"/>
      <c r="GM31" s="55">
        <v>1</v>
      </c>
      <c r="GN31" s="55">
        <v>0.97</v>
      </c>
      <c r="GO31" s="55">
        <v>0.95</v>
      </c>
      <c r="GP31" s="55">
        <v>0.93</v>
      </c>
      <c r="GQ31" s="55">
        <f t="shared" si="141"/>
        <v>0.91</v>
      </c>
      <c r="GR31" s="55">
        <f t="shared" si="141"/>
        <v>0.89</v>
      </c>
      <c r="GS31" s="55">
        <f t="shared" si="141"/>
        <v>0.87</v>
      </c>
      <c r="GT31" s="55">
        <f t="shared" si="141"/>
        <v>0.85</v>
      </c>
      <c r="GU31" s="55">
        <f t="shared" si="141"/>
        <v>0.83</v>
      </c>
      <c r="GV31" s="55">
        <f t="shared" si="141"/>
        <v>0.80999999999999994</v>
      </c>
      <c r="GW31" s="55">
        <f t="shared" si="141"/>
        <v>0.78999999999999992</v>
      </c>
      <c r="GX31" s="55">
        <f t="shared" si="141"/>
        <v>0.76999999999999991</v>
      </c>
      <c r="GY31" s="55">
        <f t="shared" si="141"/>
        <v>0.74999999999999989</v>
      </c>
      <c r="GZ31" s="55">
        <f t="shared" si="141"/>
        <v>0.72999999999999987</v>
      </c>
      <c r="HA31" s="55">
        <f t="shared" si="141"/>
        <v>0.70999999999999985</v>
      </c>
      <c r="HB31" s="55">
        <f t="shared" si="141"/>
        <v>0.68999999999999984</v>
      </c>
      <c r="HC31" s="55">
        <f t="shared" si="141"/>
        <v>0.66999999999999982</v>
      </c>
      <c r="HD31" s="55">
        <f t="shared" si="141"/>
        <v>0.6499999999999998</v>
      </c>
      <c r="HE31" s="55">
        <f t="shared" si="141"/>
        <v>0.62999999999999978</v>
      </c>
      <c r="HF31" s="55">
        <f t="shared" si="141"/>
        <v>0.60999999999999976</v>
      </c>
      <c r="HG31" s="55">
        <f t="shared" si="141"/>
        <v>0.58999999999999975</v>
      </c>
      <c r="HH31" s="55">
        <f t="shared" si="141"/>
        <v>0.56999999999999973</v>
      </c>
    </row>
    <row r="32" spans="1:216" x14ac:dyDescent="0.3">
      <c r="B32" s="2">
        <v>9</v>
      </c>
      <c r="C32" s="35" t="s">
        <v>101</v>
      </c>
      <c r="D32" s="45">
        <f>+D161</f>
        <v>0</v>
      </c>
      <c r="E32" s="67">
        <f t="shared" si="0"/>
        <v>0</v>
      </c>
      <c r="H32" s="55">
        <f t="shared" si="61"/>
        <v>0</v>
      </c>
      <c r="I32" s="55">
        <f t="shared" si="62"/>
        <v>0</v>
      </c>
      <c r="J32" s="59">
        <f t="shared" si="63"/>
        <v>0</v>
      </c>
      <c r="K32" s="55">
        <f t="shared" si="64"/>
        <v>0</v>
      </c>
      <c r="L32" s="59">
        <f t="shared" si="65"/>
        <v>0</v>
      </c>
      <c r="M32" s="55">
        <f t="shared" si="66"/>
        <v>0</v>
      </c>
      <c r="N32" s="59">
        <f t="shared" si="67"/>
        <v>0</v>
      </c>
      <c r="O32" s="55">
        <f t="shared" si="1"/>
        <v>0</v>
      </c>
      <c r="P32" s="59">
        <f t="shared" si="68"/>
        <v>0</v>
      </c>
      <c r="Q32" s="57">
        <f t="shared" si="2"/>
        <v>0</v>
      </c>
      <c r="R32" s="59">
        <f t="shared" si="69"/>
        <v>0</v>
      </c>
      <c r="S32" s="55">
        <f t="shared" si="3"/>
        <v>0</v>
      </c>
      <c r="T32" s="59">
        <f t="shared" si="70"/>
        <v>0</v>
      </c>
      <c r="U32" s="57">
        <f t="shared" si="4"/>
        <v>0</v>
      </c>
      <c r="V32" s="59">
        <f t="shared" si="71"/>
        <v>0</v>
      </c>
      <c r="W32" s="60">
        <f t="shared" si="5"/>
        <v>0</v>
      </c>
      <c r="X32" s="59">
        <f t="shared" si="72"/>
        <v>0</v>
      </c>
      <c r="Y32" s="57">
        <f t="shared" si="6"/>
        <v>0</v>
      </c>
      <c r="Z32" s="59">
        <f t="shared" si="73"/>
        <v>0</v>
      </c>
      <c r="AA32" s="55">
        <f t="shared" si="7"/>
        <v>0</v>
      </c>
      <c r="AB32" s="59">
        <f t="shared" si="74"/>
        <v>0</v>
      </c>
      <c r="AC32" s="60">
        <f t="shared" si="8"/>
        <v>0</v>
      </c>
      <c r="AD32" s="59">
        <f t="shared" si="75"/>
        <v>0</v>
      </c>
      <c r="AE32" s="60">
        <f t="shared" si="9"/>
        <v>0</v>
      </c>
      <c r="AF32" s="59">
        <f t="shared" si="76"/>
        <v>0</v>
      </c>
      <c r="AG32" s="60">
        <f t="shared" si="10"/>
        <v>0</v>
      </c>
      <c r="AH32" s="59">
        <f t="shared" si="77"/>
        <v>0</v>
      </c>
      <c r="AI32" s="55">
        <f t="shared" si="11"/>
        <v>0</v>
      </c>
      <c r="AJ32" s="59">
        <f t="shared" si="78"/>
        <v>0</v>
      </c>
      <c r="AK32" s="60">
        <f t="shared" si="12"/>
        <v>0</v>
      </c>
      <c r="AL32" s="59">
        <f t="shared" si="79"/>
        <v>0</v>
      </c>
      <c r="AM32" s="60">
        <f t="shared" si="13"/>
        <v>0</v>
      </c>
      <c r="AN32" s="59">
        <f t="shared" si="80"/>
        <v>0</v>
      </c>
      <c r="AO32" s="60">
        <f t="shared" si="14"/>
        <v>0</v>
      </c>
      <c r="AP32" s="59">
        <f t="shared" si="81"/>
        <v>0</v>
      </c>
      <c r="AQ32" s="60">
        <f t="shared" si="15"/>
        <v>0</v>
      </c>
      <c r="AR32" s="59">
        <f t="shared" si="82"/>
        <v>0</v>
      </c>
      <c r="AS32" s="55">
        <f t="shared" si="16"/>
        <v>0</v>
      </c>
      <c r="AT32" s="59">
        <f t="shared" si="83"/>
        <v>0</v>
      </c>
      <c r="AU32" s="60">
        <f t="shared" si="17"/>
        <v>0</v>
      </c>
      <c r="AV32" s="59">
        <f t="shared" si="84"/>
        <v>0</v>
      </c>
      <c r="AW32" s="60">
        <f t="shared" si="18"/>
        <v>0</v>
      </c>
      <c r="AX32" s="59">
        <f t="shared" si="85"/>
        <v>0</v>
      </c>
      <c r="AY32" s="55">
        <f t="shared" si="19"/>
        <v>0</v>
      </c>
      <c r="AZ32" s="59">
        <f t="shared" si="86"/>
        <v>0</v>
      </c>
      <c r="BC32" s="55">
        <v>1</v>
      </c>
      <c r="BD32" s="55">
        <v>0.97</v>
      </c>
      <c r="BE32" s="55">
        <v>0.95</v>
      </c>
      <c r="BF32" s="55">
        <v>0.93</v>
      </c>
      <c r="BG32" s="55">
        <f t="shared" si="87"/>
        <v>0.91</v>
      </c>
      <c r="BH32" s="55">
        <f t="shared" si="87"/>
        <v>0.89</v>
      </c>
      <c r="BI32" s="55">
        <f t="shared" si="87"/>
        <v>0.87</v>
      </c>
      <c r="BJ32" s="55">
        <f t="shared" si="87"/>
        <v>0.85</v>
      </c>
      <c r="BK32" s="55">
        <f t="shared" si="87"/>
        <v>0.83</v>
      </c>
      <c r="BL32" s="55">
        <f t="shared" si="87"/>
        <v>0.80999999999999994</v>
      </c>
      <c r="BM32" s="55">
        <f t="shared" si="87"/>
        <v>0.78999999999999992</v>
      </c>
      <c r="BN32" s="55">
        <f t="shared" si="87"/>
        <v>0.76999999999999991</v>
      </c>
      <c r="BO32" s="55">
        <f t="shared" si="87"/>
        <v>0.74999999999999989</v>
      </c>
      <c r="BP32" s="55">
        <f t="shared" si="87"/>
        <v>0.72999999999999987</v>
      </c>
      <c r="BQ32" s="55">
        <f t="shared" si="87"/>
        <v>0.70999999999999985</v>
      </c>
      <c r="BR32" s="55">
        <f t="shared" si="87"/>
        <v>0.68999999999999984</v>
      </c>
      <c r="BS32" s="55">
        <f t="shared" si="87"/>
        <v>0.66999999999999982</v>
      </c>
      <c r="BT32" s="55">
        <f t="shared" si="87"/>
        <v>0.6499999999999998</v>
      </c>
      <c r="BU32" s="55">
        <f t="shared" si="87"/>
        <v>0.62999999999999978</v>
      </c>
      <c r="BV32" s="55">
        <f t="shared" si="87"/>
        <v>0.60999999999999976</v>
      </c>
      <c r="BW32" s="55">
        <f t="shared" si="87"/>
        <v>0.58999999999999975</v>
      </c>
      <c r="BX32" s="55">
        <f t="shared" si="87"/>
        <v>0.56999999999999973</v>
      </c>
      <c r="BZ32" s="55">
        <f t="shared" si="88"/>
        <v>0</v>
      </c>
      <c r="CA32" s="55">
        <f t="shared" si="89"/>
        <v>0</v>
      </c>
      <c r="CB32" s="59">
        <f t="shared" si="90"/>
        <v>0</v>
      </c>
      <c r="CC32" s="55">
        <f t="shared" si="91"/>
        <v>0</v>
      </c>
      <c r="CD32" s="59">
        <f t="shared" si="92"/>
        <v>0</v>
      </c>
      <c r="CE32" s="55">
        <f t="shared" si="93"/>
        <v>0</v>
      </c>
      <c r="CF32" s="59">
        <f t="shared" si="94"/>
        <v>0</v>
      </c>
      <c r="CG32" s="55">
        <f t="shared" si="21"/>
        <v>0</v>
      </c>
      <c r="CH32" s="59">
        <f t="shared" si="95"/>
        <v>0</v>
      </c>
      <c r="CI32" s="57">
        <f t="shared" si="22"/>
        <v>0</v>
      </c>
      <c r="CJ32" s="59">
        <f t="shared" si="96"/>
        <v>0</v>
      </c>
      <c r="CK32" s="55">
        <f t="shared" si="23"/>
        <v>0</v>
      </c>
      <c r="CL32" s="59">
        <f t="shared" si="97"/>
        <v>0</v>
      </c>
      <c r="CM32" s="57">
        <f t="shared" si="24"/>
        <v>0</v>
      </c>
      <c r="CN32" s="59">
        <f t="shared" si="98"/>
        <v>0</v>
      </c>
      <c r="CO32" s="60">
        <f t="shared" si="25"/>
        <v>0</v>
      </c>
      <c r="CP32" s="59">
        <f t="shared" si="99"/>
        <v>0</v>
      </c>
      <c r="CQ32" s="57">
        <f t="shared" si="26"/>
        <v>0</v>
      </c>
      <c r="CR32" s="59">
        <f t="shared" si="100"/>
        <v>0</v>
      </c>
      <c r="CS32" s="55">
        <f t="shared" si="27"/>
        <v>0</v>
      </c>
      <c r="CT32" s="59">
        <f t="shared" si="101"/>
        <v>0</v>
      </c>
      <c r="CU32" s="60">
        <f t="shared" si="28"/>
        <v>0</v>
      </c>
      <c r="CV32" s="59">
        <f t="shared" si="102"/>
        <v>0</v>
      </c>
      <c r="CW32" s="60">
        <f t="shared" si="29"/>
        <v>0</v>
      </c>
      <c r="CX32" s="59">
        <f t="shared" si="103"/>
        <v>0</v>
      </c>
      <c r="CY32" s="60">
        <f t="shared" si="30"/>
        <v>0</v>
      </c>
      <c r="CZ32" s="59">
        <f t="shared" si="104"/>
        <v>0</v>
      </c>
      <c r="DA32" s="55">
        <f t="shared" si="31"/>
        <v>0</v>
      </c>
      <c r="DB32" s="59">
        <f t="shared" si="105"/>
        <v>0</v>
      </c>
      <c r="DC32" s="60">
        <f t="shared" si="32"/>
        <v>0</v>
      </c>
      <c r="DD32" s="59">
        <f t="shared" si="106"/>
        <v>0</v>
      </c>
      <c r="DE32" s="60">
        <f t="shared" si="33"/>
        <v>0</v>
      </c>
      <c r="DF32" s="59">
        <f t="shared" si="107"/>
        <v>0</v>
      </c>
      <c r="DG32" s="60">
        <f t="shared" si="34"/>
        <v>0</v>
      </c>
      <c r="DH32" s="59">
        <f t="shared" si="108"/>
        <v>0</v>
      </c>
      <c r="DI32" s="60">
        <f t="shared" si="35"/>
        <v>0</v>
      </c>
      <c r="DJ32" s="59">
        <f t="shared" si="109"/>
        <v>0</v>
      </c>
      <c r="DK32" s="55">
        <f t="shared" si="36"/>
        <v>0</v>
      </c>
      <c r="DL32" s="59">
        <f t="shared" si="110"/>
        <v>0</v>
      </c>
      <c r="DM32" s="60">
        <f t="shared" si="37"/>
        <v>0</v>
      </c>
      <c r="DN32" s="59">
        <f t="shared" si="111"/>
        <v>0</v>
      </c>
      <c r="DO32" s="60">
        <f t="shared" si="38"/>
        <v>0</v>
      </c>
      <c r="DP32" s="59">
        <f t="shared" si="112"/>
        <v>0</v>
      </c>
      <c r="DQ32" s="55">
        <f t="shared" si="39"/>
        <v>0</v>
      </c>
      <c r="DR32" s="59">
        <f t="shared" si="113"/>
        <v>0</v>
      </c>
      <c r="DU32" s="55">
        <v>1</v>
      </c>
      <c r="DV32" s="55">
        <v>0.97</v>
      </c>
      <c r="DW32" s="55">
        <v>0.95</v>
      </c>
      <c r="DX32" s="55">
        <v>0.93</v>
      </c>
      <c r="DY32" s="55">
        <f t="shared" si="114"/>
        <v>0.91</v>
      </c>
      <c r="DZ32" s="55">
        <f t="shared" si="114"/>
        <v>0.89</v>
      </c>
      <c r="EA32" s="55">
        <f t="shared" si="114"/>
        <v>0.87</v>
      </c>
      <c r="EB32" s="55">
        <f t="shared" si="114"/>
        <v>0.85</v>
      </c>
      <c r="EC32" s="55">
        <f t="shared" si="114"/>
        <v>0.83</v>
      </c>
      <c r="ED32" s="55">
        <f t="shared" si="114"/>
        <v>0.80999999999999994</v>
      </c>
      <c r="EE32" s="55">
        <f t="shared" si="114"/>
        <v>0.78999999999999992</v>
      </c>
      <c r="EF32" s="55">
        <f t="shared" si="114"/>
        <v>0.76999999999999991</v>
      </c>
      <c r="EG32" s="55">
        <f t="shared" si="114"/>
        <v>0.74999999999999989</v>
      </c>
      <c r="EH32" s="55">
        <f t="shared" si="114"/>
        <v>0.72999999999999987</v>
      </c>
      <c r="EI32" s="55">
        <f t="shared" si="114"/>
        <v>0.70999999999999985</v>
      </c>
      <c r="EJ32" s="55">
        <f t="shared" si="114"/>
        <v>0.68999999999999984</v>
      </c>
      <c r="EK32" s="55">
        <f t="shared" si="114"/>
        <v>0.66999999999999982</v>
      </c>
      <c r="EL32" s="55">
        <f t="shared" si="114"/>
        <v>0.6499999999999998</v>
      </c>
      <c r="EM32" s="55">
        <f t="shared" si="114"/>
        <v>0.62999999999999978</v>
      </c>
      <c r="EN32" s="55">
        <f t="shared" si="114"/>
        <v>0.60999999999999976</v>
      </c>
      <c r="EO32" s="55">
        <f t="shared" si="114"/>
        <v>0.58999999999999975</v>
      </c>
      <c r="EP32" s="55">
        <f t="shared" si="114"/>
        <v>0.56999999999999973</v>
      </c>
      <c r="ER32" s="55">
        <f t="shared" si="115"/>
        <v>0</v>
      </c>
      <c r="ES32" s="55">
        <f t="shared" si="116"/>
        <v>0</v>
      </c>
      <c r="ET32" s="59">
        <f t="shared" si="117"/>
        <v>0</v>
      </c>
      <c r="EU32" s="55">
        <f t="shared" si="118"/>
        <v>0</v>
      </c>
      <c r="EV32" s="59">
        <f t="shared" si="119"/>
        <v>0</v>
      </c>
      <c r="EW32" s="55">
        <f t="shared" si="120"/>
        <v>0</v>
      </c>
      <c r="EX32" s="59">
        <f t="shared" si="121"/>
        <v>0</v>
      </c>
      <c r="EY32" s="55">
        <f t="shared" si="41"/>
        <v>0</v>
      </c>
      <c r="EZ32" s="59">
        <f t="shared" si="122"/>
        <v>0</v>
      </c>
      <c r="FA32" s="57">
        <f t="shared" si="42"/>
        <v>0</v>
      </c>
      <c r="FB32" s="59">
        <f t="shared" si="123"/>
        <v>0</v>
      </c>
      <c r="FC32" s="55">
        <f t="shared" si="43"/>
        <v>0</v>
      </c>
      <c r="FD32" s="59">
        <f t="shared" si="124"/>
        <v>0</v>
      </c>
      <c r="FE32" s="57">
        <f t="shared" si="44"/>
        <v>0</v>
      </c>
      <c r="FF32" s="59">
        <f t="shared" si="125"/>
        <v>0</v>
      </c>
      <c r="FG32" s="60">
        <f t="shared" si="45"/>
        <v>0</v>
      </c>
      <c r="FH32" s="59">
        <f t="shared" si="126"/>
        <v>0</v>
      </c>
      <c r="FI32" s="57">
        <f t="shared" si="46"/>
        <v>0</v>
      </c>
      <c r="FJ32" s="59">
        <f t="shared" si="127"/>
        <v>0</v>
      </c>
      <c r="FK32" s="55">
        <f t="shared" si="47"/>
        <v>0</v>
      </c>
      <c r="FL32" s="59">
        <f t="shared" si="128"/>
        <v>0</v>
      </c>
      <c r="FM32" s="60">
        <f t="shared" si="48"/>
        <v>0</v>
      </c>
      <c r="FN32" s="59">
        <f t="shared" si="129"/>
        <v>0</v>
      </c>
      <c r="FO32" s="60">
        <f t="shared" si="49"/>
        <v>0</v>
      </c>
      <c r="FP32" s="59">
        <f t="shared" si="130"/>
        <v>0</v>
      </c>
      <c r="FQ32" s="60">
        <f t="shared" si="50"/>
        <v>0</v>
      </c>
      <c r="FR32" s="59">
        <f t="shared" si="131"/>
        <v>0</v>
      </c>
      <c r="FS32" s="55">
        <f t="shared" si="51"/>
        <v>0</v>
      </c>
      <c r="FT32" s="59">
        <f t="shared" si="132"/>
        <v>0</v>
      </c>
      <c r="FU32" s="60">
        <f t="shared" si="52"/>
        <v>0</v>
      </c>
      <c r="FV32" s="59">
        <f t="shared" si="133"/>
        <v>0</v>
      </c>
      <c r="FW32" s="60">
        <f t="shared" si="53"/>
        <v>0</v>
      </c>
      <c r="FX32" s="59">
        <f t="shared" si="134"/>
        <v>0</v>
      </c>
      <c r="FY32" s="60">
        <f t="shared" si="54"/>
        <v>0</v>
      </c>
      <c r="FZ32" s="59">
        <f t="shared" si="135"/>
        <v>0</v>
      </c>
      <c r="GA32" s="60">
        <f t="shared" si="55"/>
        <v>0</v>
      </c>
      <c r="GB32" s="59">
        <f t="shared" si="136"/>
        <v>0</v>
      </c>
      <c r="GC32" s="55">
        <f t="shared" si="56"/>
        <v>0</v>
      </c>
      <c r="GD32" s="59">
        <f t="shared" si="137"/>
        <v>0</v>
      </c>
      <c r="GE32" s="60">
        <f t="shared" si="57"/>
        <v>0</v>
      </c>
      <c r="GF32" s="59">
        <f t="shared" si="138"/>
        <v>0</v>
      </c>
      <c r="GG32" s="60">
        <f t="shared" si="58"/>
        <v>0</v>
      </c>
      <c r="GH32" s="59">
        <f t="shared" si="139"/>
        <v>0</v>
      </c>
      <c r="GI32" s="55">
        <f t="shared" si="59"/>
        <v>0</v>
      </c>
      <c r="GJ32" s="59">
        <f t="shared" si="140"/>
        <v>0</v>
      </c>
      <c r="GK32" s="55"/>
      <c r="GL32" s="55"/>
      <c r="GM32" s="55">
        <v>1</v>
      </c>
      <c r="GN32" s="55">
        <v>0.97</v>
      </c>
      <c r="GO32" s="55">
        <v>0.95</v>
      </c>
      <c r="GP32" s="55">
        <v>0.93</v>
      </c>
      <c r="GQ32" s="55">
        <f t="shared" si="141"/>
        <v>0.91</v>
      </c>
      <c r="GR32" s="55">
        <f t="shared" si="141"/>
        <v>0.89</v>
      </c>
      <c r="GS32" s="55">
        <f t="shared" si="141"/>
        <v>0.87</v>
      </c>
      <c r="GT32" s="55">
        <f t="shared" si="141"/>
        <v>0.85</v>
      </c>
      <c r="GU32" s="55">
        <f t="shared" si="141"/>
        <v>0.83</v>
      </c>
      <c r="GV32" s="55">
        <f t="shared" si="141"/>
        <v>0.80999999999999994</v>
      </c>
      <c r="GW32" s="55">
        <f t="shared" si="141"/>
        <v>0.78999999999999992</v>
      </c>
      <c r="GX32" s="55">
        <f t="shared" si="141"/>
        <v>0.76999999999999991</v>
      </c>
      <c r="GY32" s="55">
        <f t="shared" si="141"/>
        <v>0.74999999999999989</v>
      </c>
      <c r="GZ32" s="55">
        <f t="shared" si="141"/>
        <v>0.72999999999999987</v>
      </c>
      <c r="HA32" s="55">
        <f t="shared" si="141"/>
        <v>0.70999999999999985</v>
      </c>
      <c r="HB32" s="55">
        <f t="shared" si="141"/>
        <v>0.68999999999999984</v>
      </c>
      <c r="HC32" s="55">
        <f t="shared" si="141"/>
        <v>0.66999999999999982</v>
      </c>
      <c r="HD32" s="55">
        <f t="shared" si="141"/>
        <v>0.6499999999999998</v>
      </c>
      <c r="HE32" s="55">
        <f t="shared" si="141"/>
        <v>0.62999999999999978</v>
      </c>
      <c r="HF32" s="55">
        <f t="shared" si="141"/>
        <v>0.60999999999999976</v>
      </c>
      <c r="HG32" s="55">
        <f t="shared" si="141"/>
        <v>0.58999999999999975</v>
      </c>
      <c r="HH32" s="55">
        <f t="shared" si="141"/>
        <v>0.56999999999999973</v>
      </c>
    </row>
    <row r="33" spans="1:216" x14ac:dyDescent="0.3">
      <c r="B33" s="2">
        <v>10</v>
      </c>
      <c r="C33" s="35" t="s">
        <v>155</v>
      </c>
      <c r="D33" s="53">
        <f>TRUNC(SUM(D24:D32)*0.275,-1)</f>
        <v>396210</v>
      </c>
      <c r="E33" s="68">
        <f t="shared" si="0"/>
        <v>1309790</v>
      </c>
      <c r="H33" s="55">
        <f t="shared" si="61"/>
        <v>1440769</v>
      </c>
      <c r="I33" s="55">
        <f t="shared" si="62"/>
        <v>1440769</v>
      </c>
      <c r="J33" s="59">
        <f t="shared" si="63"/>
        <v>4762894.1601999998</v>
      </c>
      <c r="K33" s="55">
        <f t="shared" si="64"/>
        <v>1397545.93</v>
      </c>
      <c r="L33" s="59">
        <f t="shared" si="65"/>
        <v>4620007.3353939997</v>
      </c>
      <c r="M33" s="55">
        <f t="shared" si="66"/>
        <v>1368730.55</v>
      </c>
      <c r="N33" s="59">
        <f t="shared" si="67"/>
        <v>4524749.4521900006</v>
      </c>
      <c r="O33" s="55">
        <f t="shared" si="1"/>
        <v>1339915.1700000002</v>
      </c>
      <c r="P33" s="59">
        <f t="shared" si="68"/>
        <v>4429491.5689860005</v>
      </c>
      <c r="Q33" s="57">
        <f t="shared" si="2"/>
        <v>1311099.79</v>
      </c>
      <c r="R33" s="59">
        <f t="shared" si="69"/>
        <v>4334233.6857820004</v>
      </c>
      <c r="S33" s="55">
        <f t="shared" si="3"/>
        <v>1282284.4099999999</v>
      </c>
      <c r="T33" s="59">
        <f t="shared" si="70"/>
        <v>4238975.8025779994</v>
      </c>
      <c r="U33" s="57">
        <f t="shared" si="4"/>
        <v>1253469.03</v>
      </c>
      <c r="V33" s="59">
        <f t="shared" si="71"/>
        <v>4143717.9193740003</v>
      </c>
      <c r="W33" s="60">
        <f t="shared" si="5"/>
        <v>1224653.6499999999</v>
      </c>
      <c r="X33" s="59">
        <f t="shared" si="72"/>
        <v>4048460.0361699997</v>
      </c>
      <c r="Y33" s="57">
        <f t="shared" si="6"/>
        <v>1195838.27</v>
      </c>
      <c r="Z33" s="59">
        <f t="shared" si="73"/>
        <v>3953202.1529660001</v>
      </c>
      <c r="AA33" s="55">
        <f t="shared" si="7"/>
        <v>1167022.8899999999</v>
      </c>
      <c r="AB33" s="59">
        <f t="shared" si="74"/>
        <v>3857944.2697619996</v>
      </c>
      <c r="AC33" s="60">
        <f t="shared" si="8"/>
        <v>1138207.5099999998</v>
      </c>
      <c r="AD33" s="59">
        <f t="shared" si="75"/>
        <v>3762686.3865579995</v>
      </c>
      <c r="AE33" s="60">
        <f t="shared" si="9"/>
        <v>1109392.1299999999</v>
      </c>
      <c r="AF33" s="59">
        <f t="shared" si="76"/>
        <v>3667428.5033539999</v>
      </c>
      <c r="AG33" s="60">
        <f t="shared" si="10"/>
        <v>1080576.7499999998</v>
      </c>
      <c r="AH33" s="59">
        <f t="shared" si="77"/>
        <v>3572170.6201499994</v>
      </c>
      <c r="AI33" s="55">
        <f t="shared" si="11"/>
        <v>1051761.3699999999</v>
      </c>
      <c r="AJ33" s="59">
        <f t="shared" si="78"/>
        <v>3476912.7369459998</v>
      </c>
      <c r="AK33" s="60">
        <f t="shared" si="12"/>
        <v>1022945.9899999998</v>
      </c>
      <c r="AL33" s="59">
        <f t="shared" si="79"/>
        <v>3381654.8537419992</v>
      </c>
      <c r="AM33" s="60">
        <f t="shared" si="13"/>
        <v>994130.60999999975</v>
      </c>
      <c r="AN33" s="59">
        <f t="shared" si="80"/>
        <v>3286396.9705379992</v>
      </c>
      <c r="AO33" s="60">
        <f t="shared" si="14"/>
        <v>965315.22999999975</v>
      </c>
      <c r="AP33" s="59">
        <f t="shared" si="81"/>
        <v>3191139.0873339991</v>
      </c>
      <c r="AQ33" s="60">
        <f t="shared" si="15"/>
        <v>936499.84999999974</v>
      </c>
      <c r="AR33" s="59">
        <f t="shared" si="82"/>
        <v>3095881.204129999</v>
      </c>
      <c r="AS33" s="55">
        <f t="shared" si="16"/>
        <v>907684.46999999974</v>
      </c>
      <c r="AT33" s="59">
        <f t="shared" si="83"/>
        <v>3000623.3209259994</v>
      </c>
      <c r="AU33" s="60">
        <f t="shared" si="17"/>
        <v>878869.08999999962</v>
      </c>
      <c r="AV33" s="59">
        <f t="shared" si="84"/>
        <v>2905365.4377219989</v>
      </c>
      <c r="AW33" s="60">
        <f t="shared" si="18"/>
        <v>850053.70999999961</v>
      </c>
      <c r="AX33" s="59">
        <f t="shared" si="85"/>
        <v>2810107.5545179988</v>
      </c>
      <c r="AY33" s="55">
        <f t="shared" si="19"/>
        <v>821238.32999999961</v>
      </c>
      <c r="AZ33" s="59">
        <f t="shared" si="86"/>
        <v>2714849.6713139988</v>
      </c>
      <c r="BC33" s="55">
        <v>1</v>
      </c>
      <c r="BD33" s="55">
        <v>0.97</v>
      </c>
      <c r="BE33" s="55">
        <v>0.95</v>
      </c>
      <c r="BF33" s="55">
        <v>0.93</v>
      </c>
      <c r="BG33" s="55">
        <f t="shared" si="87"/>
        <v>0.91</v>
      </c>
      <c r="BH33" s="55">
        <f t="shared" si="87"/>
        <v>0.89</v>
      </c>
      <c r="BI33" s="55">
        <f t="shared" si="87"/>
        <v>0.87</v>
      </c>
      <c r="BJ33" s="55">
        <f t="shared" si="87"/>
        <v>0.85</v>
      </c>
      <c r="BK33" s="55">
        <f t="shared" si="87"/>
        <v>0.83</v>
      </c>
      <c r="BL33" s="55">
        <f t="shared" si="87"/>
        <v>0.80999999999999994</v>
      </c>
      <c r="BM33" s="55">
        <f t="shared" si="87"/>
        <v>0.78999999999999992</v>
      </c>
      <c r="BN33" s="55">
        <f t="shared" si="87"/>
        <v>0.76999999999999991</v>
      </c>
      <c r="BO33" s="55">
        <f t="shared" si="87"/>
        <v>0.74999999999999989</v>
      </c>
      <c r="BP33" s="55">
        <f t="shared" si="87"/>
        <v>0.72999999999999987</v>
      </c>
      <c r="BQ33" s="55">
        <f t="shared" si="87"/>
        <v>0.70999999999999985</v>
      </c>
      <c r="BR33" s="55">
        <f t="shared" si="87"/>
        <v>0.68999999999999984</v>
      </c>
      <c r="BS33" s="55">
        <f t="shared" si="87"/>
        <v>0.66999999999999982</v>
      </c>
      <c r="BT33" s="55">
        <f t="shared" si="87"/>
        <v>0.6499999999999998</v>
      </c>
      <c r="BU33" s="55">
        <f t="shared" si="87"/>
        <v>0.62999999999999978</v>
      </c>
      <c r="BV33" s="55">
        <f t="shared" si="87"/>
        <v>0.60999999999999976</v>
      </c>
      <c r="BW33" s="55">
        <f t="shared" si="87"/>
        <v>0.58999999999999975</v>
      </c>
      <c r="BX33" s="55">
        <f t="shared" si="87"/>
        <v>0.56999999999999973</v>
      </c>
      <c r="BZ33" s="55">
        <f>+H33*0.7</f>
        <v>1008538.2999999999</v>
      </c>
      <c r="CA33" s="55">
        <f t="shared" si="89"/>
        <v>1008538.2999999999</v>
      </c>
      <c r="CB33" s="59">
        <f t="shared" si="90"/>
        <v>3334025.9121399997</v>
      </c>
      <c r="CC33" s="55">
        <f t="shared" si="91"/>
        <v>978282.15099999995</v>
      </c>
      <c r="CD33" s="59">
        <f t="shared" si="92"/>
        <v>3234005.1347757997</v>
      </c>
      <c r="CE33" s="55">
        <f t="shared" si="93"/>
        <v>958111.38499999989</v>
      </c>
      <c r="CF33" s="59">
        <f t="shared" si="94"/>
        <v>3167324.6165329996</v>
      </c>
      <c r="CG33" s="55">
        <f t="shared" si="21"/>
        <v>937940.61899999995</v>
      </c>
      <c r="CH33" s="59">
        <f t="shared" si="95"/>
        <v>3100644.0982901999</v>
      </c>
      <c r="CI33" s="57">
        <f t="shared" si="22"/>
        <v>917769.853</v>
      </c>
      <c r="CJ33" s="59">
        <f t="shared" si="96"/>
        <v>3033963.5800474002</v>
      </c>
      <c r="CK33" s="55">
        <f t="shared" si="23"/>
        <v>897599.08699999994</v>
      </c>
      <c r="CL33" s="59">
        <f t="shared" si="97"/>
        <v>2967283.0618046001</v>
      </c>
      <c r="CM33" s="57">
        <f t="shared" si="24"/>
        <v>877428.32099999988</v>
      </c>
      <c r="CN33" s="59">
        <f t="shared" si="98"/>
        <v>2900602.5435617995</v>
      </c>
      <c r="CO33" s="60">
        <f t="shared" si="25"/>
        <v>857257.55499999993</v>
      </c>
      <c r="CP33" s="59">
        <f t="shared" si="99"/>
        <v>2833922.0253189998</v>
      </c>
      <c r="CQ33" s="57">
        <f t="shared" si="26"/>
        <v>837086.78899999987</v>
      </c>
      <c r="CR33" s="59">
        <f t="shared" si="100"/>
        <v>2767241.5070761996</v>
      </c>
      <c r="CS33" s="55">
        <f t="shared" si="27"/>
        <v>816916.02299999993</v>
      </c>
      <c r="CT33" s="59">
        <f t="shared" si="101"/>
        <v>2700560.9888334</v>
      </c>
      <c r="CU33" s="60">
        <f t="shared" si="28"/>
        <v>796745.25699999987</v>
      </c>
      <c r="CV33" s="59">
        <f t="shared" si="102"/>
        <v>2633880.4705905998</v>
      </c>
      <c r="CW33" s="60">
        <f t="shared" si="29"/>
        <v>776574.49099999981</v>
      </c>
      <c r="CX33" s="59">
        <f t="shared" si="103"/>
        <v>2567199.9523477992</v>
      </c>
      <c r="CY33" s="60">
        <f t="shared" si="30"/>
        <v>756403.72499999986</v>
      </c>
      <c r="CZ33" s="59">
        <f t="shared" si="104"/>
        <v>2500519.4341049995</v>
      </c>
      <c r="DA33" s="55">
        <f t="shared" si="31"/>
        <v>736232.9589999998</v>
      </c>
      <c r="DB33" s="59">
        <f t="shared" si="105"/>
        <v>2433838.9158621994</v>
      </c>
      <c r="DC33" s="60">
        <f t="shared" si="32"/>
        <v>716062.19299999985</v>
      </c>
      <c r="DD33" s="59">
        <f t="shared" si="106"/>
        <v>2367158.3976193997</v>
      </c>
      <c r="DE33" s="60">
        <f t="shared" si="33"/>
        <v>695891.42699999979</v>
      </c>
      <c r="DF33" s="59">
        <f t="shared" si="107"/>
        <v>2300477.8793765996</v>
      </c>
      <c r="DG33" s="60">
        <f t="shared" si="34"/>
        <v>675720.66099999973</v>
      </c>
      <c r="DH33" s="59">
        <f t="shared" si="108"/>
        <v>2233797.361133799</v>
      </c>
      <c r="DI33" s="60">
        <f t="shared" si="35"/>
        <v>655549.89499999979</v>
      </c>
      <c r="DJ33" s="59">
        <f t="shared" si="109"/>
        <v>2167116.8428909993</v>
      </c>
      <c r="DK33" s="55">
        <f t="shared" si="36"/>
        <v>635379.12899999972</v>
      </c>
      <c r="DL33" s="59">
        <f t="shared" si="110"/>
        <v>2100436.3246481991</v>
      </c>
      <c r="DM33" s="60">
        <f t="shared" si="37"/>
        <v>615208.36299999966</v>
      </c>
      <c r="DN33" s="59">
        <f t="shared" si="111"/>
        <v>2033755.806405399</v>
      </c>
      <c r="DO33" s="60">
        <f t="shared" si="38"/>
        <v>595037.59699999972</v>
      </c>
      <c r="DP33" s="59">
        <f t="shared" si="112"/>
        <v>1967075.2881625991</v>
      </c>
      <c r="DQ33" s="55">
        <f t="shared" si="39"/>
        <v>574866.83099999966</v>
      </c>
      <c r="DR33" s="59">
        <f t="shared" si="113"/>
        <v>1900394.7699197989</v>
      </c>
      <c r="DU33" s="55">
        <v>1</v>
      </c>
      <c r="DV33" s="55">
        <v>0.97</v>
      </c>
      <c r="DW33" s="55">
        <v>0.95</v>
      </c>
      <c r="DX33" s="55">
        <v>0.93</v>
      </c>
      <c r="DY33" s="55">
        <f t="shared" si="114"/>
        <v>0.91</v>
      </c>
      <c r="DZ33" s="55">
        <f t="shared" si="114"/>
        <v>0.89</v>
      </c>
      <c r="EA33" s="55">
        <f t="shared" si="114"/>
        <v>0.87</v>
      </c>
      <c r="EB33" s="55">
        <f t="shared" si="114"/>
        <v>0.85</v>
      </c>
      <c r="EC33" s="55">
        <f t="shared" si="114"/>
        <v>0.83</v>
      </c>
      <c r="ED33" s="55">
        <f t="shared" si="114"/>
        <v>0.80999999999999994</v>
      </c>
      <c r="EE33" s="55">
        <f t="shared" si="114"/>
        <v>0.78999999999999992</v>
      </c>
      <c r="EF33" s="55">
        <f t="shared" si="114"/>
        <v>0.76999999999999991</v>
      </c>
      <c r="EG33" s="55">
        <f t="shared" si="114"/>
        <v>0.74999999999999989</v>
      </c>
      <c r="EH33" s="55">
        <f t="shared" si="114"/>
        <v>0.72999999999999987</v>
      </c>
      <c r="EI33" s="55">
        <f t="shared" si="114"/>
        <v>0.70999999999999985</v>
      </c>
      <c r="EJ33" s="55">
        <f t="shared" si="114"/>
        <v>0.68999999999999984</v>
      </c>
      <c r="EK33" s="55">
        <f t="shared" si="114"/>
        <v>0.66999999999999982</v>
      </c>
      <c r="EL33" s="55">
        <f t="shared" si="114"/>
        <v>0.6499999999999998</v>
      </c>
      <c r="EM33" s="55">
        <f t="shared" si="114"/>
        <v>0.62999999999999978</v>
      </c>
      <c r="EN33" s="55">
        <f t="shared" si="114"/>
        <v>0.60999999999999976</v>
      </c>
      <c r="EO33" s="55">
        <f t="shared" si="114"/>
        <v>0.58999999999999975</v>
      </c>
      <c r="EP33" s="55">
        <f t="shared" si="114"/>
        <v>0.56999999999999973</v>
      </c>
      <c r="ER33" s="55">
        <f>+BZ33*0.7</f>
        <v>705976.80999999994</v>
      </c>
      <c r="ES33" s="55">
        <f t="shared" si="116"/>
        <v>705976.80999999994</v>
      </c>
      <c r="ET33" s="59">
        <f t="shared" si="117"/>
        <v>2333818.1384979999</v>
      </c>
      <c r="EU33" s="55">
        <f t="shared" si="118"/>
        <v>684797.50569999998</v>
      </c>
      <c r="EV33" s="59">
        <f t="shared" si="119"/>
        <v>2263803.5943430602</v>
      </c>
      <c r="EW33" s="55">
        <f t="shared" si="120"/>
        <v>670677.96949999989</v>
      </c>
      <c r="EX33" s="59">
        <f t="shared" si="121"/>
        <v>2217127.2315730997</v>
      </c>
      <c r="EY33" s="55">
        <f t="shared" si="41"/>
        <v>656558.43330000003</v>
      </c>
      <c r="EZ33" s="59">
        <f t="shared" si="122"/>
        <v>2170450.8688031402</v>
      </c>
      <c r="FA33" s="57">
        <f t="shared" si="42"/>
        <v>642438.89709999994</v>
      </c>
      <c r="FB33" s="59">
        <f t="shared" si="123"/>
        <v>2123774.5060331798</v>
      </c>
      <c r="FC33" s="55">
        <f t="shared" si="43"/>
        <v>628319.36089999997</v>
      </c>
      <c r="FD33" s="59">
        <f t="shared" si="124"/>
        <v>2077098.1432632199</v>
      </c>
      <c r="FE33" s="57">
        <f t="shared" si="44"/>
        <v>614199.8247</v>
      </c>
      <c r="FF33" s="59">
        <f t="shared" si="125"/>
        <v>2030421.7804932601</v>
      </c>
      <c r="FG33" s="60">
        <f t="shared" si="45"/>
        <v>600080.28849999991</v>
      </c>
      <c r="FH33" s="59">
        <f t="shared" si="126"/>
        <v>1983745.4177232997</v>
      </c>
      <c r="FI33" s="57">
        <f t="shared" si="46"/>
        <v>585960.75229999993</v>
      </c>
      <c r="FJ33" s="59">
        <f t="shared" si="127"/>
        <v>1937069.0549533397</v>
      </c>
      <c r="FK33" s="55">
        <f t="shared" si="47"/>
        <v>571841.21609999996</v>
      </c>
      <c r="FL33" s="59">
        <f t="shared" si="128"/>
        <v>1890392.69218338</v>
      </c>
      <c r="FM33" s="60">
        <f t="shared" si="48"/>
        <v>557721.67989999987</v>
      </c>
      <c r="FN33" s="59">
        <f t="shared" si="129"/>
        <v>1843716.3294134196</v>
      </c>
      <c r="FO33" s="60">
        <f t="shared" si="49"/>
        <v>543602.1436999999</v>
      </c>
      <c r="FP33" s="59">
        <f t="shared" si="130"/>
        <v>1797039.9666434596</v>
      </c>
      <c r="FQ33" s="60">
        <f t="shared" si="50"/>
        <v>529482.60749999993</v>
      </c>
      <c r="FR33" s="59">
        <f t="shared" si="131"/>
        <v>1750363.6038734999</v>
      </c>
      <c r="FS33" s="55">
        <f t="shared" si="51"/>
        <v>515363.07129999984</v>
      </c>
      <c r="FT33" s="59">
        <f t="shared" si="132"/>
        <v>1703687.2411035395</v>
      </c>
      <c r="FU33" s="60">
        <f t="shared" si="52"/>
        <v>501243.53509999986</v>
      </c>
      <c r="FV33" s="59">
        <f t="shared" si="133"/>
        <v>1657010.8783335795</v>
      </c>
      <c r="FW33" s="60">
        <f t="shared" si="53"/>
        <v>487123.99889999983</v>
      </c>
      <c r="FX33" s="59">
        <f t="shared" si="134"/>
        <v>1610334.5155636196</v>
      </c>
      <c r="FY33" s="60">
        <f t="shared" si="54"/>
        <v>473004.46269999986</v>
      </c>
      <c r="FZ33" s="59">
        <f t="shared" si="135"/>
        <v>1563658.1527936596</v>
      </c>
      <c r="GA33" s="60">
        <f t="shared" si="55"/>
        <v>458884.92649999983</v>
      </c>
      <c r="GB33" s="59">
        <f t="shared" si="136"/>
        <v>1516981.7900236994</v>
      </c>
      <c r="GC33" s="55">
        <f t="shared" si="56"/>
        <v>444765.3902999998</v>
      </c>
      <c r="GD33" s="59">
        <f t="shared" si="137"/>
        <v>1470305.4272537394</v>
      </c>
      <c r="GE33" s="60">
        <f t="shared" si="57"/>
        <v>430645.85409999982</v>
      </c>
      <c r="GF33" s="59">
        <f t="shared" si="138"/>
        <v>1423629.0644837795</v>
      </c>
      <c r="GG33" s="60">
        <f t="shared" si="58"/>
        <v>416526.31789999979</v>
      </c>
      <c r="GH33" s="59">
        <f t="shared" si="139"/>
        <v>1376952.7017138193</v>
      </c>
      <c r="GI33" s="55">
        <f t="shared" si="59"/>
        <v>402406.78169999976</v>
      </c>
      <c r="GJ33" s="59">
        <f t="shared" si="140"/>
        <v>1330276.3389438593</v>
      </c>
      <c r="GK33" s="55"/>
      <c r="GL33" s="55"/>
      <c r="GM33" s="55">
        <v>1</v>
      </c>
      <c r="GN33" s="55">
        <v>0.97</v>
      </c>
      <c r="GO33" s="55">
        <v>0.95</v>
      </c>
      <c r="GP33" s="55">
        <v>0.93</v>
      </c>
      <c r="GQ33" s="55">
        <f t="shared" si="141"/>
        <v>0.91</v>
      </c>
      <c r="GR33" s="55">
        <f t="shared" si="141"/>
        <v>0.89</v>
      </c>
      <c r="GS33" s="55">
        <f t="shared" si="141"/>
        <v>0.87</v>
      </c>
      <c r="GT33" s="55">
        <f t="shared" si="141"/>
        <v>0.85</v>
      </c>
      <c r="GU33" s="55">
        <f t="shared" si="141"/>
        <v>0.83</v>
      </c>
      <c r="GV33" s="55">
        <f t="shared" si="141"/>
        <v>0.80999999999999994</v>
      </c>
      <c r="GW33" s="55">
        <f t="shared" si="141"/>
        <v>0.78999999999999992</v>
      </c>
      <c r="GX33" s="55">
        <f t="shared" si="141"/>
        <v>0.76999999999999991</v>
      </c>
      <c r="GY33" s="55">
        <f t="shared" si="141"/>
        <v>0.74999999999999989</v>
      </c>
      <c r="GZ33" s="55">
        <f t="shared" si="141"/>
        <v>0.72999999999999987</v>
      </c>
      <c r="HA33" s="55">
        <f t="shared" si="141"/>
        <v>0.70999999999999985</v>
      </c>
      <c r="HB33" s="55">
        <f t="shared" si="141"/>
        <v>0.68999999999999984</v>
      </c>
      <c r="HC33" s="55">
        <f t="shared" si="141"/>
        <v>0.66999999999999982</v>
      </c>
      <c r="HD33" s="55">
        <f t="shared" si="141"/>
        <v>0.6499999999999998</v>
      </c>
      <c r="HE33" s="55">
        <f t="shared" si="141"/>
        <v>0.62999999999999978</v>
      </c>
      <c r="HF33" s="55">
        <f t="shared" si="141"/>
        <v>0.60999999999999976</v>
      </c>
      <c r="HG33" s="55">
        <f t="shared" si="141"/>
        <v>0.58999999999999975</v>
      </c>
      <c r="HH33" s="55">
        <f t="shared" si="141"/>
        <v>0.56999999999999973</v>
      </c>
    </row>
    <row r="34" spans="1:216" x14ac:dyDescent="0.3">
      <c r="C34" s="35" t="s">
        <v>112</v>
      </c>
      <c r="D34" s="44">
        <f>SUM(D24:D33)</f>
        <v>1836990</v>
      </c>
      <c r="E34" s="44">
        <f>SUM(E24:E33)</f>
        <v>6072680</v>
      </c>
      <c r="H34" s="55">
        <f t="shared" si="61"/>
        <v>6679948.0000000009</v>
      </c>
      <c r="I34" s="55">
        <f t="shared" si="62"/>
        <v>6679948.0000000009</v>
      </c>
      <c r="J34" s="59">
        <f t="shared" si="63"/>
        <v>22082572.098400004</v>
      </c>
      <c r="K34" s="55">
        <f t="shared" si="64"/>
        <v>6479549.5600000005</v>
      </c>
      <c r="L34" s="59">
        <f t="shared" si="65"/>
        <v>21420094.935448002</v>
      </c>
      <c r="M34" s="55">
        <f t="shared" si="66"/>
        <v>6345950.6000000006</v>
      </c>
      <c r="N34" s="59">
        <f t="shared" si="67"/>
        <v>20978443.493480001</v>
      </c>
      <c r="O34" s="55">
        <f t="shared" si="1"/>
        <v>6212351.6400000015</v>
      </c>
      <c r="P34" s="59">
        <f t="shared" si="68"/>
        <v>20536792.051512007</v>
      </c>
      <c r="Q34" s="57">
        <f t="shared" si="2"/>
        <v>6078752.6800000006</v>
      </c>
      <c r="R34" s="59">
        <f t="shared" si="69"/>
        <v>20095140.609544002</v>
      </c>
      <c r="S34" s="55">
        <f t="shared" si="3"/>
        <v>5945153.7200000007</v>
      </c>
      <c r="T34" s="59">
        <f t="shared" si="70"/>
        <v>19653489.167576004</v>
      </c>
      <c r="U34" s="57">
        <f t="shared" si="4"/>
        <v>5811554.7600000007</v>
      </c>
      <c r="V34" s="59">
        <f t="shared" si="71"/>
        <v>19211837.725608002</v>
      </c>
      <c r="W34" s="60">
        <f t="shared" si="5"/>
        <v>5677955.8000000007</v>
      </c>
      <c r="X34" s="59">
        <f t="shared" si="72"/>
        <v>18770186.283640005</v>
      </c>
      <c r="Y34" s="57">
        <f t="shared" si="6"/>
        <v>5544356.8400000008</v>
      </c>
      <c r="Z34" s="59">
        <f t="shared" si="73"/>
        <v>18328534.841672003</v>
      </c>
      <c r="AA34" s="55">
        <f t="shared" si="7"/>
        <v>5410757.8800000008</v>
      </c>
      <c r="AB34" s="59">
        <f t="shared" si="74"/>
        <v>17886883.399704002</v>
      </c>
      <c r="AC34" s="60">
        <f t="shared" si="8"/>
        <v>5277158.92</v>
      </c>
      <c r="AD34" s="59">
        <f t="shared" si="75"/>
        <v>17445231.957736</v>
      </c>
      <c r="AE34" s="60">
        <f t="shared" si="9"/>
        <v>5143559.96</v>
      </c>
      <c r="AF34" s="59">
        <f t="shared" si="76"/>
        <v>17003580.515767999</v>
      </c>
      <c r="AG34" s="60">
        <f t="shared" si="10"/>
        <v>5009961</v>
      </c>
      <c r="AH34" s="59">
        <f t="shared" si="77"/>
        <v>16561929.073799999</v>
      </c>
      <c r="AI34" s="55">
        <f t="shared" si="11"/>
        <v>4876362.04</v>
      </c>
      <c r="AJ34" s="59">
        <f t="shared" si="78"/>
        <v>16120277.631832</v>
      </c>
      <c r="AK34" s="60">
        <f t="shared" si="12"/>
        <v>4742763.08</v>
      </c>
      <c r="AL34" s="59">
        <f t="shared" si="79"/>
        <v>15678626.189864</v>
      </c>
      <c r="AM34" s="60">
        <f t="shared" si="13"/>
        <v>4609164.1199999992</v>
      </c>
      <c r="AN34" s="59">
        <f t="shared" si="80"/>
        <v>15236974.747895997</v>
      </c>
      <c r="AO34" s="60">
        <f t="shared" si="14"/>
        <v>4475565.1599999992</v>
      </c>
      <c r="AP34" s="59">
        <f t="shared" si="81"/>
        <v>14795323.305927997</v>
      </c>
      <c r="AQ34" s="60">
        <f t="shared" si="15"/>
        <v>4341966.1999999993</v>
      </c>
      <c r="AR34" s="59">
        <f t="shared" si="82"/>
        <v>14353671.863959998</v>
      </c>
      <c r="AS34" s="55">
        <f t="shared" si="16"/>
        <v>4208367.2399999993</v>
      </c>
      <c r="AT34" s="59">
        <f t="shared" si="83"/>
        <v>13912020.421991998</v>
      </c>
      <c r="AU34" s="60">
        <f t="shared" si="17"/>
        <v>4074768.2799999989</v>
      </c>
      <c r="AV34" s="59">
        <f t="shared" si="84"/>
        <v>13470368.980023997</v>
      </c>
      <c r="AW34" s="60">
        <f t="shared" si="18"/>
        <v>3941169.3199999989</v>
      </c>
      <c r="AX34" s="59">
        <f t="shared" si="85"/>
        <v>13028717.538055997</v>
      </c>
      <c r="AY34" s="55">
        <f t="shared" si="19"/>
        <v>3807570.3599999989</v>
      </c>
      <c r="AZ34" s="59">
        <f t="shared" si="86"/>
        <v>12587066.096087996</v>
      </c>
      <c r="BC34" s="55">
        <v>1</v>
      </c>
      <c r="BD34" s="55">
        <v>0.97</v>
      </c>
      <c r="BE34" s="55">
        <v>0.95</v>
      </c>
      <c r="BF34" s="55">
        <v>0.93</v>
      </c>
      <c r="BG34" s="55">
        <f t="shared" si="87"/>
        <v>0.91</v>
      </c>
      <c r="BH34" s="55">
        <f t="shared" si="87"/>
        <v>0.89</v>
      </c>
      <c r="BI34" s="55">
        <f t="shared" si="87"/>
        <v>0.87</v>
      </c>
      <c r="BJ34" s="55">
        <f t="shared" si="87"/>
        <v>0.85</v>
      </c>
      <c r="BK34" s="55">
        <f t="shared" si="87"/>
        <v>0.83</v>
      </c>
      <c r="BL34" s="55">
        <f t="shared" si="87"/>
        <v>0.80999999999999994</v>
      </c>
      <c r="BM34" s="55">
        <f t="shared" si="87"/>
        <v>0.78999999999999992</v>
      </c>
      <c r="BN34" s="55">
        <f t="shared" si="87"/>
        <v>0.76999999999999991</v>
      </c>
      <c r="BO34" s="55">
        <f t="shared" si="87"/>
        <v>0.74999999999999989</v>
      </c>
      <c r="BP34" s="55">
        <f t="shared" si="87"/>
        <v>0.72999999999999987</v>
      </c>
      <c r="BQ34" s="55">
        <f t="shared" si="87"/>
        <v>0.70999999999999985</v>
      </c>
      <c r="BR34" s="55">
        <f t="shared" si="87"/>
        <v>0.68999999999999984</v>
      </c>
      <c r="BS34" s="55">
        <f t="shared" si="87"/>
        <v>0.66999999999999982</v>
      </c>
      <c r="BT34" s="55">
        <f t="shared" si="87"/>
        <v>0.6499999999999998</v>
      </c>
      <c r="BU34" s="55">
        <f t="shared" si="87"/>
        <v>0.62999999999999978</v>
      </c>
      <c r="BV34" s="55">
        <f t="shared" si="87"/>
        <v>0.60999999999999976</v>
      </c>
      <c r="BW34" s="55">
        <f t="shared" si="87"/>
        <v>0.58999999999999975</v>
      </c>
      <c r="BX34" s="55">
        <f t="shared" si="87"/>
        <v>0.56999999999999973</v>
      </c>
      <c r="BZ34" s="55">
        <f>SUM(BZ24:BZ33)</f>
        <v>5776191.1900000013</v>
      </c>
      <c r="CA34" s="55">
        <f t="shared" si="89"/>
        <v>5776191.1900000013</v>
      </c>
      <c r="CB34" s="59">
        <f t="shared" si="90"/>
        <v>19094932.835902005</v>
      </c>
      <c r="CC34" s="55">
        <f t="shared" si="91"/>
        <v>5602905.4543000013</v>
      </c>
      <c r="CD34" s="59">
        <f t="shared" si="92"/>
        <v>18522084.850824945</v>
      </c>
      <c r="CE34" s="55">
        <f t="shared" si="93"/>
        <v>5487381.6305000009</v>
      </c>
      <c r="CF34" s="59">
        <f t="shared" si="94"/>
        <v>18140186.194106903</v>
      </c>
      <c r="CG34" s="55">
        <f t="shared" si="21"/>
        <v>5371857.8067000015</v>
      </c>
      <c r="CH34" s="59">
        <f t="shared" si="95"/>
        <v>17758287.537388865</v>
      </c>
      <c r="CI34" s="57">
        <f t="shared" si="22"/>
        <v>5256333.9829000011</v>
      </c>
      <c r="CJ34" s="59">
        <f t="shared" si="96"/>
        <v>17376388.880670823</v>
      </c>
      <c r="CK34" s="55">
        <f t="shared" si="23"/>
        <v>5140810.1591000017</v>
      </c>
      <c r="CL34" s="59">
        <f t="shared" si="97"/>
        <v>16994490.223952785</v>
      </c>
      <c r="CM34" s="57">
        <f t="shared" si="24"/>
        <v>5025286.3353000013</v>
      </c>
      <c r="CN34" s="59">
        <f t="shared" si="98"/>
        <v>16612591.567234745</v>
      </c>
      <c r="CO34" s="60">
        <f t="shared" si="25"/>
        <v>4909762.511500001</v>
      </c>
      <c r="CP34" s="59">
        <f t="shared" si="99"/>
        <v>16230692.910516704</v>
      </c>
      <c r="CQ34" s="57">
        <f t="shared" si="26"/>
        <v>4794238.6877000006</v>
      </c>
      <c r="CR34" s="59">
        <f t="shared" si="100"/>
        <v>15848794.253798662</v>
      </c>
      <c r="CS34" s="55">
        <f t="shared" si="27"/>
        <v>4678714.8639000012</v>
      </c>
      <c r="CT34" s="59">
        <f t="shared" si="101"/>
        <v>15466895.597080624</v>
      </c>
      <c r="CU34" s="60">
        <f t="shared" si="28"/>
        <v>4563191.0401000008</v>
      </c>
      <c r="CV34" s="59">
        <f t="shared" si="102"/>
        <v>15084996.940362584</v>
      </c>
      <c r="CW34" s="60">
        <f t="shared" si="29"/>
        <v>4447667.2163000004</v>
      </c>
      <c r="CX34" s="59">
        <f t="shared" si="103"/>
        <v>14703098.283644542</v>
      </c>
      <c r="CY34" s="60">
        <f t="shared" si="30"/>
        <v>4332143.3925000001</v>
      </c>
      <c r="CZ34" s="59">
        <f t="shared" si="104"/>
        <v>14321199.6269265</v>
      </c>
      <c r="DA34" s="55">
        <f t="shared" si="31"/>
        <v>4216619.5687000006</v>
      </c>
      <c r="DB34" s="59">
        <f t="shared" si="105"/>
        <v>13939300.970208462</v>
      </c>
      <c r="DC34" s="60">
        <f t="shared" si="32"/>
        <v>4101095.7449000003</v>
      </c>
      <c r="DD34" s="59">
        <f t="shared" si="106"/>
        <v>13557402.313490421</v>
      </c>
      <c r="DE34" s="60">
        <f t="shared" si="33"/>
        <v>3985571.9210999999</v>
      </c>
      <c r="DF34" s="59">
        <f t="shared" si="107"/>
        <v>13175503.656772381</v>
      </c>
      <c r="DG34" s="60">
        <f t="shared" si="34"/>
        <v>3870048.0973</v>
      </c>
      <c r="DH34" s="59">
        <f t="shared" si="108"/>
        <v>12793605.000054341</v>
      </c>
      <c r="DI34" s="60">
        <f t="shared" si="35"/>
        <v>3754524.2734999997</v>
      </c>
      <c r="DJ34" s="59">
        <f t="shared" si="109"/>
        <v>12411706.343336299</v>
      </c>
      <c r="DK34" s="55">
        <f t="shared" si="36"/>
        <v>3639000.4496999998</v>
      </c>
      <c r="DL34" s="59">
        <f t="shared" si="110"/>
        <v>12029807.686618259</v>
      </c>
      <c r="DM34" s="60">
        <f t="shared" si="37"/>
        <v>3523476.6258999994</v>
      </c>
      <c r="DN34" s="59">
        <f t="shared" si="111"/>
        <v>11647909.029900217</v>
      </c>
      <c r="DO34" s="60">
        <f t="shared" si="38"/>
        <v>3407952.8020999995</v>
      </c>
      <c r="DP34" s="59">
        <f t="shared" si="112"/>
        <v>11266010.373182179</v>
      </c>
      <c r="DQ34" s="55">
        <f t="shared" si="39"/>
        <v>3292428.9782999991</v>
      </c>
      <c r="DR34" s="59">
        <f t="shared" si="113"/>
        <v>10884111.716464138</v>
      </c>
      <c r="DU34" s="55">
        <v>1</v>
      </c>
      <c r="DV34" s="55">
        <v>0.97</v>
      </c>
      <c r="DW34" s="55">
        <v>0.95</v>
      </c>
      <c r="DX34" s="55">
        <v>0.93</v>
      </c>
      <c r="DY34" s="55">
        <f t="shared" si="114"/>
        <v>0.91</v>
      </c>
      <c r="DZ34" s="55">
        <f t="shared" si="114"/>
        <v>0.89</v>
      </c>
      <c r="EA34" s="55">
        <f t="shared" si="114"/>
        <v>0.87</v>
      </c>
      <c r="EB34" s="55">
        <f t="shared" si="114"/>
        <v>0.85</v>
      </c>
      <c r="EC34" s="55">
        <f t="shared" si="114"/>
        <v>0.83</v>
      </c>
      <c r="ED34" s="55">
        <f t="shared" si="114"/>
        <v>0.80999999999999994</v>
      </c>
      <c r="EE34" s="55">
        <f t="shared" si="114"/>
        <v>0.78999999999999992</v>
      </c>
      <c r="EF34" s="55">
        <f t="shared" si="114"/>
        <v>0.76999999999999991</v>
      </c>
      <c r="EG34" s="55">
        <f t="shared" si="114"/>
        <v>0.74999999999999989</v>
      </c>
      <c r="EH34" s="55">
        <f t="shared" si="114"/>
        <v>0.72999999999999987</v>
      </c>
      <c r="EI34" s="55">
        <f t="shared" si="114"/>
        <v>0.70999999999999985</v>
      </c>
      <c r="EJ34" s="55">
        <f t="shared" si="114"/>
        <v>0.68999999999999984</v>
      </c>
      <c r="EK34" s="55">
        <f t="shared" si="114"/>
        <v>0.66999999999999982</v>
      </c>
      <c r="EL34" s="55">
        <f t="shared" si="114"/>
        <v>0.6499999999999998</v>
      </c>
      <c r="EM34" s="55">
        <f t="shared" si="114"/>
        <v>0.62999999999999978</v>
      </c>
      <c r="EN34" s="55">
        <f t="shared" si="114"/>
        <v>0.60999999999999976</v>
      </c>
      <c r="EO34" s="55">
        <f t="shared" si="114"/>
        <v>0.58999999999999975</v>
      </c>
      <c r="EP34" s="55">
        <f t="shared" si="114"/>
        <v>0.56999999999999973</v>
      </c>
      <c r="ER34" s="55">
        <f>SUM(ER24:ER33)</f>
        <v>5044540.9399000006</v>
      </c>
      <c r="ES34" s="55">
        <f t="shared" si="116"/>
        <v>5044540.9399000006</v>
      </c>
      <c r="ET34" s="59">
        <f t="shared" si="117"/>
        <v>16676243.439121421</v>
      </c>
      <c r="EU34" s="55">
        <f t="shared" si="118"/>
        <v>4893204.7117030006</v>
      </c>
      <c r="EV34" s="59">
        <f t="shared" si="119"/>
        <v>16175956.135947779</v>
      </c>
      <c r="EW34" s="55">
        <f t="shared" si="120"/>
        <v>4792313.8929050006</v>
      </c>
      <c r="EX34" s="59">
        <f t="shared" si="121"/>
        <v>15842431.267165352</v>
      </c>
      <c r="EY34" s="55">
        <f t="shared" si="41"/>
        <v>4691423.0741070006</v>
      </c>
      <c r="EZ34" s="59">
        <f t="shared" si="122"/>
        <v>15508906.398382923</v>
      </c>
      <c r="FA34" s="57">
        <f t="shared" si="42"/>
        <v>4590532.2553090006</v>
      </c>
      <c r="FB34" s="59">
        <f t="shared" si="123"/>
        <v>15175381.529600495</v>
      </c>
      <c r="FC34" s="55">
        <f t="shared" si="43"/>
        <v>4489641.4365110006</v>
      </c>
      <c r="FD34" s="59">
        <f t="shared" si="124"/>
        <v>14841856.660818066</v>
      </c>
      <c r="FE34" s="57">
        <f t="shared" si="44"/>
        <v>4388750.6177130006</v>
      </c>
      <c r="FF34" s="59">
        <f t="shared" si="125"/>
        <v>14508331.792035637</v>
      </c>
      <c r="FG34" s="60">
        <f t="shared" si="45"/>
        <v>4287859.7989150006</v>
      </c>
      <c r="FH34" s="59">
        <f t="shared" si="126"/>
        <v>14174806.92325321</v>
      </c>
      <c r="FI34" s="57">
        <f t="shared" si="46"/>
        <v>4186968.9801170002</v>
      </c>
      <c r="FJ34" s="59">
        <f t="shared" si="127"/>
        <v>13841282.054470779</v>
      </c>
      <c r="FK34" s="55">
        <f t="shared" si="47"/>
        <v>4086078.1613190002</v>
      </c>
      <c r="FL34" s="59">
        <f t="shared" si="128"/>
        <v>13507757.18568835</v>
      </c>
      <c r="FM34" s="60">
        <f t="shared" si="48"/>
        <v>3985187.3425210002</v>
      </c>
      <c r="FN34" s="59">
        <f t="shared" si="129"/>
        <v>13174232.316905923</v>
      </c>
      <c r="FO34" s="60">
        <f t="shared" si="49"/>
        <v>3884296.5237230002</v>
      </c>
      <c r="FP34" s="59">
        <f t="shared" si="130"/>
        <v>12840707.448123494</v>
      </c>
      <c r="FQ34" s="60">
        <f t="shared" si="50"/>
        <v>3783405.7049249997</v>
      </c>
      <c r="FR34" s="59">
        <f t="shared" si="131"/>
        <v>12507182.579341065</v>
      </c>
      <c r="FS34" s="55">
        <f t="shared" si="51"/>
        <v>3682514.8861269997</v>
      </c>
      <c r="FT34" s="59">
        <f t="shared" si="132"/>
        <v>12173657.710558636</v>
      </c>
      <c r="FU34" s="60">
        <f t="shared" si="52"/>
        <v>3581624.0673289998</v>
      </c>
      <c r="FV34" s="59">
        <f t="shared" si="133"/>
        <v>11840132.841776207</v>
      </c>
      <c r="FW34" s="60">
        <f t="shared" si="53"/>
        <v>3480733.2485309998</v>
      </c>
      <c r="FX34" s="59">
        <f t="shared" si="134"/>
        <v>11506607.97299378</v>
      </c>
      <c r="FY34" s="60">
        <f t="shared" si="54"/>
        <v>3379842.4297329993</v>
      </c>
      <c r="FZ34" s="59">
        <f t="shared" si="135"/>
        <v>11173083.104211349</v>
      </c>
      <c r="GA34" s="60">
        <f t="shared" si="55"/>
        <v>3278951.6109349993</v>
      </c>
      <c r="GB34" s="59">
        <f t="shared" si="136"/>
        <v>10839558.23542892</v>
      </c>
      <c r="GC34" s="55">
        <f t="shared" si="56"/>
        <v>3178060.7921369993</v>
      </c>
      <c r="GD34" s="59">
        <f t="shared" si="137"/>
        <v>10506033.366646493</v>
      </c>
      <c r="GE34" s="60">
        <f t="shared" si="57"/>
        <v>3077169.9733389993</v>
      </c>
      <c r="GF34" s="59">
        <f t="shared" si="138"/>
        <v>10172508.497864064</v>
      </c>
      <c r="GG34" s="60">
        <f t="shared" si="58"/>
        <v>2976279.1545409989</v>
      </c>
      <c r="GH34" s="59">
        <f t="shared" si="139"/>
        <v>9838983.6290816348</v>
      </c>
      <c r="GI34" s="55">
        <f t="shared" si="59"/>
        <v>2875388.3357429989</v>
      </c>
      <c r="GJ34" s="59">
        <f t="shared" si="140"/>
        <v>9505458.7602992058</v>
      </c>
      <c r="GK34" s="55"/>
      <c r="GL34" s="55"/>
      <c r="GM34" s="55">
        <v>1</v>
      </c>
      <c r="GN34" s="55">
        <v>0.97</v>
      </c>
      <c r="GO34" s="55">
        <v>0.95</v>
      </c>
      <c r="GP34" s="55">
        <v>0.93</v>
      </c>
      <c r="GQ34" s="55">
        <f t="shared" si="141"/>
        <v>0.91</v>
      </c>
      <c r="GR34" s="55">
        <f t="shared" si="141"/>
        <v>0.89</v>
      </c>
      <c r="GS34" s="55">
        <f t="shared" si="141"/>
        <v>0.87</v>
      </c>
      <c r="GT34" s="55">
        <f t="shared" si="141"/>
        <v>0.85</v>
      </c>
      <c r="GU34" s="55">
        <f t="shared" si="141"/>
        <v>0.83</v>
      </c>
      <c r="GV34" s="55">
        <f t="shared" si="141"/>
        <v>0.80999999999999994</v>
      </c>
      <c r="GW34" s="55">
        <f t="shared" si="141"/>
        <v>0.78999999999999992</v>
      </c>
      <c r="GX34" s="55">
        <f t="shared" si="141"/>
        <v>0.76999999999999991</v>
      </c>
      <c r="GY34" s="55">
        <f t="shared" si="141"/>
        <v>0.74999999999999989</v>
      </c>
      <c r="GZ34" s="55">
        <f t="shared" si="141"/>
        <v>0.72999999999999987</v>
      </c>
      <c r="HA34" s="55">
        <f t="shared" si="141"/>
        <v>0.70999999999999985</v>
      </c>
      <c r="HB34" s="55">
        <f t="shared" si="141"/>
        <v>0.68999999999999984</v>
      </c>
      <c r="HC34" s="55">
        <f t="shared" si="141"/>
        <v>0.66999999999999982</v>
      </c>
      <c r="HD34" s="55">
        <f t="shared" si="141"/>
        <v>0.6499999999999998</v>
      </c>
      <c r="HE34" s="55">
        <f t="shared" si="141"/>
        <v>0.62999999999999978</v>
      </c>
      <c r="HF34" s="55">
        <f t="shared" si="141"/>
        <v>0.60999999999999976</v>
      </c>
      <c r="HG34" s="55">
        <f t="shared" si="141"/>
        <v>0.58999999999999975</v>
      </c>
      <c r="HH34" s="55">
        <f t="shared" si="141"/>
        <v>0.56999999999999973</v>
      </c>
    </row>
    <row r="35" spans="1:216" s="64" customFormat="1" x14ac:dyDescent="0.3">
      <c r="C35" s="65"/>
      <c r="D35" s="65"/>
      <c r="E35" s="65"/>
      <c r="G35" s="61"/>
      <c r="H35" s="61"/>
      <c r="I35" s="61"/>
      <c r="J35" s="61"/>
      <c r="K35" s="61"/>
      <c r="L35" s="61"/>
      <c r="M35" s="61"/>
      <c r="N35" s="61"/>
      <c r="O35" s="61"/>
      <c r="P35" s="62"/>
      <c r="Q35" s="61" t="s">
        <v>273</v>
      </c>
      <c r="R35" s="61"/>
      <c r="S35" s="61" t="s">
        <v>274</v>
      </c>
      <c r="T35" s="62"/>
      <c r="U35" s="61" t="s">
        <v>275</v>
      </c>
      <c r="V35" s="63"/>
      <c r="W35" s="61" t="s">
        <v>276</v>
      </c>
      <c r="X35" s="62"/>
      <c r="Y35" s="61" t="s">
        <v>277</v>
      </c>
      <c r="Z35" s="61"/>
      <c r="AA35" s="61" t="s">
        <v>278</v>
      </c>
      <c r="AB35" s="63"/>
      <c r="AC35" s="61" t="s">
        <v>279</v>
      </c>
      <c r="AD35" s="63"/>
      <c r="AE35" s="61" t="s">
        <v>280</v>
      </c>
      <c r="AF35" s="63"/>
      <c r="AG35" s="61" t="s">
        <v>281</v>
      </c>
      <c r="AH35" s="61"/>
      <c r="AI35" s="61" t="s">
        <v>282</v>
      </c>
      <c r="AJ35" s="63"/>
      <c r="AK35" s="61" t="s">
        <v>283</v>
      </c>
      <c r="AL35" s="63"/>
      <c r="AM35" s="61" t="s">
        <v>284</v>
      </c>
      <c r="AN35" s="63"/>
      <c r="AO35" s="61" t="s">
        <v>285</v>
      </c>
      <c r="AP35" s="63"/>
      <c r="AQ35" s="61" t="s">
        <v>286</v>
      </c>
      <c r="AR35" s="61"/>
      <c r="AS35" s="61" t="s">
        <v>287</v>
      </c>
      <c r="AT35" s="63"/>
      <c r="AU35" s="61" t="s">
        <v>288</v>
      </c>
      <c r="AV35" s="63"/>
      <c r="AW35" s="61" t="s">
        <v>289</v>
      </c>
      <c r="AX35" s="61"/>
      <c r="AY35" s="61" t="s">
        <v>290</v>
      </c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>
        <f t="shared" si="88"/>
        <v>0</v>
      </c>
      <c r="CA35" s="61"/>
      <c r="CB35" s="61"/>
      <c r="CC35" s="61"/>
      <c r="CD35" s="61"/>
      <c r="CE35" s="61"/>
      <c r="CF35" s="61"/>
      <c r="CG35" s="61"/>
      <c r="CH35" s="62"/>
      <c r="CI35" s="61" t="s">
        <v>273</v>
      </c>
      <c r="CJ35" s="61"/>
      <c r="CK35" s="61" t="s">
        <v>274</v>
      </c>
      <c r="CL35" s="62"/>
      <c r="CM35" s="61" t="s">
        <v>275</v>
      </c>
      <c r="CN35" s="63"/>
      <c r="CO35" s="61" t="s">
        <v>276</v>
      </c>
      <c r="CP35" s="62"/>
      <c r="CQ35" s="61" t="s">
        <v>277</v>
      </c>
      <c r="CR35" s="61"/>
      <c r="CS35" s="61" t="s">
        <v>278</v>
      </c>
      <c r="CT35" s="63"/>
      <c r="CU35" s="61" t="s">
        <v>279</v>
      </c>
      <c r="CV35" s="63"/>
      <c r="CW35" s="61" t="s">
        <v>280</v>
      </c>
      <c r="CX35" s="63"/>
      <c r="CY35" s="61" t="s">
        <v>281</v>
      </c>
      <c r="CZ35" s="61"/>
      <c r="DA35" s="61" t="s">
        <v>282</v>
      </c>
      <c r="DB35" s="63"/>
      <c r="DC35" s="61" t="s">
        <v>283</v>
      </c>
      <c r="DD35" s="63"/>
      <c r="DE35" s="61" t="s">
        <v>284</v>
      </c>
      <c r="DF35" s="63"/>
      <c r="DG35" s="61" t="s">
        <v>285</v>
      </c>
      <c r="DH35" s="63"/>
      <c r="DI35" s="61" t="s">
        <v>286</v>
      </c>
      <c r="DJ35" s="61"/>
      <c r="DK35" s="61" t="s">
        <v>287</v>
      </c>
      <c r="DL35" s="63"/>
      <c r="DM35" s="61" t="s">
        <v>288</v>
      </c>
      <c r="DN35" s="63"/>
      <c r="DO35" s="61" t="s">
        <v>289</v>
      </c>
      <c r="DP35" s="61"/>
      <c r="DQ35" s="61" t="s">
        <v>290</v>
      </c>
      <c r="DR35" s="61"/>
      <c r="DS35" s="61"/>
      <c r="DT35" s="61"/>
      <c r="DU35" s="61">
        <v>1</v>
      </c>
      <c r="DV35" s="61">
        <v>0.97</v>
      </c>
      <c r="DW35" s="61">
        <v>0.95</v>
      </c>
      <c r="DX35" s="61">
        <v>0.93</v>
      </c>
      <c r="DY35" s="61">
        <f t="shared" si="114"/>
        <v>0.91</v>
      </c>
      <c r="DZ35" s="61">
        <f t="shared" si="114"/>
        <v>0.89</v>
      </c>
      <c r="EA35" s="61">
        <f t="shared" si="114"/>
        <v>0.87</v>
      </c>
      <c r="EB35" s="61">
        <f t="shared" si="114"/>
        <v>0.85</v>
      </c>
      <c r="EC35" s="61">
        <f t="shared" si="114"/>
        <v>0.83</v>
      </c>
      <c r="ED35" s="61">
        <f t="shared" si="114"/>
        <v>0.80999999999999994</v>
      </c>
      <c r="EE35" s="61">
        <f t="shared" si="114"/>
        <v>0.78999999999999992</v>
      </c>
      <c r="EF35" s="61">
        <f t="shared" si="114"/>
        <v>0.76999999999999991</v>
      </c>
      <c r="EG35" s="61">
        <f t="shared" si="114"/>
        <v>0.74999999999999989</v>
      </c>
      <c r="EH35" s="61">
        <f t="shared" si="114"/>
        <v>0.72999999999999987</v>
      </c>
      <c r="EI35" s="61">
        <f t="shared" si="114"/>
        <v>0.70999999999999985</v>
      </c>
      <c r="EJ35" s="61">
        <f t="shared" si="114"/>
        <v>0.68999999999999984</v>
      </c>
      <c r="EK35" s="61">
        <f t="shared" si="114"/>
        <v>0.66999999999999982</v>
      </c>
      <c r="EL35" s="61">
        <f t="shared" si="114"/>
        <v>0.6499999999999998</v>
      </c>
      <c r="EM35" s="61">
        <f t="shared" si="114"/>
        <v>0.62999999999999978</v>
      </c>
      <c r="EN35" s="61">
        <f t="shared" si="114"/>
        <v>0.60999999999999976</v>
      </c>
      <c r="EO35" s="61">
        <f t="shared" si="114"/>
        <v>0.58999999999999975</v>
      </c>
      <c r="EP35" s="64">
        <f t="shared" si="114"/>
        <v>0.56999999999999973</v>
      </c>
      <c r="EQ35" s="61"/>
      <c r="ER35" s="61">
        <f t="shared" ref="ER35:ER99" si="142">+BZ35*0.91</f>
        <v>0</v>
      </c>
      <c r="ES35" s="61"/>
      <c r="ET35" s="61"/>
      <c r="EU35" s="61"/>
      <c r="EV35" s="61"/>
      <c r="EW35" s="61"/>
      <c r="EX35" s="61"/>
      <c r="EY35" s="61"/>
      <c r="EZ35" s="62"/>
      <c r="FA35" s="61" t="s">
        <v>273</v>
      </c>
      <c r="FB35" s="61"/>
      <c r="FC35" s="61" t="s">
        <v>274</v>
      </c>
      <c r="FD35" s="62"/>
      <c r="FE35" s="61" t="s">
        <v>275</v>
      </c>
      <c r="FF35" s="63"/>
      <c r="FG35" s="61" t="s">
        <v>276</v>
      </c>
      <c r="FH35" s="62"/>
      <c r="FI35" s="61" t="s">
        <v>277</v>
      </c>
      <c r="FJ35" s="61"/>
      <c r="FK35" s="61" t="s">
        <v>278</v>
      </c>
      <c r="FL35" s="63"/>
      <c r="FM35" s="61" t="s">
        <v>279</v>
      </c>
      <c r="FN35" s="63"/>
      <c r="FO35" s="61" t="s">
        <v>280</v>
      </c>
      <c r="FP35" s="63"/>
      <c r="FQ35" s="61" t="s">
        <v>281</v>
      </c>
      <c r="FR35" s="61"/>
      <c r="FS35" s="61" t="s">
        <v>282</v>
      </c>
      <c r="FT35" s="63"/>
      <c r="FU35" s="61" t="s">
        <v>283</v>
      </c>
      <c r="FV35" s="63"/>
      <c r="FW35" s="61" t="s">
        <v>284</v>
      </c>
      <c r="FX35" s="63"/>
      <c r="FY35" s="61" t="s">
        <v>285</v>
      </c>
      <c r="FZ35" s="63"/>
      <c r="GA35" s="61" t="s">
        <v>286</v>
      </c>
      <c r="GB35" s="61"/>
      <c r="GC35" s="61" t="s">
        <v>287</v>
      </c>
      <c r="GD35" s="63"/>
      <c r="GE35" s="61" t="s">
        <v>288</v>
      </c>
      <c r="GF35" s="63"/>
      <c r="GG35" s="61" t="s">
        <v>289</v>
      </c>
      <c r="GH35" s="61"/>
      <c r="GI35" s="61" t="s">
        <v>290</v>
      </c>
      <c r="GJ35" s="61"/>
      <c r="GK35" s="61"/>
      <c r="GL35" s="61"/>
      <c r="GM35" s="61">
        <v>1</v>
      </c>
      <c r="GN35" s="61">
        <v>0.97</v>
      </c>
      <c r="GO35" s="61">
        <v>0.95</v>
      </c>
      <c r="GP35" s="61">
        <v>0.93</v>
      </c>
      <c r="GQ35" s="61">
        <f t="shared" si="141"/>
        <v>0.91</v>
      </c>
      <c r="GR35" s="61">
        <f t="shared" si="141"/>
        <v>0.89</v>
      </c>
      <c r="GS35" s="61">
        <f t="shared" si="141"/>
        <v>0.87</v>
      </c>
      <c r="GT35" s="61">
        <f t="shared" si="141"/>
        <v>0.85</v>
      </c>
      <c r="GU35" s="61">
        <f t="shared" si="141"/>
        <v>0.83</v>
      </c>
      <c r="GV35" s="61">
        <f t="shared" si="141"/>
        <v>0.80999999999999994</v>
      </c>
      <c r="GW35" s="61">
        <f t="shared" si="141"/>
        <v>0.78999999999999992</v>
      </c>
      <c r="GX35" s="61">
        <f t="shared" si="141"/>
        <v>0.76999999999999991</v>
      </c>
      <c r="GY35" s="61">
        <f t="shared" si="141"/>
        <v>0.74999999999999989</v>
      </c>
      <c r="GZ35" s="61">
        <f t="shared" si="141"/>
        <v>0.72999999999999987</v>
      </c>
      <c r="HA35" s="61">
        <f t="shared" si="141"/>
        <v>0.70999999999999985</v>
      </c>
      <c r="HB35" s="61">
        <f t="shared" si="141"/>
        <v>0.68999999999999984</v>
      </c>
      <c r="HC35" s="61">
        <f t="shared" si="141"/>
        <v>0.66999999999999982</v>
      </c>
      <c r="HD35" s="61">
        <f t="shared" si="141"/>
        <v>0.6499999999999998</v>
      </c>
      <c r="HE35" s="61">
        <f t="shared" si="141"/>
        <v>0.62999999999999978</v>
      </c>
      <c r="HF35" s="61">
        <f t="shared" si="141"/>
        <v>0.60999999999999976</v>
      </c>
      <c r="HG35" s="61">
        <f t="shared" si="141"/>
        <v>0.58999999999999975</v>
      </c>
      <c r="HH35" s="64">
        <f t="shared" si="141"/>
        <v>0.56999999999999973</v>
      </c>
    </row>
    <row r="36" spans="1:216" s="64" customFormat="1" ht="17.25" thickBot="1" x14ac:dyDescent="0.35">
      <c r="B36" s="64" t="s">
        <v>12</v>
      </c>
      <c r="C36" s="64" t="s">
        <v>293</v>
      </c>
      <c r="D36" s="65" t="s">
        <v>271</v>
      </c>
      <c r="E36" s="65" t="s">
        <v>154</v>
      </c>
      <c r="G36" s="61"/>
      <c r="H36" s="61"/>
      <c r="I36" s="61"/>
      <c r="J36" s="61"/>
      <c r="K36" s="61"/>
      <c r="L36" s="61"/>
      <c r="M36" s="61"/>
      <c r="N36" s="61"/>
      <c r="O36" s="61"/>
      <c r="P36" s="62"/>
      <c r="Q36" s="61"/>
      <c r="R36" s="61"/>
      <c r="S36" s="61"/>
      <c r="T36" s="62"/>
      <c r="U36" s="61"/>
      <c r="V36" s="63"/>
      <c r="W36" s="61"/>
      <c r="X36" s="62"/>
      <c r="Y36" s="61"/>
      <c r="Z36" s="61"/>
      <c r="AA36" s="61"/>
      <c r="AB36" s="63"/>
      <c r="AC36" s="61"/>
      <c r="AD36" s="63"/>
      <c r="AE36" s="61"/>
      <c r="AF36" s="63"/>
      <c r="AG36" s="61"/>
      <c r="AH36" s="61"/>
      <c r="AI36" s="61"/>
      <c r="AJ36" s="63"/>
      <c r="AK36" s="61"/>
      <c r="AL36" s="63"/>
      <c r="AM36" s="61"/>
      <c r="AN36" s="63"/>
      <c r="AO36" s="61"/>
      <c r="AP36" s="63"/>
      <c r="AQ36" s="61"/>
      <c r="AR36" s="61"/>
      <c r="AS36" s="61"/>
      <c r="AT36" s="63"/>
      <c r="AU36" s="61"/>
      <c r="AV36" s="63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>
        <f t="shared" si="88"/>
        <v>0</v>
      </c>
      <c r="CA36" s="61"/>
      <c r="CB36" s="61"/>
      <c r="CC36" s="61"/>
      <c r="CD36" s="61"/>
      <c r="CE36" s="61"/>
      <c r="CF36" s="61"/>
      <c r="CG36" s="61"/>
      <c r="CH36" s="62"/>
      <c r="CI36" s="61"/>
      <c r="CJ36" s="61"/>
      <c r="CK36" s="61"/>
      <c r="CL36" s="62"/>
      <c r="CM36" s="61"/>
      <c r="CN36" s="63"/>
      <c r="CO36" s="61"/>
      <c r="CP36" s="62"/>
      <c r="CQ36" s="61"/>
      <c r="CR36" s="61"/>
      <c r="CS36" s="61"/>
      <c r="CT36" s="63"/>
      <c r="CU36" s="61"/>
      <c r="CV36" s="63"/>
      <c r="CW36" s="61"/>
      <c r="CX36" s="63"/>
      <c r="CY36" s="61"/>
      <c r="CZ36" s="61"/>
      <c r="DA36" s="61"/>
      <c r="DB36" s="63"/>
      <c r="DC36" s="61"/>
      <c r="DD36" s="63"/>
      <c r="DE36" s="61"/>
      <c r="DF36" s="63"/>
      <c r="DG36" s="61"/>
      <c r="DH36" s="63"/>
      <c r="DI36" s="61"/>
      <c r="DJ36" s="61"/>
      <c r="DK36" s="61"/>
      <c r="DL36" s="63"/>
      <c r="DM36" s="61"/>
      <c r="DN36" s="63"/>
      <c r="DO36" s="61"/>
      <c r="DP36" s="61"/>
      <c r="DQ36" s="61"/>
      <c r="DR36" s="61"/>
      <c r="DS36" s="61"/>
      <c r="DT36" s="61"/>
      <c r="DU36" s="61">
        <v>1</v>
      </c>
      <c r="DV36" s="61">
        <v>0.97</v>
      </c>
      <c r="DW36" s="61">
        <v>0.95</v>
      </c>
      <c r="DX36" s="61">
        <v>0.93</v>
      </c>
      <c r="DY36" s="61">
        <f t="shared" si="114"/>
        <v>0.91</v>
      </c>
      <c r="DZ36" s="61">
        <f t="shared" si="114"/>
        <v>0.89</v>
      </c>
      <c r="EA36" s="61">
        <f t="shared" si="114"/>
        <v>0.87</v>
      </c>
      <c r="EB36" s="61">
        <f t="shared" si="114"/>
        <v>0.85</v>
      </c>
      <c r="EC36" s="61">
        <f t="shared" si="114"/>
        <v>0.83</v>
      </c>
      <c r="ED36" s="61">
        <f t="shared" si="114"/>
        <v>0.80999999999999994</v>
      </c>
      <c r="EE36" s="61">
        <f t="shared" si="114"/>
        <v>0.78999999999999992</v>
      </c>
      <c r="EF36" s="61">
        <f t="shared" si="114"/>
        <v>0.76999999999999991</v>
      </c>
      <c r="EG36" s="61">
        <f t="shared" si="114"/>
        <v>0.74999999999999989</v>
      </c>
      <c r="EH36" s="61">
        <f t="shared" si="114"/>
        <v>0.72999999999999987</v>
      </c>
      <c r="EI36" s="61">
        <f t="shared" si="114"/>
        <v>0.70999999999999985</v>
      </c>
      <c r="EJ36" s="61">
        <f t="shared" si="114"/>
        <v>0.68999999999999984</v>
      </c>
      <c r="EK36" s="61">
        <f t="shared" si="114"/>
        <v>0.66999999999999982</v>
      </c>
      <c r="EL36" s="61">
        <f t="shared" si="114"/>
        <v>0.6499999999999998</v>
      </c>
      <c r="EM36" s="61">
        <f t="shared" si="114"/>
        <v>0.62999999999999978</v>
      </c>
      <c r="EN36" s="61">
        <f t="shared" si="114"/>
        <v>0.60999999999999976</v>
      </c>
      <c r="EO36" s="61">
        <f t="shared" si="114"/>
        <v>0.58999999999999975</v>
      </c>
      <c r="EP36" s="64">
        <f t="shared" si="114"/>
        <v>0.56999999999999973</v>
      </c>
      <c r="EQ36" s="61"/>
      <c r="ER36" s="61">
        <f t="shared" si="142"/>
        <v>0</v>
      </c>
      <c r="ES36" s="61"/>
      <c r="ET36" s="61"/>
      <c r="EU36" s="61"/>
      <c r="EV36" s="61"/>
      <c r="EW36" s="61"/>
      <c r="EX36" s="61"/>
      <c r="EY36" s="61"/>
      <c r="EZ36" s="62"/>
      <c r="FA36" s="61"/>
      <c r="FB36" s="61"/>
      <c r="FC36" s="61"/>
      <c r="FD36" s="62"/>
      <c r="FE36" s="61"/>
      <c r="FF36" s="63"/>
      <c r="FG36" s="61"/>
      <c r="FH36" s="62"/>
      <c r="FI36" s="61"/>
      <c r="FJ36" s="61"/>
      <c r="FK36" s="61"/>
      <c r="FL36" s="63"/>
      <c r="FM36" s="61"/>
      <c r="FN36" s="63"/>
      <c r="FO36" s="61"/>
      <c r="FP36" s="63"/>
      <c r="FQ36" s="61"/>
      <c r="FR36" s="61"/>
      <c r="FS36" s="61"/>
      <c r="FT36" s="63"/>
      <c r="FU36" s="61"/>
      <c r="FV36" s="63"/>
      <c r="FW36" s="61"/>
      <c r="FX36" s="63"/>
      <c r="FY36" s="61"/>
      <c r="FZ36" s="63"/>
      <c r="GA36" s="61"/>
      <c r="GB36" s="61"/>
      <c r="GC36" s="61"/>
      <c r="GD36" s="63"/>
      <c r="GE36" s="61"/>
      <c r="GF36" s="63"/>
      <c r="GG36" s="61"/>
      <c r="GH36" s="61"/>
      <c r="GI36" s="61"/>
      <c r="GJ36" s="61"/>
      <c r="GK36" s="61"/>
      <c r="GL36" s="61"/>
      <c r="GM36" s="61">
        <v>1</v>
      </c>
      <c r="GN36" s="61">
        <v>0.97</v>
      </c>
      <c r="GO36" s="61">
        <v>0.95</v>
      </c>
      <c r="GP36" s="61">
        <v>0.93</v>
      </c>
      <c r="GQ36" s="61">
        <f t="shared" si="141"/>
        <v>0.91</v>
      </c>
      <c r="GR36" s="61">
        <f t="shared" si="141"/>
        <v>0.89</v>
      </c>
      <c r="GS36" s="61">
        <f t="shared" si="141"/>
        <v>0.87</v>
      </c>
      <c r="GT36" s="61">
        <f t="shared" si="141"/>
        <v>0.85</v>
      </c>
      <c r="GU36" s="61">
        <f t="shared" si="141"/>
        <v>0.83</v>
      </c>
      <c r="GV36" s="61">
        <f t="shared" si="141"/>
        <v>0.80999999999999994</v>
      </c>
      <c r="GW36" s="61">
        <f t="shared" si="141"/>
        <v>0.78999999999999992</v>
      </c>
      <c r="GX36" s="61">
        <f t="shared" si="141"/>
        <v>0.76999999999999991</v>
      </c>
      <c r="GY36" s="61">
        <f t="shared" si="141"/>
        <v>0.74999999999999989</v>
      </c>
      <c r="GZ36" s="61">
        <f t="shared" si="141"/>
        <v>0.72999999999999987</v>
      </c>
      <c r="HA36" s="61">
        <f t="shared" si="141"/>
        <v>0.70999999999999985</v>
      </c>
      <c r="HB36" s="61">
        <f t="shared" si="141"/>
        <v>0.68999999999999984</v>
      </c>
      <c r="HC36" s="61">
        <f t="shared" si="141"/>
        <v>0.66999999999999982</v>
      </c>
      <c r="HD36" s="61">
        <f t="shared" si="141"/>
        <v>0.6499999999999998</v>
      </c>
      <c r="HE36" s="61">
        <f t="shared" si="141"/>
        <v>0.62999999999999978</v>
      </c>
      <c r="HF36" s="61">
        <f t="shared" si="141"/>
        <v>0.60999999999999976</v>
      </c>
      <c r="HG36" s="61">
        <f t="shared" si="141"/>
        <v>0.58999999999999975</v>
      </c>
      <c r="HH36" s="64">
        <f t="shared" si="141"/>
        <v>0.56999999999999973</v>
      </c>
    </row>
    <row r="37" spans="1:216" ht="17.25" thickBot="1" x14ac:dyDescent="0.35">
      <c r="C37" s="38" t="s">
        <v>143</v>
      </c>
      <c r="D37" s="52">
        <v>0</v>
      </c>
      <c r="E37" s="69">
        <f>TRUNC(+D37*3.3058,-1)</f>
        <v>0</v>
      </c>
      <c r="H37" s="55">
        <f t="shared" si="61"/>
        <v>0</v>
      </c>
      <c r="I37" s="55">
        <f t="shared" si="62"/>
        <v>0</v>
      </c>
      <c r="J37" s="59">
        <f t="shared" si="63"/>
        <v>0</v>
      </c>
      <c r="K37" s="55">
        <f>+I37*BD37</f>
        <v>0</v>
      </c>
      <c r="L37" s="59">
        <f>+K37*3.3058</f>
        <v>0</v>
      </c>
      <c r="M37" s="55">
        <f>+I37*BE37</f>
        <v>0</v>
      </c>
      <c r="N37" s="59">
        <f>+M37*3.3058</f>
        <v>0</v>
      </c>
      <c r="O37" s="55">
        <f>+I37*BF37</f>
        <v>0</v>
      </c>
      <c r="P37" s="59">
        <f>+O37*3.3058</f>
        <v>0</v>
      </c>
      <c r="Q37" s="57">
        <f>+I37*BG37</f>
        <v>0</v>
      </c>
      <c r="R37" s="59">
        <f>+Q37*3.3058</f>
        <v>0</v>
      </c>
      <c r="S37" s="55">
        <f>+I37*BH37</f>
        <v>0</v>
      </c>
      <c r="T37" s="59">
        <f>+S37*3.3058</f>
        <v>0</v>
      </c>
      <c r="U37" s="57">
        <f>+I37*BI37</f>
        <v>0</v>
      </c>
      <c r="V37" s="59">
        <f>+U37*3.3058</f>
        <v>0</v>
      </c>
      <c r="W37" s="60">
        <f>+I37*BJ37</f>
        <v>0</v>
      </c>
      <c r="X37" s="59">
        <f>+W37*3.3058</f>
        <v>0</v>
      </c>
      <c r="Y37" s="57">
        <f>+I37*BK37</f>
        <v>0</v>
      </c>
      <c r="Z37" s="59">
        <f>+Y37*3.3058</f>
        <v>0</v>
      </c>
      <c r="AA37" s="55">
        <f>+I37*BL37</f>
        <v>0</v>
      </c>
      <c r="AB37" s="59">
        <f>+AA37*3.3058</f>
        <v>0</v>
      </c>
      <c r="AC37" s="60">
        <f>+I37*BM37</f>
        <v>0</v>
      </c>
      <c r="AD37" s="59">
        <f>+AC37*3.3058</f>
        <v>0</v>
      </c>
      <c r="AE37" s="60">
        <f>+I37*BN37</f>
        <v>0</v>
      </c>
      <c r="AF37" s="59">
        <f>+AE37*3.3058</f>
        <v>0</v>
      </c>
      <c r="AG37" s="60">
        <f>+I37*BO37</f>
        <v>0</v>
      </c>
      <c r="AH37" s="59">
        <f>+AG37*3.3058</f>
        <v>0</v>
      </c>
      <c r="AI37" s="55">
        <f>+I37*BP37</f>
        <v>0</v>
      </c>
      <c r="AJ37" s="59">
        <f>+AI37*3.3058</f>
        <v>0</v>
      </c>
      <c r="AK37" s="60">
        <f>+I37*BQ37</f>
        <v>0</v>
      </c>
      <c r="AL37" s="59">
        <f>+AK37*3.3058</f>
        <v>0</v>
      </c>
      <c r="AM37" s="60">
        <f>+I37*BR37</f>
        <v>0</v>
      </c>
      <c r="AN37" s="59">
        <f>+AM37*3.3058</f>
        <v>0</v>
      </c>
      <c r="AO37" s="60">
        <f>+I37*BS37</f>
        <v>0</v>
      </c>
      <c r="AP37" s="59">
        <f>+AO37*3.3058</f>
        <v>0</v>
      </c>
      <c r="AQ37" s="60">
        <f>+I37*BT37</f>
        <v>0</v>
      </c>
      <c r="AR37" s="59">
        <f>+AQ37*3.3058</f>
        <v>0</v>
      </c>
      <c r="AS37" s="55">
        <f>+I37*BU37</f>
        <v>0</v>
      </c>
      <c r="AT37" s="59">
        <f>+AS37*3.3058</f>
        <v>0</v>
      </c>
      <c r="AU37" s="60">
        <f>+I37*BV37</f>
        <v>0</v>
      </c>
      <c r="AV37" s="59">
        <f>+AU37*3.3058</f>
        <v>0</v>
      </c>
      <c r="AW37" s="60">
        <f>+I37*BW37</f>
        <v>0</v>
      </c>
      <c r="AX37" s="59">
        <f>+AW37*3.3058</f>
        <v>0</v>
      </c>
      <c r="AY37" s="55">
        <f>+I37*BX37</f>
        <v>0</v>
      </c>
      <c r="AZ37" s="59">
        <f>+AY37*3.3058</f>
        <v>0</v>
      </c>
      <c r="BC37" s="55">
        <v>1</v>
      </c>
      <c r="BD37" s="55">
        <v>0.97</v>
      </c>
      <c r="BE37" s="55">
        <v>0.95</v>
      </c>
      <c r="BF37" s="55">
        <v>0.93</v>
      </c>
      <c r="BG37" s="55">
        <f t="shared" ref="BG37:BX51" si="143">+BF37-0.02</f>
        <v>0.91</v>
      </c>
      <c r="BH37" s="55">
        <f t="shared" si="143"/>
        <v>0.89</v>
      </c>
      <c r="BI37" s="55">
        <f t="shared" si="143"/>
        <v>0.87</v>
      </c>
      <c r="BJ37" s="55">
        <f t="shared" si="143"/>
        <v>0.85</v>
      </c>
      <c r="BK37" s="55">
        <f t="shared" si="143"/>
        <v>0.83</v>
      </c>
      <c r="BL37" s="55">
        <f t="shared" si="143"/>
        <v>0.80999999999999994</v>
      </c>
      <c r="BM37" s="55">
        <f t="shared" si="143"/>
        <v>0.78999999999999992</v>
      </c>
      <c r="BN37" s="55">
        <f t="shared" si="143"/>
        <v>0.76999999999999991</v>
      </c>
      <c r="BO37" s="55">
        <f t="shared" si="143"/>
        <v>0.74999999999999989</v>
      </c>
      <c r="BP37" s="55">
        <f t="shared" si="143"/>
        <v>0.72999999999999987</v>
      </c>
      <c r="BQ37" s="55">
        <f t="shared" si="143"/>
        <v>0.70999999999999985</v>
      </c>
      <c r="BR37" s="55">
        <f t="shared" si="143"/>
        <v>0.68999999999999984</v>
      </c>
      <c r="BS37" s="55">
        <f t="shared" si="143"/>
        <v>0.66999999999999982</v>
      </c>
      <c r="BT37" s="55">
        <f t="shared" si="143"/>
        <v>0.6499999999999998</v>
      </c>
      <c r="BU37" s="55">
        <f t="shared" si="143"/>
        <v>0.62999999999999978</v>
      </c>
      <c r="BV37" s="55">
        <f t="shared" si="143"/>
        <v>0.60999999999999976</v>
      </c>
      <c r="BW37" s="55">
        <f t="shared" si="143"/>
        <v>0.58999999999999975</v>
      </c>
      <c r="BX37" s="55">
        <f t="shared" si="143"/>
        <v>0.56999999999999973</v>
      </c>
      <c r="BZ37" s="55">
        <f t="shared" si="88"/>
        <v>0</v>
      </c>
      <c r="CA37" s="55">
        <f t="shared" si="89"/>
        <v>0</v>
      </c>
      <c r="CB37" s="59">
        <f t="shared" ref="CB37" si="144">+CA37*3.3058</f>
        <v>0</v>
      </c>
      <c r="CC37" s="55">
        <f>+CA37*DV37</f>
        <v>0</v>
      </c>
      <c r="CD37" s="59">
        <f>+CC37*3.3058</f>
        <v>0</v>
      </c>
      <c r="CE37" s="55">
        <f>+CA37*DW37</f>
        <v>0</v>
      </c>
      <c r="CF37" s="59">
        <f>+CE37*3.3058</f>
        <v>0</v>
      </c>
      <c r="CG37" s="55">
        <f>+CA37*DX37</f>
        <v>0</v>
      </c>
      <c r="CH37" s="59">
        <f>+CG37*3.3058</f>
        <v>0</v>
      </c>
      <c r="CI37" s="57">
        <f>+CA37*DY37</f>
        <v>0</v>
      </c>
      <c r="CJ37" s="59">
        <f>+CI37*3.3058</f>
        <v>0</v>
      </c>
      <c r="CK37" s="55">
        <f>+CA37*DZ37</f>
        <v>0</v>
      </c>
      <c r="CL37" s="59">
        <f>+CK37*3.3058</f>
        <v>0</v>
      </c>
      <c r="CM37" s="57">
        <f>+CA37*EA37</f>
        <v>0</v>
      </c>
      <c r="CN37" s="59">
        <f>+CM37*3.3058</f>
        <v>0</v>
      </c>
      <c r="CO37" s="60">
        <f>+CA37*EB37</f>
        <v>0</v>
      </c>
      <c r="CP37" s="59">
        <f>+CO37*3.3058</f>
        <v>0</v>
      </c>
      <c r="CQ37" s="57">
        <f>+CA37*EC37</f>
        <v>0</v>
      </c>
      <c r="CR37" s="59">
        <f>+CQ37*3.3058</f>
        <v>0</v>
      </c>
      <c r="CS37" s="55">
        <f>+CA37*ED37</f>
        <v>0</v>
      </c>
      <c r="CT37" s="59">
        <f>+CS37*3.3058</f>
        <v>0</v>
      </c>
      <c r="CU37" s="60">
        <f>+CA37*EE37</f>
        <v>0</v>
      </c>
      <c r="CV37" s="59">
        <f>+CU37*3.3058</f>
        <v>0</v>
      </c>
      <c r="CW37" s="60">
        <f>+CA37*EF37</f>
        <v>0</v>
      </c>
      <c r="CX37" s="59">
        <f>+CW37*3.3058</f>
        <v>0</v>
      </c>
      <c r="CY37" s="60">
        <f>+CA37*EG37</f>
        <v>0</v>
      </c>
      <c r="CZ37" s="59">
        <f>+CY37*3.3058</f>
        <v>0</v>
      </c>
      <c r="DA37" s="55">
        <f>+CA37*EH37</f>
        <v>0</v>
      </c>
      <c r="DB37" s="59">
        <f>+DA37*3.3058</f>
        <v>0</v>
      </c>
      <c r="DC37" s="60">
        <f>+CA37*EI37</f>
        <v>0</v>
      </c>
      <c r="DD37" s="59">
        <f>+DC37*3.3058</f>
        <v>0</v>
      </c>
      <c r="DE37" s="60">
        <f>+CA37*EJ37</f>
        <v>0</v>
      </c>
      <c r="DF37" s="59">
        <f>+DE37*3.3058</f>
        <v>0</v>
      </c>
      <c r="DG37" s="60">
        <f>+CA37*EK37</f>
        <v>0</v>
      </c>
      <c r="DH37" s="59">
        <f>+DG37*3.3058</f>
        <v>0</v>
      </c>
      <c r="DI37" s="60">
        <f>+CA37*EL37</f>
        <v>0</v>
      </c>
      <c r="DJ37" s="59">
        <f>+DI37*3.3058</f>
        <v>0</v>
      </c>
      <c r="DK37" s="55">
        <f>+CA37*EM37</f>
        <v>0</v>
      </c>
      <c r="DL37" s="59">
        <f>+DK37*3.3058</f>
        <v>0</v>
      </c>
      <c r="DM37" s="60">
        <f>+CA37*EN37</f>
        <v>0</v>
      </c>
      <c r="DN37" s="59">
        <f>+DM37*3.3058</f>
        <v>0</v>
      </c>
      <c r="DO37" s="60">
        <f>+CA37*EO37</f>
        <v>0</v>
      </c>
      <c r="DP37" s="59">
        <f>+DO37*3.3058</f>
        <v>0</v>
      </c>
      <c r="DQ37" s="55">
        <f>+CA37*EP37</f>
        <v>0</v>
      </c>
      <c r="DR37" s="59">
        <f>+DQ37*3.3058</f>
        <v>0</v>
      </c>
      <c r="DU37" s="55">
        <v>1</v>
      </c>
      <c r="DV37" s="55">
        <v>0.97</v>
      </c>
      <c r="DW37" s="55">
        <v>0.95</v>
      </c>
      <c r="DX37" s="55">
        <v>0.93</v>
      </c>
      <c r="DY37" s="55">
        <f t="shared" si="114"/>
        <v>0.91</v>
      </c>
      <c r="DZ37" s="55">
        <f t="shared" si="114"/>
        <v>0.89</v>
      </c>
      <c r="EA37" s="55">
        <f t="shared" si="114"/>
        <v>0.87</v>
      </c>
      <c r="EB37" s="55">
        <f t="shared" si="114"/>
        <v>0.85</v>
      </c>
      <c r="EC37" s="55">
        <f t="shared" si="114"/>
        <v>0.83</v>
      </c>
      <c r="ED37" s="55">
        <f t="shared" si="114"/>
        <v>0.80999999999999994</v>
      </c>
      <c r="EE37" s="55">
        <f t="shared" si="114"/>
        <v>0.78999999999999992</v>
      </c>
      <c r="EF37" s="55">
        <f t="shared" si="114"/>
        <v>0.76999999999999991</v>
      </c>
      <c r="EG37" s="55">
        <f t="shared" si="114"/>
        <v>0.74999999999999989</v>
      </c>
      <c r="EH37" s="55">
        <f t="shared" si="114"/>
        <v>0.72999999999999987</v>
      </c>
      <c r="EI37" s="55">
        <f t="shared" si="114"/>
        <v>0.70999999999999985</v>
      </c>
      <c r="EJ37" s="55">
        <f t="shared" si="114"/>
        <v>0.68999999999999984</v>
      </c>
      <c r="EK37" s="55">
        <f t="shared" si="114"/>
        <v>0.66999999999999982</v>
      </c>
      <c r="EL37" s="55">
        <f t="shared" si="114"/>
        <v>0.6499999999999998</v>
      </c>
      <c r="EM37" s="55">
        <f t="shared" si="114"/>
        <v>0.62999999999999978</v>
      </c>
      <c r="EN37" s="55">
        <f t="shared" si="114"/>
        <v>0.60999999999999976</v>
      </c>
      <c r="EO37" s="55">
        <f t="shared" si="114"/>
        <v>0.58999999999999975</v>
      </c>
      <c r="EP37" s="55">
        <f t="shared" si="114"/>
        <v>0.56999999999999973</v>
      </c>
      <c r="ER37" s="55">
        <f t="shared" si="142"/>
        <v>0</v>
      </c>
      <c r="ES37" s="55">
        <f t="shared" si="116"/>
        <v>0</v>
      </c>
      <c r="ET37" s="59">
        <f t="shared" ref="ET37" si="145">+ES37*3.3058</f>
        <v>0</v>
      </c>
      <c r="EU37" s="55">
        <f>+ES37*GN37</f>
        <v>0</v>
      </c>
      <c r="EV37" s="59">
        <f>+EU37*3.3058</f>
        <v>0</v>
      </c>
      <c r="EW37" s="55">
        <f>+ES37*GO37</f>
        <v>0</v>
      </c>
      <c r="EX37" s="59">
        <f>+EW37*3.3058</f>
        <v>0</v>
      </c>
      <c r="EY37" s="55">
        <f>+ES37*GP37</f>
        <v>0</v>
      </c>
      <c r="EZ37" s="59">
        <f>+EY37*3.3058</f>
        <v>0</v>
      </c>
      <c r="FA37" s="57">
        <f>+ES37*GQ37</f>
        <v>0</v>
      </c>
      <c r="FB37" s="59">
        <f>+FA37*3.3058</f>
        <v>0</v>
      </c>
      <c r="FC37" s="55">
        <f>+ES37*GR37</f>
        <v>0</v>
      </c>
      <c r="FD37" s="59">
        <f>+FC37*3.3058</f>
        <v>0</v>
      </c>
      <c r="FE37" s="57">
        <f>+ES37*GS37</f>
        <v>0</v>
      </c>
      <c r="FF37" s="59">
        <f>+FE37*3.3058</f>
        <v>0</v>
      </c>
      <c r="FG37" s="60">
        <f>+ES37*GT37</f>
        <v>0</v>
      </c>
      <c r="FH37" s="59">
        <f>+FG37*3.3058</f>
        <v>0</v>
      </c>
      <c r="FI37" s="57">
        <f>+ES37*GU37</f>
        <v>0</v>
      </c>
      <c r="FJ37" s="59">
        <f>+FI37*3.3058</f>
        <v>0</v>
      </c>
      <c r="FK37" s="55">
        <f>+ES37*GV37</f>
        <v>0</v>
      </c>
      <c r="FL37" s="59">
        <f>+FK37*3.3058</f>
        <v>0</v>
      </c>
      <c r="FM37" s="60">
        <f>+ES37*GW37</f>
        <v>0</v>
      </c>
      <c r="FN37" s="59">
        <f>+FM37*3.3058</f>
        <v>0</v>
      </c>
      <c r="FO37" s="60">
        <f>+ES37*GX37</f>
        <v>0</v>
      </c>
      <c r="FP37" s="59">
        <f>+FO37*3.3058</f>
        <v>0</v>
      </c>
      <c r="FQ37" s="60">
        <f>+ES37*GY37</f>
        <v>0</v>
      </c>
      <c r="FR37" s="59">
        <f>+FQ37*3.3058</f>
        <v>0</v>
      </c>
      <c r="FS37" s="55">
        <f>+ES37*GZ37</f>
        <v>0</v>
      </c>
      <c r="FT37" s="59">
        <f>+FS37*3.3058</f>
        <v>0</v>
      </c>
      <c r="FU37" s="60">
        <f>+ES37*HA37</f>
        <v>0</v>
      </c>
      <c r="FV37" s="59">
        <f>+FU37*3.3058</f>
        <v>0</v>
      </c>
      <c r="FW37" s="60">
        <f>+ES37*HB37</f>
        <v>0</v>
      </c>
      <c r="FX37" s="59">
        <f>+FW37*3.3058</f>
        <v>0</v>
      </c>
      <c r="FY37" s="60">
        <f>+ES37*HC37</f>
        <v>0</v>
      </c>
      <c r="FZ37" s="59">
        <f>+FY37*3.3058</f>
        <v>0</v>
      </c>
      <c r="GA37" s="60">
        <f>+ES37*HD37</f>
        <v>0</v>
      </c>
      <c r="GB37" s="59">
        <f>+GA37*3.3058</f>
        <v>0</v>
      </c>
      <c r="GC37" s="55">
        <f>+ES37*HE37</f>
        <v>0</v>
      </c>
      <c r="GD37" s="59">
        <f>+GC37*3.3058</f>
        <v>0</v>
      </c>
      <c r="GE37" s="60">
        <f>+ES37*HF37</f>
        <v>0</v>
      </c>
      <c r="GF37" s="59">
        <f>+GE37*3.3058</f>
        <v>0</v>
      </c>
      <c r="GG37" s="60">
        <f>+ES37*HG37</f>
        <v>0</v>
      </c>
      <c r="GH37" s="59">
        <f>+GG37*3.3058</f>
        <v>0</v>
      </c>
      <c r="GI37" s="55">
        <f>+ES37*HH37</f>
        <v>0</v>
      </c>
      <c r="GJ37" s="59">
        <f>+GI37*3.3058</f>
        <v>0</v>
      </c>
      <c r="GK37" s="55"/>
      <c r="GL37" s="55"/>
      <c r="GM37" s="55">
        <v>1</v>
      </c>
      <c r="GN37" s="55">
        <v>0.97</v>
      </c>
      <c r="GO37" s="55">
        <v>0.95</v>
      </c>
      <c r="GP37" s="55">
        <v>0.93</v>
      </c>
      <c r="GQ37" s="55">
        <f t="shared" si="141"/>
        <v>0.91</v>
      </c>
      <c r="GR37" s="55">
        <f t="shared" si="141"/>
        <v>0.89</v>
      </c>
      <c r="GS37" s="55">
        <f t="shared" si="141"/>
        <v>0.87</v>
      </c>
      <c r="GT37" s="55">
        <f t="shared" si="141"/>
        <v>0.85</v>
      </c>
      <c r="GU37" s="55">
        <f t="shared" si="141"/>
        <v>0.83</v>
      </c>
      <c r="GV37" s="55">
        <f t="shared" si="141"/>
        <v>0.80999999999999994</v>
      </c>
      <c r="GW37" s="55">
        <f t="shared" si="141"/>
        <v>0.78999999999999992</v>
      </c>
      <c r="GX37" s="55">
        <f t="shared" si="141"/>
        <v>0.76999999999999991</v>
      </c>
      <c r="GY37" s="55">
        <f t="shared" si="141"/>
        <v>0.74999999999999989</v>
      </c>
      <c r="GZ37" s="55">
        <f t="shared" si="141"/>
        <v>0.72999999999999987</v>
      </c>
      <c r="HA37" s="55">
        <f t="shared" si="141"/>
        <v>0.70999999999999985</v>
      </c>
      <c r="HB37" s="55">
        <f t="shared" si="141"/>
        <v>0.68999999999999984</v>
      </c>
      <c r="HC37" s="55">
        <f t="shared" si="141"/>
        <v>0.66999999999999982</v>
      </c>
      <c r="HD37" s="55">
        <f t="shared" si="141"/>
        <v>0.6499999999999998</v>
      </c>
      <c r="HE37" s="55">
        <f t="shared" si="141"/>
        <v>0.62999999999999978</v>
      </c>
      <c r="HF37" s="55">
        <f t="shared" si="141"/>
        <v>0.60999999999999976</v>
      </c>
      <c r="HG37" s="55">
        <f t="shared" si="141"/>
        <v>0.58999999999999975</v>
      </c>
      <c r="HH37" s="55">
        <f t="shared" si="141"/>
        <v>0.56999999999999973</v>
      </c>
    </row>
    <row r="38" spans="1:216" s="64" customFormat="1" x14ac:dyDescent="0.3">
      <c r="C38" s="65"/>
      <c r="D38" s="65"/>
      <c r="E38" s="65"/>
      <c r="G38" s="61"/>
      <c r="H38" s="61"/>
      <c r="I38" s="61"/>
      <c r="J38" s="61"/>
      <c r="K38" s="61"/>
      <c r="L38" s="61"/>
      <c r="M38" s="61"/>
      <c r="N38" s="61"/>
      <c r="O38" s="61"/>
      <c r="P38" s="62"/>
      <c r="Q38" s="61"/>
      <c r="R38" s="61"/>
      <c r="S38" s="61"/>
      <c r="T38" s="62"/>
      <c r="U38" s="61"/>
      <c r="V38" s="63"/>
      <c r="W38" s="61"/>
      <c r="X38" s="62"/>
      <c r="Y38" s="61"/>
      <c r="Z38" s="61"/>
      <c r="AA38" s="61"/>
      <c r="AB38" s="63"/>
      <c r="AC38" s="61"/>
      <c r="AD38" s="63"/>
      <c r="AE38" s="61"/>
      <c r="AF38" s="63"/>
      <c r="AG38" s="61"/>
      <c r="AH38" s="61"/>
      <c r="AI38" s="61"/>
      <c r="AJ38" s="63"/>
      <c r="AK38" s="61"/>
      <c r="AL38" s="63"/>
      <c r="AM38" s="61"/>
      <c r="AN38" s="63"/>
      <c r="AO38" s="61"/>
      <c r="AP38" s="63"/>
      <c r="AQ38" s="61"/>
      <c r="AR38" s="61"/>
      <c r="AS38" s="61"/>
      <c r="AT38" s="63"/>
      <c r="AU38" s="61"/>
      <c r="AV38" s="63"/>
      <c r="AW38" s="61"/>
      <c r="AX38" s="61"/>
      <c r="AY38" s="61"/>
      <c r="AZ38" s="61"/>
      <c r="BA38" s="61"/>
      <c r="BB38" s="61"/>
      <c r="BC38" s="61">
        <v>1</v>
      </c>
      <c r="BD38" s="61">
        <v>0.97</v>
      </c>
      <c r="BE38" s="61">
        <v>0.95</v>
      </c>
      <c r="BF38" s="61">
        <v>0.93</v>
      </c>
      <c r="BG38" s="61">
        <f t="shared" ref="BG38:BV39" si="146">+BF38-0.02</f>
        <v>0.91</v>
      </c>
      <c r="BH38" s="61">
        <f t="shared" si="146"/>
        <v>0.89</v>
      </c>
      <c r="BI38" s="61">
        <f t="shared" si="146"/>
        <v>0.87</v>
      </c>
      <c r="BJ38" s="61">
        <f t="shared" si="146"/>
        <v>0.85</v>
      </c>
      <c r="BK38" s="61">
        <f t="shared" si="146"/>
        <v>0.83</v>
      </c>
      <c r="BL38" s="61">
        <f t="shared" si="146"/>
        <v>0.80999999999999994</v>
      </c>
      <c r="BM38" s="61">
        <f t="shared" si="146"/>
        <v>0.78999999999999992</v>
      </c>
      <c r="BN38" s="61">
        <f t="shared" si="146"/>
        <v>0.76999999999999991</v>
      </c>
      <c r="BO38" s="61">
        <f t="shared" si="146"/>
        <v>0.74999999999999989</v>
      </c>
      <c r="BP38" s="61">
        <f t="shared" si="146"/>
        <v>0.72999999999999987</v>
      </c>
      <c r="BQ38" s="61">
        <f t="shared" si="146"/>
        <v>0.70999999999999985</v>
      </c>
      <c r="BR38" s="61">
        <f t="shared" si="146"/>
        <v>0.68999999999999984</v>
      </c>
      <c r="BS38" s="61">
        <f t="shared" si="146"/>
        <v>0.66999999999999982</v>
      </c>
      <c r="BT38" s="61">
        <f t="shared" si="146"/>
        <v>0.6499999999999998</v>
      </c>
      <c r="BU38" s="61">
        <f t="shared" si="146"/>
        <v>0.62999999999999978</v>
      </c>
      <c r="BV38" s="61">
        <f t="shared" si="146"/>
        <v>0.60999999999999976</v>
      </c>
      <c r="BW38" s="61">
        <f t="shared" ref="BW38:BX39" si="147">+BV38-0.02</f>
        <v>0.58999999999999975</v>
      </c>
      <c r="BX38" s="61">
        <f t="shared" si="147"/>
        <v>0.56999999999999973</v>
      </c>
      <c r="BY38" s="61"/>
      <c r="BZ38" s="61">
        <f t="shared" si="88"/>
        <v>0</v>
      </c>
      <c r="CA38" s="61"/>
      <c r="CB38" s="61"/>
      <c r="CC38" s="61"/>
      <c r="CD38" s="61"/>
      <c r="CE38" s="61"/>
      <c r="CF38" s="61"/>
      <c r="CG38" s="61"/>
      <c r="CH38" s="62"/>
      <c r="CI38" s="61"/>
      <c r="CJ38" s="61"/>
      <c r="CK38" s="61"/>
      <c r="CL38" s="62"/>
      <c r="CM38" s="61"/>
      <c r="CN38" s="63"/>
      <c r="CO38" s="61"/>
      <c r="CP38" s="62"/>
      <c r="CQ38" s="61"/>
      <c r="CR38" s="61"/>
      <c r="CS38" s="61"/>
      <c r="CT38" s="63"/>
      <c r="CU38" s="61"/>
      <c r="CV38" s="63"/>
      <c r="CW38" s="61"/>
      <c r="CX38" s="63"/>
      <c r="CY38" s="61"/>
      <c r="CZ38" s="61"/>
      <c r="DA38" s="61"/>
      <c r="DB38" s="63"/>
      <c r="DC38" s="61"/>
      <c r="DD38" s="63"/>
      <c r="DE38" s="61"/>
      <c r="DF38" s="63"/>
      <c r="DG38" s="61"/>
      <c r="DH38" s="63"/>
      <c r="DI38" s="61"/>
      <c r="DJ38" s="61"/>
      <c r="DK38" s="61"/>
      <c r="DL38" s="63"/>
      <c r="DM38" s="61"/>
      <c r="DN38" s="63"/>
      <c r="DO38" s="61"/>
      <c r="DP38" s="61"/>
      <c r="DQ38" s="61"/>
      <c r="DR38" s="61"/>
      <c r="DS38" s="61"/>
      <c r="DT38" s="61"/>
      <c r="DU38" s="61">
        <v>1</v>
      </c>
      <c r="DV38" s="61">
        <v>0.97</v>
      </c>
      <c r="DW38" s="61">
        <v>0.95</v>
      </c>
      <c r="DX38" s="61">
        <v>0.93</v>
      </c>
      <c r="DY38" s="61">
        <f t="shared" ref="DY38:EN39" si="148">+DX38-0.02</f>
        <v>0.91</v>
      </c>
      <c r="DZ38" s="61">
        <f t="shared" si="148"/>
        <v>0.89</v>
      </c>
      <c r="EA38" s="61">
        <f t="shared" si="148"/>
        <v>0.87</v>
      </c>
      <c r="EB38" s="61">
        <f t="shared" si="148"/>
        <v>0.85</v>
      </c>
      <c r="EC38" s="61">
        <f t="shared" si="148"/>
        <v>0.83</v>
      </c>
      <c r="ED38" s="61">
        <f t="shared" si="148"/>
        <v>0.80999999999999994</v>
      </c>
      <c r="EE38" s="61">
        <f t="shared" si="148"/>
        <v>0.78999999999999992</v>
      </c>
      <c r="EF38" s="61">
        <f t="shared" si="148"/>
        <v>0.76999999999999991</v>
      </c>
      <c r="EG38" s="61">
        <f t="shared" si="148"/>
        <v>0.74999999999999989</v>
      </c>
      <c r="EH38" s="61">
        <f t="shared" si="148"/>
        <v>0.72999999999999987</v>
      </c>
      <c r="EI38" s="61">
        <f t="shared" si="148"/>
        <v>0.70999999999999985</v>
      </c>
      <c r="EJ38" s="61">
        <f t="shared" si="148"/>
        <v>0.68999999999999984</v>
      </c>
      <c r="EK38" s="61">
        <f t="shared" si="148"/>
        <v>0.66999999999999982</v>
      </c>
      <c r="EL38" s="61">
        <f t="shared" si="148"/>
        <v>0.6499999999999998</v>
      </c>
      <c r="EM38" s="61">
        <f t="shared" si="148"/>
        <v>0.62999999999999978</v>
      </c>
      <c r="EN38" s="61">
        <f t="shared" si="148"/>
        <v>0.60999999999999976</v>
      </c>
      <c r="EO38" s="61">
        <f t="shared" ref="EO38:EP39" si="149">+EN38-0.02</f>
        <v>0.58999999999999975</v>
      </c>
      <c r="EP38" s="64">
        <f t="shared" si="149"/>
        <v>0.56999999999999973</v>
      </c>
      <c r="EQ38" s="61"/>
      <c r="ER38" s="61">
        <f t="shared" si="142"/>
        <v>0</v>
      </c>
      <c r="ES38" s="61"/>
      <c r="ET38" s="61"/>
      <c r="EU38" s="61"/>
      <c r="EV38" s="61"/>
      <c r="EW38" s="61"/>
      <c r="EX38" s="61"/>
      <c r="EY38" s="61"/>
      <c r="EZ38" s="62"/>
      <c r="FA38" s="61"/>
      <c r="FB38" s="61"/>
      <c r="FC38" s="61"/>
      <c r="FD38" s="62"/>
      <c r="FE38" s="61"/>
      <c r="FF38" s="63"/>
      <c r="FG38" s="61"/>
      <c r="FH38" s="62"/>
      <c r="FI38" s="61"/>
      <c r="FJ38" s="61"/>
      <c r="FK38" s="61"/>
      <c r="FL38" s="63"/>
      <c r="FM38" s="61"/>
      <c r="FN38" s="63"/>
      <c r="FO38" s="61"/>
      <c r="FP38" s="63"/>
      <c r="FQ38" s="61"/>
      <c r="FR38" s="61"/>
      <c r="FS38" s="61"/>
      <c r="FT38" s="63"/>
      <c r="FU38" s="61"/>
      <c r="FV38" s="63"/>
      <c r="FW38" s="61"/>
      <c r="FX38" s="63"/>
      <c r="FY38" s="61"/>
      <c r="FZ38" s="63"/>
      <c r="GA38" s="61"/>
      <c r="GB38" s="61"/>
      <c r="GC38" s="61"/>
      <c r="GD38" s="63"/>
      <c r="GE38" s="61"/>
      <c r="GF38" s="63"/>
      <c r="GG38" s="61"/>
      <c r="GH38" s="61"/>
      <c r="GI38" s="61"/>
      <c r="GJ38" s="61"/>
      <c r="GK38" s="61"/>
      <c r="GL38" s="61"/>
      <c r="GM38" s="61">
        <v>1</v>
      </c>
      <c r="GN38" s="61">
        <v>0.97</v>
      </c>
      <c r="GO38" s="61">
        <v>0.95</v>
      </c>
      <c r="GP38" s="61">
        <v>0.93</v>
      </c>
      <c r="GQ38" s="61">
        <f t="shared" ref="GQ38:HF39" si="150">+GP38-0.02</f>
        <v>0.91</v>
      </c>
      <c r="GR38" s="61">
        <f t="shared" si="150"/>
        <v>0.89</v>
      </c>
      <c r="GS38" s="61">
        <f t="shared" si="150"/>
        <v>0.87</v>
      </c>
      <c r="GT38" s="61">
        <f t="shared" si="150"/>
        <v>0.85</v>
      </c>
      <c r="GU38" s="61">
        <f t="shared" si="150"/>
        <v>0.83</v>
      </c>
      <c r="GV38" s="61">
        <f t="shared" si="150"/>
        <v>0.80999999999999994</v>
      </c>
      <c r="GW38" s="61">
        <f t="shared" si="150"/>
        <v>0.78999999999999992</v>
      </c>
      <c r="GX38" s="61">
        <f t="shared" si="150"/>
        <v>0.76999999999999991</v>
      </c>
      <c r="GY38" s="61">
        <f t="shared" si="150"/>
        <v>0.74999999999999989</v>
      </c>
      <c r="GZ38" s="61">
        <f t="shared" si="150"/>
        <v>0.72999999999999987</v>
      </c>
      <c r="HA38" s="61">
        <f t="shared" si="150"/>
        <v>0.70999999999999985</v>
      </c>
      <c r="HB38" s="61">
        <f t="shared" si="150"/>
        <v>0.68999999999999984</v>
      </c>
      <c r="HC38" s="61">
        <f t="shared" si="150"/>
        <v>0.66999999999999982</v>
      </c>
      <c r="HD38" s="61">
        <f t="shared" si="150"/>
        <v>0.6499999999999998</v>
      </c>
      <c r="HE38" s="61">
        <f t="shared" si="150"/>
        <v>0.62999999999999978</v>
      </c>
      <c r="HF38" s="61">
        <f t="shared" si="150"/>
        <v>0.60999999999999976</v>
      </c>
      <c r="HG38" s="61">
        <f t="shared" ref="HG38:HH39" si="151">+HF38-0.02</f>
        <v>0.58999999999999975</v>
      </c>
      <c r="HH38" s="64">
        <f t="shared" si="151"/>
        <v>0.56999999999999973</v>
      </c>
    </row>
    <row r="39" spans="1:216" s="64" customFormat="1" ht="17.25" thickBot="1" x14ac:dyDescent="0.35">
      <c r="B39" s="64" t="s">
        <v>144</v>
      </c>
      <c r="C39" s="64" t="s">
        <v>113</v>
      </c>
      <c r="D39" s="65" t="s">
        <v>271</v>
      </c>
      <c r="E39" s="65" t="s">
        <v>154</v>
      </c>
      <c r="G39" s="61"/>
      <c r="H39" s="61"/>
      <c r="I39" s="61"/>
      <c r="J39" s="61"/>
      <c r="K39" s="61"/>
      <c r="L39" s="61"/>
      <c r="M39" s="61"/>
      <c r="N39" s="61"/>
      <c r="O39" s="61"/>
      <c r="P39" s="62"/>
      <c r="Q39" s="61"/>
      <c r="R39" s="61"/>
      <c r="S39" s="61"/>
      <c r="T39" s="62"/>
      <c r="U39" s="61"/>
      <c r="V39" s="63"/>
      <c r="W39" s="61"/>
      <c r="X39" s="62"/>
      <c r="Y39" s="61"/>
      <c r="Z39" s="61"/>
      <c r="AA39" s="61"/>
      <c r="AB39" s="63"/>
      <c r="AC39" s="61"/>
      <c r="AD39" s="63"/>
      <c r="AE39" s="61"/>
      <c r="AF39" s="63"/>
      <c r="AG39" s="61"/>
      <c r="AH39" s="61"/>
      <c r="AI39" s="61"/>
      <c r="AJ39" s="63"/>
      <c r="AK39" s="61"/>
      <c r="AL39" s="63"/>
      <c r="AM39" s="61"/>
      <c r="AN39" s="63"/>
      <c r="AO39" s="61"/>
      <c r="AP39" s="63"/>
      <c r="AQ39" s="61"/>
      <c r="AR39" s="61"/>
      <c r="AS39" s="61"/>
      <c r="AT39" s="63"/>
      <c r="AU39" s="61"/>
      <c r="AV39" s="63"/>
      <c r="AW39" s="61"/>
      <c r="AX39" s="61"/>
      <c r="AY39" s="61"/>
      <c r="AZ39" s="61"/>
      <c r="BA39" s="61"/>
      <c r="BB39" s="61"/>
      <c r="BC39" s="61">
        <v>1</v>
      </c>
      <c r="BD39" s="61">
        <v>0.97</v>
      </c>
      <c r="BE39" s="61">
        <v>0.95</v>
      </c>
      <c r="BF39" s="61">
        <v>0.93</v>
      </c>
      <c r="BG39" s="61">
        <f t="shared" si="146"/>
        <v>0.91</v>
      </c>
      <c r="BH39" s="61">
        <f t="shared" si="146"/>
        <v>0.89</v>
      </c>
      <c r="BI39" s="61">
        <f t="shared" si="146"/>
        <v>0.87</v>
      </c>
      <c r="BJ39" s="61">
        <f t="shared" si="146"/>
        <v>0.85</v>
      </c>
      <c r="BK39" s="61">
        <f t="shared" si="146"/>
        <v>0.83</v>
      </c>
      <c r="BL39" s="61">
        <f t="shared" si="146"/>
        <v>0.80999999999999994</v>
      </c>
      <c r="BM39" s="61">
        <f t="shared" si="146"/>
        <v>0.78999999999999992</v>
      </c>
      <c r="BN39" s="61">
        <f t="shared" si="146"/>
        <v>0.76999999999999991</v>
      </c>
      <c r="BO39" s="61">
        <f t="shared" si="146"/>
        <v>0.74999999999999989</v>
      </c>
      <c r="BP39" s="61">
        <f t="shared" si="146"/>
        <v>0.72999999999999987</v>
      </c>
      <c r="BQ39" s="61">
        <f t="shared" si="146"/>
        <v>0.70999999999999985</v>
      </c>
      <c r="BR39" s="61">
        <f t="shared" si="146"/>
        <v>0.68999999999999984</v>
      </c>
      <c r="BS39" s="61">
        <f t="shared" si="146"/>
        <v>0.66999999999999982</v>
      </c>
      <c r="BT39" s="61">
        <f t="shared" si="146"/>
        <v>0.6499999999999998</v>
      </c>
      <c r="BU39" s="61">
        <f t="shared" si="146"/>
        <v>0.62999999999999978</v>
      </c>
      <c r="BV39" s="61">
        <f t="shared" si="146"/>
        <v>0.60999999999999976</v>
      </c>
      <c r="BW39" s="61">
        <f t="shared" si="147"/>
        <v>0.58999999999999975</v>
      </c>
      <c r="BX39" s="61">
        <f t="shared" si="147"/>
        <v>0.56999999999999973</v>
      </c>
      <c r="BY39" s="61"/>
      <c r="BZ39" s="61">
        <f t="shared" si="88"/>
        <v>0</v>
      </c>
      <c r="CA39" s="61"/>
      <c r="CB39" s="61"/>
      <c r="CC39" s="61"/>
      <c r="CD39" s="61"/>
      <c r="CE39" s="61"/>
      <c r="CF39" s="61"/>
      <c r="CG39" s="61"/>
      <c r="CH39" s="62"/>
      <c r="CI39" s="61"/>
      <c r="CJ39" s="61"/>
      <c r="CK39" s="61"/>
      <c r="CL39" s="62"/>
      <c r="CM39" s="61"/>
      <c r="CN39" s="63"/>
      <c r="CO39" s="61"/>
      <c r="CP39" s="62"/>
      <c r="CQ39" s="61"/>
      <c r="CR39" s="61"/>
      <c r="CS39" s="61"/>
      <c r="CT39" s="63"/>
      <c r="CU39" s="61"/>
      <c r="CV39" s="63"/>
      <c r="CW39" s="61"/>
      <c r="CX39" s="63"/>
      <c r="CY39" s="61"/>
      <c r="CZ39" s="61"/>
      <c r="DA39" s="61"/>
      <c r="DB39" s="63"/>
      <c r="DC39" s="61"/>
      <c r="DD39" s="63"/>
      <c r="DE39" s="61"/>
      <c r="DF39" s="63"/>
      <c r="DG39" s="61"/>
      <c r="DH39" s="63"/>
      <c r="DI39" s="61"/>
      <c r="DJ39" s="61"/>
      <c r="DK39" s="61"/>
      <c r="DL39" s="63"/>
      <c r="DM39" s="61"/>
      <c r="DN39" s="63"/>
      <c r="DO39" s="61"/>
      <c r="DP39" s="61"/>
      <c r="DQ39" s="61"/>
      <c r="DR39" s="61"/>
      <c r="DS39" s="61"/>
      <c r="DT39" s="61"/>
      <c r="DU39" s="61">
        <v>1</v>
      </c>
      <c r="DV39" s="61">
        <v>0.97</v>
      </c>
      <c r="DW39" s="61">
        <v>0.95</v>
      </c>
      <c r="DX39" s="61">
        <v>0.93</v>
      </c>
      <c r="DY39" s="61">
        <f t="shared" si="148"/>
        <v>0.91</v>
      </c>
      <c r="DZ39" s="61">
        <f t="shared" si="148"/>
        <v>0.89</v>
      </c>
      <c r="EA39" s="61">
        <f t="shared" si="148"/>
        <v>0.87</v>
      </c>
      <c r="EB39" s="61">
        <f t="shared" si="148"/>
        <v>0.85</v>
      </c>
      <c r="EC39" s="61">
        <f t="shared" si="148"/>
        <v>0.83</v>
      </c>
      <c r="ED39" s="61">
        <f t="shared" si="148"/>
        <v>0.80999999999999994</v>
      </c>
      <c r="EE39" s="61">
        <f t="shared" si="148"/>
        <v>0.78999999999999992</v>
      </c>
      <c r="EF39" s="61">
        <f t="shared" si="148"/>
        <v>0.76999999999999991</v>
      </c>
      <c r="EG39" s="61">
        <f t="shared" si="148"/>
        <v>0.74999999999999989</v>
      </c>
      <c r="EH39" s="61">
        <f t="shared" si="148"/>
        <v>0.72999999999999987</v>
      </c>
      <c r="EI39" s="61">
        <f t="shared" si="148"/>
        <v>0.70999999999999985</v>
      </c>
      <c r="EJ39" s="61">
        <f t="shared" si="148"/>
        <v>0.68999999999999984</v>
      </c>
      <c r="EK39" s="61">
        <f t="shared" si="148"/>
        <v>0.66999999999999982</v>
      </c>
      <c r="EL39" s="61">
        <f t="shared" si="148"/>
        <v>0.6499999999999998</v>
      </c>
      <c r="EM39" s="61">
        <f t="shared" si="148"/>
        <v>0.62999999999999978</v>
      </c>
      <c r="EN39" s="61">
        <f t="shared" si="148"/>
        <v>0.60999999999999976</v>
      </c>
      <c r="EO39" s="61">
        <f t="shared" si="149"/>
        <v>0.58999999999999975</v>
      </c>
      <c r="EP39" s="64">
        <f t="shared" si="149"/>
        <v>0.56999999999999973</v>
      </c>
      <c r="EQ39" s="61"/>
      <c r="ER39" s="61">
        <f t="shared" si="142"/>
        <v>0</v>
      </c>
      <c r="ES39" s="61"/>
      <c r="ET39" s="61"/>
      <c r="EU39" s="61"/>
      <c r="EV39" s="61"/>
      <c r="EW39" s="61"/>
      <c r="EX39" s="61"/>
      <c r="EY39" s="61"/>
      <c r="EZ39" s="62"/>
      <c r="FA39" s="61"/>
      <c r="FB39" s="61"/>
      <c r="FC39" s="61"/>
      <c r="FD39" s="62"/>
      <c r="FE39" s="61"/>
      <c r="FF39" s="63"/>
      <c r="FG39" s="61"/>
      <c r="FH39" s="62"/>
      <c r="FI39" s="61"/>
      <c r="FJ39" s="61"/>
      <c r="FK39" s="61"/>
      <c r="FL39" s="63"/>
      <c r="FM39" s="61"/>
      <c r="FN39" s="63"/>
      <c r="FO39" s="61"/>
      <c r="FP39" s="63"/>
      <c r="FQ39" s="61"/>
      <c r="FR39" s="61"/>
      <c r="FS39" s="61"/>
      <c r="FT39" s="63"/>
      <c r="FU39" s="61"/>
      <c r="FV39" s="63"/>
      <c r="FW39" s="61"/>
      <c r="FX39" s="63"/>
      <c r="FY39" s="61"/>
      <c r="FZ39" s="63"/>
      <c r="GA39" s="61"/>
      <c r="GB39" s="61"/>
      <c r="GC39" s="61"/>
      <c r="GD39" s="63"/>
      <c r="GE39" s="61"/>
      <c r="GF39" s="63"/>
      <c r="GG39" s="61"/>
      <c r="GH39" s="61"/>
      <c r="GI39" s="61"/>
      <c r="GJ39" s="61"/>
      <c r="GK39" s="61"/>
      <c r="GL39" s="61"/>
      <c r="GM39" s="61">
        <v>1</v>
      </c>
      <c r="GN39" s="61">
        <v>0.97</v>
      </c>
      <c r="GO39" s="61">
        <v>0.95</v>
      </c>
      <c r="GP39" s="61">
        <v>0.93</v>
      </c>
      <c r="GQ39" s="61">
        <f t="shared" si="150"/>
        <v>0.91</v>
      </c>
      <c r="GR39" s="61">
        <f t="shared" si="150"/>
        <v>0.89</v>
      </c>
      <c r="GS39" s="61">
        <f t="shared" si="150"/>
        <v>0.87</v>
      </c>
      <c r="GT39" s="61">
        <f t="shared" si="150"/>
        <v>0.85</v>
      </c>
      <c r="GU39" s="61">
        <f t="shared" si="150"/>
        <v>0.83</v>
      </c>
      <c r="GV39" s="61">
        <f t="shared" si="150"/>
        <v>0.80999999999999994</v>
      </c>
      <c r="GW39" s="61">
        <f t="shared" si="150"/>
        <v>0.78999999999999992</v>
      </c>
      <c r="GX39" s="61">
        <f t="shared" si="150"/>
        <v>0.76999999999999991</v>
      </c>
      <c r="GY39" s="61">
        <f t="shared" si="150"/>
        <v>0.74999999999999989</v>
      </c>
      <c r="GZ39" s="61">
        <f t="shared" si="150"/>
        <v>0.72999999999999987</v>
      </c>
      <c r="HA39" s="61">
        <f t="shared" si="150"/>
        <v>0.70999999999999985</v>
      </c>
      <c r="HB39" s="61">
        <f t="shared" si="150"/>
        <v>0.68999999999999984</v>
      </c>
      <c r="HC39" s="61">
        <f t="shared" si="150"/>
        <v>0.66999999999999982</v>
      </c>
      <c r="HD39" s="61">
        <f t="shared" si="150"/>
        <v>0.6499999999999998</v>
      </c>
      <c r="HE39" s="61">
        <f t="shared" si="150"/>
        <v>0.62999999999999978</v>
      </c>
      <c r="HF39" s="61">
        <f t="shared" si="150"/>
        <v>0.60999999999999976</v>
      </c>
      <c r="HG39" s="61">
        <f t="shared" si="151"/>
        <v>0.58999999999999975</v>
      </c>
      <c r="HH39" s="64">
        <f t="shared" si="151"/>
        <v>0.56999999999999973</v>
      </c>
    </row>
    <row r="40" spans="1:216" x14ac:dyDescent="0.3">
      <c r="A40" s="2">
        <v>1</v>
      </c>
      <c r="C40" s="38" t="s">
        <v>15</v>
      </c>
      <c r="D40" s="40">
        <f>TRUNC(42933,-1)</f>
        <v>42930</v>
      </c>
      <c r="E40" s="70">
        <f t="shared" ref="E40:E59" si="152">TRUNC(+D40*3.3058,-1)</f>
        <v>141910</v>
      </c>
      <c r="H40" s="55">
        <f t="shared" si="61"/>
        <v>156101</v>
      </c>
      <c r="I40" s="55">
        <f t="shared" si="62"/>
        <v>156101</v>
      </c>
      <c r="J40" s="59">
        <f t="shared" si="63"/>
        <v>516038.68580000004</v>
      </c>
      <c r="K40" s="55">
        <f t="shared" ref="K40:K60" si="153">+I40*BD40</f>
        <v>151417.97</v>
      </c>
      <c r="L40" s="59">
        <f t="shared" ref="L40:L60" si="154">+K40*3.3058</f>
        <v>500557.525226</v>
      </c>
      <c r="M40" s="55">
        <f t="shared" ref="M40:M60" si="155">+I40*BE40</f>
        <v>148295.94999999998</v>
      </c>
      <c r="N40" s="59">
        <f t="shared" ref="N40:N60" si="156">+M40*3.3058</f>
        <v>490236.75150999997</v>
      </c>
      <c r="O40" s="55">
        <f t="shared" ref="O40:O60" si="157">+I40*BF40</f>
        <v>145173.93000000002</v>
      </c>
      <c r="P40" s="59">
        <f t="shared" ref="P40:P60" si="158">+O40*3.3058</f>
        <v>479915.97779400006</v>
      </c>
      <c r="Q40" s="57">
        <f t="shared" ref="Q40:Q60" si="159">+I40*BG40</f>
        <v>142051.91</v>
      </c>
      <c r="R40" s="59">
        <f t="shared" ref="R40:R60" si="160">+Q40*3.3058</f>
        <v>469595.20407800004</v>
      </c>
      <c r="S40" s="55">
        <f t="shared" ref="S40:S60" si="161">+I40*BH40</f>
        <v>138929.89000000001</v>
      </c>
      <c r="T40" s="59">
        <f t="shared" ref="T40:T60" si="162">+S40*3.3058</f>
        <v>459274.43036200007</v>
      </c>
      <c r="U40" s="57">
        <f t="shared" ref="U40:U60" si="163">+I40*BI40</f>
        <v>135807.87</v>
      </c>
      <c r="V40" s="59">
        <f t="shared" ref="V40:V60" si="164">+U40*3.3058</f>
        <v>448953.65664599999</v>
      </c>
      <c r="W40" s="60">
        <f t="shared" ref="W40:W60" si="165">+I40*BJ40</f>
        <v>132685.85</v>
      </c>
      <c r="X40" s="59">
        <f t="shared" ref="X40:X60" si="166">+W40*3.3058</f>
        <v>438632.88293000002</v>
      </c>
      <c r="Y40" s="57">
        <f t="shared" ref="Y40:Y60" si="167">+I40*BK40</f>
        <v>129563.82999999999</v>
      </c>
      <c r="Z40" s="59">
        <f t="shared" ref="Z40:Z60" si="168">+Y40*3.3058</f>
        <v>428312.10921399994</v>
      </c>
      <c r="AA40" s="55">
        <f t="shared" ref="AA40:AA60" si="169">+I40*BL40</f>
        <v>126441.81</v>
      </c>
      <c r="AB40" s="59">
        <f t="shared" ref="AB40:AB60" si="170">+AA40*3.3058</f>
        <v>417991.33549800003</v>
      </c>
      <c r="AC40" s="60">
        <f t="shared" ref="AC40:AC60" si="171">+I40*BM40</f>
        <v>123319.79</v>
      </c>
      <c r="AD40" s="59">
        <f t="shared" ref="AD40:AD60" si="172">+AC40*3.3058</f>
        <v>407670.561782</v>
      </c>
      <c r="AE40" s="60">
        <f t="shared" ref="AE40:AE60" si="173">+I40*BN40</f>
        <v>120197.76999999999</v>
      </c>
      <c r="AF40" s="59">
        <f t="shared" ref="AF40:AF60" si="174">+AE40*3.3058</f>
        <v>397349.78806599998</v>
      </c>
      <c r="AG40" s="60">
        <f t="shared" ref="AG40:AG60" si="175">+I40*BO40</f>
        <v>117075.74999999999</v>
      </c>
      <c r="AH40" s="59">
        <f t="shared" ref="AH40:AH60" si="176">+AG40*3.3058</f>
        <v>387029.01434999995</v>
      </c>
      <c r="AI40" s="55">
        <f t="shared" ref="AI40:AI60" si="177">+I40*BP40</f>
        <v>113953.72999999998</v>
      </c>
      <c r="AJ40" s="59">
        <f t="shared" ref="AJ40:AJ60" si="178">+AI40*3.3058</f>
        <v>376708.24063399993</v>
      </c>
      <c r="AK40" s="60">
        <f t="shared" ref="AK40:AK60" si="179">+I40*BQ40</f>
        <v>110831.70999999998</v>
      </c>
      <c r="AL40" s="59">
        <f t="shared" ref="AL40:AL60" si="180">+AK40*3.3058</f>
        <v>366387.46691799996</v>
      </c>
      <c r="AM40" s="60">
        <f t="shared" ref="AM40:AM60" si="181">+I40*BR40</f>
        <v>107709.68999999997</v>
      </c>
      <c r="AN40" s="59">
        <f t="shared" ref="AN40:AN60" si="182">+AM40*3.3058</f>
        <v>356066.69320199994</v>
      </c>
      <c r="AO40" s="60">
        <f t="shared" ref="AO40:AO60" si="183">+I40*BS40</f>
        <v>104587.66999999997</v>
      </c>
      <c r="AP40" s="59">
        <f t="shared" ref="AP40:AP60" si="184">+AO40*3.3058</f>
        <v>345745.91948599991</v>
      </c>
      <c r="AQ40" s="60">
        <f t="shared" ref="AQ40:AQ60" si="185">+I40*BT40</f>
        <v>101465.64999999997</v>
      </c>
      <c r="AR40" s="59">
        <f t="shared" ref="AR40:AR60" si="186">+AQ40*3.3058</f>
        <v>335425.14576999989</v>
      </c>
      <c r="AS40" s="55">
        <f t="shared" ref="AS40:AS60" si="187">+I40*BU40</f>
        <v>98343.629999999961</v>
      </c>
      <c r="AT40" s="59">
        <f t="shared" ref="AT40:AT60" si="188">+AS40*3.3058</f>
        <v>325104.37205399986</v>
      </c>
      <c r="AU40" s="60">
        <f t="shared" ref="AU40:AU60" si="189">+I40*BV40</f>
        <v>95221.609999999957</v>
      </c>
      <c r="AV40" s="59">
        <f t="shared" ref="AV40:AV60" si="190">+AU40*3.3058</f>
        <v>314783.59833799984</v>
      </c>
      <c r="AW40" s="60">
        <f t="shared" ref="AW40:AW60" si="191">+I40*BW40</f>
        <v>92099.589999999967</v>
      </c>
      <c r="AX40" s="59">
        <f t="shared" ref="AX40:AX60" si="192">+AW40*3.3058</f>
        <v>304462.82462199993</v>
      </c>
      <c r="AY40" s="55">
        <f t="shared" ref="AY40:AY60" si="193">+I40*BX40</f>
        <v>88977.569999999963</v>
      </c>
      <c r="AZ40" s="59">
        <f t="shared" ref="AZ40:AZ60" si="194">+AY40*3.3058</f>
        <v>294142.0509059999</v>
      </c>
      <c r="BC40" s="55">
        <v>1</v>
      </c>
      <c r="BD40" s="55">
        <v>0.97</v>
      </c>
      <c r="BE40" s="55">
        <v>0.95</v>
      </c>
      <c r="BF40" s="55">
        <v>0.93</v>
      </c>
      <c r="BG40" s="55">
        <f t="shared" si="143"/>
        <v>0.91</v>
      </c>
      <c r="BH40" s="55">
        <f t="shared" si="143"/>
        <v>0.89</v>
      </c>
      <c r="BI40" s="55">
        <f t="shared" si="143"/>
        <v>0.87</v>
      </c>
      <c r="BJ40" s="55">
        <f t="shared" si="143"/>
        <v>0.85</v>
      </c>
      <c r="BK40" s="55">
        <f t="shared" si="143"/>
        <v>0.83</v>
      </c>
      <c r="BL40" s="55">
        <f t="shared" si="143"/>
        <v>0.80999999999999994</v>
      </c>
      <c r="BM40" s="55">
        <f t="shared" si="143"/>
        <v>0.78999999999999992</v>
      </c>
      <c r="BN40" s="55">
        <f t="shared" si="143"/>
        <v>0.76999999999999991</v>
      </c>
      <c r="BO40" s="55">
        <f t="shared" si="143"/>
        <v>0.74999999999999989</v>
      </c>
      <c r="BP40" s="55">
        <f t="shared" si="143"/>
        <v>0.72999999999999987</v>
      </c>
      <c r="BQ40" s="55">
        <f t="shared" si="143"/>
        <v>0.70999999999999985</v>
      </c>
      <c r="BR40" s="55">
        <f t="shared" si="143"/>
        <v>0.68999999999999984</v>
      </c>
      <c r="BS40" s="55">
        <f t="shared" si="143"/>
        <v>0.66999999999999982</v>
      </c>
      <c r="BT40" s="55">
        <f t="shared" si="143"/>
        <v>0.6499999999999998</v>
      </c>
      <c r="BU40" s="55">
        <f t="shared" si="143"/>
        <v>0.62999999999999978</v>
      </c>
      <c r="BV40" s="55">
        <f t="shared" si="143"/>
        <v>0.60999999999999976</v>
      </c>
      <c r="BW40" s="55">
        <f t="shared" si="143"/>
        <v>0.58999999999999975</v>
      </c>
      <c r="BX40" s="55">
        <f t="shared" si="143"/>
        <v>0.56999999999999973</v>
      </c>
      <c r="BZ40" s="55">
        <f t="shared" si="88"/>
        <v>142051.91</v>
      </c>
      <c r="CA40" s="55">
        <f t="shared" si="89"/>
        <v>142051.91</v>
      </c>
      <c r="CB40" s="59">
        <f t="shared" ref="CB40:CB60" si="195">+CA40*3.3058</f>
        <v>469595.20407800004</v>
      </c>
      <c r="CC40" s="55">
        <f t="shared" ref="CC40:CC60" si="196">+CA40*DV40</f>
        <v>137790.35269999999</v>
      </c>
      <c r="CD40" s="59">
        <f t="shared" ref="CD40:CD60" si="197">+CC40*3.3058</f>
        <v>455507.34795565996</v>
      </c>
      <c r="CE40" s="55">
        <f t="shared" ref="CE40:CE60" si="198">+CA40*DW40</f>
        <v>134949.31450000001</v>
      </c>
      <c r="CF40" s="59">
        <f t="shared" ref="CF40:CF60" si="199">+CE40*3.3058</f>
        <v>446115.44387410005</v>
      </c>
      <c r="CG40" s="55">
        <f t="shared" ref="CG40:CG60" si="200">+CA40*DX40</f>
        <v>132108.2763</v>
      </c>
      <c r="CH40" s="59">
        <f t="shared" ref="CH40:CH60" si="201">+CG40*3.3058</f>
        <v>436723.53979254002</v>
      </c>
      <c r="CI40" s="57">
        <f t="shared" ref="CI40:CI60" si="202">+CA40*DY40</f>
        <v>129267.2381</v>
      </c>
      <c r="CJ40" s="59">
        <f t="shared" ref="CJ40:CJ60" si="203">+CI40*3.3058</f>
        <v>427331.63571098004</v>
      </c>
      <c r="CK40" s="55">
        <f t="shared" ref="CK40:CK60" si="204">+CA40*DZ40</f>
        <v>126426.19990000001</v>
      </c>
      <c r="CL40" s="59">
        <f t="shared" ref="CL40:CL60" si="205">+CK40*3.3058</f>
        <v>417939.73162942001</v>
      </c>
      <c r="CM40" s="57">
        <f t="shared" ref="CM40:CM60" si="206">+CA40*EA40</f>
        <v>123585.1617</v>
      </c>
      <c r="CN40" s="59">
        <f t="shared" ref="CN40:CN60" si="207">+CM40*3.3058</f>
        <v>408547.82754785998</v>
      </c>
      <c r="CO40" s="60">
        <f t="shared" ref="CO40:CO60" si="208">+CA40*EB40</f>
        <v>120744.1235</v>
      </c>
      <c r="CP40" s="59">
        <f t="shared" ref="CP40:CP60" si="209">+CO40*3.3058</f>
        <v>399155.92346630001</v>
      </c>
      <c r="CQ40" s="57">
        <f t="shared" ref="CQ40:CQ60" si="210">+CA40*EC40</f>
        <v>117903.08529999999</v>
      </c>
      <c r="CR40" s="59">
        <f t="shared" ref="CR40:CR60" si="211">+CQ40*3.3058</f>
        <v>389764.01938473998</v>
      </c>
      <c r="CS40" s="55">
        <f t="shared" ref="CS40:CS60" si="212">+CA40*ED40</f>
        <v>115062.0471</v>
      </c>
      <c r="CT40" s="59">
        <f t="shared" ref="CT40:CT60" si="213">+CS40*3.3058</f>
        <v>380372.11530318001</v>
      </c>
      <c r="CU40" s="60">
        <f t="shared" ref="CU40:CU60" si="214">+CA40*EE40</f>
        <v>112221.00889999999</v>
      </c>
      <c r="CV40" s="59">
        <f t="shared" ref="CV40:CV60" si="215">+CU40*3.3058</f>
        <v>370980.21122161997</v>
      </c>
      <c r="CW40" s="60">
        <f t="shared" ref="CW40:CW60" si="216">+CA40*EF40</f>
        <v>109379.97069999999</v>
      </c>
      <c r="CX40" s="59">
        <f t="shared" ref="CX40:CX60" si="217">+CW40*3.3058</f>
        <v>361588.30714006</v>
      </c>
      <c r="CY40" s="60">
        <f t="shared" ref="CY40:CY60" si="218">+CA40*EG40</f>
        <v>106538.93249999998</v>
      </c>
      <c r="CZ40" s="59">
        <f t="shared" ref="CZ40:CZ60" si="219">+CY40*3.3058</f>
        <v>352196.40305849997</v>
      </c>
      <c r="DA40" s="55">
        <f t="shared" ref="DA40:DA60" si="220">+CA40*EH40</f>
        <v>103697.89429999999</v>
      </c>
      <c r="DB40" s="59">
        <f t="shared" ref="DB40:DB60" si="221">+DA40*3.3058</f>
        <v>342804.49897693994</v>
      </c>
      <c r="DC40" s="60">
        <f t="shared" ref="DC40:DC60" si="222">+CA40*EI40</f>
        <v>100856.85609999998</v>
      </c>
      <c r="DD40" s="59">
        <f t="shared" ref="DD40:DD60" si="223">+DC40*3.3058</f>
        <v>333412.59489537991</v>
      </c>
      <c r="DE40" s="60">
        <f t="shared" ref="DE40:DE60" si="224">+CA40*EJ40</f>
        <v>98015.81789999998</v>
      </c>
      <c r="DF40" s="59">
        <f t="shared" ref="DF40:DF60" si="225">+DE40*3.3058</f>
        <v>324020.69081381994</v>
      </c>
      <c r="DG40" s="60">
        <f t="shared" ref="DG40:DG60" si="226">+CA40*EK40</f>
        <v>95174.77969999997</v>
      </c>
      <c r="DH40" s="59">
        <f t="shared" ref="DH40:DH60" si="227">+DG40*3.3058</f>
        <v>314628.7867322599</v>
      </c>
      <c r="DI40" s="60">
        <f t="shared" ref="DI40:DI60" si="228">+CA40*EL40</f>
        <v>92333.741499999975</v>
      </c>
      <c r="DJ40" s="59">
        <f t="shared" ref="DJ40:DJ60" si="229">+DI40*3.3058</f>
        <v>305236.88265069993</v>
      </c>
      <c r="DK40" s="55">
        <f t="shared" ref="DK40:DK60" si="230">+CA40*EM40</f>
        <v>89492.703299999965</v>
      </c>
      <c r="DL40" s="59">
        <f t="shared" ref="DL40:DL60" si="231">+DK40*3.3058</f>
        <v>295844.9785691399</v>
      </c>
      <c r="DM40" s="60">
        <f t="shared" ref="DM40:DM60" si="232">+CA40*EN40</f>
        <v>86651.665099999969</v>
      </c>
      <c r="DN40" s="59">
        <f t="shared" ref="DN40:DN60" si="233">+DM40*3.3058</f>
        <v>286453.07448757993</v>
      </c>
      <c r="DO40" s="60">
        <f t="shared" ref="DO40:DO60" si="234">+CA40*EO40</f>
        <v>83810.626899999959</v>
      </c>
      <c r="DP40" s="59">
        <f t="shared" ref="DP40:DP60" si="235">+DO40*3.3058</f>
        <v>277061.1704060199</v>
      </c>
      <c r="DQ40" s="55">
        <f t="shared" ref="DQ40:DQ60" si="236">+CA40*EP40</f>
        <v>80969.588699999964</v>
      </c>
      <c r="DR40" s="59">
        <f t="shared" ref="DR40:DR60" si="237">+DQ40*3.3058</f>
        <v>267669.26632445987</v>
      </c>
      <c r="DU40" s="55">
        <v>1</v>
      </c>
      <c r="DV40" s="55">
        <v>0.97</v>
      </c>
      <c r="DW40" s="55">
        <v>0.95</v>
      </c>
      <c r="DX40" s="55">
        <v>0.93</v>
      </c>
      <c r="DY40" s="55">
        <f t="shared" ref="DY40:EP54" si="238">+DX40-0.02</f>
        <v>0.91</v>
      </c>
      <c r="DZ40" s="55">
        <f t="shared" si="238"/>
        <v>0.89</v>
      </c>
      <c r="EA40" s="55">
        <f t="shared" si="238"/>
        <v>0.87</v>
      </c>
      <c r="EB40" s="55">
        <f t="shared" si="238"/>
        <v>0.85</v>
      </c>
      <c r="EC40" s="55">
        <f t="shared" si="238"/>
        <v>0.83</v>
      </c>
      <c r="ED40" s="55">
        <f t="shared" si="238"/>
        <v>0.80999999999999994</v>
      </c>
      <c r="EE40" s="55">
        <f t="shared" si="238"/>
        <v>0.78999999999999992</v>
      </c>
      <c r="EF40" s="55">
        <f t="shared" si="238"/>
        <v>0.76999999999999991</v>
      </c>
      <c r="EG40" s="55">
        <f t="shared" si="238"/>
        <v>0.74999999999999989</v>
      </c>
      <c r="EH40" s="55">
        <f t="shared" si="238"/>
        <v>0.72999999999999987</v>
      </c>
      <c r="EI40" s="55">
        <f t="shared" si="238"/>
        <v>0.70999999999999985</v>
      </c>
      <c r="EJ40" s="55">
        <f t="shared" si="238"/>
        <v>0.68999999999999984</v>
      </c>
      <c r="EK40" s="55">
        <f t="shared" si="238"/>
        <v>0.66999999999999982</v>
      </c>
      <c r="EL40" s="55">
        <f t="shared" si="238"/>
        <v>0.6499999999999998</v>
      </c>
      <c r="EM40" s="55">
        <f t="shared" si="238"/>
        <v>0.62999999999999978</v>
      </c>
      <c r="EN40" s="55">
        <f t="shared" si="238"/>
        <v>0.60999999999999976</v>
      </c>
      <c r="EO40" s="55">
        <f t="shared" si="238"/>
        <v>0.58999999999999975</v>
      </c>
      <c r="EP40" s="55">
        <f t="shared" si="238"/>
        <v>0.56999999999999973</v>
      </c>
      <c r="ER40" s="55">
        <f t="shared" si="142"/>
        <v>129267.2381</v>
      </c>
      <c r="ES40" s="55">
        <f t="shared" si="116"/>
        <v>129267.2381</v>
      </c>
      <c r="ET40" s="59">
        <f t="shared" ref="ET40:ET60" si="239">+ES40*3.3058</f>
        <v>427331.63571098004</v>
      </c>
      <c r="EU40" s="55">
        <f t="shared" ref="EU40:EU60" si="240">+ES40*GN40</f>
        <v>125389.220957</v>
      </c>
      <c r="EV40" s="59">
        <f t="shared" ref="EV40:EV60" si="241">+EU40*3.3058</f>
        <v>414511.68663965061</v>
      </c>
      <c r="EW40" s="55">
        <f t="shared" ref="EW40:EW60" si="242">+ES40*GO40</f>
        <v>122803.87619499999</v>
      </c>
      <c r="EX40" s="59">
        <f t="shared" ref="EX40:EX60" si="243">+EW40*3.3058</f>
        <v>405965.05392543098</v>
      </c>
      <c r="EY40" s="55">
        <f t="shared" ref="EY40:EY60" si="244">+ES40*GP40</f>
        <v>120218.53143300001</v>
      </c>
      <c r="EZ40" s="59">
        <f t="shared" ref="EZ40:EZ60" si="245">+EY40*3.3058</f>
        <v>397418.42121121142</v>
      </c>
      <c r="FA40" s="57">
        <f t="shared" ref="FA40:FA60" si="246">+ES40*GQ40</f>
        <v>117633.186671</v>
      </c>
      <c r="FB40" s="59">
        <f t="shared" ref="FB40:FB60" si="247">+FA40*3.3058</f>
        <v>388871.78849699179</v>
      </c>
      <c r="FC40" s="55">
        <f t="shared" ref="FC40:FC60" si="248">+ES40*GR40</f>
        <v>115047.84190900001</v>
      </c>
      <c r="FD40" s="59">
        <f t="shared" ref="FD40:FD60" si="249">+FC40*3.3058</f>
        <v>380325.15578277223</v>
      </c>
      <c r="FE40" s="57">
        <f t="shared" ref="FE40:FE60" si="250">+ES40*GS40</f>
        <v>112462.497147</v>
      </c>
      <c r="FF40" s="59">
        <f t="shared" ref="FF40:FF60" si="251">+FE40*3.3058</f>
        <v>371778.5230685526</v>
      </c>
      <c r="FG40" s="60">
        <f t="shared" ref="FG40:FG60" si="252">+ES40*GT40</f>
        <v>109877.15238499999</v>
      </c>
      <c r="FH40" s="59">
        <f t="shared" ref="FH40:FH60" si="253">+FG40*3.3058</f>
        <v>363231.89035433298</v>
      </c>
      <c r="FI40" s="57">
        <f t="shared" ref="FI40:FI60" si="254">+ES40*GU40</f>
        <v>107291.807623</v>
      </c>
      <c r="FJ40" s="59">
        <f t="shared" ref="FJ40:FJ60" si="255">+FI40*3.3058</f>
        <v>354685.25764011341</v>
      </c>
      <c r="FK40" s="55">
        <f t="shared" ref="FK40:FK60" si="256">+ES40*GV40</f>
        <v>104706.46286099999</v>
      </c>
      <c r="FL40" s="59">
        <f t="shared" ref="FL40:FL60" si="257">+FK40*3.3058</f>
        <v>346138.62492589379</v>
      </c>
      <c r="FM40" s="60">
        <f t="shared" ref="FM40:FM60" si="258">+ES40*GW40</f>
        <v>102121.11809899998</v>
      </c>
      <c r="FN40" s="59">
        <f t="shared" ref="FN40:FN60" si="259">+FM40*3.3058</f>
        <v>337591.99221167417</v>
      </c>
      <c r="FO40" s="60">
        <f t="shared" ref="FO40:FO60" si="260">+ES40*GX40</f>
        <v>99535.773336999991</v>
      </c>
      <c r="FP40" s="59">
        <f t="shared" ref="FP40:FP60" si="261">+FO40*3.3058</f>
        <v>329045.3594974546</v>
      </c>
      <c r="FQ40" s="60">
        <f t="shared" ref="FQ40:FQ60" si="262">+ES40*GY40</f>
        <v>96950.428574999984</v>
      </c>
      <c r="FR40" s="59">
        <f t="shared" ref="FR40:FR60" si="263">+FQ40*3.3058</f>
        <v>320498.72678323498</v>
      </c>
      <c r="FS40" s="55">
        <f t="shared" ref="FS40:FS60" si="264">+ES40*GZ40</f>
        <v>94365.08381299999</v>
      </c>
      <c r="FT40" s="59">
        <f t="shared" ref="FT40:FT60" si="265">+FS40*3.3058</f>
        <v>311952.09406901535</v>
      </c>
      <c r="FU40" s="60">
        <f t="shared" ref="FU40:FU60" si="266">+ES40*HA40</f>
        <v>91779.739050999982</v>
      </c>
      <c r="FV40" s="59">
        <f t="shared" ref="FV40:FV60" si="267">+FU40*3.3058</f>
        <v>303405.46135479573</v>
      </c>
      <c r="FW40" s="60">
        <f t="shared" ref="FW40:FW60" si="268">+ES40*HB40</f>
        <v>89194.394288999974</v>
      </c>
      <c r="FX40" s="59">
        <f t="shared" ref="FX40:FX60" si="269">+FW40*3.3058</f>
        <v>294858.8286405761</v>
      </c>
      <c r="FY40" s="60">
        <f t="shared" ref="FY40:FY60" si="270">+ES40*HC40</f>
        <v>86609.049526999981</v>
      </c>
      <c r="FZ40" s="59">
        <f t="shared" ref="FZ40:FZ60" si="271">+FY40*3.3058</f>
        <v>286312.19592635654</v>
      </c>
      <c r="GA40" s="60">
        <f t="shared" ref="GA40:GA60" si="272">+ES40*HD40</f>
        <v>84023.704764999973</v>
      </c>
      <c r="GB40" s="59">
        <f t="shared" ref="GB40:GB60" si="273">+GA40*3.3058</f>
        <v>277765.56321213691</v>
      </c>
      <c r="GC40" s="55">
        <f t="shared" ref="GC40:GC60" si="274">+ES40*HE40</f>
        <v>81438.36000299998</v>
      </c>
      <c r="GD40" s="59">
        <f t="shared" ref="GD40:GD60" si="275">+GC40*3.3058</f>
        <v>269218.93049791735</v>
      </c>
      <c r="GE40" s="60">
        <f t="shared" ref="GE40:GE60" si="276">+ES40*HF40</f>
        <v>78853.015240999972</v>
      </c>
      <c r="GF40" s="59">
        <f t="shared" ref="GF40:GF60" si="277">+GE40*3.3058</f>
        <v>260672.29778369772</v>
      </c>
      <c r="GG40" s="60">
        <f t="shared" ref="GG40:GG60" si="278">+ES40*HG40</f>
        <v>76267.670478999964</v>
      </c>
      <c r="GH40" s="59">
        <f t="shared" ref="GH40:GH60" si="279">+GG40*3.3058</f>
        <v>252125.6650694781</v>
      </c>
      <c r="GI40" s="55">
        <f t="shared" ref="GI40:GI60" si="280">+ES40*HH40</f>
        <v>73682.325716999971</v>
      </c>
      <c r="GJ40" s="59">
        <f t="shared" ref="GJ40:GJ60" si="281">+GI40*3.3058</f>
        <v>243579.0323552585</v>
      </c>
      <c r="GK40" s="55"/>
      <c r="GL40" s="55"/>
      <c r="GM40" s="55">
        <v>1</v>
      </c>
      <c r="GN40" s="55">
        <v>0.97</v>
      </c>
      <c r="GO40" s="55">
        <v>0.95</v>
      </c>
      <c r="GP40" s="55">
        <v>0.93</v>
      </c>
      <c r="GQ40" s="55">
        <f t="shared" ref="GQ40:HH54" si="282">+GP40-0.02</f>
        <v>0.91</v>
      </c>
      <c r="GR40" s="55">
        <f t="shared" si="282"/>
        <v>0.89</v>
      </c>
      <c r="GS40" s="55">
        <f t="shared" si="282"/>
        <v>0.87</v>
      </c>
      <c r="GT40" s="55">
        <f t="shared" si="282"/>
        <v>0.85</v>
      </c>
      <c r="GU40" s="55">
        <f t="shared" si="282"/>
        <v>0.83</v>
      </c>
      <c r="GV40" s="55">
        <f t="shared" si="282"/>
        <v>0.80999999999999994</v>
      </c>
      <c r="GW40" s="55">
        <f t="shared" si="282"/>
        <v>0.78999999999999992</v>
      </c>
      <c r="GX40" s="55">
        <f t="shared" si="282"/>
        <v>0.76999999999999991</v>
      </c>
      <c r="GY40" s="55">
        <f t="shared" si="282"/>
        <v>0.74999999999999989</v>
      </c>
      <c r="GZ40" s="55">
        <f t="shared" si="282"/>
        <v>0.72999999999999987</v>
      </c>
      <c r="HA40" s="55">
        <f t="shared" si="282"/>
        <v>0.70999999999999985</v>
      </c>
      <c r="HB40" s="55">
        <f t="shared" si="282"/>
        <v>0.68999999999999984</v>
      </c>
      <c r="HC40" s="55">
        <f t="shared" si="282"/>
        <v>0.66999999999999982</v>
      </c>
      <c r="HD40" s="55">
        <f t="shared" si="282"/>
        <v>0.6499999999999998</v>
      </c>
      <c r="HE40" s="55">
        <f t="shared" si="282"/>
        <v>0.62999999999999978</v>
      </c>
      <c r="HF40" s="55">
        <f t="shared" si="282"/>
        <v>0.60999999999999976</v>
      </c>
      <c r="HG40" s="55">
        <f t="shared" si="282"/>
        <v>0.58999999999999975</v>
      </c>
      <c r="HH40" s="55">
        <f t="shared" si="282"/>
        <v>0.56999999999999973</v>
      </c>
    </row>
    <row r="41" spans="1:216" x14ac:dyDescent="0.3">
      <c r="A41" s="2">
        <v>2</v>
      </c>
      <c r="C41" s="38" t="s">
        <v>13</v>
      </c>
      <c r="D41" s="42">
        <f>TRUNC(192940,-1)</f>
        <v>192940</v>
      </c>
      <c r="E41" s="71">
        <f t="shared" si="152"/>
        <v>637820</v>
      </c>
      <c r="H41" s="55">
        <f t="shared" si="61"/>
        <v>701602</v>
      </c>
      <c r="I41" s="55">
        <f t="shared" si="62"/>
        <v>701602</v>
      </c>
      <c r="J41" s="59">
        <f t="shared" si="63"/>
        <v>2319355.8916000002</v>
      </c>
      <c r="K41" s="55">
        <f t="shared" si="153"/>
        <v>680553.94</v>
      </c>
      <c r="L41" s="59">
        <f t="shared" si="154"/>
        <v>2249775.2148519997</v>
      </c>
      <c r="M41" s="55">
        <f t="shared" si="155"/>
        <v>666521.9</v>
      </c>
      <c r="N41" s="59">
        <f t="shared" si="156"/>
        <v>2203388.0970200002</v>
      </c>
      <c r="O41" s="55">
        <f t="shared" si="157"/>
        <v>652489.86</v>
      </c>
      <c r="P41" s="59">
        <f t="shared" si="158"/>
        <v>2157000.9791879999</v>
      </c>
      <c r="Q41" s="57">
        <f t="shared" si="159"/>
        <v>638457.82000000007</v>
      </c>
      <c r="R41" s="59">
        <f t="shared" si="160"/>
        <v>2110613.8613560004</v>
      </c>
      <c r="S41" s="55">
        <f t="shared" si="161"/>
        <v>624425.78</v>
      </c>
      <c r="T41" s="59">
        <f t="shared" si="162"/>
        <v>2064226.743524</v>
      </c>
      <c r="U41" s="57">
        <f t="shared" si="163"/>
        <v>610393.74</v>
      </c>
      <c r="V41" s="59">
        <f t="shared" si="164"/>
        <v>2017839.6256919999</v>
      </c>
      <c r="W41" s="60">
        <f t="shared" si="165"/>
        <v>596361.69999999995</v>
      </c>
      <c r="X41" s="59">
        <f t="shared" si="166"/>
        <v>1971452.5078599998</v>
      </c>
      <c r="Y41" s="57">
        <f t="shared" si="167"/>
        <v>582329.65999999992</v>
      </c>
      <c r="Z41" s="59">
        <f t="shared" si="168"/>
        <v>1925065.3900279999</v>
      </c>
      <c r="AA41" s="55">
        <f t="shared" si="169"/>
        <v>568297.62</v>
      </c>
      <c r="AB41" s="59">
        <f t="shared" si="170"/>
        <v>1878678.272196</v>
      </c>
      <c r="AC41" s="60">
        <f t="shared" si="171"/>
        <v>554265.57999999996</v>
      </c>
      <c r="AD41" s="59">
        <f t="shared" si="172"/>
        <v>1832291.1543639998</v>
      </c>
      <c r="AE41" s="60">
        <f t="shared" si="173"/>
        <v>540233.53999999992</v>
      </c>
      <c r="AF41" s="59">
        <f t="shared" si="174"/>
        <v>1785904.0365319997</v>
      </c>
      <c r="AG41" s="60">
        <f t="shared" si="175"/>
        <v>526201.49999999988</v>
      </c>
      <c r="AH41" s="59">
        <f t="shared" si="176"/>
        <v>1739516.9186999996</v>
      </c>
      <c r="AI41" s="55">
        <f t="shared" si="177"/>
        <v>512169.4599999999</v>
      </c>
      <c r="AJ41" s="59">
        <f t="shared" si="178"/>
        <v>1693129.8008679997</v>
      </c>
      <c r="AK41" s="60">
        <f t="shared" si="179"/>
        <v>498137.41999999993</v>
      </c>
      <c r="AL41" s="59">
        <f t="shared" si="180"/>
        <v>1646742.6830359998</v>
      </c>
      <c r="AM41" s="60">
        <f t="shared" si="181"/>
        <v>484105.37999999989</v>
      </c>
      <c r="AN41" s="59">
        <f t="shared" si="182"/>
        <v>1600355.5652039996</v>
      </c>
      <c r="AO41" s="60">
        <f t="shared" si="183"/>
        <v>470073.33999999985</v>
      </c>
      <c r="AP41" s="59">
        <f t="shared" si="184"/>
        <v>1553968.4473719995</v>
      </c>
      <c r="AQ41" s="60">
        <f t="shared" si="185"/>
        <v>456041.29999999987</v>
      </c>
      <c r="AR41" s="59">
        <f t="shared" si="186"/>
        <v>1507581.3295399996</v>
      </c>
      <c r="AS41" s="55">
        <f t="shared" si="187"/>
        <v>442009.25999999983</v>
      </c>
      <c r="AT41" s="59">
        <f t="shared" si="188"/>
        <v>1461194.2117079995</v>
      </c>
      <c r="AU41" s="60">
        <f t="shared" si="189"/>
        <v>427977.21999999986</v>
      </c>
      <c r="AV41" s="59">
        <f t="shared" si="190"/>
        <v>1414807.0938759996</v>
      </c>
      <c r="AW41" s="60">
        <f t="shared" si="191"/>
        <v>413945.17999999982</v>
      </c>
      <c r="AX41" s="59">
        <f t="shared" si="192"/>
        <v>1368419.9760439994</v>
      </c>
      <c r="AY41" s="55">
        <f t="shared" si="193"/>
        <v>399913.13999999978</v>
      </c>
      <c r="AZ41" s="59">
        <f t="shared" si="194"/>
        <v>1322032.8582119993</v>
      </c>
      <c r="BC41" s="55">
        <v>1</v>
      </c>
      <c r="BD41" s="55">
        <v>0.97</v>
      </c>
      <c r="BE41" s="55">
        <v>0.95</v>
      </c>
      <c r="BF41" s="55">
        <v>0.93</v>
      </c>
      <c r="BG41" s="55">
        <f t="shared" si="143"/>
        <v>0.91</v>
      </c>
      <c r="BH41" s="55">
        <f t="shared" si="143"/>
        <v>0.89</v>
      </c>
      <c r="BI41" s="55">
        <f t="shared" si="143"/>
        <v>0.87</v>
      </c>
      <c r="BJ41" s="55">
        <f t="shared" si="143"/>
        <v>0.85</v>
      </c>
      <c r="BK41" s="55">
        <f t="shared" si="143"/>
        <v>0.83</v>
      </c>
      <c r="BL41" s="55">
        <f t="shared" si="143"/>
        <v>0.80999999999999994</v>
      </c>
      <c r="BM41" s="55">
        <f t="shared" si="143"/>
        <v>0.78999999999999992</v>
      </c>
      <c r="BN41" s="55">
        <f t="shared" si="143"/>
        <v>0.76999999999999991</v>
      </c>
      <c r="BO41" s="55">
        <f t="shared" si="143"/>
        <v>0.74999999999999989</v>
      </c>
      <c r="BP41" s="55">
        <f t="shared" si="143"/>
        <v>0.72999999999999987</v>
      </c>
      <c r="BQ41" s="55">
        <f t="shared" si="143"/>
        <v>0.70999999999999985</v>
      </c>
      <c r="BR41" s="55">
        <f t="shared" si="143"/>
        <v>0.68999999999999984</v>
      </c>
      <c r="BS41" s="55">
        <f t="shared" si="143"/>
        <v>0.66999999999999982</v>
      </c>
      <c r="BT41" s="55">
        <f t="shared" si="143"/>
        <v>0.6499999999999998</v>
      </c>
      <c r="BU41" s="55">
        <f t="shared" si="143"/>
        <v>0.62999999999999978</v>
      </c>
      <c r="BV41" s="55">
        <f t="shared" si="143"/>
        <v>0.60999999999999976</v>
      </c>
      <c r="BW41" s="55">
        <f t="shared" si="143"/>
        <v>0.58999999999999975</v>
      </c>
      <c r="BX41" s="55">
        <f t="shared" si="143"/>
        <v>0.56999999999999973</v>
      </c>
      <c r="BZ41" s="55">
        <f t="shared" si="88"/>
        <v>638457.82000000007</v>
      </c>
      <c r="CA41" s="55">
        <f t="shared" si="89"/>
        <v>638457.82000000007</v>
      </c>
      <c r="CB41" s="59">
        <f t="shared" si="195"/>
        <v>2110613.8613560004</v>
      </c>
      <c r="CC41" s="55">
        <f t="shared" si="196"/>
        <v>619304.0854000001</v>
      </c>
      <c r="CD41" s="59">
        <f t="shared" si="197"/>
        <v>2047295.4455153204</v>
      </c>
      <c r="CE41" s="55">
        <f t="shared" si="198"/>
        <v>606534.929</v>
      </c>
      <c r="CF41" s="59">
        <f t="shared" si="199"/>
        <v>2005083.1682882002</v>
      </c>
      <c r="CG41" s="55">
        <f t="shared" si="200"/>
        <v>593765.77260000014</v>
      </c>
      <c r="CH41" s="59">
        <f t="shared" si="201"/>
        <v>1962870.8910610806</v>
      </c>
      <c r="CI41" s="57">
        <f t="shared" si="202"/>
        <v>580996.61620000005</v>
      </c>
      <c r="CJ41" s="59">
        <f t="shared" si="203"/>
        <v>1920658.6138339601</v>
      </c>
      <c r="CK41" s="55">
        <f t="shared" si="204"/>
        <v>568227.45980000007</v>
      </c>
      <c r="CL41" s="59">
        <f t="shared" si="205"/>
        <v>1878446.3366068404</v>
      </c>
      <c r="CM41" s="57">
        <f t="shared" si="206"/>
        <v>555458.30340000009</v>
      </c>
      <c r="CN41" s="59">
        <f t="shared" si="207"/>
        <v>1836234.0593797204</v>
      </c>
      <c r="CO41" s="60">
        <f t="shared" si="208"/>
        <v>542689.147</v>
      </c>
      <c r="CP41" s="59">
        <f t="shared" si="209"/>
        <v>1794021.7821526001</v>
      </c>
      <c r="CQ41" s="57">
        <f t="shared" si="210"/>
        <v>529919.99060000002</v>
      </c>
      <c r="CR41" s="59">
        <f t="shared" si="211"/>
        <v>1751809.5049254801</v>
      </c>
      <c r="CS41" s="55">
        <f t="shared" si="212"/>
        <v>517150.83420000004</v>
      </c>
      <c r="CT41" s="59">
        <f t="shared" si="213"/>
        <v>1709597.2276983601</v>
      </c>
      <c r="CU41" s="60">
        <f t="shared" si="214"/>
        <v>504381.6778</v>
      </c>
      <c r="CV41" s="59">
        <f t="shared" si="215"/>
        <v>1667384.9504712401</v>
      </c>
      <c r="CW41" s="60">
        <f t="shared" si="216"/>
        <v>491612.52139999997</v>
      </c>
      <c r="CX41" s="59">
        <f t="shared" si="217"/>
        <v>1625172.6732441199</v>
      </c>
      <c r="CY41" s="60">
        <f t="shared" si="218"/>
        <v>478843.36499999999</v>
      </c>
      <c r="CZ41" s="59">
        <f t="shared" si="219"/>
        <v>1582960.3960170001</v>
      </c>
      <c r="DA41" s="55">
        <f t="shared" si="220"/>
        <v>466074.20859999995</v>
      </c>
      <c r="DB41" s="59">
        <f t="shared" si="221"/>
        <v>1540748.1187898798</v>
      </c>
      <c r="DC41" s="60">
        <f t="shared" si="222"/>
        <v>453305.05219999998</v>
      </c>
      <c r="DD41" s="59">
        <f t="shared" si="223"/>
        <v>1498535.8415627601</v>
      </c>
      <c r="DE41" s="60">
        <f t="shared" si="224"/>
        <v>440535.89579999994</v>
      </c>
      <c r="DF41" s="59">
        <f t="shared" si="225"/>
        <v>1456323.5643356398</v>
      </c>
      <c r="DG41" s="60">
        <f t="shared" si="226"/>
        <v>427766.7393999999</v>
      </c>
      <c r="DH41" s="59">
        <f t="shared" si="227"/>
        <v>1414111.2871085198</v>
      </c>
      <c r="DI41" s="60">
        <f t="shared" si="228"/>
        <v>414997.58299999993</v>
      </c>
      <c r="DJ41" s="59">
        <f t="shared" si="229"/>
        <v>1371899.0098813998</v>
      </c>
      <c r="DK41" s="55">
        <f t="shared" si="230"/>
        <v>402228.42659999989</v>
      </c>
      <c r="DL41" s="59">
        <f t="shared" si="231"/>
        <v>1329686.7326542796</v>
      </c>
      <c r="DM41" s="60">
        <f t="shared" si="232"/>
        <v>389459.27019999991</v>
      </c>
      <c r="DN41" s="59">
        <f t="shared" si="233"/>
        <v>1287474.4554271598</v>
      </c>
      <c r="DO41" s="60">
        <f t="shared" si="234"/>
        <v>376690.11379999988</v>
      </c>
      <c r="DP41" s="59">
        <f t="shared" si="235"/>
        <v>1245262.1782000395</v>
      </c>
      <c r="DQ41" s="55">
        <f t="shared" si="236"/>
        <v>363920.95739999984</v>
      </c>
      <c r="DR41" s="59">
        <f t="shared" si="237"/>
        <v>1203049.9009729195</v>
      </c>
      <c r="DU41" s="55">
        <v>1</v>
      </c>
      <c r="DV41" s="55">
        <v>0.97</v>
      </c>
      <c r="DW41" s="55">
        <v>0.95</v>
      </c>
      <c r="DX41" s="55">
        <v>0.93</v>
      </c>
      <c r="DY41" s="55">
        <f t="shared" si="238"/>
        <v>0.91</v>
      </c>
      <c r="DZ41" s="55">
        <f t="shared" si="238"/>
        <v>0.89</v>
      </c>
      <c r="EA41" s="55">
        <f t="shared" si="238"/>
        <v>0.87</v>
      </c>
      <c r="EB41" s="55">
        <f t="shared" si="238"/>
        <v>0.85</v>
      </c>
      <c r="EC41" s="55">
        <f t="shared" si="238"/>
        <v>0.83</v>
      </c>
      <c r="ED41" s="55">
        <f t="shared" si="238"/>
        <v>0.80999999999999994</v>
      </c>
      <c r="EE41" s="55">
        <f t="shared" si="238"/>
        <v>0.78999999999999992</v>
      </c>
      <c r="EF41" s="55">
        <f t="shared" si="238"/>
        <v>0.76999999999999991</v>
      </c>
      <c r="EG41" s="55">
        <f t="shared" si="238"/>
        <v>0.74999999999999989</v>
      </c>
      <c r="EH41" s="55">
        <f t="shared" si="238"/>
        <v>0.72999999999999987</v>
      </c>
      <c r="EI41" s="55">
        <f t="shared" si="238"/>
        <v>0.70999999999999985</v>
      </c>
      <c r="EJ41" s="55">
        <f t="shared" si="238"/>
        <v>0.68999999999999984</v>
      </c>
      <c r="EK41" s="55">
        <f t="shared" si="238"/>
        <v>0.66999999999999982</v>
      </c>
      <c r="EL41" s="55">
        <f t="shared" si="238"/>
        <v>0.6499999999999998</v>
      </c>
      <c r="EM41" s="55">
        <f t="shared" si="238"/>
        <v>0.62999999999999978</v>
      </c>
      <c r="EN41" s="55">
        <f t="shared" si="238"/>
        <v>0.60999999999999976</v>
      </c>
      <c r="EO41" s="55">
        <f t="shared" si="238"/>
        <v>0.58999999999999975</v>
      </c>
      <c r="EP41" s="55">
        <f t="shared" si="238"/>
        <v>0.56999999999999973</v>
      </c>
      <c r="ER41" s="55">
        <f t="shared" si="142"/>
        <v>580996.61620000005</v>
      </c>
      <c r="ES41" s="55">
        <f t="shared" si="116"/>
        <v>580996.61620000005</v>
      </c>
      <c r="ET41" s="59">
        <f t="shared" si="239"/>
        <v>1920658.6138339601</v>
      </c>
      <c r="EU41" s="55">
        <f t="shared" si="240"/>
        <v>563566.71771400003</v>
      </c>
      <c r="EV41" s="59">
        <f t="shared" si="241"/>
        <v>1863038.8554189412</v>
      </c>
      <c r="EW41" s="55">
        <f t="shared" si="242"/>
        <v>551946.78538999998</v>
      </c>
      <c r="EX41" s="59">
        <f t="shared" si="243"/>
        <v>1824625.683142262</v>
      </c>
      <c r="EY41" s="55">
        <f t="shared" si="244"/>
        <v>540326.85306600004</v>
      </c>
      <c r="EZ41" s="59">
        <f t="shared" si="245"/>
        <v>1786212.5108655831</v>
      </c>
      <c r="FA41" s="57">
        <f t="shared" si="246"/>
        <v>528706.9207420001</v>
      </c>
      <c r="FB41" s="59">
        <f t="shared" si="247"/>
        <v>1747799.3385889039</v>
      </c>
      <c r="FC41" s="55">
        <f t="shared" si="248"/>
        <v>517086.98841800005</v>
      </c>
      <c r="FD41" s="59">
        <f t="shared" si="249"/>
        <v>1709386.1663122247</v>
      </c>
      <c r="FE41" s="57">
        <f t="shared" si="250"/>
        <v>505467.05609400006</v>
      </c>
      <c r="FF41" s="59">
        <f t="shared" si="251"/>
        <v>1670972.9940355455</v>
      </c>
      <c r="FG41" s="60">
        <f t="shared" si="252"/>
        <v>493847.12377000001</v>
      </c>
      <c r="FH41" s="59">
        <f t="shared" si="253"/>
        <v>1632559.8217588661</v>
      </c>
      <c r="FI41" s="57">
        <f t="shared" si="254"/>
        <v>482227.19144600001</v>
      </c>
      <c r="FJ41" s="59">
        <f t="shared" si="255"/>
        <v>1594146.6494821869</v>
      </c>
      <c r="FK41" s="55">
        <f t="shared" si="256"/>
        <v>470607.25912200002</v>
      </c>
      <c r="FL41" s="59">
        <f t="shared" si="257"/>
        <v>1555733.4772055077</v>
      </c>
      <c r="FM41" s="60">
        <f t="shared" si="258"/>
        <v>458987.32679799997</v>
      </c>
      <c r="FN41" s="59">
        <f t="shared" si="259"/>
        <v>1517320.3049288283</v>
      </c>
      <c r="FO41" s="60">
        <f t="shared" si="260"/>
        <v>447367.39447399997</v>
      </c>
      <c r="FP41" s="59">
        <f t="shared" si="261"/>
        <v>1478907.1326521491</v>
      </c>
      <c r="FQ41" s="60">
        <f t="shared" si="262"/>
        <v>435747.46214999998</v>
      </c>
      <c r="FR41" s="59">
        <f t="shared" si="263"/>
        <v>1440493.9603754699</v>
      </c>
      <c r="FS41" s="55">
        <f t="shared" si="264"/>
        <v>424127.52982599998</v>
      </c>
      <c r="FT41" s="59">
        <f t="shared" si="265"/>
        <v>1402080.7880987907</v>
      </c>
      <c r="FU41" s="60">
        <f t="shared" si="266"/>
        <v>412507.59750199993</v>
      </c>
      <c r="FV41" s="59">
        <f t="shared" si="267"/>
        <v>1363667.6158221115</v>
      </c>
      <c r="FW41" s="60">
        <f t="shared" si="268"/>
        <v>400887.66517799994</v>
      </c>
      <c r="FX41" s="59">
        <f t="shared" si="269"/>
        <v>1325254.4435454323</v>
      </c>
      <c r="FY41" s="60">
        <f t="shared" si="270"/>
        <v>389267.73285399994</v>
      </c>
      <c r="FZ41" s="59">
        <f t="shared" si="271"/>
        <v>1286841.2712687531</v>
      </c>
      <c r="GA41" s="60">
        <f t="shared" si="272"/>
        <v>377647.80052999989</v>
      </c>
      <c r="GB41" s="59">
        <f t="shared" si="273"/>
        <v>1248428.0989920737</v>
      </c>
      <c r="GC41" s="55">
        <f t="shared" si="274"/>
        <v>366027.8682059999</v>
      </c>
      <c r="GD41" s="59">
        <f t="shared" si="275"/>
        <v>1210014.9267153945</v>
      </c>
      <c r="GE41" s="60">
        <f t="shared" si="276"/>
        <v>354407.9358819999</v>
      </c>
      <c r="GF41" s="59">
        <f t="shared" si="277"/>
        <v>1171601.7544387153</v>
      </c>
      <c r="GG41" s="60">
        <f t="shared" si="278"/>
        <v>342788.00355799991</v>
      </c>
      <c r="GH41" s="59">
        <f t="shared" si="279"/>
        <v>1133188.5821620361</v>
      </c>
      <c r="GI41" s="55">
        <f t="shared" si="280"/>
        <v>331168.07123399986</v>
      </c>
      <c r="GJ41" s="59">
        <f t="shared" si="281"/>
        <v>1094775.4098853567</v>
      </c>
      <c r="GK41" s="55"/>
      <c r="GL41" s="55"/>
      <c r="GM41" s="55">
        <v>1</v>
      </c>
      <c r="GN41" s="55">
        <v>0.97</v>
      </c>
      <c r="GO41" s="55">
        <v>0.95</v>
      </c>
      <c r="GP41" s="55">
        <v>0.93</v>
      </c>
      <c r="GQ41" s="55">
        <f t="shared" si="282"/>
        <v>0.91</v>
      </c>
      <c r="GR41" s="55">
        <f t="shared" si="282"/>
        <v>0.89</v>
      </c>
      <c r="GS41" s="55">
        <f t="shared" si="282"/>
        <v>0.87</v>
      </c>
      <c r="GT41" s="55">
        <f t="shared" si="282"/>
        <v>0.85</v>
      </c>
      <c r="GU41" s="55">
        <f t="shared" si="282"/>
        <v>0.83</v>
      </c>
      <c r="GV41" s="55">
        <f t="shared" si="282"/>
        <v>0.80999999999999994</v>
      </c>
      <c r="GW41" s="55">
        <f t="shared" si="282"/>
        <v>0.78999999999999992</v>
      </c>
      <c r="GX41" s="55">
        <f t="shared" si="282"/>
        <v>0.76999999999999991</v>
      </c>
      <c r="GY41" s="55">
        <f t="shared" si="282"/>
        <v>0.74999999999999989</v>
      </c>
      <c r="GZ41" s="55">
        <f t="shared" si="282"/>
        <v>0.72999999999999987</v>
      </c>
      <c r="HA41" s="55">
        <f t="shared" si="282"/>
        <v>0.70999999999999985</v>
      </c>
      <c r="HB41" s="55">
        <f t="shared" si="282"/>
        <v>0.68999999999999984</v>
      </c>
      <c r="HC41" s="55">
        <f t="shared" si="282"/>
        <v>0.66999999999999982</v>
      </c>
      <c r="HD41" s="55">
        <f t="shared" si="282"/>
        <v>0.6499999999999998</v>
      </c>
      <c r="HE41" s="55">
        <f t="shared" si="282"/>
        <v>0.62999999999999978</v>
      </c>
      <c r="HF41" s="55">
        <f t="shared" si="282"/>
        <v>0.60999999999999976</v>
      </c>
      <c r="HG41" s="55">
        <f t="shared" si="282"/>
        <v>0.58999999999999975</v>
      </c>
      <c r="HH41" s="55">
        <f t="shared" si="282"/>
        <v>0.56999999999999973</v>
      </c>
    </row>
    <row r="42" spans="1:216" x14ac:dyDescent="0.3">
      <c r="A42" s="2">
        <v>3</v>
      </c>
      <c r="C42" s="38" t="s">
        <v>14</v>
      </c>
      <c r="D42" s="42">
        <f>TRUNC(12962,-1)</f>
        <v>12960</v>
      </c>
      <c r="E42" s="71">
        <f t="shared" si="152"/>
        <v>42840</v>
      </c>
      <c r="H42" s="55">
        <f t="shared" si="61"/>
        <v>47124.000000000007</v>
      </c>
      <c r="I42" s="55">
        <f t="shared" si="62"/>
        <v>47124.000000000007</v>
      </c>
      <c r="J42" s="59">
        <f t="shared" si="63"/>
        <v>155782.51920000004</v>
      </c>
      <c r="K42" s="55">
        <f t="shared" si="153"/>
        <v>45710.280000000006</v>
      </c>
      <c r="L42" s="59">
        <f t="shared" si="154"/>
        <v>151109.04362400001</v>
      </c>
      <c r="M42" s="55">
        <f t="shared" si="155"/>
        <v>44767.8</v>
      </c>
      <c r="N42" s="59">
        <f t="shared" si="156"/>
        <v>147993.39324</v>
      </c>
      <c r="O42" s="55">
        <f t="shared" si="157"/>
        <v>43825.320000000007</v>
      </c>
      <c r="P42" s="59">
        <f t="shared" si="158"/>
        <v>144877.74285600003</v>
      </c>
      <c r="Q42" s="57">
        <f t="shared" si="159"/>
        <v>42882.840000000011</v>
      </c>
      <c r="R42" s="59">
        <f t="shared" si="160"/>
        <v>141762.09247200005</v>
      </c>
      <c r="S42" s="55">
        <f t="shared" si="161"/>
        <v>41940.360000000008</v>
      </c>
      <c r="T42" s="59">
        <f t="shared" si="162"/>
        <v>138646.44208800004</v>
      </c>
      <c r="U42" s="57">
        <f t="shared" si="163"/>
        <v>40997.880000000005</v>
      </c>
      <c r="V42" s="59">
        <f t="shared" si="164"/>
        <v>135530.79170400003</v>
      </c>
      <c r="W42" s="60">
        <f t="shared" si="165"/>
        <v>40055.400000000009</v>
      </c>
      <c r="X42" s="59">
        <f t="shared" si="166"/>
        <v>132415.14132000002</v>
      </c>
      <c r="Y42" s="57">
        <f t="shared" si="167"/>
        <v>39112.920000000006</v>
      </c>
      <c r="Z42" s="59">
        <f t="shared" si="168"/>
        <v>129299.49093600002</v>
      </c>
      <c r="AA42" s="55">
        <f t="shared" si="169"/>
        <v>38170.44</v>
      </c>
      <c r="AB42" s="59">
        <f t="shared" si="170"/>
        <v>126183.84055200001</v>
      </c>
      <c r="AC42" s="60">
        <f t="shared" si="171"/>
        <v>37227.96</v>
      </c>
      <c r="AD42" s="59">
        <f t="shared" si="172"/>
        <v>123068.190168</v>
      </c>
      <c r="AE42" s="60">
        <f t="shared" si="173"/>
        <v>36285.480000000003</v>
      </c>
      <c r="AF42" s="59">
        <f t="shared" si="174"/>
        <v>119952.53978400001</v>
      </c>
      <c r="AG42" s="60">
        <f t="shared" si="175"/>
        <v>35343</v>
      </c>
      <c r="AH42" s="59">
        <f t="shared" si="176"/>
        <v>116836.8894</v>
      </c>
      <c r="AI42" s="55">
        <f t="shared" si="177"/>
        <v>34400.519999999997</v>
      </c>
      <c r="AJ42" s="59">
        <f t="shared" si="178"/>
        <v>113721.23901599999</v>
      </c>
      <c r="AK42" s="60">
        <f t="shared" si="179"/>
        <v>33458.04</v>
      </c>
      <c r="AL42" s="59">
        <f t="shared" si="180"/>
        <v>110605.588632</v>
      </c>
      <c r="AM42" s="60">
        <f t="shared" si="181"/>
        <v>32515.559999999998</v>
      </c>
      <c r="AN42" s="59">
        <f t="shared" si="182"/>
        <v>107489.93824799999</v>
      </c>
      <c r="AO42" s="60">
        <f t="shared" si="183"/>
        <v>31573.079999999998</v>
      </c>
      <c r="AP42" s="59">
        <f t="shared" si="184"/>
        <v>104374.287864</v>
      </c>
      <c r="AQ42" s="60">
        <f t="shared" si="185"/>
        <v>30630.599999999995</v>
      </c>
      <c r="AR42" s="59">
        <f t="shared" si="186"/>
        <v>101258.63747999999</v>
      </c>
      <c r="AS42" s="55">
        <f t="shared" si="187"/>
        <v>29688.119999999995</v>
      </c>
      <c r="AT42" s="59">
        <f t="shared" si="188"/>
        <v>98142.987095999983</v>
      </c>
      <c r="AU42" s="60">
        <f t="shared" si="189"/>
        <v>28745.639999999992</v>
      </c>
      <c r="AV42" s="59">
        <f t="shared" si="190"/>
        <v>95027.336711999975</v>
      </c>
      <c r="AW42" s="60">
        <f t="shared" si="191"/>
        <v>27803.159999999993</v>
      </c>
      <c r="AX42" s="59">
        <f t="shared" si="192"/>
        <v>91911.686327999982</v>
      </c>
      <c r="AY42" s="55">
        <f t="shared" si="193"/>
        <v>26860.679999999993</v>
      </c>
      <c r="AZ42" s="59">
        <f t="shared" si="194"/>
        <v>88796.035943999974</v>
      </c>
      <c r="BC42" s="55">
        <v>1</v>
      </c>
      <c r="BD42" s="55">
        <v>0.97</v>
      </c>
      <c r="BE42" s="55">
        <v>0.95</v>
      </c>
      <c r="BF42" s="55">
        <v>0.93</v>
      </c>
      <c r="BG42" s="55">
        <f t="shared" si="143"/>
        <v>0.91</v>
      </c>
      <c r="BH42" s="55">
        <f t="shared" si="143"/>
        <v>0.89</v>
      </c>
      <c r="BI42" s="55">
        <f t="shared" si="143"/>
        <v>0.87</v>
      </c>
      <c r="BJ42" s="55">
        <f t="shared" si="143"/>
        <v>0.85</v>
      </c>
      <c r="BK42" s="55">
        <f t="shared" si="143"/>
        <v>0.83</v>
      </c>
      <c r="BL42" s="55">
        <f t="shared" si="143"/>
        <v>0.80999999999999994</v>
      </c>
      <c r="BM42" s="55">
        <f t="shared" si="143"/>
        <v>0.78999999999999992</v>
      </c>
      <c r="BN42" s="55">
        <f t="shared" si="143"/>
        <v>0.76999999999999991</v>
      </c>
      <c r="BO42" s="55">
        <f t="shared" si="143"/>
        <v>0.74999999999999989</v>
      </c>
      <c r="BP42" s="55">
        <f t="shared" si="143"/>
        <v>0.72999999999999987</v>
      </c>
      <c r="BQ42" s="55">
        <f t="shared" si="143"/>
        <v>0.70999999999999985</v>
      </c>
      <c r="BR42" s="55">
        <f t="shared" si="143"/>
        <v>0.68999999999999984</v>
      </c>
      <c r="BS42" s="55">
        <f t="shared" si="143"/>
        <v>0.66999999999999982</v>
      </c>
      <c r="BT42" s="55">
        <f t="shared" si="143"/>
        <v>0.6499999999999998</v>
      </c>
      <c r="BU42" s="55">
        <f t="shared" si="143"/>
        <v>0.62999999999999978</v>
      </c>
      <c r="BV42" s="55">
        <f t="shared" si="143"/>
        <v>0.60999999999999976</v>
      </c>
      <c r="BW42" s="55">
        <f t="shared" si="143"/>
        <v>0.58999999999999975</v>
      </c>
      <c r="BX42" s="55">
        <f t="shared" si="143"/>
        <v>0.56999999999999973</v>
      </c>
      <c r="BZ42" s="55">
        <f t="shared" si="88"/>
        <v>42882.840000000011</v>
      </c>
      <c r="CA42" s="55">
        <f t="shared" si="89"/>
        <v>42882.840000000011</v>
      </c>
      <c r="CB42" s="59">
        <f t="shared" si="195"/>
        <v>141762.09247200005</v>
      </c>
      <c r="CC42" s="55">
        <f t="shared" si="196"/>
        <v>41596.354800000008</v>
      </c>
      <c r="CD42" s="59">
        <f t="shared" si="197"/>
        <v>137509.22969784003</v>
      </c>
      <c r="CE42" s="55">
        <f t="shared" si="198"/>
        <v>40738.698000000011</v>
      </c>
      <c r="CF42" s="59">
        <f t="shared" si="199"/>
        <v>134673.98784840005</v>
      </c>
      <c r="CG42" s="55">
        <f t="shared" si="200"/>
        <v>39881.041200000014</v>
      </c>
      <c r="CH42" s="59">
        <f t="shared" si="201"/>
        <v>131838.74599896005</v>
      </c>
      <c r="CI42" s="57">
        <f t="shared" si="202"/>
        <v>39023.38440000001</v>
      </c>
      <c r="CJ42" s="59">
        <f t="shared" si="203"/>
        <v>129003.50414952004</v>
      </c>
      <c r="CK42" s="55">
        <f t="shared" si="204"/>
        <v>38165.727600000013</v>
      </c>
      <c r="CL42" s="59">
        <f t="shared" si="205"/>
        <v>126168.26230008005</v>
      </c>
      <c r="CM42" s="57">
        <f t="shared" si="206"/>
        <v>37308.070800000009</v>
      </c>
      <c r="CN42" s="59">
        <f t="shared" si="207"/>
        <v>123333.02045064003</v>
      </c>
      <c r="CO42" s="60">
        <f t="shared" si="208"/>
        <v>36450.414000000012</v>
      </c>
      <c r="CP42" s="59">
        <f t="shared" si="209"/>
        <v>120497.77860120004</v>
      </c>
      <c r="CQ42" s="57">
        <f t="shared" si="210"/>
        <v>35592.757200000007</v>
      </c>
      <c r="CR42" s="59">
        <f t="shared" si="211"/>
        <v>117662.53675176002</v>
      </c>
      <c r="CS42" s="55">
        <f t="shared" si="212"/>
        <v>34735.100400000003</v>
      </c>
      <c r="CT42" s="59">
        <f t="shared" si="213"/>
        <v>114827.29490232001</v>
      </c>
      <c r="CU42" s="60">
        <f t="shared" si="214"/>
        <v>33877.443600000006</v>
      </c>
      <c r="CV42" s="59">
        <f t="shared" si="215"/>
        <v>111992.05305288002</v>
      </c>
      <c r="CW42" s="60">
        <f t="shared" si="216"/>
        <v>33019.786800000002</v>
      </c>
      <c r="CX42" s="59">
        <f t="shared" si="217"/>
        <v>109156.81120344001</v>
      </c>
      <c r="CY42" s="60">
        <f t="shared" si="218"/>
        <v>32162.130000000005</v>
      </c>
      <c r="CZ42" s="59">
        <f t="shared" si="219"/>
        <v>106321.56935400002</v>
      </c>
      <c r="DA42" s="55">
        <f t="shared" si="220"/>
        <v>31304.473200000004</v>
      </c>
      <c r="DB42" s="59">
        <f t="shared" si="221"/>
        <v>103486.32750456002</v>
      </c>
      <c r="DC42" s="60">
        <f t="shared" si="222"/>
        <v>30446.816400000003</v>
      </c>
      <c r="DD42" s="59">
        <f t="shared" si="223"/>
        <v>100651.08565512001</v>
      </c>
      <c r="DE42" s="60">
        <f t="shared" si="224"/>
        <v>29589.159599999999</v>
      </c>
      <c r="DF42" s="59">
        <f t="shared" si="225"/>
        <v>97815.843805679993</v>
      </c>
      <c r="DG42" s="60">
        <f t="shared" si="226"/>
        <v>28731.502799999998</v>
      </c>
      <c r="DH42" s="59">
        <f t="shared" si="227"/>
        <v>94980.601956240003</v>
      </c>
      <c r="DI42" s="60">
        <f t="shared" si="228"/>
        <v>27873.845999999998</v>
      </c>
      <c r="DJ42" s="59">
        <f t="shared" si="229"/>
        <v>92145.360106799999</v>
      </c>
      <c r="DK42" s="55">
        <f t="shared" si="230"/>
        <v>27016.189199999997</v>
      </c>
      <c r="DL42" s="59">
        <f t="shared" si="231"/>
        <v>89310.118257359994</v>
      </c>
      <c r="DM42" s="60">
        <f t="shared" si="232"/>
        <v>26158.532399999996</v>
      </c>
      <c r="DN42" s="59">
        <f t="shared" si="233"/>
        <v>86474.87640791999</v>
      </c>
      <c r="DO42" s="60">
        <f t="shared" si="234"/>
        <v>25300.875599999996</v>
      </c>
      <c r="DP42" s="59">
        <f t="shared" si="235"/>
        <v>83639.634558479986</v>
      </c>
      <c r="DQ42" s="55">
        <f t="shared" si="236"/>
        <v>24443.218799999995</v>
      </c>
      <c r="DR42" s="59">
        <f t="shared" si="237"/>
        <v>80804.392709039981</v>
      </c>
      <c r="DU42" s="55">
        <v>1</v>
      </c>
      <c r="DV42" s="55">
        <v>0.97</v>
      </c>
      <c r="DW42" s="55">
        <v>0.95</v>
      </c>
      <c r="DX42" s="55">
        <v>0.93</v>
      </c>
      <c r="DY42" s="55">
        <f t="shared" si="238"/>
        <v>0.91</v>
      </c>
      <c r="DZ42" s="55">
        <f t="shared" si="238"/>
        <v>0.89</v>
      </c>
      <c r="EA42" s="55">
        <f t="shared" si="238"/>
        <v>0.87</v>
      </c>
      <c r="EB42" s="55">
        <f t="shared" si="238"/>
        <v>0.85</v>
      </c>
      <c r="EC42" s="55">
        <f t="shared" si="238"/>
        <v>0.83</v>
      </c>
      <c r="ED42" s="55">
        <f t="shared" si="238"/>
        <v>0.80999999999999994</v>
      </c>
      <c r="EE42" s="55">
        <f t="shared" si="238"/>
        <v>0.78999999999999992</v>
      </c>
      <c r="EF42" s="55">
        <f t="shared" si="238"/>
        <v>0.76999999999999991</v>
      </c>
      <c r="EG42" s="55">
        <f t="shared" si="238"/>
        <v>0.74999999999999989</v>
      </c>
      <c r="EH42" s="55">
        <f t="shared" si="238"/>
        <v>0.72999999999999987</v>
      </c>
      <c r="EI42" s="55">
        <f t="shared" si="238"/>
        <v>0.70999999999999985</v>
      </c>
      <c r="EJ42" s="55">
        <f t="shared" si="238"/>
        <v>0.68999999999999984</v>
      </c>
      <c r="EK42" s="55">
        <f t="shared" si="238"/>
        <v>0.66999999999999982</v>
      </c>
      <c r="EL42" s="55">
        <f t="shared" si="238"/>
        <v>0.6499999999999998</v>
      </c>
      <c r="EM42" s="55">
        <f t="shared" si="238"/>
        <v>0.62999999999999978</v>
      </c>
      <c r="EN42" s="55">
        <f t="shared" si="238"/>
        <v>0.60999999999999976</v>
      </c>
      <c r="EO42" s="55">
        <f t="shared" si="238"/>
        <v>0.58999999999999975</v>
      </c>
      <c r="EP42" s="55">
        <f t="shared" si="238"/>
        <v>0.56999999999999973</v>
      </c>
      <c r="ER42" s="55">
        <f t="shared" si="142"/>
        <v>39023.38440000001</v>
      </c>
      <c r="ES42" s="55">
        <f t="shared" si="116"/>
        <v>39023.38440000001</v>
      </c>
      <c r="ET42" s="59">
        <f t="shared" si="239"/>
        <v>129003.50414952004</v>
      </c>
      <c r="EU42" s="55">
        <f t="shared" si="240"/>
        <v>37852.682868000011</v>
      </c>
      <c r="EV42" s="59">
        <f t="shared" si="241"/>
        <v>125133.39902503444</v>
      </c>
      <c r="EW42" s="55">
        <f t="shared" si="242"/>
        <v>37072.215180000007</v>
      </c>
      <c r="EX42" s="59">
        <f t="shared" si="243"/>
        <v>122553.32894204403</v>
      </c>
      <c r="EY42" s="55">
        <f t="shared" si="244"/>
        <v>36291.74749200001</v>
      </c>
      <c r="EZ42" s="59">
        <f t="shared" si="245"/>
        <v>119973.25885905363</v>
      </c>
      <c r="FA42" s="57">
        <f t="shared" si="246"/>
        <v>35511.279804000013</v>
      </c>
      <c r="FB42" s="59">
        <f t="shared" si="247"/>
        <v>117393.18877606324</v>
      </c>
      <c r="FC42" s="55">
        <f t="shared" si="248"/>
        <v>34730.812116000008</v>
      </c>
      <c r="FD42" s="59">
        <f t="shared" si="249"/>
        <v>114813.11869307283</v>
      </c>
      <c r="FE42" s="57">
        <f t="shared" si="250"/>
        <v>33950.344428000011</v>
      </c>
      <c r="FF42" s="59">
        <f t="shared" si="251"/>
        <v>112233.04861008243</v>
      </c>
      <c r="FG42" s="60">
        <f t="shared" si="252"/>
        <v>33169.876740000007</v>
      </c>
      <c r="FH42" s="59">
        <f t="shared" si="253"/>
        <v>109652.97852709203</v>
      </c>
      <c r="FI42" s="57">
        <f t="shared" si="254"/>
        <v>32389.409052000006</v>
      </c>
      <c r="FJ42" s="59">
        <f t="shared" si="255"/>
        <v>107072.90844410162</v>
      </c>
      <c r="FK42" s="55">
        <f t="shared" si="256"/>
        <v>31608.941364000006</v>
      </c>
      <c r="FL42" s="59">
        <f t="shared" si="257"/>
        <v>104492.83836111122</v>
      </c>
      <c r="FM42" s="60">
        <f t="shared" si="258"/>
        <v>30828.473676000005</v>
      </c>
      <c r="FN42" s="59">
        <f t="shared" si="259"/>
        <v>101912.76827812081</v>
      </c>
      <c r="FO42" s="60">
        <f t="shared" si="260"/>
        <v>30048.005988000004</v>
      </c>
      <c r="FP42" s="59">
        <f t="shared" si="261"/>
        <v>99332.698195130419</v>
      </c>
      <c r="FQ42" s="60">
        <f t="shared" si="262"/>
        <v>29267.538300000004</v>
      </c>
      <c r="FR42" s="59">
        <f t="shared" si="263"/>
        <v>96752.62811214001</v>
      </c>
      <c r="FS42" s="55">
        <f t="shared" si="264"/>
        <v>28487.070612000003</v>
      </c>
      <c r="FT42" s="59">
        <f t="shared" si="265"/>
        <v>94172.558029149615</v>
      </c>
      <c r="FU42" s="60">
        <f t="shared" si="266"/>
        <v>27706.602924000003</v>
      </c>
      <c r="FV42" s="59">
        <f t="shared" si="267"/>
        <v>91592.487946159206</v>
      </c>
      <c r="FW42" s="60">
        <f t="shared" si="268"/>
        <v>26926.135236000002</v>
      </c>
      <c r="FX42" s="59">
        <f t="shared" si="269"/>
        <v>89012.417863168812</v>
      </c>
      <c r="FY42" s="60">
        <f t="shared" si="270"/>
        <v>26145.667548000001</v>
      </c>
      <c r="FZ42" s="59">
        <f t="shared" si="271"/>
        <v>86432.347780178403</v>
      </c>
      <c r="GA42" s="60">
        <f t="shared" si="272"/>
        <v>25365.199859999997</v>
      </c>
      <c r="GB42" s="59">
        <f t="shared" si="273"/>
        <v>83852.277697187994</v>
      </c>
      <c r="GC42" s="55">
        <f t="shared" si="274"/>
        <v>24584.732171999996</v>
      </c>
      <c r="GD42" s="59">
        <f t="shared" si="275"/>
        <v>81272.207614197585</v>
      </c>
      <c r="GE42" s="60">
        <f t="shared" si="276"/>
        <v>23804.264483999996</v>
      </c>
      <c r="GF42" s="59">
        <f t="shared" si="277"/>
        <v>78692.13753120719</v>
      </c>
      <c r="GG42" s="60">
        <f t="shared" si="278"/>
        <v>23023.796795999995</v>
      </c>
      <c r="GH42" s="59">
        <f t="shared" si="279"/>
        <v>76112.067448216781</v>
      </c>
      <c r="GI42" s="55">
        <f t="shared" si="280"/>
        <v>22243.329107999994</v>
      </c>
      <c r="GJ42" s="59">
        <f t="shared" si="281"/>
        <v>73531.997365226387</v>
      </c>
      <c r="GK42" s="55"/>
      <c r="GL42" s="55"/>
      <c r="GM42" s="55">
        <v>1</v>
      </c>
      <c r="GN42" s="55">
        <v>0.97</v>
      </c>
      <c r="GO42" s="55">
        <v>0.95</v>
      </c>
      <c r="GP42" s="55">
        <v>0.93</v>
      </c>
      <c r="GQ42" s="55">
        <f t="shared" si="282"/>
        <v>0.91</v>
      </c>
      <c r="GR42" s="55">
        <f t="shared" si="282"/>
        <v>0.89</v>
      </c>
      <c r="GS42" s="55">
        <f t="shared" si="282"/>
        <v>0.87</v>
      </c>
      <c r="GT42" s="55">
        <f t="shared" si="282"/>
        <v>0.85</v>
      </c>
      <c r="GU42" s="55">
        <f t="shared" si="282"/>
        <v>0.83</v>
      </c>
      <c r="GV42" s="55">
        <f t="shared" si="282"/>
        <v>0.80999999999999994</v>
      </c>
      <c r="GW42" s="55">
        <f t="shared" si="282"/>
        <v>0.78999999999999992</v>
      </c>
      <c r="GX42" s="55">
        <f t="shared" si="282"/>
        <v>0.76999999999999991</v>
      </c>
      <c r="GY42" s="55">
        <f t="shared" si="282"/>
        <v>0.74999999999999989</v>
      </c>
      <c r="GZ42" s="55">
        <f t="shared" si="282"/>
        <v>0.72999999999999987</v>
      </c>
      <c r="HA42" s="55">
        <f t="shared" si="282"/>
        <v>0.70999999999999985</v>
      </c>
      <c r="HB42" s="55">
        <f t="shared" si="282"/>
        <v>0.68999999999999984</v>
      </c>
      <c r="HC42" s="55">
        <f t="shared" si="282"/>
        <v>0.66999999999999982</v>
      </c>
      <c r="HD42" s="55">
        <f t="shared" si="282"/>
        <v>0.6499999999999998</v>
      </c>
      <c r="HE42" s="55">
        <f t="shared" si="282"/>
        <v>0.62999999999999978</v>
      </c>
      <c r="HF42" s="55">
        <f t="shared" si="282"/>
        <v>0.60999999999999976</v>
      </c>
      <c r="HG42" s="55">
        <f t="shared" si="282"/>
        <v>0.58999999999999975</v>
      </c>
      <c r="HH42" s="55">
        <f t="shared" si="282"/>
        <v>0.56999999999999973</v>
      </c>
    </row>
    <row r="43" spans="1:216" x14ac:dyDescent="0.3">
      <c r="A43" s="2">
        <v>4</v>
      </c>
      <c r="C43" s="38" t="s">
        <v>16</v>
      </c>
      <c r="D43" s="42">
        <f>TRUNC(25706,-1)</f>
        <v>25700</v>
      </c>
      <c r="E43" s="71">
        <f t="shared" si="152"/>
        <v>84950</v>
      </c>
      <c r="H43" s="55">
        <f t="shared" si="61"/>
        <v>93445.000000000015</v>
      </c>
      <c r="I43" s="55">
        <f t="shared" si="62"/>
        <v>93445.000000000015</v>
      </c>
      <c r="J43" s="59">
        <f t="shared" si="63"/>
        <v>308910.48100000003</v>
      </c>
      <c r="K43" s="55">
        <f t="shared" si="153"/>
        <v>90641.650000000009</v>
      </c>
      <c r="L43" s="59">
        <f t="shared" si="154"/>
        <v>299643.16657000006</v>
      </c>
      <c r="M43" s="55">
        <f t="shared" si="155"/>
        <v>88772.750000000015</v>
      </c>
      <c r="N43" s="59">
        <f t="shared" si="156"/>
        <v>293464.95695000008</v>
      </c>
      <c r="O43" s="55">
        <f t="shared" si="157"/>
        <v>86903.85000000002</v>
      </c>
      <c r="P43" s="59">
        <f t="shared" si="158"/>
        <v>287286.7473300001</v>
      </c>
      <c r="Q43" s="57">
        <f t="shared" si="159"/>
        <v>85034.950000000012</v>
      </c>
      <c r="R43" s="59">
        <f t="shared" si="160"/>
        <v>281108.53771000006</v>
      </c>
      <c r="S43" s="55">
        <f t="shared" si="161"/>
        <v>83166.050000000017</v>
      </c>
      <c r="T43" s="59">
        <f t="shared" si="162"/>
        <v>274930.32809000008</v>
      </c>
      <c r="U43" s="57">
        <f t="shared" si="163"/>
        <v>81297.150000000009</v>
      </c>
      <c r="V43" s="59">
        <f t="shared" si="164"/>
        <v>268752.11847000004</v>
      </c>
      <c r="W43" s="60">
        <f t="shared" si="165"/>
        <v>79428.250000000015</v>
      </c>
      <c r="X43" s="59">
        <f t="shared" si="166"/>
        <v>262573.90885000007</v>
      </c>
      <c r="Y43" s="57">
        <f t="shared" si="167"/>
        <v>77559.350000000006</v>
      </c>
      <c r="Z43" s="59">
        <f t="shared" si="168"/>
        <v>256395.69923000003</v>
      </c>
      <c r="AA43" s="55">
        <f t="shared" si="169"/>
        <v>75690.450000000012</v>
      </c>
      <c r="AB43" s="59">
        <f t="shared" si="170"/>
        <v>250217.48961000005</v>
      </c>
      <c r="AC43" s="60">
        <f t="shared" si="171"/>
        <v>73821.55</v>
      </c>
      <c r="AD43" s="59">
        <f t="shared" si="172"/>
        <v>244039.27999000001</v>
      </c>
      <c r="AE43" s="60">
        <f t="shared" si="173"/>
        <v>71952.650000000009</v>
      </c>
      <c r="AF43" s="59">
        <f t="shared" si="174"/>
        <v>237861.07037000003</v>
      </c>
      <c r="AG43" s="60">
        <f t="shared" si="175"/>
        <v>70083.75</v>
      </c>
      <c r="AH43" s="59">
        <f t="shared" si="176"/>
        <v>231682.86074999999</v>
      </c>
      <c r="AI43" s="55">
        <f t="shared" si="177"/>
        <v>68214.850000000006</v>
      </c>
      <c r="AJ43" s="59">
        <f t="shared" si="178"/>
        <v>225504.65113000001</v>
      </c>
      <c r="AK43" s="60">
        <f t="shared" si="179"/>
        <v>66345.95</v>
      </c>
      <c r="AL43" s="59">
        <f t="shared" si="180"/>
        <v>219326.44151</v>
      </c>
      <c r="AM43" s="60">
        <f t="shared" si="181"/>
        <v>64477.049999999996</v>
      </c>
      <c r="AN43" s="59">
        <f t="shared" si="182"/>
        <v>213148.23189</v>
      </c>
      <c r="AO43" s="60">
        <f t="shared" si="183"/>
        <v>62608.149999999994</v>
      </c>
      <c r="AP43" s="59">
        <f t="shared" si="184"/>
        <v>206970.02226999999</v>
      </c>
      <c r="AQ43" s="60">
        <f t="shared" si="185"/>
        <v>60739.249999999993</v>
      </c>
      <c r="AR43" s="59">
        <f t="shared" si="186"/>
        <v>200791.81264999998</v>
      </c>
      <c r="AS43" s="55">
        <f t="shared" si="187"/>
        <v>58870.349999999991</v>
      </c>
      <c r="AT43" s="59">
        <f t="shared" si="188"/>
        <v>194613.60302999997</v>
      </c>
      <c r="AU43" s="60">
        <f t="shared" si="189"/>
        <v>57001.44999999999</v>
      </c>
      <c r="AV43" s="59">
        <f t="shared" si="190"/>
        <v>188435.39340999996</v>
      </c>
      <c r="AW43" s="60">
        <f t="shared" si="191"/>
        <v>55132.549999999988</v>
      </c>
      <c r="AX43" s="59">
        <f t="shared" si="192"/>
        <v>182257.18378999995</v>
      </c>
      <c r="AY43" s="55">
        <f t="shared" si="193"/>
        <v>53263.64999999998</v>
      </c>
      <c r="AZ43" s="59">
        <f t="shared" si="194"/>
        <v>176078.97416999994</v>
      </c>
      <c r="BC43" s="55">
        <v>1</v>
      </c>
      <c r="BD43" s="55">
        <v>0.97</v>
      </c>
      <c r="BE43" s="55">
        <v>0.95</v>
      </c>
      <c r="BF43" s="55">
        <v>0.93</v>
      </c>
      <c r="BG43" s="55">
        <f t="shared" si="143"/>
        <v>0.91</v>
      </c>
      <c r="BH43" s="55">
        <f t="shared" si="143"/>
        <v>0.89</v>
      </c>
      <c r="BI43" s="55">
        <f t="shared" si="143"/>
        <v>0.87</v>
      </c>
      <c r="BJ43" s="55">
        <f t="shared" si="143"/>
        <v>0.85</v>
      </c>
      <c r="BK43" s="55">
        <f t="shared" si="143"/>
        <v>0.83</v>
      </c>
      <c r="BL43" s="55">
        <f t="shared" si="143"/>
        <v>0.80999999999999994</v>
      </c>
      <c r="BM43" s="55">
        <f t="shared" si="143"/>
        <v>0.78999999999999992</v>
      </c>
      <c r="BN43" s="55">
        <f t="shared" si="143"/>
        <v>0.76999999999999991</v>
      </c>
      <c r="BO43" s="55">
        <f t="shared" si="143"/>
        <v>0.74999999999999989</v>
      </c>
      <c r="BP43" s="55">
        <f t="shared" si="143"/>
        <v>0.72999999999999987</v>
      </c>
      <c r="BQ43" s="55">
        <f t="shared" si="143"/>
        <v>0.70999999999999985</v>
      </c>
      <c r="BR43" s="55">
        <f t="shared" si="143"/>
        <v>0.68999999999999984</v>
      </c>
      <c r="BS43" s="55">
        <f t="shared" si="143"/>
        <v>0.66999999999999982</v>
      </c>
      <c r="BT43" s="55">
        <f t="shared" si="143"/>
        <v>0.6499999999999998</v>
      </c>
      <c r="BU43" s="55">
        <f t="shared" si="143"/>
        <v>0.62999999999999978</v>
      </c>
      <c r="BV43" s="55">
        <f t="shared" si="143"/>
        <v>0.60999999999999976</v>
      </c>
      <c r="BW43" s="55">
        <f t="shared" si="143"/>
        <v>0.58999999999999975</v>
      </c>
      <c r="BX43" s="55">
        <f t="shared" si="143"/>
        <v>0.56999999999999973</v>
      </c>
      <c r="BZ43" s="55">
        <f t="shared" si="88"/>
        <v>85034.950000000012</v>
      </c>
      <c r="CA43" s="55">
        <f t="shared" si="89"/>
        <v>85034.950000000012</v>
      </c>
      <c r="CB43" s="59">
        <f t="shared" si="195"/>
        <v>281108.53771000006</v>
      </c>
      <c r="CC43" s="55">
        <f t="shared" si="196"/>
        <v>82483.901500000007</v>
      </c>
      <c r="CD43" s="59">
        <f t="shared" si="197"/>
        <v>272675.28157870006</v>
      </c>
      <c r="CE43" s="55">
        <f t="shared" si="198"/>
        <v>80783.202500000014</v>
      </c>
      <c r="CF43" s="59">
        <f t="shared" si="199"/>
        <v>267053.11082450004</v>
      </c>
      <c r="CG43" s="55">
        <f t="shared" si="200"/>
        <v>79082.503500000021</v>
      </c>
      <c r="CH43" s="59">
        <f t="shared" si="201"/>
        <v>261430.94007030007</v>
      </c>
      <c r="CI43" s="57">
        <f t="shared" si="202"/>
        <v>77381.804500000013</v>
      </c>
      <c r="CJ43" s="59">
        <f t="shared" si="203"/>
        <v>255808.76931610005</v>
      </c>
      <c r="CK43" s="55">
        <f t="shared" si="204"/>
        <v>75681.105500000005</v>
      </c>
      <c r="CL43" s="59">
        <f t="shared" si="205"/>
        <v>250186.59856190003</v>
      </c>
      <c r="CM43" s="57">
        <f t="shared" si="206"/>
        <v>73980.406500000012</v>
      </c>
      <c r="CN43" s="59">
        <f t="shared" si="207"/>
        <v>244564.42780770003</v>
      </c>
      <c r="CO43" s="60">
        <f t="shared" si="208"/>
        <v>72279.707500000004</v>
      </c>
      <c r="CP43" s="59">
        <f t="shared" si="209"/>
        <v>238942.25705350001</v>
      </c>
      <c r="CQ43" s="57">
        <f t="shared" si="210"/>
        <v>70579.008500000011</v>
      </c>
      <c r="CR43" s="59">
        <f t="shared" si="211"/>
        <v>233320.08629930005</v>
      </c>
      <c r="CS43" s="55">
        <f t="shared" si="212"/>
        <v>68878.309500000003</v>
      </c>
      <c r="CT43" s="59">
        <f t="shared" si="213"/>
        <v>227697.91554510003</v>
      </c>
      <c r="CU43" s="60">
        <f t="shared" si="214"/>
        <v>67177.61050000001</v>
      </c>
      <c r="CV43" s="59">
        <f t="shared" si="215"/>
        <v>222075.74479090003</v>
      </c>
      <c r="CW43" s="60">
        <f t="shared" si="216"/>
        <v>65476.911500000002</v>
      </c>
      <c r="CX43" s="59">
        <f t="shared" si="217"/>
        <v>216453.57403670001</v>
      </c>
      <c r="CY43" s="60">
        <f t="shared" si="218"/>
        <v>63776.212500000001</v>
      </c>
      <c r="CZ43" s="59">
        <f t="shared" si="219"/>
        <v>210831.40328250002</v>
      </c>
      <c r="DA43" s="55">
        <f t="shared" si="220"/>
        <v>62075.513500000001</v>
      </c>
      <c r="DB43" s="59">
        <f t="shared" si="221"/>
        <v>205209.2325283</v>
      </c>
      <c r="DC43" s="60">
        <f t="shared" si="222"/>
        <v>60374.814499999993</v>
      </c>
      <c r="DD43" s="59">
        <f t="shared" si="223"/>
        <v>199587.06177409997</v>
      </c>
      <c r="DE43" s="60">
        <f t="shared" si="224"/>
        <v>58674.115499999993</v>
      </c>
      <c r="DF43" s="59">
        <f t="shared" si="225"/>
        <v>193964.89101989998</v>
      </c>
      <c r="DG43" s="60">
        <f t="shared" si="226"/>
        <v>56973.416499999992</v>
      </c>
      <c r="DH43" s="59">
        <f t="shared" si="227"/>
        <v>188342.72026569999</v>
      </c>
      <c r="DI43" s="60">
        <f t="shared" si="228"/>
        <v>55272.717499999992</v>
      </c>
      <c r="DJ43" s="59">
        <f t="shared" si="229"/>
        <v>182720.54951149996</v>
      </c>
      <c r="DK43" s="55">
        <f t="shared" si="230"/>
        <v>53572.018499999991</v>
      </c>
      <c r="DL43" s="59">
        <f t="shared" si="231"/>
        <v>177098.37875729997</v>
      </c>
      <c r="DM43" s="60">
        <f t="shared" si="232"/>
        <v>51871.319499999991</v>
      </c>
      <c r="DN43" s="59">
        <f t="shared" si="233"/>
        <v>171476.20800309998</v>
      </c>
      <c r="DO43" s="60">
        <f t="shared" si="234"/>
        <v>50170.620499999983</v>
      </c>
      <c r="DP43" s="59">
        <f t="shared" si="235"/>
        <v>165854.03724889996</v>
      </c>
      <c r="DQ43" s="55">
        <f t="shared" si="236"/>
        <v>48469.921499999982</v>
      </c>
      <c r="DR43" s="59">
        <f t="shared" si="237"/>
        <v>160231.86649469993</v>
      </c>
      <c r="DU43" s="55">
        <v>1</v>
      </c>
      <c r="DV43" s="55">
        <v>0.97</v>
      </c>
      <c r="DW43" s="55">
        <v>0.95</v>
      </c>
      <c r="DX43" s="55">
        <v>0.93</v>
      </c>
      <c r="DY43" s="55">
        <f t="shared" si="238"/>
        <v>0.91</v>
      </c>
      <c r="DZ43" s="55">
        <f t="shared" si="238"/>
        <v>0.89</v>
      </c>
      <c r="EA43" s="55">
        <f t="shared" si="238"/>
        <v>0.87</v>
      </c>
      <c r="EB43" s="55">
        <f t="shared" si="238"/>
        <v>0.85</v>
      </c>
      <c r="EC43" s="55">
        <f t="shared" si="238"/>
        <v>0.83</v>
      </c>
      <c r="ED43" s="55">
        <f t="shared" si="238"/>
        <v>0.80999999999999994</v>
      </c>
      <c r="EE43" s="55">
        <f t="shared" si="238"/>
        <v>0.78999999999999992</v>
      </c>
      <c r="EF43" s="55">
        <f t="shared" si="238"/>
        <v>0.76999999999999991</v>
      </c>
      <c r="EG43" s="55">
        <f t="shared" si="238"/>
        <v>0.74999999999999989</v>
      </c>
      <c r="EH43" s="55">
        <f t="shared" si="238"/>
        <v>0.72999999999999987</v>
      </c>
      <c r="EI43" s="55">
        <f t="shared" si="238"/>
        <v>0.70999999999999985</v>
      </c>
      <c r="EJ43" s="55">
        <f t="shared" si="238"/>
        <v>0.68999999999999984</v>
      </c>
      <c r="EK43" s="55">
        <f t="shared" si="238"/>
        <v>0.66999999999999982</v>
      </c>
      <c r="EL43" s="55">
        <f t="shared" si="238"/>
        <v>0.6499999999999998</v>
      </c>
      <c r="EM43" s="55">
        <f t="shared" si="238"/>
        <v>0.62999999999999978</v>
      </c>
      <c r="EN43" s="55">
        <f t="shared" si="238"/>
        <v>0.60999999999999976</v>
      </c>
      <c r="EO43" s="55">
        <f t="shared" si="238"/>
        <v>0.58999999999999975</v>
      </c>
      <c r="EP43" s="55">
        <f t="shared" si="238"/>
        <v>0.56999999999999973</v>
      </c>
      <c r="ER43" s="55">
        <f t="shared" si="142"/>
        <v>77381.804500000013</v>
      </c>
      <c r="ES43" s="55">
        <f t="shared" si="116"/>
        <v>77381.804500000013</v>
      </c>
      <c r="ET43" s="59">
        <f t="shared" si="239"/>
        <v>255808.76931610005</v>
      </c>
      <c r="EU43" s="55">
        <f t="shared" si="240"/>
        <v>75060.350365000006</v>
      </c>
      <c r="EV43" s="59">
        <f t="shared" si="241"/>
        <v>248134.50623661702</v>
      </c>
      <c r="EW43" s="55">
        <f t="shared" si="242"/>
        <v>73512.714275000006</v>
      </c>
      <c r="EX43" s="59">
        <f t="shared" si="243"/>
        <v>243018.33085029502</v>
      </c>
      <c r="EY43" s="55">
        <f t="shared" si="244"/>
        <v>71965.07818500002</v>
      </c>
      <c r="EZ43" s="59">
        <f t="shared" si="245"/>
        <v>237902.15546397306</v>
      </c>
      <c r="FA43" s="57">
        <f t="shared" si="246"/>
        <v>70417.44209500002</v>
      </c>
      <c r="FB43" s="59">
        <f t="shared" si="247"/>
        <v>232785.98007765107</v>
      </c>
      <c r="FC43" s="55">
        <f t="shared" si="248"/>
        <v>68869.806005000006</v>
      </c>
      <c r="FD43" s="59">
        <f t="shared" si="249"/>
        <v>227669.80469132902</v>
      </c>
      <c r="FE43" s="57">
        <f t="shared" si="250"/>
        <v>67322.169915000006</v>
      </c>
      <c r="FF43" s="59">
        <f t="shared" si="251"/>
        <v>222553.62930500702</v>
      </c>
      <c r="FG43" s="60">
        <f t="shared" si="252"/>
        <v>65774.533825000006</v>
      </c>
      <c r="FH43" s="59">
        <f t="shared" si="253"/>
        <v>217437.45391868503</v>
      </c>
      <c r="FI43" s="57">
        <f t="shared" si="254"/>
        <v>64226.897735000006</v>
      </c>
      <c r="FJ43" s="59">
        <f t="shared" si="255"/>
        <v>212321.27853236304</v>
      </c>
      <c r="FK43" s="55">
        <f t="shared" si="256"/>
        <v>62679.261645000006</v>
      </c>
      <c r="FL43" s="59">
        <f t="shared" si="257"/>
        <v>207205.10314604102</v>
      </c>
      <c r="FM43" s="60">
        <f t="shared" si="258"/>
        <v>61131.625555000006</v>
      </c>
      <c r="FN43" s="59">
        <f t="shared" si="259"/>
        <v>202088.92775971902</v>
      </c>
      <c r="FO43" s="60">
        <f t="shared" si="260"/>
        <v>59583.989465000006</v>
      </c>
      <c r="FP43" s="59">
        <f t="shared" si="261"/>
        <v>196972.75237339703</v>
      </c>
      <c r="FQ43" s="60">
        <f t="shared" si="262"/>
        <v>58036.353374999999</v>
      </c>
      <c r="FR43" s="59">
        <f t="shared" si="263"/>
        <v>191856.57698707501</v>
      </c>
      <c r="FS43" s="55">
        <f t="shared" si="264"/>
        <v>56488.717284999999</v>
      </c>
      <c r="FT43" s="59">
        <f t="shared" si="265"/>
        <v>186740.40160075299</v>
      </c>
      <c r="FU43" s="60">
        <f t="shared" si="266"/>
        <v>54941.081194999999</v>
      </c>
      <c r="FV43" s="59">
        <f t="shared" si="267"/>
        <v>181624.22621443099</v>
      </c>
      <c r="FW43" s="60">
        <f t="shared" si="268"/>
        <v>53393.445104999999</v>
      </c>
      <c r="FX43" s="59">
        <f t="shared" si="269"/>
        <v>176508.050828109</v>
      </c>
      <c r="FY43" s="60">
        <f t="shared" si="270"/>
        <v>51845.809014999992</v>
      </c>
      <c r="FZ43" s="59">
        <f t="shared" si="271"/>
        <v>171391.87544178698</v>
      </c>
      <c r="GA43" s="60">
        <f t="shared" si="272"/>
        <v>50298.172924999992</v>
      </c>
      <c r="GB43" s="59">
        <f t="shared" si="273"/>
        <v>166275.70005546499</v>
      </c>
      <c r="GC43" s="55">
        <f t="shared" si="274"/>
        <v>48750.536834999992</v>
      </c>
      <c r="GD43" s="59">
        <f t="shared" si="275"/>
        <v>161159.52466914296</v>
      </c>
      <c r="GE43" s="60">
        <f t="shared" si="276"/>
        <v>47202.900744999992</v>
      </c>
      <c r="GF43" s="59">
        <f t="shared" si="277"/>
        <v>156043.34928282097</v>
      </c>
      <c r="GG43" s="60">
        <f t="shared" si="278"/>
        <v>45655.264654999984</v>
      </c>
      <c r="GH43" s="59">
        <f t="shared" si="279"/>
        <v>150927.17389649895</v>
      </c>
      <c r="GI43" s="55">
        <f t="shared" si="280"/>
        <v>44107.628564999985</v>
      </c>
      <c r="GJ43" s="59">
        <f t="shared" si="281"/>
        <v>145810.99851017696</v>
      </c>
      <c r="GK43" s="55"/>
      <c r="GL43" s="55"/>
      <c r="GM43" s="55">
        <v>1</v>
      </c>
      <c r="GN43" s="55">
        <v>0.97</v>
      </c>
      <c r="GO43" s="55">
        <v>0.95</v>
      </c>
      <c r="GP43" s="55">
        <v>0.93</v>
      </c>
      <c r="GQ43" s="55">
        <f t="shared" si="282"/>
        <v>0.91</v>
      </c>
      <c r="GR43" s="55">
        <f t="shared" si="282"/>
        <v>0.89</v>
      </c>
      <c r="GS43" s="55">
        <f t="shared" si="282"/>
        <v>0.87</v>
      </c>
      <c r="GT43" s="55">
        <f t="shared" si="282"/>
        <v>0.85</v>
      </c>
      <c r="GU43" s="55">
        <f t="shared" si="282"/>
        <v>0.83</v>
      </c>
      <c r="GV43" s="55">
        <f t="shared" si="282"/>
        <v>0.80999999999999994</v>
      </c>
      <c r="GW43" s="55">
        <f t="shared" si="282"/>
        <v>0.78999999999999992</v>
      </c>
      <c r="GX43" s="55">
        <f t="shared" si="282"/>
        <v>0.76999999999999991</v>
      </c>
      <c r="GY43" s="55">
        <f t="shared" si="282"/>
        <v>0.74999999999999989</v>
      </c>
      <c r="GZ43" s="55">
        <f t="shared" si="282"/>
        <v>0.72999999999999987</v>
      </c>
      <c r="HA43" s="55">
        <f t="shared" si="282"/>
        <v>0.70999999999999985</v>
      </c>
      <c r="HB43" s="55">
        <f t="shared" si="282"/>
        <v>0.68999999999999984</v>
      </c>
      <c r="HC43" s="55">
        <f t="shared" si="282"/>
        <v>0.66999999999999982</v>
      </c>
      <c r="HD43" s="55">
        <f t="shared" si="282"/>
        <v>0.6499999999999998</v>
      </c>
      <c r="HE43" s="55">
        <f t="shared" si="282"/>
        <v>0.62999999999999978</v>
      </c>
      <c r="HF43" s="55">
        <f t="shared" si="282"/>
        <v>0.60999999999999976</v>
      </c>
      <c r="HG43" s="55">
        <f t="shared" si="282"/>
        <v>0.58999999999999975</v>
      </c>
      <c r="HH43" s="55">
        <f t="shared" si="282"/>
        <v>0.56999999999999973</v>
      </c>
    </row>
    <row r="44" spans="1:216" x14ac:dyDescent="0.3">
      <c r="A44" s="2">
        <v>5</v>
      </c>
      <c r="C44" s="38" t="s">
        <v>17</v>
      </c>
      <c r="D44" s="42">
        <f>TRUNC(30383,-1)</f>
        <v>30380</v>
      </c>
      <c r="E44" s="71">
        <f t="shared" si="152"/>
        <v>100430</v>
      </c>
      <c r="H44" s="55">
        <f t="shared" si="61"/>
        <v>110473.00000000001</v>
      </c>
      <c r="I44" s="55">
        <f t="shared" si="62"/>
        <v>110473.00000000001</v>
      </c>
      <c r="J44" s="59">
        <f t="shared" si="63"/>
        <v>365201.64340000006</v>
      </c>
      <c r="K44" s="55">
        <f t="shared" si="153"/>
        <v>107158.81000000001</v>
      </c>
      <c r="L44" s="59">
        <f t="shared" si="154"/>
        <v>354245.59409800003</v>
      </c>
      <c r="M44" s="55">
        <f t="shared" si="155"/>
        <v>104949.35</v>
      </c>
      <c r="N44" s="59">
        <f t="shared" si="156"/>
        <v>346941.56123000005</v>
      </c>
      <c r="O44" s="55">
        <f t="shared" si="157"/>
        <v>102739.89000000001</v>
      </c>
      <c r="P44" s="59">
        <f t="shared" si="158"/>
        <v>339637.52836200007</v>
      </c>
      <c r="Q44" s="57">
        <f t="shared" si="159"/>
        <v>100530.43000000002</v>
      </c>
      <c r="R44" s="59">
        <f t="shared" si="160"/>
        <v>332333.49549400009</v>
      </c>
      <c r="S44" s="55">
        <f t="shared" si="161"/>
        <v>98320.970000000016</v>
      </c>
      <c r="T44" s="59">
        <f t="shared" si="162"/>
        <v>325029.46262600005</v>
      </c>
      <c r="U44" s="57">
        <f t="shared" si="163"/>
        <v>96111.510000000009</v>
      </c>
      <c r="V44" s="59">
        <f t="shared" si="164"/>
        <v>317725.42975800001</v>
      </c>
      <c r="W44" s="60">
        <f t="shared" si="165"/>
        <v>93902.05</v>
      </c>
      <c r="X44" s="59">
        <f t="shared" si="166"/>
        <v>310421.39689000003</v>
      </c>
      <c r="Y44" s="57">
        <f t="shared" si="167"/>
        <v>91692.590000000011</v>
      </c>
      <c r="Z44" s="59">
        <f t="shared" si="168"/>
        <v>303117.36402200005</v>
      </c>
      <c r="AA44" s="55">
        <f t="shared" si="169"/>
        <v>89483.13</v>
      </c>
      <c r="AB44" s="59">
        <f t="shared" si="170"/>
        <v>295813.33115400001</v>
      </c>
      <c r="AC44" s="60">
        <f t="shared" si="171"/>
        <v>87273.67</v>
      </c>
      <c r="AD44" s="59">
        <f t="shared" si="172"/>
        <v>288509.29828599998</v>
      </c>
      <c r="AE44" s="60">
        <f t="shared" si="173"/>
        <v>85064.21</v>
      </c>
      <c r="AF44" s="59">
        <f t="shared" si="174"/>
        <v>281205.26541800005</v>
      </c>
      <c r="AG44" s="60">
        <f t="shared" si="175"/>
        <v>82854.75</v>
      </c>
      <c r="AH44" s="59">
        <f t="shared" si="176"/>
        <v>273901.23255000002</v>
      </c>
      <c r="AI44" s="55">
        <f t="shared" si="177"/>
        <v>80645.289999999994</v>
      </c>
      <c r="AJ44" s="59">
        <f t="shared" si="178"/>
        <v>266597.19968199998</v>
      </c>
      <c r="AK44" s="60">
        <f t="shared" si="179"/>
        <v>78435.829999999987</v>
      </c>
      <c r="AL44" s="59">
        <f t="shared" si="180"/>
        <v>259293.16681399997</v>
      </c>
      <c r="AM44" s="60">
        <f t="shared" si="181"/>
        <v>76226.37</v>
      </c>
      <c r="AN44" s="59">
        <f t="shared" si="182"/>
        <v>251989.13394599999</v>
      </c>
      <c r="AO44" s="60">
        <f t="shared" si="183"/>
        <v>74016.909999999989</v>
      </c>
      <c r="AP44" s="59">
        <f t="shared" si="184"/>
        <v>244685.10107799998</v>
      </c>
      <c r="AQ44" s="60">
        <f t="shared" si="185"/>
        <v>71807.449999999983</v>
      </c>
      <c r="AR44" s="59">
        <f t="shared" si="186"/>
        <v>237381.06820999994</v>
      </c>
      <c r="AS44" s="55">
        <f t="shared" si="187"/>
        <v>69597.989999999991</v>
      </c>
      <c r="AT44" s="59">
        <f t="shared" si="188"/>
        <v>230077.03534199999</v>
      </c>
      <c r="AU44" s="60">
        <f t="shared" si="189"/>
        <v>67388.529999999984</v>
      </c>
      <c r="AV44" s="59">
        <f t="shared" si="190"/>
        <v>222773.00247399995</v>
      </c>
      <c r="AW44" s="60">
        <f t="shared" si="191"/>
        <v>65179.069999999978</v>
      </c>
      <c r="AX44" s="59">
        <f t="shared" si="192"/>
        <v>215468.96960599994</v>
      </c>
      <c r="AY44" s="55">
        <f t="shared" si="193"/>
        <v>62969.609999999979</v>
      </c>
      <c r="AZ44" s="59">
        <f t="shared" si="194"/>
        <v>208164.93673799993</v>
      </c>
      <c r="BC44" s="55">
        <v>1</v>
      </c>
      <c r="BD44" s="55">
        <v>0.97</v>
      </c>
      <c r="BE44" s="55">
        <v>0.95</v>
      </c>
      <c r="BF44" s="55">
        <v>0.93</v>
      </c>
      <c r="BG44" s="55">
        <f t="shared" si="143"/>
        <v>0.91</v>
      </c>
      <c r="BH44" s="55">
        <f t="shared" si="143"/>
        <v>0.89</v>
      </c>
      <c r="BI44" s="55">
        <f t="shared" si="143"/>
        <v>0.87</v>
      </c>
      <c r="BJ44" s="55">
        <f t="shared" si="143"/>
        <v>0.85</v>
      </c>
      <c r="BK44" s="55">
        <f t="shared" si="143"/>
        <v>0.83</v>
      </c>
      <c r="BL44" s="55">
        <f t="shared" si="143"/>
        <v>0.80999999999999994</v>
      </c>
      <c r="BM44" s="55">
        <f t="shared" si="143"/>
        <v>0.78999999999999992</v>
      </c>
      <c r="BN44" s="55">
        <f t="shared" si="143"/>
        <v>0.76999999999999991</v>
      </c>
      <c r="BO44" s="55">
        <f t="shared" si="143"/>
        <v>0.74999999999999989</v>
      </c>
      <c r="BP44" s="55">
        <f t="shared" si="143"/>
        <v>0.72999999999999987</v>
      </c>
      <c r="BQ44" s="55">
        <f t="shared" si="143"/>
        <v>0.70999999999999985</v>
      </c>
      <c r="BR44" s="55">
        <f t="shared" si="143"/>
        <v>0.68999999999999984</v>
      </c>
      <c r="BS44" s="55">
        <f t="shared" si="143"/>
        <v>0.66999999999999982</v>
      </c>
      <c r="BT44" s="55">
        <f t="shared" si="143"/>
        <v>0.6499999999999998</v>
      </c>
      <c r="BU44" s="55">
        <f t="shared" si="143"/>
        <v>0.62999999999999978</v>
      </c>
      <c r="BV44" s="55">
        <f t="shared" si="143"/>
        <v>0.60999999999999976</v>
      </c>
      <c r="BW44" s="55">
        <f t="shared" si="143"/>
        <v>0.58999999999999975</v>
      </c>
      <c r="BX44" s="55">
        <f t="shared" si="143"/>
        <v>0.56999999999999973</v>
      </c>
      <c r="BZ44" s="55">
        <f t="shared" si="88"/>
        <v>100530.43000000002</v>
      </c>
      <c r="CA44" s="55">
        <f t="shared" si="89"/>
        <v>100530.43000000002</v>
      </c>
      <c r="CB44" s="59">
        <f t="shared" si="195"/>
        <v>332333.49549400009</v>
      </c>
      <c r="CC44" s="55">
        <f t="shared" si="196"/>
        <v>97514.517100000012</v>
      </c>
      <c r="CD44" s="59">
        <f t="shared" si="197"/>
        <v>322363.49062918004</v>
      </c>
      <c r="CE44" s="55">
        <f t="shared" si="198"/>
        <v>95503.90850000002</v>
      </c>
      <c r="CF44" s="59">
        <f t="shared" si="199"/>
        <v>315716.82071930007</v>
      </c>
      <c r="CG44" s="55">
        <f t="shared" si="200"/>
        <v>93493.299900000027</v>
      </c>
      <c r="CH44" s="59">
        <f t="shared" si="201"/>
        <v>309070.1508094201</v>
      </c>
      <c r="CI44" s="57">
        <f t="shared" si="202"/>
        <v>91482.69130000002</v>
      </c>
      <c r="CJ44" s="59">
        <f t="shared" si="203"/>
        <v>302423.48089954007</v>
      </c>
      <c r="CK44" s="55">
        <f t="shared" si="204"/>
        <v>89472.082700000028</v>
      </c>
      <c r="CL44" s="59">
        <f t="shared" si="205"/>
        <v>295776.81098966009</v>
      </c>
      <c r="CM44" s="57">
        <f t="shared" si="206"/>
        <v>87461.474100000021</v>
      </c>
      <c r="CN44" s="59">
        <f t="shared" si="207"/>
        <v>289130.14107978006</v>
      </c>
      <c r="CO44" s="60">
        <f t="shared" si="208"/>
        <v>85450.865500000014</v>
      </c>
      <c r="CP44" s="59">
        <f t="shared" si="209"/>
        <v>282483.47116990003</v>
      </c>
      <c r="CQ44" s="57">
        <f t="shared" si="210"/>
        <v>83440.256900000008</v>
      </c>
      <c r="CR44" s="59">
        <f t="shared" si="211"/>
        <v>275836.80126002006</v>
      </c>
      <c r="CS44" s="55">
        <f t="shared" si="212"/>
        <v>81429.648300000015</v>
      </c>
      <c r="CT44" s="59">
        <f t="shared" si="213"/>
        <v>269190.13135014003</v>
      </c>
      <c r="CU44" s="60">
        <f t="shared" si="214"/>
        <v>79419.039700000008</v>
      </c>
      <c r="CV44" s="59">
        <f t="shared" si="215"/>
        <v>262543.46144026006</v>
      </c>
      <c r="CW44" s="60">
        <f t="shared" si="216"/>
        <v>77408.431100000002</v>
      </c>
      <c r="CX44" s="59">
        <f t="shared" si="217"/>
        <v>255896.79153038</v>
      </c>
      <c r="CY44" s="60">
        <f t="shared" si="218"/>
        <v>75397.822500000009</v>
      </c>
      <c r="CZ44" s="59">
        <f t="shared" si="219"/>
        <v>249250.12162050002</v>
      </c>
      <c r="DA44" s="55">
        <f t="shared" si="220"/>
        <v>73387.213900000002</v>
      </c>
      <c r="DB44" s="59">
        <f t="shared" si="221"/>
        <v>242603.45171062002</v>
      </c>
      <c r="DC44" s="60">
        <f t="shared" si="222"/>
        <v>71376.605299999996</v>
      </c>
      <c r="DD44" s="59">
        <f t="shared" si="223"/>
        <v>235956.78180073999</v>
      </c>
      <c r="DE44" s="60">
        <f t="shared" si="224"/>
        <v>69365.996700000003</v>
      </c>
      <c r="DF44" s="59">
        <f t="shared" si="225"/>
        <v>229310.11189086002</v>
      </c>
      <c r="DG44" s="60">
        <f t="shared" si="226"/>
        <v>67355.388099999996</v>
      </c>
      <c r="DH44" s="59">
        <f t="shared" si="227"/>
        <v>222663.44198097999</v>
      </c>
      <c r="DI44" s="60">
        <f t="shared" si="228"/>
        <v>65344.779499999997</v>
      </c>
      <c r="DJ44" s="59">
        <f t="shared" si="229"/>
        <v>216016.77207109999</v>
      </c>
      <c r="DK44" s="55">
        <f t="shared" si="230"/>
        <v>63334.17089999999</v>
      </c>
      <c r="DL44" s="59">
        <f t="shared" si="231"/>
        <v>209370.10216121998</v>
      </c>
      <c r="DM44" s="60">
        <f t="shared" si="232"/>
        <v>61323.562299999991</v>
      </c>
      <c r="DN44" s="59">
        <f t="shared" si="233"/>
        <v>202723.43225133998</v>
      </c>
      <c r="DO44" s="60">
        <f t="shared" si="234"/>
        <v>59312.953699999991</v>
      </c>
      <c r="DP44" s="59">
        <f t="shared" si="235"/>
        <v>196076.76234145998</v>
      </c>
      <c r="DQ44" s="55">
        <f t="shared" si="236"/>
        <v>57302.345099999984</v>
      </c>
      <c r="DR44" s="59">
        <f t="shared" si="237"/>
        <v>189430.09243157995</v>
      </c>
      <c r="DU44" s="55">
        <v>1</v>
      </c>
      <c r="DV44" s="55">
        <v>0.97</v>
      </c>
      <c r="DW44" s="55">
        <v>0.95</v>
      </c>
      <c r="DX44" s="55">
        <v>0.93</v>
      </c>
      <c r="DY44" s="55">
        <f t="shared" si="238"/>
        <v>0.91</v>
      </c>
      <c r="DZ44" s="55">
        <f t="shared" si="238"/>
        <v>0.89</v>
      </c>
      <c r="EA44" s="55">
        <f t="shared" si="238"/>
        <v>0.87</v>
      </c>
      <c r="EB44" s="55">
        <f t="shared" si="238"/>
        <v>0.85</v>
      </c>
      <c r="EC44" s="55">
        <f t="shared" si="238"/>
        <v>0.83</v>
      </c>
      <c r="ED44" s="55">
        <f t="shared" si="238"/>
        <v>0.80999999999999994</v>
      </c>
      <c r="EE44" s="55">
        <f t="shared" si="238"/>
        <v>0.78999999999999992</v>
      </c>
      <c r="EF44" s="55">
        <f t="shared" si="238"/>
        <v>0.76999999999999991</v>
      </c>
      <c r="EG44" s="55">
        <f t="shared" si="238"/>
        <v>0.74999999999999989</v>
      </c>
      <c r="EH44" s="55">
        <f t="shared" si="238"/>
        <v>0.72999999999999987</v>
      </c>
      <c r="EI44" s="55">
        <f t="shared" si="238"/>
        <v>0.70999999999999985</v>
      </c>
      <c r="EJ44" s="55">
        <f t="shared" si="238"/>
        <v>0.68999999999999984</v>
      </c>
      <c r="EK44" s="55">
        <f t="shared" si="238"/>
        <v>0.66999999999999982</v>
      </c>
      <c r="EL44" s="55">
        <f t="shared" si="238"/>
        <v>0.6499999999999998</v>
      </c>
      <c r="EM44" s="55">
        <f t="shared" si="238"/>
        <v>0.62999999999999978</v>
      </c>
      <c r="EN44" s="55">
        <f t="shared" si="238"/>
        <v>0.60999999999999976</v>
      </c>
      <c r="EO44" s="55">
        <f t="shared" si="238"/>
        <v>0.58999999999999975</v>
      </c>
      <c r="EP44" s="55">
        <f t="shared" si="238"/>
        <v>0.56999999999999973</v>
      </c>
      <c r="ER44" s="55">
        <f t="shared" si="142"/>
        <v>91482.69130000002</v>
      </c>
      <c r="ES44" s="55">
        <f t="shared" si="116"/>
        <v>91482.69130000002</v>
      </c>
      <c r="ET44" s="59">
        <f t="shared" si="239"/>
        <v>302423.48089954007</v>
      </c>
      <c r="EU44" s="55">
        <f t="shared" si="240"/>
        <v>88738.210561000014</v>
      </c>
      <c r="EV44" s="59">
        <f t="shared" si="241"/>
        <v>293350.77647255384</v>
      </c>
      <c r="EW44" s="55">
        <f t="shared" si="242"/>
        <v>86908.55673500002</v>
      </c>
      <c r="EX44" s="59">
        <f t="shared" si="243"/>
        <v>287302.30685456307</v>
      </c>
      <c r="EY44" s="55">
        <f t="shared" si="244"/>
        <v>85078.902909000026</v>
      </c>
      <c r="EZ44" s="59">
        <f t="shared" si="245"/>
        <v>281253.83723657229</v>
      </c>
      <c r="FA44" s="57">
        <f t="shared" si="246"/>
        <v>83249.249083000017</v>
      </c>
      <c r="FB44" s="59">
        <f t="shared" si="247"/>
        <v>275205.36761858145</v>
      </c>
      <c r="FC44" s="55">
        <f t="shared" si="248"/>
        <v>81419.595257000023</v>
      </c>
      <c r="FD44" s="59">
        <f t="shared" si="249"/>
        <v>269156.89800059068</v>
      </c>
      <c r="FE44" s="57">
        <f t="shared" si="250"/>
        <v>79589.941431000014</v>
      </c>
      <c r="FF44" s="59">
        <f t="shared" si="251"/>
        <v>263108.42838259984</v>
      </c>
      <c r="FG44" s="60">
        <f t="shared" si="252"/>
        <v>77760.28760500002</v>
      </c>
      <c r="FH44" s="59">
        <f t="shared" si="253"/>
        <v>257059.95876460907</v>
      </c>
      <c r="FI44" s="57">
        <f t="shared" si="254"/>
        <v>75930.633779000011</v>
      </c>
      <c r="FJ44" s="59">
        <f t="shared" si="255"/>
        <v>251011.48914661823</v>
      </c>
      <c r="FK44" s="55">
        <f t="shared" si="256"/>
        <v>74100.979953000016</v>
      </c>
      <c r="FL44" s="59">
        <f t="shared" si="257"/>
        <v>244963.01952862745</v>
      </c>
      <c r="FM44" s="60">
        <f t="shared" si="258"/>
        <v>72271.326127000008</v>
      </c>
      <c r="FN44" s="59">
        <f t="shared" si="259"/>
        <v>238914.54991063662</v>
      </c>
      <c r="FO44" s="60">
        <f t="shared" si="260"/>
        <v>70441.672301000013</v>
      </c>
      <c r="FP44" s="59">
        <f t="shared" si="261"/>
        <v>232866.08029264584</v>
      </c>
      <c r="FQ44" s="60">
        <f t="shared" si="262"/>
        <v>68612.018475000004</v>
      </c>
      <c r="FR44" s="59">
        <f t="shared" si="263"/>
        <v>226817.61067465501</v>
      </c>
      <c r="FS44" s="55">
        <f t="shared" si="264"/>
        <v>66782.36464900001</v>
      </c>
      <c r="FT44" s="59">
        <f t="shared" si="265"/>
        <v>220769.14105666423</v>
      </c>
      <c r="FU44" s="60">
        <f t="shared" si="266"/>
        <v>64952.710823000001</v>
      </c>
      <c r="FV44" s="59">
        <f t="shared" si="267"/>
        <v>214720.67143867339</v>
      </c>
      <c r="FW44" s="60">
        <f t="shared" si="268"/>
        <v>63123.056997</v>
      </c>
      <c r="FX44" s="59">
        <f t="shared" si="269"/>
        <v>208672.20182068262</v>
      </c>
      <c r="FY44" s="60">
        <f t="shared" si="270"/>
        <v>61293.403170999998</v>
      </c>
      <c r="FZ44" s="59">
        <f t="shared" si="271"/>
        <v>202623.73220269181</v>
      </c>
      <c r="GA44" s="60">
        <f t="shared" si="272"/>
        <v>59463.749344999997</v>
      </c>
      <c r="GB44" s="59">
        <f t="shared" si="273"/>
        <v>196575.26258470101</v>
      </c>
      <c r="GC44" s="55">
        <f t="shared" si="274"/>
        <v>57634.095518999995</v>
      </c>
      <c r="GD44" s="59">
        <f t="shared" si="275"/>
        <v>190526.7929667102</v>
      </c>
      <c r="GE44" s="60">
        <f t="shared" si="276"/>
        <v>55804.441692999993</v>
      </c>
      <c r="GF44" s="59">
        <f t="shared" si="277"/>
        <v>184478.32334871939</v>
      </c>
      <c r="GG44" s="60">
        <f t="shared" si="278"/>
        <v>53974.787866999992</v>
      </c>
      <c r="GH44" s="59">
        <f t="shared" si="279"/>
        <v>178429.85373072859</v>
      </c>
      <c r="GI44" s="55">
        <f t="shared" si="280"/>
        <v>52145.13404099999</v>
      </c>
      <c r="GJ44" s="59">
        <f t="shared" si="281"/>
        <v>172381.38411273778</v>
      </c>
      <c r="GK44" s="55"/>
      <c r="GL44" s="55"/>
      <c r="GM44" s="55">
        <v>1</v>
      </c>
      <c r="GN44" s="55">
        <v>0.97</v>
      </c>
      <c r="GO44" s="55">
        <v>0.95</v>
      </c>
      <c r="GP44" s="55">
        <v>0.93</v>
      </c>
      <c r="GQ44" s="55">
        <f t="shared" si="282"/>
        <v>0.91</v>
      </c>
      <c r="GR44" s="55">
        <f t="shared" si="282"/>
        <v>0.89</v>
      </c>
      <c r="GS44" s="55">
        <f t="shared" si="282"/>
        <v>0.87</v>
      </c>
      <c r="GT44" s="55">
        <f t="shared" si="282"/>
        <v>0.85</v>
      </c>
      <c r="GU44" s="55">
        <f t="shared" si="282"/>
        <v>0.83</v>
      </c>
      <c r="GV44" s="55">
        <f t="shared" si="282"/>
        <v>0.80999999999999994</v>
      </c>
      <c r="GW44" s="55">
        <f t="shared" si="282"/>
        <v>0.78999999999999992</v>
      </c>
      <c r="GX44" s="55">
        <f t="shared" si="282"/>
        <v>0.76999999999999991</v>
      </c>
      <c r="GY44" s="55">
        <f t="shared" si="282"/>
        <v>0.74999999999999989</v>
      </c>
      <c r="GZ44" s="55">
        <f t="shared" si="282"/>
        <v>0.72999999999999987</v>
      </c>
      <c r="HA44" s="55">
        <f t="shared" si="282"/>
        <v>0.70999999999999985</v>
      </c>
      <c r="HB44" s="55">
        <f t="shared" si="282"/>
        <v>0.68999999999999984</v>
      </c>
      <c r="HC44" s="55">
        <f t="shared" si="282"/>
        <v>0.66999999999999982</v>
      </c>
      <c r="HD44" s="55">
        <f t="shared" si="282"/>
        <v>0.6499999999999998</v>
      </c>
      <c r="HE44" s="55">
        <f t="shared" si="282"/>
        <v>0.62999999999999978</v>
      </c>
      <c r="HF44" s="55">
        <f t="shared" si="282"/>
        <v>0.60999999999999976</v>
      </c>
      <c r="HG44" s="55">
        <f t="shared" si="282"/>
        <v>0.58999999999999975</v>
      </c>
      <c r="HH44" s="55">
        <f t="shared" si="282"/>
        <v>0.56999999999999973</v>
      </c>
    </row>
    <row r="45" spans="1:216" x14ac:dyDescent="0.3">
      <c r="A45" s="2">
        <v>6</v>
      </c>
      <c r="C45" s="38" t="s">
        <v>18</v>
      </c>
      <c r="D45" s="42">
        <f>TRUNC(15394,-1)</f>
        <v>15390</v>
      </c>
      <c r="E45" s="71">
        <f t="shared" si="152"/>
        <v>50870</v>
      </c>
      <c r="H45" s="55">
        <f t="shared" si="61"/>
        <v>55957.000000000007</v>
      </c>
      <c r="I45" s="55">
        <f t="shared" si="62"/>
        <v>55957.000000000007</v>
      </c>
      <c r="J45" s="59">
        <f t="shared" si="63"/>
        <v>184982.65060000002</v>
      </c>
      <c r="K45" s="55">
        <f t="shared" si="153"/>
        <v>54278.290000000008</v>
      </c>
      <c r="L45" s="59">
        <f t="shared" si="154"/>
        <v>179433.17108200004</v>
      </c>
      <c r="M45" s="55">
        <f t="shared" si="155"/>
        <v>53159.15</v>
      </c>
      <c r="N45" s="59">
        <f t="shared" si="156"/>
        <v>175733.51807000002</v>
      </c>
      <c r="O45" s="55">
        <f t="shared" si="157"/>
        <v>52040.010000000009</v>
      </c>
      <c r="P45" s="59">
        <f t="shared" si="158"/>
        <v>172033.86505800002</v>
      </c>
      <c r="Q45" s="57">
        <f t="shared" si="159"/>
        <v>50920.87000000001</v>
      </c>
      <c r="R45" s="59">
        <f t="shared" si="160"/>
        <v>168334.21204600003</v>
      </c>
      <c r="S45" s="55">
        <f t="shared" si="161"/>
        <v>49801.73000000001</v>
      </c>
      <c r="T45" s="59">
        <f t="shared" si="162"/>
        <v>164634.55903400003</v>
      </c>
      <c r="U45" s="57">
        <f t="shared" si="163"/>
        <v>48682.590000000004</v>
      </c>
      <c r="V45" s="59">
        <f t="shared" si="164"/>
        <v>160934.90602200001</v>
      </c>
      <c r="W45" s="60">
        <f t="shared" si="165"/>
        <v>47563.450000000004</v>
      </c>
      <c r="X45" s="59">
        <f t="shared" si="166"/>
        <v>157235.25301000001</v>
      </c>
      <c r="Y45" s="57">
        <f t="shared" si="167"/>
        <v>46444.310000000005</v>
      </c>
      <c r="Z45" s="59">
        <f t="shared" si="168"/>
        <v>153535.59999800002</v>
      </c>
      <c r="AA45" s="55">
        <f t="shared" si="169"/>
        <v>45325.170000000006</v>
      </c>
      <c r="AB45" s="59">
        <f t="shared" si="170"/>
        <v>149835.94698600002</v>
      </c>
      <c r="AC45" s="60">
        <f t="shared" si="171"/>
        <v>44206.03</v>
      </c>
      <c r="AD45" s="59">
        <f t="shared" si="172"/>
        <v>146136.293974</v>
      </c>
      <c r="AE45" s="60">
        <f t="shared" si="173"/>
        <v>43086.89</v>
      </c>
      <c r="AF45" s="59">
        <f t="shared" si="174"/>
        <v>142436.640962</v>
      </c>
      <c r="AG45" s="60">
        <f t="shared" si="175"/>
        <v>41967.75</v>
      </c>
      <c r="AH45" s="59">
        <f t="shared" si="176"/>
        <v>138736.98795000001</v>
      </c>
      <c r="AI45" s="55">
        <f t="shared" si="177"/>
        <v>40848.61</v>
      </c>
      <c r="AJ45" s="59">
        <f t="shared" si="178"/>
        <v>135037.33493800001</v>
      </c>
      <c r="AK45" s="60">
        <f t="shared" si="179"/>
        <v>39729.469999999994</v>
      </c>
      <c r="AL45" s="59">
        <f t="shared" si="180"/>
        <v>131337.68192599999</v>
      </c>
      <c r="AM45" s="60">
        <f t="shared" si="181"/>
        <v>38610.329999999994</v>
      </c>
      <c r="AN45" s="59">
        <f t="shared" si="182"/>
        <v>127638.02891399998</v>
      </c>
      <c r="AO45" s="60">
        <f t="shared" si="183"/>
        <v>37491.189999999995</v>
      </c>
      <c r="AP45" s="59">
        <f t="shared" si="184"/>
        <v>123938.37590199999</v>
      </c>
      <c r="AQ45" s="60">
        <f t="shared" si="185"/>
        <v>36372.049999999996</v>
      </c>
      <c r="AR45" s="59">
        <f t="shared" si="186"/>
        <v>120238.72288999999</v>
      </c>
      <c r="AS45" s="55">
        <f t="shared" si="187"/>
        <v>35252.909999999989</v>
      </c>
      <c r="AT45" s="59">
        <f t="shared" si="188"/>
        <v>116539.06987799997</v>
      </c>
      <c r="AU45" s="60">
        <f t="shared" si="189"/>
        <v>34133.76999999999</v>
      </c>
      <c r="AV45" s="59">
        <f t="shared" si="190"/>
        <v>112839.41686599997</v>
      </c>
      <c r="AW45" s="60">
        <f t="shared" si="191"/>
        <v>33014.62999999999</v>
      </c>
      <c r="AX45" s="59">
        <f t="shared" si="192"/>
        <v>109139.76385399998</v>
      </c>
      <c r="AY45" s="55">
        <f t="shared" si="193"/>
        <v>31895.489999999991</v>
      </c>
      <c r="AZ45" s="59">
        <f t="shared" si="194"/>
        <v>105440.11084199997</v>
      </c>
      <c r="BC45" s="55">
        <v>1</v>
      </c>
      <c r="BD45" s="55">
        <v>0.97</v>
      </c>
      <c r="BE45" s="55">
        <v>0.95</v>
      </c>
      <c r="BF45" s="55">
        <v>0.93</v>
      </c>
      <c r="BG45" s="55">
        <f t="shared" si="143"/>
        <v>0.91</v>
      </c>
      <c r="BH45" s="55">
        <f t="shared" si="143"/>
        <v>0.89</v>
      </c>
      <c r="BI45" s="55">
        <f t="shared" si="143"/>
        <v>0.87</v>
      </c>
      <c r="BJ45" s="55">
        <f t="shared" si="143"/>
        <v>0.85</v>
      </c>
      <c r="BK45" s="55">
        <f t="shared" si="143"/>
        <v>0.83</v>
      </c>
      <c r="BL45" s="55">
        <f t="shared" si="143"/>
        <v>0.80999999999999994</v>
      </c>
      <c r="BM45" s="55">
        <f t="shared" si="143"/>
        <v>0.78999999999999992</v>
      </c>
      <c r="BN45" s="55">
        <f t="shared" si="143"/>
        <v>0.76999999999999991</v>
      </c>
      <c r="BO45" s="55">
        <f t="shared" si="143"/>
        <v>0.74999999999999989</v>
      </c>
      <c r="BP45" s="55">
        <f t="shared" si="143"/>
        <v>0.72999999999999987</v>
      </c>
      <c r="BQ45" s="55">
        <f t="shared" si="143"/>
        <v>0.70999999999999985</v>
      </c>
      <c r="BR45" s="55">
        <f t="shared" si="143"/>
        <v>0.68999999999999984</v>
      </c>
      <c r="BS45" s="55">
        <f t="shared" si="143"/>
        <v>0.66999999999999982</v>
      </c>
      <c r="BT45" s="55">
        <f t="shared" si="143"/>
        <v>0.6499999999999998</v>
      </c>
      <c r="BU45" s="55">
        <f t="shared" si="143"/>
        <v>0.62999999999999978</v>
      </c>
      <c r="BV45" s="55">
        <f t="shared" si="143"/>
        <v>0.60999999999999976</v>
      </c>
      <c r="BW45" s="55">
        <f t="shared" si="143"/>
        <v>0.58999999999999975</v>
      </c>
      <c r="BX45" s="55">
        <f t="shared" si="143"/>
        <v>0.56999999999999973</v>
      </c>
      <c r="BZ45" s="55">
        <f t="shared" si="88"/>
        <v>50920.87000000001</v>
      </c>
      <c r="CA45" s="55">
        <f t="shared" si="89"/>
        <v>50920.87000000001</v>
      </c>
      <c r="CB45" s="59">
        <f t="shared" si="195"/>
        <v>168334.21204600003</v>
      </c>
      <c r="CC45" s="55">
        <f t="shared" si="196"/>
        <v>49393.243900000009</v>
      </c>
      <c r="CD45" s="59">
        <f t="shared" si="197"/>
        <v>163284.18568462002</v>
      </c>
      <c r="CE45" s="55">
        <f t="shared" si="198"/>
        <v>48374.82650000001</v>
      </c>
      <c r="CF45" s="59">
        <f t="shared" si="199"/>
        <v>159917.50144370005</v>
      </c>
      <c r="CG45" s="55">
        <f t="shared" si="200"/>
        <v>47356.409100000012</v>
      </c>
      <c r="CH45" s="59">
        <f t="shared" si="201"/>
        <v>156550.81720278005</v>
      </c>
      <c r="CI45" s="57">
        <f t="shared" si="202"/>
        <v>46337.991700000013</v>
      </c>
      <c r="CJ45" s="59">
        <f t="shared" si="203"/>
        <v>153184.13296186004</v>
      </c>
      <c r="CK45" s="55">
        <f t="shared" si="204"/>
        <v>45319.574300000007</v>
      </c>
      <c r="CL45" s="59">
        <f t="shared" si="205"/>
        <v>149817.44872094004</v>
      </c>
      <c r="CM45" s="57">
        <f t="shared" si="206"/>
        <v>44301.156900000009</v>
      </c>
      <c r="CN45" s="59">
        <f t="shared" si="207"/>
        <v>146450.76448002004</v>
      </c>
      <c r="CO45" s="60">
        <f t="shared" si="208"/>
        <v>43282.739500000011</v>
      </c>
      <c r="CP45" s="59">
        <f t="shared" si="209"/>
        <v>143084.08023910003</v>
      </c>
      <c r="CQ45" s="57">
        <f t="shared" si="210"/>
        <v>42264.322100000005</v>
      </c>
      <c r="CR45" s="59">
        <f t="shared" si="211"/>
        <v>139717.39599818003</v>
      </c>
      <c r="CS45" s="55">
        <f t="shared" si="212"/>
        <v>41245.904700000006</v>
      </c>
      <c r="CT45" s="59">
        <f t="shared" si="213"/>
        <v>136350.71175726003</v>
      </c>
      <c r="CU45" s="60">
        <f t="shared" si="214"/>
        <v>40227.487300000001</v>
      </c>
      <c r="CV45" s="59">
        <f t="shared" si="215"/>
        <v>132984.02751633999</v>
      </c>
      <c r="CW45" s="60">
        <f t="shared" si="216"/>
        <v>39209.069900000002</v>
      </c>
      <c r="CX45" s="59">
        <f t="shared" si="217"/>
        <v>129617.34327542</v>
      </c>
      <c r="CY45" s="60">
        <f t="shared" si="218"/>
        <v>38190.652500000004</v>
      </c>
      <c r="CZ45" s="59">
        <f t="shared" si="219"/>
        <v>126250.65903450001</v>
      </c>
      <c r="DA45" s="55">
        <f t="shared" si="220"/>
        <v>37172.235099999998</v>
      </c>
      <c r="DB45" s="59">
        <f t="shared" si="221"/>
        <v>122883.97479358</v>
      </c>
      <c r="DC45" s="60">
        <f t="shared" si="222"/>
        <v>36153.8177</v>
      </c>
      <c r="DD45" s="59">
        <f t="shared" si="223"/>
        <v>119517.29055266001</v>
      </c>
      <c r="DE45" s="60">
        <f t="shared" si="224"/>
        <v>35135.400300000001</v>
      </c>
      <c r="DF45" s="59">
        <f t="shared" si="225"/>
        <v>116150.60631174</v>
      </c>
      <c r="DG45" s="60">
        <f t="shared" si="226"/>
        <v>34116.982899999995</v>
      </c>
      <c r="DH45" s="59">
        <f t="shared" si="227"/>
        <v>112783.92207081999</v>
      </c>
      <c r="DI45" s="60">
        <f t="shared" si="228"/>
        <v>33098.565499999997</v>
      </c>
      <c r="DJ45" s="59">
        <f t="shared" si="229"/>
        <v>109417.2378299</v>
      </c>
      <c r="DK45" s="55">
        <f t="shared" si="230"/>
        <v>32080.148099999995</v>
      </c>
      <c r="DL45" s="59">
        <f t="shared" si="231"/>
        <v>106050.55358897998</v>
      </c>
      <c r="DM45" s="60">
        <f t="shared" si="232"/>
        <v>31061.730699999993</v>
      </c>
      <c r="DN45" s="59">
        <f t="shared" si="233"/>
        <v>102683.86934805998</v>
      </c>
      <c r="DO45" s="60">
        <f t="shared" si="234"/>
        <v>30043.313299999994</v>
      </c>
      <c r="DP45" s="59">
        <f t="shared" si="235"/>
        <v>99317.185107139987</v>
      </c>
      <c r="DQ45" s="55">
        <f t="shared" si="236"/>
        <v>29024.895899999992</v>
      </c>
      <c r="DR45" s="59">
        <f t="shared" si="237"/>
        <v>95950.500866219983</v>
      </c>
      <c r="DU45" s="55">
        <v>1</v>
      </c>
      <c r="DV45" s="55">
        <v>0.97</v>
      </c>
      <c r="DW45" s="55">
        <v>0.95</v>
      </c>
      <c r="DX45" s="55">
        <v>0.93</v>
      </c>
      <c r="DY45" s="55">
        <f t="shared" si="238"/>
        <v>0.91</v>
      </c>
      <c r="DZ45" s="55">
        <f t="shared" si="238"/>
        <v>0.89</v>
      </c>
      <c r="EA45" s="55">
        <f t="shared" si="238"/>
        <v>0.87</v>
      </c>
      <c r="EB45" s="55">
        <f t="shared" si="238"/>
        <v>0.85</v>
      </c>
      <c r="EC45" s="55">
        <f t="shared" si="238"/>
        <v>0.83</v>
      </c>
      <c r="ED45" s="55">
        <f t="shared" si="238"/>
        <v>0.80999999999999994</v>
      </c>
      <c r="EE45" s="55">
        <f t="shared" si="238"/>
        <v>0.78999999999999992</v>
      </c>
      <c r="EF45" s="55">
        <f t="shared" si="238"/>
        <v>0.76999999999999991</v>
      </c>
      <c r="EG45" s="55">
        <f t="shared" si="238"/>
        <v>0.74999999999999989</v>
      </c>
      <c r="EH45" s="55">
        <f t="shared" si="238"/>
        <v>0.72999999999999987</v>
      </c>
      <c r="EI45" s="55">
        <f t="shared" si="238"/>
        <v>0.70999999999999985</v>
      </c>
      <c r="EJ45" s="55">
        <f t="shared" si="238"/>
        <v>0.68999999999999984</v>
      </c>
      <c r="EK45" s="55">
        <f t="shared" si="238"/>
        <v>0.66999999999999982</v>
      </c>
      <c r="EL45" s="55">
        <f t="shared" si="238"/>
        <v>0.6499999999999998</v>
      </c>
      <c r="EM45" s="55">
        <f t="shared" si="238"/>
        <v>0.62999999999999978</v>
      </c>
      <c r="EN45" s="55">
        <f t="shared" si="238"/>
        <v>0.60999999999999976</v>
      </c>
      <c r="EO45" s="55">
        <f t="shared" si="238"/>
        <v>0.58999999999999975</v>
      </c>
      <c r="EP45" s="55">
        <f t="shared" si="238"/>
        <v>0.56999999999999973</v>
      </c>
      <c r="ER45" s="55">
        <f t="shared" si="142"/>
        <v>46337.991700000013</v>
      </c>
      <c r="ES45" s="55">
        <f t="shared" si="116"/>
        <v>46337.991700000013</v>
      </c>
      <c r="ET45" s="59">
        <f t="shared" si="239"/>
        <v>153184.13296186004</v>
      </c>
      <c r="EU45" s="55">
        <f t="shared" si="240"/>
        <v>44947.851949000011</v>
      </c>
      <c r="EV45" s="59">
        <f t="shared" si="241"/>
        <v>148588.60897300424</v>
      </c>
      <c r="EW45" s="55">
        <f t="shared" si="242"/>
        <v>44021.092115000014</v>
      </c>
      <c r="EX45" s="59">
        <f t="shared" si="243"/>
        <v>145524.92631376704</v>
      </c>
      <c r="EY45" s="55">
        <f t="shared" si="244"/>
        <v>43094.332281000017</v>
      </c>
      <c r="EZ45" s="59">
        <f t="shared" si="245"/>
        <v>142461.24365452986</v>
      </c>
      <c r="FA45" s="57">
        <f t="shared" si="246"/>
        <v>42167.572447000013</v>
      </c>
      <c r="FB45" s="59">
        <f t="shared" si="247"/>
        <v>139397.56099529265</v>
      </c>
      <c r="FC45" s="55">
        <f t="shared" si="248"/>
        <v>41240.812613000009</v>
      </c>
      <c r="FD45" s="59">
        <f t="shared" si="249"/>
        <v>136333.87833605544</v>
      </c>
      <c r="FE45" s="57">
        <f t="shared" si="250"/>
        <v>40314.052779000012</v>
      </c>
      <c r="FF45" s="59">
        <f t="shared" si="251"/>
        <v>133270.19567681826</v>
      </c>
      <c r="FG45" s="60">
        <f t="shared" si="252"/>
        <v>39387.292945000008</v>
      </c>
      <c r="FH45" s="59">
        <f t="shared" si="253"/>
        <v>130206.51301758103</v>
      </c>
      <c r="FI45" s="57">
        <f t="shared" si="254"/>
        <v>38460.533111000012</v>
      </c>
      <c r="FJ45" s="59">
        <f t="shared" si="255"/>
        <v>127142.83035834384</v>
      </c>
      <c r="FK45" s="55">
        <f t="shared" si="256"/>
        <v>37533.773277000008</v>
      </c>
      <c r="FL45" s="59">
        <f t="shared" si="257"/>
        <v>124079.14769910663</v>
      </c>
      <c r="FM45" s="60">
        <f t="shared" si="258"/>
        <v>36607.013443000003</v>
      </c>
      <c r="FN45" s="59">
        <f t="shared" si="259"/>
        <v>121015.46503986942</v>
      </c>
      <c r="FO45" s="60">
        <f t="shared" si="260"/>
        <v>35680.253609000007</v>
      </c>
      <c r="FP45" s="59">
        <f t="shared" si="261"/>
        <v>117951.78238063223</v>
      </c>
      <c r="FQ45" s="60">
        <f t="shared" si="262"/>
        <v>34753.493775000003</v>
      </c>
      <c r="FR45" s="59">
        <f t="shared" si="263"/>
        <v>114888.09972139502</v>
      </c>
      <c r="FS45" s="55">
        <f t="shared" si="264"/>
        <v>33826.733941000006</v>
      </c>
      <c r="FT45" s="59">
        <f t="shared" si="265"/>
        <v>111824.41706215782</v>
      </c>
      <c r="FU45" s="60">
        <f t="shared" si="266"/>
        <v>32899.974107000002</v>
      </c>
      <c r="FV45" s="59">
        <f t="shared" si="267"/>
        <v>108760.73440292061</v>
      </c>
      <c r="FW45" s="60">
        <f t="shared" si="268"/>
        <v>31973.214273000001</v>
      </c>
      <c r="FX45" s="59">
        <f t="shared" si="269"/>
        <v>105697.05174368341</v>
      </c>
      <c r="FY45" s="60">
        <f t="shared" si="270"/>
        <v>31046.454439000001</v>
      </c>
      <c r="FZ45" s="59">
        <f t="shared" si="271"/>
        <v>102633.36908444621</v>
      </c>
      <c r="GA45" s="60">
        <f t="shared" si="272"/>
        <v>30119.694605000001</v>
      </c>
      <c r="GB45" s="59">
        <f t="shared" si="273"/>
        <v>99569.686425209002</v>
      </c>
      <c r="GC45" s="55">
        <f t="shared" si="274"/>
        <v>29192.934770999997</v>
      </c>
      <c r="GD45" s="59">
        <f t="shared" si="275"/>
        <v>96506.003765971793</v>
      </c>
      <c r="GE45" s="60">
        <f t="shared" si="276"/>
        <v>28266.174936999996</v>
      </c>
      <c r="GF45" s="59">
        <f t="shared" si="277"/>
        <v>93442.321106734584</v>
      </c>
      <c r="GG45" s="60">
        <f t="shared" si="278"/>
        <v>27339.415102999996</v>
      </c>
      <c r="GH45" s="59">
        <f t="shared" si="279"/>
        <v>90378.638447497389</v>
      </c>
      <c r="GI45" s="55">
        <f t="shared" si="280"/>
        <v>26412.655268999995</v>
      </c>
      <c r="GJ45" s="59">
        <f t="shared" si="281"/>
        <v>87314.95578826018</v>
      </c>
      <c r="GK45" s="55"/>
      <c r="GL45" s="55"/>
      <c r="GM45" s="55">
        <v>1</v>
      </c>
      <c r="GN45" s="55">
        <v>0.97</v>
      </c>
      <c r="GO45" s="55">
        <v>0.95</v>
      </c>
      <c r="GP45" s="55">
        <v>0.93</v>
      </c>
      <c r="GQ45" s="55">
        <f t="shared" si="282"/>
        <v>0.91</v>
      </c>
      <c r="GR45" s="55">
        <f t="shared" si="282"/>
        <v>0.89</v>
      </c>
      <c r="GS45" s="55">
        <f t="shared" si="282"/>
        <v>0.87</v>
      </c>
      <c r="GT45" s="55">
        <f t="shared" si="282"/>
        <v>0.85</v>
      </c>
      <c r="GU45" s="55">
        <f t="shared" si="282"/>
        <v>0.83</v>
      </c>
      <c r="GV45" s="55">
        <f t="shared" si="282"/>
        <v>0.80999999999999994</v>
      </c>
      <c r="GW45" s="55">
        <f t="shared" si="282"/>
        <v>0.78999999999999992</v>
      </c>
      <c r="GX45" s="55">
        <f t="shared" si="282"/>
        <v>0.76999999999999991</v>
      </c>
      <c r="GY45" s="55">
        <f t="shared" si="282"/>
        <v>0.74999999999999989</v>
      </c>
      <c r="GZ45" s="55">
        <f t="shared" si="282"/>
        <v>0.72999999999999987</v>
      </c>
      <c r="HA45" s="55">
        <f t="shared" si="282"/>
        <v>0.70999999999999985</v>
      </c>
      <c r="HB45" s="55">
        <f t="shared" si="282"/>
        <v>0.68999999999999984</v>
      </c>
      <c r="HC45" s="55">
        <f t="shared" si="282"/>
        <v>0.66999999999999982</v>
      </c>
      <c r="HD45" s="55">
        <f t="shared" si="282"/>
        <v>0.6499999999999998</v>
      </c>
      <c r="HE45" s="55">
        <f t="shared" si="282"/>
        <v>0.62999999999999978</v>
      </c>
      <c r="HF45" s="55">
        <f t="shared" si="282"/>
        <v>0.60999999999999976</v>
      </c>
      <c r="HG45" s="55">
        <f t="shared" si="282"/>
        <v>0.58999999999999975</v>
      </c>
      <c r="HH45" s="55">
        <f t="shared" si="282"/>
        <v>0.56999999999999973</v>
      </c>
    </row>
    <row r="46" spans="1:216" x14ac:dyDescent="0.3">
      <c r="A46" s="2">
        <v>7</v>
      </c>
      <c r="C46" s="38" t="s">
        <v>19</v>
      </c>
      <c r="D46" s="42">
        <f>TRUNC(20568,-1)</f>
        <v>20560</v>
      </c>
      <c r="E46" s="71">
        <f t="shared" si="152"/>
        <v>67960</v>
      </c>
      <c r="H46" s="55">
        <f t="shared" si="61"/>
        <v>74756</v>
      </c>
      <c r="I46" s="55">
        <f t="shared" si="62"/>
        <v>74756</v>
      </c>
      <c r="J46" s="59">
        <f t="shared" si="63"/>
        <v>247128.3848</v>
      </c>
      <c r="K46" s="55">
        <f t="shared" si="153"/>
        <v>72513.319999999992</v>
      </c>
      <c r="L46" s="59">
        <f t="shared" si="154"/>
        <v>239714.53325599997</v>
      </c>
      <c r="M46" s="55">
        <f t="shared" si="155"/>
        <v>71018.2</v>
      </c>
      <c r="N46" s="59">
        <f t="shared" si="156"/>
        <v>234771.96555999998</v>
      </c>
      <c r="O46" s="55">
        <f t="shared" si="157"/>
        <v>69523.08</v>
      </c>
      <c r="P46" s="59">
        <f t="shared" si="158"/>
        <v>229829.397864</v>
      </c>
      <c r="Q46" s="57">
        <f t="shared" si="159"/>
        <v>68027.960000000006</v>
      </c>
      <c r="R46" s="59">
        <f t="shared" si="160"/>
        <v>224886.83016800001</v>
      </c>
      <c r="S46" s="55">
        <f t="shared" si="161"/>
        <v>66532.84</v>
      </c>
      <c r="T46" s="59">
        <f t="shared" si="162"/>
        <v>219944.262472</v>
      </c>
      <c r="U46" s="57">
        <f t="shared" si="163"/>
        <v>65037.72</v>
      </c>
      <c r="V46" s="59">
        <f t="shared" si="164"/>
        <v>215001.69477600002</v>
      </c>
      <c r="W46" s="60">
        <f t="shared" si="165"/>
        <v>63542.6</v>
      </c>
      <c r="X46" s="59">
        <f t="shared" si="166"/>
        <v>210059.12708000001</v>
      </c>
      <c r="Y46" s="57">
        <f t="shared" si="167"/>
        <v>62047.479999999996</v>
      </c>
      <c r="Z46" s="59">
        <f t="shared" si="168"/>
        <v>205116.55938399999</v>
      </c>
      <c r="AA46" s="55">
        <f t="shared" si="169"/>
        <v>60552.359999999993</v>
      </c>
      <c r="AB46" s="59">
        <f t="shared" si="170"/>
        <v>200173.99168799998</v>
      </c>
      <c r="AC46" s="60">
        <f t="shared" si="171"/>
        <v>59057.24</v>
      </c>
      <c r="AD46" s="59">
        <f t="shared" si="172"/>
        <v>195231.423992</v>
      </c>
      <c r="AE46" s="60">
        <f t="shared" si="173"/>
        <v>57562.119999999995</v>
      </c>
      <c r="AF46" s="59">
        <f t="shared" si="174"/>
        <v>190288.85629599998</v>
      </c>
      <c r="AG46" s="60">
        <f t="shared" si="175"/>
        <v>56066.999999999993</v>
      </c>
      <c r="AH46" s="59">
        <f t="shared" si="176"/>
        <v>185346.28859999997</v>
      </c>
      <c r="AI46" s="55">
        <f t="shared" si="177"/>
        <v>54571.87999999999</v>
      </c>
      <c r="AJ46" s="59">
        <f t="shared" si="178"/>
        <v>180403.72090399996</v>
      </c>
      <c r="AK46" s="60">
        <f t="shared" si="179"/>
        <v>53076.759999999987</v>
      </c>
      <c r="AL46" s="59">
        <f t="shared" si="180"/>
        <v>175461.15320799997</v>
      </c>
      <c r="AM46" s="60">
        <f t="shared" si="181"/>
        <v>51581.639999999985</v>
      </c>
      <c r="AN46" s="59">
        <f t="shared" si="182"/>
        <v>170518.58551199996</v>
      </c>
      <c r="AO46" s="60">
        <f t="shared" si="183"/>
        <v>50086.51999999999</v>
      </c>
      <c r="AP46" s="59">
        <f t="shared" si="184"/>
        <v>165576.01781599998</v>
      </c>
      <c r="AQ46" s="60">
        <f t="shared" si="185"/>
        <v>48591.399999999987</v>
      </c>
      <c r="AR46" s="59">
        <f t="shared" si="186"/>
        <v>160633.45011999996</v>
      </c>
      <c r="AS46" s="55">
        <f t="shared" si="187"/>
        <v>47096.279999999984</v>
      </c>
      <c r="AT46" s="59">
        <f t="shared" si="188"/>
        <v>155690.88242399995</v>
      </c>
      <c r="AU46" s="60">
        <f t="shared" si="189"/>
        <v>45601.159999999982</v>
      </c>
      <c r="AV46" s="59">
        <f t="shared" si="190"/>
        <v>150748.31472799994</v>
      </c>
      <c r="AW46" s="60">
        <f t="shared" si="191"/>
        <v>44106.039999999979</v>
      </c>
      <c r="AX46" s="59">
        <f t="shared" si="192"/>
        <v>145805.74703199993</v>
      </c>
      <c r="AY46" s="55">
        <f t="shared" si="193"/>
        <v>42610.919999999976</v>
      </c>
      <c r="AZ46" s="59">
        <f t="shared" si="194"/>
        <v>140863.17933599991</v>
      </c>
      <c r="BC46" s="55">
        <v>1</v>
      </c>
      <c r="BD46" s="55">
        <v>0.97</v>
      </c>
      <c r="BE46" s="55">
        <v>0.95</v>
      </c>
      <c r="BF46" s="55">
        <v>0.93</v>
      </c>
      <c r="BG46" s="55">
        <f t="shared" si="143"/>
        <v>0.91</v>
      </c>
      <c r="BH46" s="55">
        <f t="shared" si="143"/>
        <v>0.89</v>
      </c>
      <c r="BI46" s="55">
        <f t="shared" si="143"/>
        <v>0.87</v>
      </c>
      <c r="BJ46" s="55">
        <f t="shared" si="143"/>
        <v>0.85</v>
      </c>
      <c r="BK46" s="55">
        <f t="shared" si="143"/>
        <v>0.83</v>
      </c>
      <c r="BL46" s="55">
        <f t="shared" si="143"/>
        <v>0.80999999999999994</v>
      </c>
      <c r="BM46" s="55">
        <f t="shared" si="143"/>
        <v>0.78999999999999992</v>
      </c>
      <c r="BN46" s="55">
        <f t="shared" si="143"/>
        <v>0.76999999999999991</v>
      </c>
      <c r="BO46" s="55">
        <f t="shared" si="143"/>
        <v>0.74999999999999989</v>
      </c>
      <c r="BP46" s="55">
        <f t="shared" si="143"/>
        <v>0.72999999999999987</v>
      </c>
      <c r="BQ46" s="55">
        <f t="shared" si="143"/>
        <v>0.70999999999999985</v>
      </c>
      <c r="BR46" s="55">
        <f t="shared" si="143"/>
        <v>0.68999999999999984</v>
      </c>
      <c r="BS46" s="55">
        <f t="shared" si="143"/>
        <v>0.66999999999999982</v>
      </c>
      <c r="BT46" s="55">
        <f t="shared" si="143"/>
        <v>0.6499999999999998</v>
      </c>
      <c r="BU46" s="55">
        <f t="shared" si="143"/>
        <v>0.62999999999999978</v>
      </c>
      <c r="BV46" s="55">
        <f t="shared" si="143"/>
        <v>0.60999999999999976</v>
      </c>
      <c r="BW46" s="55">
        <f t="shared" si="143"/>
        <v>0.58999999999999975</v>
      </c>
      <c r="BX46" s="55">
        <f t="shared" si="143"/>
        <v>0.56999999999999973</v>
      </c>
      <c r="BZ46" s="55">
        <f t="shared" si="88"/>
        <v>68027.960000000006</v>
      </c>
      <c r="CA46" s="55">
        <f t="shared" si="89"/>
        <v>68027.960000000006</v>
      </c>
      <c r="CB46" s="59">
        <f t="shared" si="195"/>
        <v>224886.83016800001</v>
      </c>
      <c r="CC46" s="55">
        <f t="shared" si="196"/>
        <v>65987.121200000009</v>
      </c>
      <c r="CD46" s="59">
        <f t="shared" si="197"/>
        <v>218140.22526296004</v>
      </c>
      <c r="CE46" s="55">
        <f t="shared" si="198"/>
        <v>64626.562000000005</v>
      </c>
      <c r="CF46" s="59">
        <f t="shared" si="199"/>
        <v>213642.48865960003</v>
      </c>
      <c r="CG46" s="55">
        <f t="shared" si="200"/>
        <v>63266.002800000009</v>
      </c>
      <c r="CH46" s="59">
        <f t="shared" si="201"/>
        <v>209144.75205624005</v>
      </c>
      <c r="CI46" s="57">
        <f t="shared" si="202"/>
        <v>61905.443600000006</v>
      </c>
      <c r="CJ46" s="59">
        <f t="shared" si="203"/>
        <v>204647.01545288003</v>
      </c>
      <c r="CK46" s="55">
        <f t="shared" si="204"/>
        <v>60544.88440000001</v>
      </c>
      <c r="CL46" s="59">
        <f t="shared" si="205"/>
        <v>200149.27884952005</v>
      </c>
      <c r="CM46" s="57">
        <f t="shared" si="206"/>
        <v>59184.325200000007</v>
      </c>
      <c r="CN46" s="59">
        <f t="shared" si="207"/>
        <v>195651.54224616004</v>
      </c>
      <c r="CO46" s="60">
        <f t="shared" si="208"/>
        <v>57823.766000000003</v>
      </c>
      <c r="CP46" s="59">
        <f t="shared" si="209"/>
        <v>191153.80564280003</v>
      </c>
      <c r="CQ46" s="57">
        <f t="shared" si="210"/>
        <v>56463.2068</v>
      </c>
      <c r="CR46" s="59">
        <f t="shared" si="211"/>
        <v>186656.06903944002</v>
      </c>
      <c r="CS46" s="55">
        <f t="shared" si="212"/>
        <v>55102.647600000004</v>
      </c>
      <c r="CT46" s="59">
        <f t="shared" si="213"/>
        <v>182158.33243608</v>
      </c>
      <c r="CU46" s="60">
        <f t="shared" si="214"/>
        <v>53742.088400000001</v>
      </c>
      <c r="CV46" s="59">
        <f t="shared" si="215"/>
        <v>177660.59583271999</v>
      </c>
      <c r="CW46" s="60">
        <f t="shared" si="216"/>
        <v>52381.529199999997</v>
      </c>
      <c r="CX46" s="59">
        <f t="shared" si="217"/>
        <v>173162.85922936001</v>
      </c>
      <c r="CY46" s="60">
        <f t="shared" si="218"/>
        <v>51020.969999999994</v>
      </c>
      <c r="CZ46" s="59">
        <f t="shared" si="219"/>
        <v>168665.122626</v>
      </c>
      <c r="DA46" s="55">
        <f t="shared" si="220"/>
        <v>49660.410799999998</v>
      </c>
      <c r="DB46" s="59">
        <f t="shared" si="221"/>
        <v>164167.38602263998</v>
      </c>
      <c r="DC46" s="60">
        <f t="shared" si="222"/>
        <v>48299.851599999995</v>
      </c>
      <c r="DD46" s="59">
        <f t="shared" si="223"/>
        <v>159669.64941927997</v>
      </c>
      <c r="DE46" s="60">
        <f t="shared" si="224"/>
        <v>46939.292399999991</v>
      </c>
      <c r="DF46" s="59">
        <f t="shared" si="225"/>
        <v>155171.91281591996</v>
      </c>
      <c r="DG46" s="60">
        <f t="shared" si="226"/>
        <v>45578.733199999995</v>
      </c>
      <c r="DH46" s="59">
        <f t="shared" si="227"/>
        <v>150674.17621255998</v>
      </c>
      <c r="DI46" s="60">
        <f t="shared" si="228"/>
        <v>44218.173999999992</v>
      </c>
      <c r="DJ46" s="59">
        <f t="shared" si="229"/>
        <v>146176.43960919997</v>
      </c>
      <c r="DK46" s="55">
        <f t="shared" si="230"/>
        <v>42857.614799999988</v>
      </c>
      <c r="DL46" s="59">
        <f t="shared" si="231"/>
        <v>141678.70300583995</v>
      </c>
      <c r="DM46" s="60">
        <f t="shared" si="232"/>
        <v>41497.055599999985</v>
      </c>
      <c r="DN46" s="59">
        <f t="shared" si="233"/>
        <v>137180.96640247994</v>
      </c>
      <c r="DO46" s="60">
        <f t="shared" si="234"/>
        <v>40136.496399999989</v>
      </c>
      <c r="DP46" s="59">
        <f t="shared" si="235"/>
        <v>132683.22979911996</v>
      </c>
      <c r="DQ46" s="55">
        <f t="shared" si="236"/>
        <v>38775.937199999986</v>
      </c>
      <c r="DR46" s="59">
        <f t="shared" si="237"/>
        <v>128185.49319575996</v>
      </c>
      <c r="DU46" s="55">
        <v>1</v>
      </c>
      <c r="DV46" s="55">
        <v>0.97</v>
      </c>
      <c r="DW46" s="55">
        <v>0.95</v>
      </c>
      <c r="DX46" s="55">
        <v>0.93</v>
      </c>
      <c r="DY46" s="55">
        <f t="shared" si="238"/>
        <v>0.91</v>
      </c>
      <c r="DZ46" s="55">
        <f t="shared" si="238"/>
        <v>0.89</v>
      </c>
      <c r="EA46" s="55">
        <f t="shared" si="238"/>
        <v>0.87</v>
      </c>
      <c r="EB46" s="55">
        <f t="shared" si="238"/>
        <v>0.85</v>
      </c>
      <c r="EC46" s="55">
        <f t="shared" si="238"/>
        <v>0.83</v>
      </c>
      <c r="ED46" s="55">
        <f t="shared" si="238"/>
        <v>0.80999999999999994</v>
      </c>
      <c r="EE46" s="55">
        <f t="shared" si="238"/>
        <v>0.78999999999999992</v>
      </c>
      <c r="EF46" s="55">
        <f t="shared" si="238"/>
        <v>0.76999999999999991</v>
      </c>
      <c r="EG46" s="55">
        <f t="shared" si="238"/>
        <v>0.74999999999999989</v>
      </c>
      <c r="EH46" s="55">
        <f t="shared" si="238"/>
        <v>0.72999999999999987</v>
      </c>
      <c r="EI46" s="55">
        <f t="shared" si="238"/>
        <v>0.70999999999999985</v>
      </c>
      <c r="EJ46" s="55">
        <f t="shared" si="238"/>
        <v>0.68999999999999984</v>
      </c>
      <c r="EK46" s="55">
        <f t="shared" si="238"/>
        <v>0.66999999999999982</v>
      </c>
      <c r="EL46" s="55">
        <f t="shared" si="238"/>
        <v>0.6499999999999998</v>
      </c>
      <c r="EM46" s="55">
        <f t="shared" si="238"/>
        <v>0.62999999999999978</v>
      </c>
      <c r="EN46" s="55">
        <f t="shared" si="238"/>
        <v>0.60999999999999976</v>
      </c>
      <c r="EO46" s="55">
        <f t="shared" si="238"/>
        <v>0.58999999999999975</v>
      </c>
      <c r="EP46" s="55">
        <f t="shared" si="238"/>
        <v>0.56999999999999973</v>
      </c>
      <c r="ER46" s="55">
        <f t="shared" si="142"/>
        <v>61905.443600000006</v>
      </c>
      <c r="ES46" s="55">
        <f t="shared" si="116"/>
        <v>61905.443600000006</v>
      </c>
      <c r="ET46" s="59">
        <f t="shared" si="239"/>
        <v>204647.01545288003</v>
      </c>
      <c r="EU46" s="55">
        <f t="shared" si="240"/>
        <v>60048.280292000003</v>
      </c>
      <c r="EV46" s="59">
        <f t="shared" si="241"/>
        <v>198507.60498929361</v>
      </c>
      <c r="EW46" s="55">
        <f t="shared" si="242"/>
        <v>58810.171420000006</v>
      </c>
      <c r="EX46" s="59">
        <f t="shared" si="243"/>
        <v>194414.66468023602</v>
      </c>
      <c r="EY46" s="55">
        <f t="shared" si="244"/>
        <v>57572.062548000009</v>
      </c>
      <c r="EZ46" s="59">
        <f t="shared" si="245"/>
        <v>190321.72437117842</v>
      </c>
      <c r="FA46" s="57">
        <f t="shared" si="246"/>
        <v>56333.953676000005</v>
      </c>
      <c r="FB46" s="59">
        <f t="shared" si="247"/>
        <v>186228.78406212083</v>
      </c>
      <c r="FC46" s="55">
        <f t="shared" si="248"/>
        <v>55095.844804000008</v>
      </c>
      <c r="FD46" s="59">
        <f t="shared" si="249"/>
        <v>182135.84375306324</v>
      </c>
      <c r="FE46" s="57">
        <f t="shared" si="250"/>
        <v>53857.735932000003</v>
      </c>
      <c r="FF46" s="59">
        <f t="shared" si="251"/>
        <v>178042.90344400561</v>
      </c>
      <c r="FG46" s="60">
        <f t="shared" si="252"/>
        <v>52619.627060000006</v>
      </c>
      <c r="FH46" s="59">
        <f t="shared" si="253"/>
        <v>173949.96313494802</v>
      </c>
      <c r="FI46" s="57">
        <f t="shared" si="254"/>
        <v>51381.518188000002</v>
      </c>
      <c r="FJ46" s="59">
        <f t="shared" si="255"/>
        <v>169857.0228258904</v>
      </c>
      <c r="FK46" s="55">
        <f t="shared" si="256"/>
        <v>50143.409316000005</v>
      </c>
      <c r="FL46" s="59">
        <f t="shared" si="257"/>
        <v>165764.08251683283</v>
      </c>
      <c r="FM46" s="60">
        <f t="shared" si="258"/>
        <v>48905.300444</v>
      </c>
      <c r="FN46" s="59">
        <f t="shared" si="259"/>
        <v>161671.14220777521</v>
      </c>
      <c r="FO46" s="60">
        <f t="shared" si="260"/>
        <v>47667.191571999996</v>
      </c>
      <c r="FP46" s="59">
        <f t="shared" si="261"/>
        <v>157578.20189871758</v>
      </c>
      <c r="FQ46" s="60">
        <f t="shared" si="262"/>
        <v>46429.082699999999</v>
      </c>
      <c r="FR46" s="59">
        <f t="shared" si="263"/>
        <v>153485.26158965999</v>
      </c>
      <c r="FS46" s="55">
        <f t="shared" si="264"/>
        <v>45190.973827999995</v>
      </c>
      <c r="FT46" s="59">
        <f t="shared" si="265"/>
        <v>149392.32128060239</v>
      </c>
      <c r="FU46" s="60">
        <f t="shared" si="266"/>
        <v>43952.864955999998</v>
      </c>
      <c r="FV46" s="59">
        <f t="shared" si="267"/>
        <v>145299.3809715448</v>
      </c>
      <c r="FW46" s="60">
        <f t="shared" si="268"/>
        <v>42714.756083999993</v>
      </c>
      <c r="FX46" s="59">
        <f t="shared" si="269"/>
        <v>141206.44066248718</v>
      </c>
      <c r="FY46" s="60">
        <f t="shared" si="270"/>
        <v>41476.647211999996</v>
      </c>
      <c r="FZ46" s="59">
        <f t="shared" si="271"/>
        <v>137113.50035342958</v>
      </c>
      <c r="GA46" s="60">
        <f t="shared" si="272"/>
        <v>40238.538339999992</v>
      </c>
      <c r="GB46" s="59">
        <f t="shared" si="273"/>
        <v>133020.56004437199</v>
      </c>
      <c r="GC46" s="55">
        <f t="shared" si="274"/>
        <v>39000.429467999988</v>
      </c>
      <c r="GD46" s="59">
        <f t="shared" si="275"/>
        <v>128927.61973531437</v>
      </c>
      <c r="GE46" s="60">
        <f t="shared" si="276"/>
        <v>37762.32059599999</v>
      </c>
      <c r="GF46" s="59">
        <f t="shared" si="277"/>
        <v>124834.67942625677</v>
      </c>
      <c r="GG46" s="60">
        <f t="shared" si="278"/>
        <v>36524.211723999986</v>
      </c>
      <c r="GH46" s="59">
        <f t="shared" si="279"/>
        <v>120741.73911719916</v>
      </c>
      <c r="GI46" s="55">
        <f t="shared" si="280"/>
        <v>35286.102851999989</v>
      </c>
      <c r="GJ46" s="59">
        <f t="shared" si="281"/>
        <v>116648.79880814157</v>
      </c>
      <c r="GK46" s="55"/>
      <c r="GL46" s="55"/>
      <c r="GM46" s="55">
        <v>1</v>
      </c>
      <c r="GN46" s="55">
        <v>0.97</v>
      </c>
      <c r="GO46" s="55">
        <v>0.95</v>
      </c>
      <c r="GP46" s="55">
        <v>0.93</v>
      </c>
      <c r="GQ46" s="55">
        <f t="shared" si="282"/>
        <v>0.91</v>
      </c>
      <c r="GR46" s="55">
        <f t="shared" si="282"/>
        <v>0.89</v>
      </c>
      <c r="GS46" s="55">
        <f t="shared" si="282"/>
        <v>0.87</v>
      </c>
      <c r="GT46" s="55">
        <f t="shared" si="282"/>
        <v>0.85</v>
      </c>
      <c r="GU46" s="55">
        <f t="shared" si="282"/>
        <v>0.83</v>
      </c>
      <c r="GV46" s="55">
        <f t="shared" si="282"/>
        <v>0.80999999999999994</v>
      </c>
      <c r="GW46" s="55">
        <f t="shared" si="282"/>
        <v>0.78999999999999992</v>
      </c>
      <c r="GX46" s="55">
        <f t="shared" si="282"/>
        <v>0.76999999999999991</v>
      </c>
      <c r="GY46" s="55">
        <f t="shared" si="282"/>
        <v>0.74999999999999989</v>
      </c>
      <c r="GZ46" s="55">
        <f t="shared" si="282"/>
        <v>0.72999999999999987</v>
      </c>
      <c r="HA46" s="55">
        <f t="shared" si="282"/>
        <v>0.70999999999999985</v>
      </c>
      <c r="HB46" s="55">
        <f t="shared" si="282"/>
        <v>0.68999999999999984</v>
      </c>
      <c r="HC46" s="55">
        <f t="shared" si="282"/>
        <v>0.66999999999999982</v>
      </c>
      <c r="HD46" s="55">
        <f t="shared" si="282"/>
        <v>0.6499999999999998</v>
      </c>
      <c r="HE46" s="55">
        <f t="shared" si="282"/>
        <v>0.62999999999999978</v>
      </c>
      <c r="HF46" s="55">
        <f t="shared" si="282"/>
        <v>0.60999999999999976</v>
      </c>
      <c r="HG46" s="55">
        <f t="shared" si="282"/>
        <v>0.58999999999999975</v>
      </c>
      <c r="HH46" s="55">
        <f t="shared" si="282"/>
        <v>0.56999999999999973</v>
      </c>
    </row>
    <row r="47" spans="1:216" x14ac:dyDescent="0.3">
      <c r="A47" s="2">
        <v>8</v>
      </c>
      <c r="C47" s="38" t="s">
        <v>20</v>
      </c>
      <c r="D47" s="42">
        <v>0</v>
      </c>
      <c r="E47" s="71">
        <f t="shared" si="152"/>
        <v>0</v>
      </c>
      <c r="H47" s="55">
        <f t="shared" si="61"/>
        <v>0</v>
      </c>
      <c r="I47" s="55">
        <f t="shared" si="62"/>
        <v>0</v>
      </c>
      <c r="J47" s="59">
        <f t="shared" si="63"/>
        <v>0</v>
      </c>
      <c r="K47" s="55">
        <f t="shared" si="153"/>
        <v>0</v>
      </c>
      <c r="L47" s="59">
        <f t="shared" si="154"/>
        <v>0</v>
      </c>
      <c r="M47" s="55">
        <f t="shared" si="155"/>
        <v>0</v>
      </c>
      <c r="N47" s="59">
        <f t="shared" si="156"/>
        <v>0</v>
      </c>
      <c r="O47" s="55">
        <f t="shared" si="157"/>
        <v>0</v>
      </c>
      <c r="P47" s="59">
        <f t="shared" si="158"/>
        <v>0</v>
      </c>
      <c r="Q47" s="57">
        <f t="shared" si="159"/>
        <v>0</v>
      </c>
      <c r="R47" s="59">
        <f t="shared" si="160"/>
        <v>0</v>
      </c>
      <c r="S47" s="55">
        <f t="shared" si="161"/>
        <v>0</v>
      </c>
      <c r="T47" s="59">
        <f t="shared" si="162"/>
        <v>0</v>
      </c>
      <c r="U47" s="57">
        <f t="shared" si="163"/>
        <v>0</v>
      </c>
      <c r="V47" s="59">
        <f t="shared" si="164"/>
        <v>0</v>
      </c>
      <c r="W47" s="60">
        <f t="shared" si="165"/>
        <v>0</v>
      </c>
      <c r="X47" s="59">
        <f t="shared" si="166"/>
        <v>0</v>
      </c>
      <c r="Y47" s="57">
        <f t="shared" si="167"/>
        <v>0</v>
      </c>
      <c r="Z47" s="59">
        <f t="shared" si="168"/>
        <v>0</v>
      </c>
      <c r="AA47" s="55">
        <f t="shared" si="169"/>
        <v>0</v>
      </c>
      <c r="AB47" s="59">
        <f t="shared" si="170"/>
        <v>0</v>
      </c>
      <c r="AC47" s="60">
        <f t="shared" si="171"/>
        <v>0</v>
      </c>
      <c r="AD47" s="59">
        <f t="shared" si="172"/>
        <v>0</v>
      </c>
      <c r="AE47" s="60">
        <f t="shared" si="173"/>
        <v>0</v>
      </c>
      <c r="AF47" s="59">
        <f t="shared" si="174"/>
        <v>0</v>
      </c>
      <c r="AG47" s="60">
        <f t="shared" si="175"/>
        <v>0</v>
      </c>
      <c r="AH47" s="59">
        <f t="shared" si="176"/>
        <v>0</v>
      </c>
      <c r="AI47" s="55">
        <f t="shared" si="177"/>
        <v>0</v>
      </c>
      <c r="AJ47" s="59">
        <f t="shared" si="178"/>
        <v>0</v>
      </c>
      <c r="AK47" s="60">
        <f t="shared" si="179"/>
        <v>0</v>
      </c>
      <c r="AL47" s="59">
        <f t="shared" si="180"/>
        <v>0</v>
      </c>
      <c r="AM47" s="60">
        <f t="shared" si="181"/>
        <v>0</v>
      </c>
      <c r="AN47" s="59">
        <f t="shared" si="182"/>
        <v>0</v>
      </c>
      <c r="AO47" s="60">
        <f t="shared" si="183"/>
        <v>0</v>
      </c>
      <c r="AP47" s="59">
        <f t="shared" si="184"/>
        <v>0</v>
      </c>
      <c r="AQ47" s="60">
        <f t="shared" si="185"/>
        <v>0</v>
      </c>
      <c r="AR47" s="59">
        <f t="shared" si="186"/>
        <v>0</v>
      </c>
      <c r="AS47" s="55">
        <f t="shared" si="187"/>
        <v>0</v>
      </c>
      <c r="AT47" s="59">
        <f t="shared" si="188"/>
        <v>0</v>
      </c>
      <c r="AU47" s="60">
        <f t="shared" si="189"/>
        <v>0</v>
      </c>
      <c r="AV47" s="59">
        <f t="shared" si="190"/>
        <v>0</v>
      </c>
      <c r="AW47" s="60">
        <f t="shared" si="191"/>
        <v>0</v>
      </c>
      <c r="AX47" s="59">
        <f t="shared" si="192"/>
        <v>0</v>
      </c>
      <c r="AY47" s="55">
        <f t="shared" si="193"/>
        <v>0</v>
      </c>
      <c r="AZ47" s="59">
        <f t="shared" si="194"/>
        <v>0</v>
      </c>
      <c r="BC47" s="55">
        <v>1</v>
      </c>
      <c r="BD47" s="55">
        <v>0.97</v>
      </c>
      <c r="BE47" s="55">
        <v>0.95</v>
      </c>
      <c r="BF47" s="55">
        <v>0.93</v>
      </c>
      <c r="BG47" s="55">
        <f t="shared" si="143"/>
        <v>0.91</v>
      </c>
      <c r="BH47" s="55">
        <f t="shared" si="143"/>
        <v>0.89</v>
      </c>
      <c r="BI47" s="55">
        <f t="shared" si="143"/>
        <v>0.87</v>
      </c>
      <c r="BJ47" s="55">
        <f t="shared" si="143"/>
        <v>0.85</v>
      </c>
      <c r="BK47" s="55">
        <f t="shared" si="143"/>
        <v>0.83</v>
      </c>
      <c r="BL47" s="55">
        <f t="shared" si="143"/>
        <v>0.80999999999999994</v>
      </c>
      <c r="BM47" s="55">
        <f t="shared" si="143"/>
        <v>0.78999999999999992</v>
      </c>
      <c r="BN47" s="55">
        <f t="shared" si="143"/>
        <v>0.76999999999999991</v>
      </c>
      <c r="BO47" s="55">
        <f t="shared" si="143"/>
        <v>0.74999999999999989</v>
      </c>
      <c r="BP47" s="55">
        <f t="shared" si="143"/>
        <v>0.72999999999999987</v>
      </c>
      <c r="BQ47" s="55">
        <f t="shared" si="143"/>
        <v>0.70999999999999985</v>
      </c>
      <c r="BR47" s="55">
        <f t="shared" si="143"/>
        <v>0.68999999999999984</v>
      </c>
      <c r="BS47" s="55">
        <f t="shared" si="143"/>
        <v>0.66999999999999982</v>
      </c>
      <c r="BT47" s="55">
        <f t="shared" si="143"/>
        <v>0.6499999999999998</v>
      </c>
      <c r="BU47" s="55">
        <f t="shared" si="143"/>
        <v>0.62999999999999978</v>
      </c>
      <c r="BV47" s="55">
        <f t="shared" si="143"/>
        <v>0.60999999999999976</v>
      </c>
      <c r="BW47" s="55">
        <f t="shared" si="143"/>
        <v>0.58999999999999975</v>
      </c>
      <c r="BX47" s="55">
        <f t="shared" si="143"/>
        <v>0.56999999999999973</v>
      </c>
      <c r="BZ47" s="55">
        <f t="shared" si="88"/>
        <v>0</v>
      </c>
      <c r="CA47" s="55">
        <f t="shared" si="89"/>
        <v>0</v>
      </c>
      <c r="CB47" s="59">
        <f t="shared" si="195"/>
        <v>0</v>
      </c>
      <c r="CC47" s="55">
        <f t="shared" si="196"/>
        <v>0</v>
      </c>
      <c r="CD47" s="59">
        <f t="shared" si="197"/>
        <v>0</v>
      </c>
      <c r="CE47" s="55">
        <f t="shared" si="198"/>
        <v>0</v>
      </c>
      <c r="CF47" s="59">
        <f t="shared" si="199"/>
        <v>0</v>
      </c>
      <c r="CG47" s="55">
        <f t="shared" si="200"/>
        <v>0</v>
      </c>
      <c r="CH47" s="59">
        <f t="shared" si="201"/>
        <v>0</v>
      </c>
      <c r="CI47" s="57">
        <f t="shared" si="202"/>
        <v>0</v>
      </c>
      <c r="CJ47" s="59">
        <f t="shared" si="203"/>
        <v>0</v>
      </c>
      <c r="CK47" s="55">
        <f t="shared" si="204"/>
        <v>0</v>
      </c>
      <c r="CL47" s="59">
        <f t="shared" si="205"/>
        <v>0</v>
      </c>
      <c r="CM47" s="57">
        <f t="shared" si="206"/>
        <v>0</v>
      </c>
      <c r="CN47" s="59">
        <f t="shared" si="207"/>
        <v>0</v>
      </c>
      <c r="CO47" s="60">
        <f t="shared" si="208"/>
        <v>0</v>
      </c>
      <c r="CP47" s="59">
        <f t="shared" si="209"/>
        <v>0</v>
      </c>
      <c r="CQ47" s="57">
        <f t="shared" si="210"/>
        <v>0</v>
      </c>
      <c r="CR47" s="59">
        <f t="shared" si="211"/>
        <v>0</v>
      </c>
      <c r="CS47" s="55">
        <f t="shared" si="212"/>
        <v>0</v>
      </c>
      <c r="CT47" s="59">
        <f t="shared" si="213"/>
        <v>0</v>
      </c>
      <c r="CU47" s="60">
        <f t="shared" si="214"/>
        <v>0</v>
      </c>
      <c r="CV47" s="59">
        <f t="shared" si="215"/>
        <v>0</v>
      </c>
      <c r="CW47" s="60">
        <f t="shared" si="216"/>
        <v>0</v>
      </c>
      <c r="CX47" s="59">
        <f t="shared" si="217"/>
        <v>0</v>
      </c>
      <c r="CY47" s="60">
        <f t="shared" si="218"/>
        <v>0</v>
      </c>
      <c r="CZ47" s="59">
        <f t="shared" si="219"/>
        <v>0</v>
      </c>
      <c r="DA47" s="55">
        <f t="shared" si="220"/>
        <v>0</v>
      </c>
      <c r="DB47" s="59">
        <f t="shared" si="221"/>
        <v>0</v>
      </c>
      <c r="DC47" s="60">
        <f t="shared" si="222"/>
        <v>0</v>
      </c>
      <c r="DD47" s="59">
        <f t="shared" si="223"/>
        <v>0</v>
      </c>
      <c r="DE47" s="60">
        <f t="shared" si="224"/>
        <v>0</v>
      </c>
      <c r="DF47" s="59">
        <f t="shared" si="225"/>
        <v>0</v>
      </c>
      <c r="DG47" s="60">
        <f t="shared" si="226"/>
        <v>0</v>
      </c>
      <c r="DH47" s="59">
        <f t="shared" si="227"/>
        <v>0</v>
      </c>
      <c r="DI47" s="60">
        <f t="shared" si="228"/>
        <v>0</v>
      </c>
      <c r="DJ47" s="59">
        <f t="shared" si="229"/>
        <v>0</v>
      </c>
      <c r="DK47" s="55">
        <f t="shared" si="230"/>
        <v>0</v>
      </c>
      <c r="DL47" s="59">
        <f t="shared" si="231"/>
        <v>0</v>
      </c>
      <c r="DM47" s="60">
        <f t="shared" si="232"/>
        <v>0</v>
      </c>
      <c r="DN47" s="59">
        <f t="shared" si="233"/>
        <v>0</v>
      </c>
      <c r="DO47" s="60">
        <f t="shared" si="234"/>
        <v>0</v>
      </c>
      <c r="DP47" s="59">
        <f t="shared" si="235"/>
        <v>0</v>
      </c>
      <c r="DQ47" s="55">
        <f t="shared" si="236"/>
        <v>0</v>
      </c>
      <c r="DR47" s="59">
        <f t="shared" si="237"/>
        <v>0</v>
      </c>
      <c r="DU47" s="55">
        <v>1</v>
      </c>
      <c r="DV47" s="55">
        <v>0.97</v>
      </c>
      <c r="DW47" s="55">
        <v>0.95</v>
      </c>
      <c r="DX47" s="55">
        <v>0.93</v>
      </c>
      <c r="DY47" s="55">
        <f t="shared" si="238"/>
        <v>0.91</v>
      </c>
      <c r="DZ47" s="55">
        <f t="shared" si="238"/>
        <v>0.89</v>
      </c>
      <c r="EA47" s="55">
        <f t="shared" si="238"/>
        <v>0.87</v>
      </c>
      <c r="EB47" s="55">
        <f t="shared" si="238"/>
        <v>0.85</v>
      </c>
      <c r="EC47" s="55">
        <f t="shared" si="238"/>
        <v>0.83</v>
      </c>
      <c r="ED47" s="55">
        <f t="shared" si="238"/>
        <v>0.80999999999999994</v>
      </c>
      <c r="EE47" s="55">
        <f t="shared" si="238"/>
        <v>0.78999999999999992</v>
      </c>
      <c r="EF47" s="55">
        <f t="shared" si="238"/>
        <v>0.76999999999999991</v>
      </c>
      <c r="EG47" s="55">
        <f t="shared" si="238"/>
        <v>0.74999999999999989</v>
      </c>
      <c r="EH47" s="55">
        <f t="shared" si="238"/>
        <v>0.72999999999999987</v>
      </c>
      <c r="EI47" s="55">
        <f t="shared" si="238"/>
        <v>0.70999999999999985</v>
      </c>
      <c r="EJ47" s="55">
        <f t="shared" si="238"/>
        <v>0.68999999999999984</v>
      </c>
      <c r="EK47" s="55">
        <f t="shared" si="238"/>
        <v>0.66999999999999982</v>
      </c>
      <c r="EL47" s="55">
        <f t="shared" si="238"/>
        <v>0.6499999999999998</v>
      </c>
      <c r="EM47" s="55">
        <f t="shared" si="238"/>
        <v>0.62999999999999978</v>
      </c>
      <c r="EN47" s="55">
        <f t="shared" si="238"/>
        <v>0.60999999999999976</v>
      </c>
      <c r="EO47" s="55">
        <f t="shared" si="238"/>
        <v>0.58999999999999975</v>
      </c>
      <c r="EP47" s="55">
        <f t="shared" si="238"/>
        <v>0.56999999999999973</v>
      </c>
      <c r="ER47" s="55">
        <f t="shared" si="142"/>
        <v>0</v>
      </c>
      <c r="ES47" s="55">
        <f t="shared" si="116"/>
        <v>0</v>
      </c>
      <c r="ET47" s="59">
        <f t="shared" si="239"/>
        <v>0</v>
      </c>
      <c r="EU47" s="55">
        <f t="shared" si="240"/>
        <v>0</v>
      </c>
      <c r="EV47" s="59">
        <f t="shared" si="241"/>
        <v>0</v>
      </c>
      <c r="EW47" s="55">
        <f t="shared" si="242"/>
        <v>0</v>
      </c>
      <c r="EX47" s="59">
        <f t="shared" si="243"/>
        <v>0</v>
      </c>
      <c r="EY47" s="55">
        <f t="shared" si="244"/>
        <v>0</v>
      </c>
      <c r="EZ47" s="59">
        <f t="shared" si="245"/>
        <v>0</v>
      </c>
      <c r="FA47" s="57">
        <f t="shared" si="246"/>
        <v>0</v>
      </c>
      <c r="FB47" s="59">
        <f t="shared" si="247"/>
        <v>0</v>
      </c>
      <c r="FC47" s="55">
        <f t="shared" si="248"/>
        <v>0</v>
      </c>
      <c r="FD47" s="59">
        <f t="shared" si="249"/>
        <v>0</v>
      </c>
      <c r="FE47" s="57">
        <f t="shared" si="250"/>
        <v>0</v>
      </c>
      <c r="FF47" s="59">
        <f t="shared" si="251"/>
        <v>0</v>
      </c>
      <c r="FG47" s="60">
        <f t="shared" si="252"/>
        <v>0</v>
      </c>
      <c r="FH47" s="59">
        <f t="shared" si="253"/>
        <v>0</v>
      </c>
      <c r="FI47" s="57">
        <f t="shared" si="254"/>
        <v>0</v>
      </c>
      <c r="FJ47" s="59">
        <f t="shared" si="255"/>
        <v>0</v>
      </c>
      <c r="FK47" s="55">
        <f t="shared" si="256"/>
        <v>0</v>
      </c>
      <c r="FL47" s="59">
        <f t="shared" si="257"/>
        <v>0</v>
      </c>
      <c r="FM47" s="60">
        <f t="shared" si="258"/>
        <v>0</v>
      </c>
      <c r="FN47" s="59">
        <f t="shared" si="259"/>
        <v>0</v>
      </c>
      <c r="FO47" s="60">
        <f t="shared" si="260"/>
        <v>0</v>
      </c>
      <c r="FP47" s="59">
        <f t="shared" si="261"/>
        <v>0</v>
      </c>
      <c r="FQ47" s="60">
        <f t="shared" si="262"/>
        <v>0</v>
      </c>
      <c r="FR47" s="59">
        <f t="shared" si="263"/>
        <v>0</v>
      </c>
      <c r="FS47" s="55">
        <f t="shared" si="264"/>
        <v>0</v>
      </c>
      <c r="FT47" s="59">
        <f t="shared" si="265"/>
        <v>0</v>
      </c>
      <c r="FU47" s="60">
        <f t="shared" si="266"/>
        <v>0</v>
      </c>
      <c r="FV47" s="59">
        <f t="shared" si="267"/>
        <v>0</v>
      </c>
      <c r="FW47" s="60">
        <f t="shared" si="268"/>
        <v>0</v>
      </c>
      <c r="FX47" s="59">
        <f t="shared" si="269"/>
        <v>0</v>
      </c>
      <c r="FY47" s="60">
        <f t="shared" si="270"/>
        <v>0</v>
      </c>
      <c r="FZ47" s="59">
        <f t="shared" si="271"/>
        <v>0</v>
      </c>
      <c r="GA47" s="60">
        <f t="shared" si="272"/>
        <v>0</v>
      </c>
      <c r="GB47" s="59">
        <f t="shared" si="273"/>
        <v>0</v>
      </c>
      <c r="GC47" s="55">
        <f t="shared" si="274"/>
        <v>0</v>
      </c>
      <c r="GD47" s="59">
        <f t="shared" si="275"/>
        <v>0</v>
      </c>
      <c r="GE47" s="60">
        <f t="shared" si="276"/>
        <v>0</v>
      </c>
      <c r="GF47" s="59">
        <f t="shared" si="277"/>
        <v>0</v>
      </c>
      <c r="GG47" s="60">
        <f t="shared" si="278"/>
        <v>0</v>
      </c>
      <c r="GH47" s="59">
        <f t="shared" si="279"/>
        <v>0</v>
      </c>
      <c r="GI47" s="55">
        <f t="shared" si="280"/>
        <v>0</v>
      </c>
      <c r="GJ47" s="59">
        <f t="shared" si="281"/>
        <v>0</v>
      </c>
      <c r="GK47" s="55"/>
      <c r="GL47" s="55"/>
      <c r="GM47" s="55">
        <v>1</v>
      </c>
      <c r="GN47" s="55">
        <v>0.97</v>
      </c>
      <c r="GO47" s="55">
        <v>0.95</v>
      </c>
      <c r="GP47" s="55">
        <v>0.93</v>
      </c>
      <c r="GQ47" s="55">
        <f t="shared" si="282"/>
        <v>0.91</v>
      </c>
      <c r="GR47" s="55">
        <f t="shared" si="282"/>
        <v>0.89</v>
      </c>
      <c r="GS47" s="55">
        <f t="shared" si="282"/>
        <v>0.87</v>
      </c>
      <c r="GT47" s="55">
        <f t="shared" si="282"/>
        <v>0.85</v>
      </c>
      <c r="GU47" s="55">
        <f t="shared" si="282"/>
        <v>0.83</v>
      </c>
      <c r="GV47" s="55">
        <f t="shared" si="282"/>
        <v>0.80999999999999994</v>
      </c>
      <c r="GW47" s="55">
        <f t="shared" si="282"/>
        <v>0.78999999999999992</v>
      </c>
      <c r="GX47" s="55">
        <f t="shared" si="282"/>
        <v>0.76999999999999991</v>
      </c>
      <c r="GY47" s="55">
        <f t="shared" si="282"/>
        <v>0.74999999999999989</v>
      </c>
      <c r="GZ47" s="55">
        <f t="shared" si="282"/>
        <v>0.72999999999999987</v>
      </c>
      <c r="HA47" s="55">
        <f t="shared" si="282"/>
        <v>0.70999999999999985</v>
      </c>
      <c r="HB47" s="55">
        <f t="shared" si="282"/>
        <v>0.68999999999999984</v>
      </c>
      <c r="HC47" s="55">
        <f t="shared" si="282"/>
        <v>0.66999999999999982</v>
      </c>
      <c r="HD47" s="55">
        <f t="shared" si="282"/>
        <v>0.6499999999999998</v>
      </c>
      <c r="HE47" s="55">
        <f t="shared" si="282"/>
        <v>0.62999999999999978</v>
      </c>
      <c r="HF47" s="55">
        <f t="shared" si="282"/>
        <v>0.60999999999999976</v>
      </c>
      <c r="HG47" s="55">
        <f t="shared" si="282"/>
        <v>0.58999999999999975</v>
      </c>
      <c r="HH47" s="55">
        <f t="shared" si="282"/>
        <v>0.56999999999999973</v>
      </c>
    </row>
    <row r="48" spans="1:216" x14ac:dyDescent="0.3">
      <c r="A48" s="2">
        <v>9</v>
      </c>
      <c r="C48" s="38" t="s">
        <v>21</v>
      </c>
      <c r="D48" s="42">
        <f>TRUNC(93670,-1)</f>
        <v>93670</v>
      </c>
      <c r="E48" s="71">
        <f t="shared" si="152"/>
        <v>309650</v>
      </c>
      <c r="F48" s="2" t="s">
        <v>306</v>
      </c>
      <c r="H48" s="55">
        <f t="shared" si="61"/>
        <v>340615</v>
      </c>
      <c r="I48" s="55">
        <f t="shared" si="62"/>
        <v>340615</v>
      </c>
      <c r="J48" s="59">
        <f t="shared" si="63"/>
        <v>1126005.067</v>
      </c>
      <c r="K48" s="55">
        <f t="shared" si="153"/>
        <v>330396.55</v>
      </c>
      <c r="L48" s="59">
        <f t="shared" si="154"/>
        <v>1092224.91499</v>
      </c>
      <c r="M48" s="55">
        <f t="shared" si="155"/>
        <v>323584.25</v>
      </c>
      <c r="N48" s="59">
        <f t="shared" si="156"/>
        <v>1069704.8136499999</v>
      </c>
      <c r="O48" s="55">
        <f t="shared" si="157"/>
        <v>316771.95</v>
      </c>
      <c r="P48" s="59">
        <f t="shared" si="158"/>
        <v>1047184.7123100001</v>
      </c>
      <c r="Q48" s="57">
        <f t="shared" si="159"/>
        <v>309959.65000000002</v>
      </c>
      <c r="R48" s="59">
        <f t="shared" si="160"/>
        <v>1024664.6109700002</v>
      </c>
      <c r="S48" s="55">
        <f t="shared" si="161"/>
        <v>303147.34999999998</v>
      </c>
      <c r="T48" s="59">
        <f t="shared" si="162"/>
        <v>1002144.50963</v>
      </c>
      <c r="U48" s="57">
        <f t="shared" si="163"/>
        <v>296335.05</v>
      </c>
      <c r="V48" s="59">
        <f t="shared" si="164"/>
        <v>979624.40828999993</v>
      </c>
      <c r="W48" s="60">
        <f t="shared" si="165"/>
        <v>289522.75</v>
      </c>
      <c r="X48" s="59">
        <f t="shared" si="166"/>
        <v>957104.30695</v>
      </c>
      <c r="Y48" s="57">
        <f t="shared" si="167"/>
        <v>282710.45</v>
      </c>
      <c r="Z48" s="59">
        <f t="shared" si="168"/>
        <v>934584.20561000006</v>
      </c>
      <c r="AA48" s="55">
        <f t="shared" si="169"/>
        <v>275898.14999999997</v>
      </c>
      <c r="AB48" s="59">
        <f t="shared" si="170"/>
        <v>912064.10426999989</v>
      </c>
      <c r="AC48" s="60">
        <f t="shared" si="171"/>
        <v>269085.84999999998</v>
      </c>
      <c r="AD48" s="59">
        <f t="shared" si="172"/>
        <v>889544.00292999996</v>
      </c>
      <c r="AE48" s="60">
        <f t="shared" si="173"/>
        <v>262273.55</v>
      </c>
      <c r="AF48" s="59">
        <f t="shared" si="174"/>
        <v>867023.90159000002</v>
      </c>
      <c r="AG48" s="60">
        <f t="shared" si="175"/>
        <v>255461.24999999997</v>
      </c>
      <c r="AH48" s="59">
        <f t="shared" si="176"/>
        <v>844503.80024999997</v>
      </c>
      <c r="AI48" s="55">
        <f t="shared" si="177"/>
        <v>248648.94999999995</v>
      </c>
      <c r="AJ48" s="59">
        <f t="shared" si="178"/>
        <v>821983.69890999992</v>
      </c>
      <c r="AK48" s="60">
        <f t="shared" si="179"/>
        <v>241836.64999999994</v>
      </c>
      <c r="AL48" s="59">
        <f t="shared" si="180"/>
        <v>799463.59756999975</v>
      </c>
      <c r="AM48" s="60">
        <f t="shared" si="181"/>
        <v>235024.34999999995</v>
      </c>
      <c r="AN48" s="59">
        <f t="shared" si="182"/>
        <v>776943.49622999982</v>
      </c>
      <c r="AO48" s="60">
        <f t="shared" si="183"/>
        <v>228212.04999999993</v>
      </c>
      <c r="AP48" s="59">
        <f t="shared" si="184"/>
        <v>754423.39488999976</v>
      </c>
      <c r="AQ48" s="60">
        <f t="shared" si="185"/>
        <v>221399.74999999994</v>
      </c>
      <c r="AR48" s="59">
        <f t="shared" si="186"/>
        <v>731903.29354999983</v>
      </c>
      <c r="AS48" s="55">
        <f t="shared" si="187"/>
        <v>214587.44999999992</v>
      </c>
      <c r="AT48" s="59">
        <f t="shared" si="188"/>
        <v>709383.19220999978</v>
      </c>
      <c r="AU48" s="60">
        <f t="shared" si="189"/>
        <v>207775.14999999991</v>
      </c>
      <c r="AV48" s="59">
        <f t="shared" si="190"/>
        <v>686863.09086999972</v>
      </c>
      <c r="AW48" s="60">
        <f t="shared" si="191"/>
        <v>200962.84999999992</v>
      </c>
      <c r="AX48" s="59">
        <f t="shared" si="192"/>
        <v>664342.98952999979</v>
      </c>
      <c r="AY48" s="55">
        <f t="shared" si="193"/>
        <v>194150.5499999999</v>
      </c>
      <c r="AZ48" s="59">
        <f t="shared" si="194"/>
        <v>641822.88818999974</v>
      </c>
      <c r="BC48" s="55">
        <v>1</v>
      </c>
      <c r="BD48" s="55">
        <v>0.97</v>
      </c>
      <c r="BE48" s="55">
        <v>0.95</v>
      </c>
      <c r="BF48" s="55">
        <v>0.93</v>
      </c>
      <c r="BG48" s="55">
        <f t="shared" si="143"/>
        <v>0.91</v>
      </c>
      <c r="BH48" s="55">
        <f t="shared" si="143"/>
        <v>0.89</v>
      </c>
      <c r="BI48" s="55">
        <f t="shared" si="143"/>
        <v>0.87</v>
      </c>
      <c r="BJ48" s="55">
        <f t="shared" si="143"/>
        <v>0.85</v>
      </c>
      <c r="BK48" s="55">
        <f t="shared" si="143"/>
        <v>0.83</v>
      </c>
      <c r="BL48" s="55">
        <f t="shared" si="143"/>
        <v>0.80999999999999994</v>
      </c>
      <c r="BM48" s="55">
        <f t="shared" si="143"/>
        <v>0.78999999999999992</v>
      </c>
      <c r="BN48" s="55">
        <f t="shared" si="143"/>
        <v>0.76999999999999991</v>
      </c>
      <c r="BO48" s="55">
        <f t="shared" si="143"/>
        <v>0.74999999999999989</v>
      </c>
      <c r="BP48" s="55">
        <f t="shared" si="143"/>
        <v>0.72999999999999987</v>
      </c>
      <c r="BQ48" s="55">
        <f t="shared" si="143"/>
        <v>0.70999999999999985</v>
      </c>
      <c r="BR48" s="55">
        <f t="shared" si="143"/>
        <v>0.68999999999999984</v>
      </c>
      <c r="BS48" s="55">
        <f t="shared" si="143"/>
        <v>0.66999999999999982</v>
      </c>
      <c r="BT48" s="55">
        <f t="shared" si="143"/>
        <v>0.6499999999999998</v>
      </c>
      <c r="BU48" s="55">
        <f t="shared" si="143"/>
        <v>0.62999999999999978</v>
      </c>
      <c r="BV48" s="55">
        <f t="shared" si="143"/>
        <v>0.60999999999999976</v>
      </c>
      <c r="BW48" s="55">
        <f t="shared" si="143"/>
        <v>0.58999999999999975</v>
      </c>
      <c r="BX48" s="55">
        <f t="shared" si="143"/>
        <v>0.56999999999999973</v>
      </c>
      <c r="BZ48" s="55">
        <f t="shared" si="88"/>
        <v>309959.65000000002</v>
      </c>
      <c r="CA48" s="55">
        <f t="shared" si="89"/>
        <v>309959.65000000002</v>
      </c>
      <c r="CB48" s="59">
        <f t="shared" si="195"/>
        <v>1024664.6109700002</v>
      </c>
      <c r="CC48" s="55">
        <f t="shared" si="196"/>
        <v>300660.86050000001</v>
      </c>
      <c r="CD48" s="59">
        <f t="shared" si="197"/>
        <v>993924.67264090001</v>
      </c>
      <c r="CE48" s="55">
        <f t="shared" si="198"/>
        <v>294461.66749999998</v>
      </c>
      <c r="CF48" s="59">
        <f t="shared" si="199"/>
        <v>973431.38042149995</v>
      </c>
      <c r="CG48" s="55">
        <f t="shared" si="200"/>
        <v>288262.47450000001</v>
      </c>
      <c r="CH48" s="59">
        <f t="shared" si="201"/>
        <v>952938.08820210001</v>
      </c>
      <c r="CI48" s="57">
        <f t="shared" si="202"/>
        <v>282063.28150000004</v>
      </c>
      <c r="CJ48" s="59">
        <f t="shared" si="203"/>
        <v>932444.79598270019</v>
      </c>
      <c r="CK48" s="55">
        <f t="shared" si="204"/>
        <v>275864.08850000001</v>
      </c>
      <c r="CL48" s="59">
        <f t="shared" si="205"/>
        <v>911951.50376330002</v>
      </c>
      <c r="CM48" s="57">
        <f t="shared" si="206"/>
        <v>269664.89550000004</v>
      </c>
      <c r="CN48" s="59">
        <f t="shared" si="207"/>
        <v>891458.21154390019</v>
      </c>
      <c r="CO48" s="60">
        <f t="shared" si="208"/>
        <v>263465.70250000001</v>
      </c>
      <c r="CP48" s="59">
        <f t="shared" si="209"/>
        <v>870964.91932450002</v>
      </c>
      <c r="CQ48" s="57">
        <f t="shared" si="210"/>
        <v>257266.50950000001</v>
      </c>
      <c r="CR48" s="59">
        <f t="shared" si="211"/>
        <v>850471.62710510008</v>
      </c>
      <c r="CS48" s="55">
        <f t="shared" si="212"/>
        <v>251067.31650000002</v>
      </c>
      <c r="CT48" s="59">
        <f t="shared" si="213"/>
        <v>829978.33488570002</v>
      </c>
      <c r="CU48" s="60">
        <f t="shared" si="214"/>
        <v>244868.12349999999</v>
      </c>
      <c r="CV48" s="59">
        <f t="shared" si="215"/>
        <v>809485.04266629997</v>
      </c>
      <c r="CW48" s="60">
        <f t="shared" si="216"/>
        <v>238668.93049999999</v>
      </c>
      <c r="CX48" s="59">
        <f t="shared" si="217"/>
        <v>788991.75044690003</v>
      </c>
      <c r="CY48" s="60">
        <f t="shared" si="218"/>
        <v>232469.73749999999</v>
      </c>
      <c r="CZ48" s="59">
        <f t="shared" si="219"/>
        <v>768498.45822749997</v>
      </c>
      <c r="DA48" s="55">
        <f t="shared" si="220"/>
        <v>226270.54449999999</v>
      </c>
      <c r="DB48" s="59">
        <f t="shared" si="221"/>
        <v>748005.16600810003</v>
      </c>
      <c r="DC48" s="60">
        <f t="shared" si="222"/>
        <v>220071.35149999996</v>
      </c>
      <c r="DD48" s="59">
        <f t="shared" si="223"/>
        <v>727511.87378869986</v>
      </c>
      <c r="DE48" s="60">
        <f t="shared" si="224"/>
        <v>213872.15849999996</v>
      </c>
      <c r="DF48" s="59">
        <f t="shared" si="225"/>
        <v>707018.58156929992</v>
      </c>
      <c r="DG48" s="60">
        <f t="shared" si="226"/>
        <v>207672.96549999996</v>
      </c>
      <c r="DH48" s="59">
        <f t="shared" si="227"/>
        <v>686525.28934989986</v>
      </c>
      <c r="DI48" s="60">
        <f t="shared" si="228"/>
        <v>201473.77249999996</v>
      </c>
      <c r="DJ48" s="59">
        <f t="shared" si="229"/>
        <v>666031.99713049992</v>
      </c>
      <c r="DK48" s="55">
        <f t="shared" si="230"/>
        <v>195274.57949999993</v>
      </c>
      <c r="DL48" s="59">
        <f t="shared" si="231"/>
        <v>645538.70491109975</v>
      </c>
      <c r="DM48" s="60">
        <f t="shared" si="232"/>
        <v>189075.38649999994</v>
      </c>
      <c r="DN48" s="59">
        <f t="shared" si="233"/>
        <v>625045.41269169981</v>
      </c>
      <c r="DO48" s="60">
        <f t="shared" si="234"/>
        <v>182876.19349999994</v>
      </c>
      <c r="DP48" s="59">
        <f t="shared" si="235"/>
        <v>604552.12047229975</v>
      </c>
      <c r="DQ48" s="55">
        <f t="shared" si="236"/>
        <v>176677.00049999994</v>
      </c>
      <c r="DR48" s="59">
        <f t="shared" si="237"/>
        <v>584058.82825289981</v>
      </c>
      <c r="DU48" s="55">
        <v>1</v>
      </c>
      <c r="DV48" s="55">
        <v>0.97</v>
      </c>
      <c r="DW48" s="55">
        <v>0.95</v>
      </c>
      <c r="DX48" s="55">
        <v>0.93</v>
      </c>
      <c r="DY48" s="55">
        <f t="shared" si="238"/>
        <v>0.91</v>
      </c>
      <c r="DZ48" s="55">
        <f t="shared" si="238"/>
        <v>0.89</v>
      </c>
      <c r="EA48" s="55">
        <f t="shared" si="238"/>
        <v>0.87</v>
      </c>
      <c r="EB48" s="55">
        <f t="shared" si="238"/>
        <v>0.85</v>
      </c>
      <c r="EC48" s="55">
        <f t="shared" si="238"/>
        <v>0.83</v>
      </c>
      <c r="ED48" s="55">
        <f t="shared" si="238"/>
        <v>0.80999999999999994</v>
      </c>
      <c r="EE48" s="55">
        <f t="shared" si="238"/>
        <v>0.78999999999999992</v>
      </c>
      <c r="EF48" s="55">
        <f t="shared" si="238"/>
        <v>0.76999999999999991</v>
      </c>
      <c r="EG48" s="55">
        <f t="shared" si="238"/>
        <v>0.74999999999999989</v>
      </c>
      <c r="EH48" s="55">
        <f t="shared" si="238"/>
        <v>0.72999999999999987</v>
      </c>
      <c r="EI48" s="55">
        <f t="shared" si="238"/>
        <v>0.70999999999999985</v>
      </c>
      <c r="EJ48" s="55">
        <f t="shared" si="238"/>
        <v>0.68999999999999984</v>
      </c>
      <c r="EK48" s="55">
        <f t="shared" si="238"/>
        <v>0.66999999999999982</v>
      </c>
      <c r="EL48" s="55">
        <f t="shared" si="238"/>
        <v>0.6499999999999998</v>
      </c>
      <c r="EM48" s="55">
        <f t="shared" si="238"/>
        <v>0.62999999999999978</v>
      </c>
      <c r="EN48" s="55">
        <f t="shared" si="238"/>
        <v>0.60999999999999976</v>
      </c>
      <c r="EO48" s="55">
        <f t="shared" si="238"/>
        <v>0.58999999999999975</v>
      </c>
      <c r="EP48" s="55">
        <f t="shared" si="238"/>
        <v>0.56999999999999973</v>
      </c>
      <c r="ER48" s="55">
        <f t="shared" si="142"/>
        <v>282063.28150000004</v>
      </c>
      <c r="ES48" s="55">
        <f t="shared" si="116"/>
        <v>282063.28150000004</v>
      </c>
      <c r="ET48" s="59">
        <f t="shared" si="239"/>
        <v>932444.79598270019</v>
      </c>
      <c r="EU48" s="55">
        <f t="shared" si="240"/>
        <v>273601.38305500004</v>
      </c>
      <c r="EV48" s="59">
        <f t="shared" si="241"/>
        <v>904471.45210321911</v>
      </c>
      <c r="EW48" s="55">
        <f t="shared" si="242"/>
        <v>267960.117425</v>
      </c>
      <c r="EX48" s="59">
        <f t="shared" si="243"/>
        <v>885822.55618356506</v>
      </c>
      <c r="EY48" s="55">
        <f t="shared" si="244"/>
        <v>262318.85179500002</v>
      </c>
      <c r="EZ48" s="59">
        <f t="shared" si="245"/>
        <v>867173.66026391112</v>
      </c>
      <c r="FA48" s="57">
        <f t="shared" si="246"/>
        <v>256677.58616500004</v>
      </c>
      <c r="FB48" s="59">
        <f t="shared" si="247"/>
        <v>848524.76434425719</v>
      </c>
      <c r="FC48" s="55">
        <f t="shared" si="248"/>
        <v>251036.32053500004</v>
      </c>
      <c r="FD48" s="59">
        <f t="shared" si="249"/>
        <v>829875.86842460313</v>
      </c>
      <c r="FE48" s="57">
        <f t="shared" si="250"/>
        <v>245395.05490500003</v>
      </c>
      <c r="FF48" s="59">
        <f t="shared" si="251"/>
        <v>811226.97250494908</v>
      </c>
      <c r="FG48" s="60">
        <f t="shared" si="252"/>
        <v>239753.78927500002</v>
      </c>
      <c r="FH48" s="59">
        <f t="shared" si="253"/>
        <v>792578.07658529503</v>
      </c>
      <c r="FI48" s="57">
        <f t="shared" si="254"/>
        <v>234112.52364500001</v>
      </c>
      <c r="FJ48" s="59">
        <f t="shared" si="255"/>
        <v>773929.18066564109</v>
      </c>
      <c r="FK48" s="55">
        <f t="shared" si="256"/>
        <v>228471.25801500003</v>
      </c>
      <c r="FL48" s="59">
        <f t="shared" si="257"/>
        <v>755280.28474598716</v>
      </c>
      <c r="FM48" s="60">
        <f t="shared" si="258"/>
        <v>222829.99238500002</v>
      </c>
      <c r="FN48" s="59">
        <f t="shared" si="259"/>
        <v>736631.3888263331</v>
      </c>
      <c r="FO48" s="60">
        <f t="shared" si="260"/>
        <v>217188.72675500001</v>
      </c>
      <c r="FP48" s="59">
        <f t="shared" si="261"/>
        <v>717982.49290667905</v>
      </c>
      <c r="FQ48" s="60">
        <f t="shared" si="262"/>
        <v>211547.461125</v>
      </c>
      <c r="FR48" s="59">
        <f t="shared" si="263"/>
        <v>699333.596987025</v>
      </c>
      <c r="FS48" s="55">
        <f t="shared" si="264"/>
        <v>205906.19549499999</v>
      </c>
      <c r="FT48" s="59">
        <f t="shared" si="265"/>
        <v>680684.70106737094</v>
      </c>
      <c r="FU48" s="60">
        <f t="shared" si="266"/>
        <v>200264.92986499998</v>
      </c>
      <c r="FV48" s="59">
        <f t="shared" si="267"/>
        <v>662035.80514771701</v>
      </c>
      <c r="FW48" s="60">
        <f t="shared" si="268"/>
        <v>194623.66423499997</v>
      </c>
      <c r="FX48" s="59">
        <f t="shared" si="269"/>
        <v>643386.90922806296</v>
      </c>
      <c r="FY48" s="60">
        <f t="shared" si="270"/>
        <v>188982.39860499997</v>
      </c>
      <c r="FZ48" s="59">
        <f t="shared" si="271"/>
        <v>624738.0133084089</v>
      </c>
      <c r="GA48" s="60">
        <f t="shared" si="272"/>
        <v>183341.13297499996</v>
      </c>
      <c r="GB48" s="59">
        <f t="shared" si="273"/>
        <v>606089.11738875485</v>
      </c>
      <c r="GC48" s="55">
        <f t="shared" si="274"/>
        <v>177699.86734499998</v>
      </c>
      <c r="GD48" s="59">
        <f t="shared" si="275"/>
        <v>587440.22146910091</v>
      </c>
      <c r="GE48" s="60">
        <f t="shared" si="276"/>
        <v>172058.60171499997</v>
      </c>
      <c r="GF48" s="59">
        <f t="shared" si="277"/>
        <v>568791.32554944686</v>
      </c>
      <c r="GG48" s="60">
        <f t="shared" si="278"/>
        <v>166417.33608499996</v>
      </c>
      <c r="GH48" s="59">
        <f t="shared" si="279"/>
        <v>550142.42962979292</v>
      </c>
      <c r="GI48" s="55">
        <f t="shared" si="280"/>
        <v>160776.07045499995</v>
      </c>
      <c r="GJ48" s="59">
        <f t="shared" si="281"/>
        <v>531493.53371013887</v>
      </c>
      <c r="GK48" s="55"/>
      <c r="GL48" s="55"/>
      <c r="GM48" s="55">
        <v>1</v>
      </c>
      <c r="GN48" s="55">
        <v>0.97</v>
      </c>
      <c r="GO48" s="55">
        <v>0.95</v>
      </c>
      <c r="GP48" s="55">
        <v>0.93</v>
      </c>
      <c r="GQ48" s="55">
        <f t="shared" si="282"/>
        <v>0.91</v>
      </c>
      <c r="GR48" s="55">
        <f t="shared" si="282"/>
        <v>0.89</v>
      </c>
      <c r="GS48" s="55">
        <f t="shared" si="282"/>
        <v>0.87</v>
      </c>
      <c r="GT48" s="55">
        <f t="shared" si="282"/>
        <v>0.85</v>
      </c>
      <c r="GU48" s="55">
        <f t="shared" si="282"/>
        <v>0.83</v>
      </c>
      <c r="GV48" s="55">
        <f t="shared" si="282"/>
        <v>0.80999999999999994</v>
      </c>
      <c r="GW48" s="55">
        <f t="shared" si="282"/>
        <v>0.78999999999999992</v>
      </c>
      <c r="GX48" s="55">
        <f t="shared" si="282"/>
        <v>0.76999999999999991</v>
      </c>
      <c r="GY48" s="55">
        <f t="shared" si="282"/>
        <v>0.74999999999999989</v>
      </c>
      <c r="GZ48" s="55">
        <f t="shared" si="282"/>
        <v>0.72999999999999987</v>
      </c>
      <c r="HA48" s="55">
        <f t="shared" si="282"/>
        <v>0.70999999999999985</v>
      </c>
      <c r="HB48" s="55">
        <f t="shared" si="282"/>
        <v>0.68999999999999984</v>
      </c>
      <c r="HC48" s="55">
        <f t="shared" si="282"/>
        <v>0.66999999999999982</v>
      </c>
      <c r="HD48" s="55">
        <f t="shared" si="282"/>
        <v>0.6499999999999998</v>
      </c>
      <c r="HE48" s="55">
        <f t="shared" si="282"/>
        <v>0.62999999999999978</v>
      </c>
      <c r="HF48" s="55">
        <f t="shared" si="282"/>
        <v>0.60999999999999976</v>
      </c>
      <c r="HG48" s="55">
        <f t="shared" si="282"/>
        <v>0.58999999999999975</v>
      </c>
      <c r="HH48" s="55">
        <f t="shared" si="282"/>
        <v>0.56999999999999973</v>
      </c>
    </row>
    <row r="49" spans="1:216" x14ac:dyDescent="0.3">
      <c r="A49" s="2">
        <v>10</v>
      </c>
      <c r="C49" s="38" t="s">
        <v>22</v>
      </c>
      <c r="D49" s="42">
        <f>TRUNC(27311,-1)</f>
        <v>27310</v>
      </c>
      <c r="E49" s="71">
        <f t="shared" si="152"/>
        <v>90280</v>
      </c>
      <c r="H49" s="55">
        <f t="shared" si="61"/>
        <v>99308.000000000015</v>
      </c>
      <c r="I49" s="55">
        <f t="shared" si="62"/>
        <v>99308.000000000015</v>
      </c>
      <c r="J49" s="59">
        <f t="shared" si="63"/>
        <v>328292.38640000008</v>
      </c>
      <c r="K49" s="55">
        <f t="shared" si="153"/>
        <v>96328.760000000009</v>
      </c>
      <c r="L49" s="59">
        <f t="shared" si="154"/>
        <v>318443.61480800004</v>
      </c>
      <c r="M49" s="55">
        <f t="shared" si="155"/>
        <v>94342.6</v>
      </c>
      <c r="N49" s="59">
        <f t="shared" si="156"/>
        <v>311877.76708000002</v>
      </c>
      <c r="O49" s="55">
        <f t="shared" si="157"/>
        <v>92356.440000000017</v>
      </c>
      <c r="P49" s="59">
        <f t="shared" si="158"/>
        <v>305311.91935200006</v>
      </c>
      <c r="Q49" s="57">
        <f t="shared" si="159"/>
        <v>90370.280000000013</v>
      </c>
      <c r="R49" s="59">
        <f t="shared" si="160"/>
        <v>298746.07162400003</v>
      </c>
      <c r="S49" s="55">
        <f t="shared" si="161"/>
        <v>88384.12000000001</v>
      </c>
      <c r="T49" s="59">
        <f t="shared" si="162"/>
        <v>292180.22389600001</v>
      </c>
      <c r="U49" s="57">
        <f t="shared" si="163"/>
        <v>86397.96</v>
      </c>
      <c r="V49" s="59">
        <f t="shared" si="164"/>
        <v>285614.37616800005</v>
      </c>
      <c r="W49" s="60">
        <f t="shared" si="165"/>
        <v>84411.8</v>
      </c>
      <c r="X49" s="59">
        <f t="shared" si="166"/>
        <v>279048.52844000002</v>
      </c>
      <c r="Y49" s="57">
        <f t="shared" si="167"/>
        <v>82425.640000000014</v>
      </c>
      <c r="Z49" s="59">
        <f t="shared" si="168"/>
        <v>272482.68071200006</v>
      </c>
      <c r="AA49" s="55">
        <f t="shared" si="169"/>
        <v>80439.48000000001</v>
      </c>
      <c r="AB49" s="59">
        <f t="shared" si="170"/>
        <v>265916.83298400004</v>
      </c>
      <c r="AC49" s="60">
        <f t="shared" si="171"/>
        <v>78453.320000000007</v>
      </c>
      <c r="AD49" s="59">
        <f t="shared" si="172"/>
        <v>259350.98525600001</v>
      </c>
      <c r="AE49" s="60">
        <f t="shared" si="173"/>
        <v>76467.16</v>
      </c>
      <c r="AF49" s="59">
        <f t="shared" si="174"/>
        <v>252785.13752800002</v>
      </c>
      <c r="AG49" s="60">
        <f t="shared" si="175"/>
        <v>74481</v>
      </c>
      <c r="AH49" s="59">
        <f t="shared" si="176"/>
        <v>246219.2898</v>
      </c>
      <c r="AI49" s="55">
        <f t="shared" si="177"/>
        <v>72494.84</v>
      </c>
      <c r="AJ49" s="59">
        <f t="shared" si="178"/>
        <v>239653.44207200001</v>
      </c>
      <c r="AK49" s="60">
        <f t="shared" si="179"/>
        <v>70508.679999999993</v>
      </c>
      <c r="AL49" s="59">
        <f t="shared" si="180"/>
        <v>233087.59434399998</v>
      </c>
      <c r="AM49" s="60">
        <f t="shared" si="181"/>
        <v>68522.51999999999</v>
      </c>
      <c r="AN49" s="59">
        <f t="shared" si="182"/>
        <v>226521.74661599996</v>
      </c>
      <c r="AO49" s="60">
        <f t="shared" si="183"/>
        <v>66536.359999999986</v>
      </c>
      <c r="AP49" s="59">
        <f t="shared" si="184"/>
        <v>219955.89888799997</v>
      </c>
      <c r="AQ49" s="60">
        <f t="shared" si="185"/>
        <v>64550.19999999999</v>
      </c>
      <c r="AR49" s="59">
        <f t="shared" si="186"/>
        <v>213390.05115999997</v>
      </c>
      <c r="AS49" s="55">
        <f t="shared" si="187"/>
        <v>62564.039999999986</v>
      </c>
      <c r="AT49" s="59">
        <f t="shared" si="188"/>
        <v>206824.20343199995</v>
      </c>
      <c r="AU49" s="60">
        <f t="shared" si="189"/>
        <v>60577.879999999983</v>
      </c>
      <c r="AV49" s="59">
        <f t="shared" si="190"/>
        <v>200258.35570399996</v>
      </c>
      <c r="AW49" s="60">
        <f t="shared" si="191"/>
        <v>58591.719999999987</v>
      </c>
      <c r="AX49" s="59">
        <f t="shared" si="192"/>
        <v>193692.50797599996</v>
      </c>
      <c r="AY49" s="55">
        <f t="shared" si="193"/>
        <v>56605.559999999983</v>
      </c>
      <c r="AZ49" s="59">
        <f t="shared" si="194"/>
        <v>187126.66024799994</v>
      </c>
      <c r="BC49" s="55">
        <v>1</v>
      </c>
      <c r="BD49" s="55">
        <v>0.97</v>
      </c>
      <c r="BE49" s="55">
        <v>0.95</v>
      </c>
      <c r="BF49" s="55">
        <v>0.93</v>
      </c>
      <c r="BG49" s="55">
        <f t="shared" si="143"/>
        <v>0.91</v>
      </c>
      <c r="BH49" s="55">
        <f t="shared" si="143"/>
        <v>0.89</v>
      </c>
      <c r="BI49" s="55">
        <f t="shared" si="143"/>
        <v>0.87</v>
      </c>
      <c r="BJ49" s="55">
        <f t="shared" si="143"/>
        <v>0.85</v>
      </c>
      <c r="BK49" s="55">
        <f t="shared" si="143"/>
        <v>0.83</v>
      </c>
      <c r="BL49" s="55">
        <f t="shared" si="143"/>
        <v>0.80999999999999994</v>
      </c>
      <c r="BM49" s="55">
        <f t="shared" si="143"/>
        <v>0.78999999999999992</v>
      </c>
      <c r="BN49" s="55">
        <f t="shared" si="143"/>
        <v>0.76999999999999991</v>
      </c>
      <c r="BO49" s="55">
        <f t="shared" si="143"/>
        <v>0.74999999999999989</v>
      </c>
      <c r="BP49" s="55">
        <f t="shared" si="143"/>
        <v>0.72999999999999987</v>
      </c>
      <c r="BQ49" s="55">
        <f t="shared" si="143"/>
        <v>0.70999999999999985</v>
      </c>
      <c r="BR49" s="55">
        <f t="shared" si="143"/>
        <v>0.68999999999999984</v>
      </c>
      <c r="BS49" s="55">
        <f t="shared" si="143"/>
        <v>0.66999999999999982</v>
      </c>
      <c r="BT49" s="55">
        <f t="shared" si="143"/>
        <v>0.6499999999999998</v>
      </c>
      <c r="BU49" s="55">
        <f t="shared" si="143"/>
        <v>0.62999999999999978</v>
      </c>
      <c r="BV49" s="55">
        <f t="shared" si="143"/>
        <v>0.60999999999999976</v>
      </c>
      <c r="BW49" s="55">
        <f t="shared" si="143"/>
        <v>0.58999999999999975</v>
      </c>
      <c r="BX49" s="55">
        <f t="shared" si="143"/>
        <v>0.56999999999999973</v>
      </c>
      <c r="BZ49" s="55">
        <f t="shared" si="88"/>
        <v>90370.280000000013</v>
      </c>
      <c r="CA49" s="55">
        <f t="shared" si="89"/>
        <v>90370.280000000013</v>
      </c>
      <c r="CB49" s="59">
        <f t="shared" si="195"/>
        <v>298746.07162400003</v>
      </c>
      <c r="CC49" s="55">
        <f t="shared" si="196"/>
        <v>87659.171600000016</v>
      </c>
      <c r="CD49" s="59">
        <f t="shared" si="197"/>
        <v>289783.68947528006</v>
      </c>
      <c r="CE49" s="55">
        <f t="shared" si="198"/>
        <v>85851.766000000003</v>
      </c>
      <c r="CF49" s="59">
        <f t="shared" si="199"/>
        <v>283808.76804280002</v>
      </c>
      <c r="CG49" s="55">
        <f t="shared" si="200"/>
        <v>84044.36040000002</v>
      </c>
      <c r="CH49" s="59">
        <f t="shared" si="201"/>
        <v>277833.84661032009</v>
      </c>
      <c r="CI49" s="57">
        <f t="shared" si="202"/>
        <v>82236.954800000021</v>
      </c>
      <c r="CJ49" s="59">
        <f t="shared" si="203"/>
        <v>271858.92517784005</v>
      </c>
      <c r="CK49" s="55">
        <f t="shared" si="204"/>
        <v>80429.549200000009</v>
      </c>
      <c r="CL49" s="59">
        <f t="shared" si="205"/>
        <v>265884.00374536001</v>
      </c>
      <c r="CM49" s="57">
        <f t="shared" si="206"/>
        <v>78622.14360000001</v>
      </c>
      <c r="CN49" s="59">
        <f t="shared" si="207"/>
        <v>259909.08231288003</v>
      </c>
      <c r="CO49" s="60">
        <f t="shared" si="208"/>
        <v>76814.738000000012</v>
      </c>
      <c r="CP49" s="59">
        <f t="shared" si="209"/>
        <v>253934.16088040004</v>
      </c>
      <c r="CQ49" s="57">
        <f t="shared" si="210"/>
        <v>75007.332400000014</v>
      </c>
      <c r="CR49" s="59">
        <f t="shared" si="211"/>
        <v>247959.23944792006</v>
      </c>
      <c r="CS49" s="55">
        <f t="shared" si="212"/>
        <v>73199.926800000001</v>
      </c>
      <c r="CT49" s="59">
        <f t="shared" si="213"/>
        <v>241984.31801544002</v>
      </c>
      <c r="CU49" s="60">
        <f t="shared" si="214"/>
        <v>71392.521200000003</v>
      </c>
      <c r="CV49" s="59">
        <f t="shared" si="215"/>
        <v>236009.39658296001</v>
      </c>
      <c r="CW49" s="60">
        <f t="shared" si="216"/>
        <v>69585.115600000005</v>
      </c>
      <c r="CX49" s="59">
        <f t="shared" si="217"/>
        <v>230034.47515048002</v>
      </c>
      <c r="CY49" s="60">
        <f t="shared" si="218"/>
        <v>67777.710000000006</v>
      </c>
      <c r="CZ49" s="59">
        <f t="shared" si="219"/>
        <v>224059.55371800004</v>
      </c>
      <c r="DA49" s="55">
        <f t="shared" si="220"/>
        <v>65970.304399999994</v>
      </c>
      <c r="DB49" s="59">
        <f t="shared" si="221"/>
        <v>218084.63228552</v>
      </c>
      <c r="DC49" s="60">
        <f t="shared" si="222"/>
        <v>64162.898799999995</v>
      </c>
      <c r="DD49" s="59">
        <f t="shared" si="223"/>
        <v>212109.71085303999</v>
      </c>
      <c r="DE49" s="60">
        <f t="shared" si="224"/>
        <v>62355.493199999997</v>
      </c>
      <c r="DF49" s="59">
        <f t="shared" si="225"/>
        <v>206134.78942056</v>
      </c>
      <c r="DG49" s="60">
        <f t="shared" si="226"/>
        <v>60548.087599999992</v>
      </c>
      <c r="DH49" s="59">
        <f t="shared" si="227"/>
        <v>200159.86798807999</v>
      </c>
      <c r="DI49" s="60">
        <f t="shared" si="228"/>
        <v>58740.681999999993</v>
      </c>
      <c r="DJ49" s="59">
        <f t="shared" si="229"/>
        <v>194184.94655559998</v>
      </c>
      <c r="DK49" s="55">
        <f t="shared" si="230"/>
        <v>56933.276399999988</v>
      </c>
      <c r="DL49" s="59">
        <f t="shared" si="231"/>
        <v>188210.02512311997</v>
      </c>
      <c r="DM49" s="60">
        <f t="shared" si="232"/>
        <v>55125.87079999999</v>
      </c>
      <c r="DN49" s="59">
        <f t="shared" si="233"/>
        <v>182235.10369063998</v>
      </c>
      <c r="DO49" s="60">
        <f t="shared" si="234"/>
        <v>53318.465199999984</v>
      </c>
      <c r="DP49" s="59">
        <f t="shared" si="235"/>
        <v>176260.18225815994</v>
      </c>
      <c r="DQ49" s="55">
        <f t="shared" si="236"/>
        <v>51511.059599999986</v>
      </c>
      <c r="DR49" s="59">
        <f t="shared" si="237"/>
        <v>170285.26082567996</v>
      </c>
      <c r="DU49" s="55">
        <v>1</v>
      </c>
      <c r="DV49" s="55">
        <v>0.97</v>
      </c>
      <c r="DW49" s="55">
        <v>0.95</v>
      </c>
      <c r="DX49" s="55">
        <v>0.93</v>
      </c>
      <c r="DY49" s="55">
        <f t="shared" si="238"/>
        <v>0.91</v>
      </c>
      <c r="DZ49" s="55">
        <f t="shared" si="238"/>
        <v>0.89</v>
      </c>
      <c r="EA49" s="55">
        <f t="shared" si="238"/>
        <v>0.87</v>
      </c>
      <c r="EB49" s="55">
        <f t="shared" si="238"/>
        <v>0.85</v>
      </c>
      <c r="EC49" s="55">
        <f t="shared" si="238"/>
        <v>0.83</v>
      </c>
      <c r="ED49" s="55">
        <f t="shared" si="238"/>
        <v>0.80999999999999994</v>
      </c>
      <c r="EE49" s="55">
        <f t="shared" si="238"/>
        <v>0.78999999999999992</v>
      </c>
      <c r="EF49" s="55">
        <f t="shared" si="238"/>
        <v>0.76999999999999991</v>
      </c>
      <c r="EG49" s="55">
        <f t="shared" si="238"/>
        <v>0.74999999999999989</v>
      </c>
      <c r="EH49" s="55">
        <f t="shared" si="238"/>
        <v>0.72999999999999987</v>
      </c>
      <c r="EI49" s="55">
        <f t="shared" si="238"/>
        <v>0.70999999999999985</v>
      </c>
      <c r="EJ49" s="55">
        <f t="shared" si="238"/>
        <v>0.68999999999999984</v>
      </c>
      <c r="EK49" s="55">
        <f t="shared" si="238"/>
        <v>0.66999999999999982</v>
      </c>
      <c r="EL49" s="55">
        <f t="shared" si="238"/>
        <v>0.6499999999999998</v>
      </c>
      <c r="EM49" s="55">
        <f t="shared" si="238"/>
        <v>0.62999999999999978</v>
      </c>
      <c r="EN49" s="55">
        <f t="shared" si="238"/>
        <v>0.60999999999999976</v>
      </c>
      <c r="EO49" s="55">
        <f t="shared" si="238"/>
        <v>0.58999999999999975</v>
      </c>
      <c r="EP49" s="55">
        <f t="shared" si="238"/>
        <v>0.56999999999999973</v>
      </c>
      <c r="ER49" s="55">
        <f t="shared" si="142"/>
        <v>82236.954800000021</v>
      </c>
      <c r="ES49" s="55">
        <f t="shared" si="116"/>
        <v>82236.954800000021</v>
      </c>
      <c r="ET49" s="59">
        <f t="shared" si="239"/>
        <v>271858.92517784005</v>
      </c>
      <c r="EU49" s="55">
        <f t="shared" si="240"/>
        <v>79769.846156000014</v>
      </c>
      <c r="EV49" s="59">
        <f t="shared" si="241"/>
        <v>263703.15742250485</v>
      </c>
      <c r="EW49" s="55">
        <f t="shared" si="242"/>
        <v>78125.107060000009</v>
      </c>
      <c r="EX49" s="59">
        <f t="shared" si="243"/>
        <v>258265.97891894804</v>
      </c>
      <c r="EY49" s="55">
        <f t="shared" si="244"/>
        <v>76480.367964000019</v>
      </c>
      <c r="EZ49" s="59">
        <f t="shared" si="245"/>
        <v>252828.80041539128</v>
      </c>
      <c r="FA49" s="57">
        <f t="shared" si="246"/>
        <v>74835.628868000029</v>
      </c>
      <c r="FB49" s="59">
        <f t="shared" si="247"/>
        <v>247391.62191183449</v>
      </c>
      <c r="FC49" s="55">
        <f t="shared" si="248"/>
        <v>73190.889772000024</v>
      </c>
      <c r="FD49" s="59">
        <f t="shared" si="249"/>
        <v>241954.44340827767</v>
      </c>
      <c r="FE49" s="57">
        <f t="shared" si="250"/>
        <v>71546.150676000019</v>
      </c>
      <c r="FF49" s="59">
        <f t="shared" si="251"/>
        <v>236517.26490472088</v>
      </c>
      <c r="FG49" s="60">
        <f t="shared" si="252"/>
        <v>69901.411580000015</v>
      </c>
      <c r="FH49" s="59">
        <f t="shared" si="253"/>
        <v>231080.08640116407</v>
      </c>
      <c r="FI49" s="57">
        <f t="shared" si="254"/>
        <v>68256.67248400001</v>
      </c>
      <c r="FJ49" s="59">
        <f t="shared" si="255"/>
        <v>225642.90789760725</v>
      </c>
      <c r="FK49" s="55">
        <f t="shared" si="256"/>
        <v>66611.933388000019</v>
      </c>
      <c r="FL49" s="59">
        <f t="shared" si="257"/>
        <v>220205.72939405046</v>
      </c>
      <c r="FM49" s="60">
        <f t="shared" si="258"/>
        <v>64967.194292000007</v>
      </c>
      <c r="FN49" s="59">
        <f t="shared" si="259"/>
        <v>214768.55089049364</v>
      </c>
      <c r="FO49" s="60">
        <f t="shared" si="260"/>
        <v>63322.45519600001</v>
      </c>
      <c r="FP49" s="59">
        <f t="shared" si="261"/>
        <v>209331.37238693683</v>
      </c>
      <c r="FQ49" s="60">
        <f t="shared" si="262"/>
        <v>61677.716100000005</v>
      </c>
      <c r="FR49" s="59">
        <f t="shared" si="263"/>
        <v>203894.19388338001</v>
      </c>
      <c r="FS49" s="55">
        <f t="shared" si="264"/>
        <v>60032.977004000008</v>
      </c>
      <c r="FT49" s="59">
        <f t="shared" si="265"/>
        <v>198457.01537982322</v>
      </c>
      <c r="FU49" s="60">
        <f t="shared" si="266"/>
        <v>58388.237908000003</v>
      </c>
      <c r="FV49" s="59">
        <f t="shared" si="267"/>
        <v>193019.8368762664</v>
      </c>
      <c r="FW49" s="60">
        <f t="shared" si="268"/>
        <v>56743.498811999998</v>
      </c>
      <c r="FX49" s="59">
        <f t="shared" si="269"/>
        <v>187582.65837270959</v>
      </c>
      <c r="FY49" s="60">
        <f t="shared" si="270"/>
        <v>55098.759716</v>
      </c>
      <c r="FZ49" s="59">
        <f t="shared" si="271"/>
        <v>182145.4798691528</v>
      </c>
      <c r="GA49" s="60">
        <f t="shared" si="272"/>
        <v>53454.020619999996</v>
      </c>
      <c r="GB49" s="59">
        <f t="shared" si="273"/>
        <v>176708.30136559598</v>
      </c>
      <c r="GC49" s="55">
        <f t="shared" si="274"/>
        <v>51809.281523999998</v>
      </c>
      <c r="GD49" s="59">
        <f t="shared" si="275"/>
        <v>171271.12286203919</v>
      </c>
      <c r="GE49" s="60">
        <f t="shared" si="276"/>
        <v>50164.542427999993</v>
      </c>
      <c r="GF49" s="59">
        <f t="shared" si="277"/>
        <v>165833.94435848237</v>
      </c>
      <c r="GG49" s="60">
        <f t="shared" si="278"/>
        <v>48519.803331999989</v>
      </c>
      <c r="GH49" s="59">
        <f t="shared" si="279"/>
        <v>160396.76585492556</v>
      </c>
      <c r="GI49" s="55">
        <f t="shared" si="280"/>
        <v>46875.064235999991</v>
      </c>
      <c r="GJ49" s="59">
        <f t="shared" si="281"/>
        <v>154959.58735136877</v>
      </c>
      <c r="GK49" s="55"/>
      <c r="GL49" s="55"/>
      <c r="GM49" s="55">
        <v>1</v>
      </c>
      <c r="GN49" s="55">
        <v>0.97</v>
      </c>
      <c r="GO49" s="55">
        <v>0.95</v>
      </c>
      <c r="GP49" s="55">
        <v>0.93</v>
      </c>
      <c r="GQ49" s="55">
        <f t="shared" si="282"/>
        <v>0.91</v>
      </c>
      <c r="GR49" s="55">
        <f t="shared" si="282"/>
        <v>0.89</v>
      </c>
      <c r="GS49" s="55">
        <f t="shared" si="282"/>
        <v>0.87</v>
      </c>
      <c r="GT49" s="55">
        <f t="shared" si="282"/>
        <v>0.85</v>
      </c>
      <c r="GU49" s="55">
        <f t="shared" si="282"/>
        <v>0.83</v>
      </c>
      <c r="GV49" s="55">
        <f t="shared" si="282"/>
        <v>0.80999999999999994</v>
      </c>
      <c r="GW49" s="55">
        <f t="shared" si="282"/>
        <v>0.78999999999999992</v>
      </c>
      <c r="GX49" s="55">
        <f t="shared" si="282"/>
        <v>0.76999999999999991</v>
      </c>
      <c r="GY49" s="55">
        <f t="shared" si="282"/>
        <v>0.74999999999999989</v>
      </c>
      <c r="GZ49" s="55">
        <f t="shared" si="282"/>
        <v>0.72999999999999987</v>
      </c>
      <c r="HA49" s="55">
        <f t="shared" si="282"/>
        <v>0.70999999999999985</v>
      </c>
      <c r="HB49" s="55">
        <f t="shared" si="282"/>
        <v>0.68999999999999984</v>
      </c>
      <c r="HC49" s="55">
        <f t="shared" si="282"/>
        <v>0.66999999999999982</v>
      </c>
      <c r="HD49" s="55">
        <f t="shared" si="282"/>
        <v>0.6499999999999998</v>
      </c>
      <c r="HE49" s="55">
        <f t="shared" si="282"/>
        <v>0.62999999999999978</v>
      </c>
      <c r="HF49" s="55">
        <f t="shared" si="282"/>
        <v>0.60999999999999976</v>
      </c>
      <c r="HG49" s="55">
        <f t="shared" si="282"/>
        <v>0.58999999999999975</v>
      </c>
      <c r="HH49" s="55">
        <f t="shared" si="282"/>
        <v>0.56999999999999973</v>
      </c>
    </row>
    <row r="50" spans="1:216" x14ac:dyDescent="0.3">
      <c r="A50" s="2">
        <v>11</v>
      </c>
      <c r="C50" s="38" t="s">
        <v>156</v>
      </c>
      <c r="D50" s="42">
        <f>TRUNC(62209,-1)</f>
        <v>62200</v>
      </c>
      <c r="E50" s="71">
        <f t="shared" si="152"/>
        <v>205620</v>
      </c>
      <c r="F50" s="2" t="s">
        <v>307</v>
      </c>
      <c r="H50" s="55">
        <f t="shared" si="61"/>
        <v>226182.00000000003</v>
      </c>
      <c r="I50" s="55">
        <f t="shared" si="62"/>
        <v>226182.00000000003</v>
      </c>
      <c r="J50" s="59">
        <f t="shared" si="63"/>
        <v>747712.4556000001</v>
      </c>
      <c r="K50" s="55">
        <f t="shared" si="153"/>
        <v>219396.54</v>
      </c>
      <c r="L50" s="59">
        <f t="shared" si="154"/>
        <v>725281.081932</v>
      </c>
      <c r="M50" s="55">
        <f t="shared" si="155"/>
        <v>214872.90000000002</v>
      </c>
      <c r="N50" s="59">
        <f t="shared" si="156"/>
        <v>710326.83282000013</v>
      </c>
      <c r="O50" s="55">
        <f t="shared" si="157"/>
        <v>210349.26000000004</v>
      </c>
      <c r="P50" s="59">
        <f t="shared" si="158"/>
        <v>695372.58370800014</v>
      </c>
      <c r="Q50" s="57">
        <f t="shared" si="159"/>
        <v>205825.62000000002</v>
      </c>
      <c r="R50" s="59">
        <f t="shared" si="160"/>
        <v>680418.33459600015</v>
      </c>
      <c r="S50" s="55">
        <f t="shared" si="161"/>
        <v>201301.98000000004</v>
      </c>
      <c r="T50" s="59">
        <f t="shared" si="162"/>
        <v>665464.08548400016</v>
      </c>
      <c r="U50" s="57">
        <f t="shared" si="163"/>
        <v>196778.34000000003</v>
      </c>
      <c r="V50" s="59">
        <f t="shared" si="164"/>
        <v>650509.83637200005</v>
      </c>
      <c r="W50" s="60">
        <f t="shared" si="165"/>
        <v>192254.7</v>
      </c>
      <c r="X50" s="59">
        <f t="shared" si="166"/>
        <v>635555.58726000006</v>
      </c>
      <c r="Y50" s="57">
        <f t="shared" si="167"/>
        <v>187731.06000000003</v>
      </c>
      <c r="Z50" s="59">
        <f t="shared" si="168"/>
        <v>620601.33814800007</v>
      </c>
      <c r="AA50" s="55">
        <f t="shared" si="169"/>
        <v>183207.42</v>
      </c>
      <c r="AB50" s="59">
        <f t="shared" si="170"/>
        <v>605647.08903600008</v>
      </c>
      <c r="AC50" s="60">
        <f t="shared" si="171"/>
        <v>178683.78</v>
      </c>
      <c r="AD50" s="59">
        <f t="shared" si="172"/>
        <v>590692.83992399997</v>
      </c>
      <c r="AE50" s="60">
        <f t="shared" si="173"/>
        <v>174160.14</v>
      </c>
      <c r="AF50" s="59">
        <f t="shared" si="174"/>
        <v>575738.5908120001</v>
      </c>
      <c r="AG50" s="60">
        <f t="shared" si="175"/>
        <v>169636.5</v>
      </c>
      <c r="AH50" s="59">
        <f t="shared" si="176"/>
        <v>560784.34169999999</v>
      </c>
      <c r="AI50" s="55">
        <f t="shared" si="177"/>
        <v>165112.85999999999</v>
      </c>
      <c r="AJ50" s="59">
        <f t="shared" si="178"/>
        <v>545830.092588</v>
      </c>
      <c r="AK50" s="60">
        <f t="shared" si="179"/>
        <v>160589.22</v>
      </c>
      <c r="AL50" s="59">
        <f t="shared" si="180"/>
        <v>530875.84347600001</v>
      </c>
      <c r="AM50" s="60">
        <f t="shared" si="181"/>
        <v>156065.57999999999</v>
      </c>
      <c r="AN50" s="59">
        <f t="shared" si="182"/>
        <v>515921.59436399996</v>
      </c>
      <c r="AO50" s="60">
        <f t="shared" si="183"/>
        <v>151541.93999999997</v>
      </c>
      <c r="AP50" s="59">
        <f t="shared" si="184"/>
        <v>500967.34525199991</v>
      </c>
      <c r="AQ50" s="60">
        <f t="shared" si="185"/>
        <v>147018.29999999996</v>
      </c>
      <c r="AR50" s="59">
        <f t="shared" si="186"/>
        <v>486013.09613999986</v>
      </c>
      <c r="AS50" s="55">
        <f t="shared" si="187"/>
        <v>142494.65999999997</v>
      </c>
      <c r="AT50" s="59">
        <f t="shared" si="188"/>
        <v>471058.84702799993</v>
      </c>
      <c r="AU50" s="60">
        <f t="shared" si="189"/>
        <v>137971.01999999996</v>
      </c>
      <c r="AV50" s="59">
        <f t="shared" si="190"/>
        <v>456104.59791599988</v>
      </c>
      <c r="AW50" s="60">
        <f t="shared" si="191"/>
        <v>133447.37999999995</v>
      </c>
      <c r="AX50" s="59">
        <f t="shared" si="192"/>
        <v>441150.34880399983</v>
      </c>
      <c r="AY50" s="55">
        <f t="shared" si="193"/>
        <v>128923.73999999996</v>
      </c>
      <c r="AZ50" s="59">
        <f t="shared" si="194"/>
        <v>426196.0996919999</v>
      </c>
      <c r="BC50" s="55">
        <v>1</v>
      </c>
      <c r="BD50" s="55">
        <v>0.97</v>
      </c>
      <c r="BE50" s="55">
        <v>0.95</v>
      </c>
      <c r="BF50" s="55">
        <v>0.93</v>
      </c>
      <c r="BG50" s="55">
        <f t="shared" si="143"/>
        <v>0.91</v>
      </c>
      <c r="BH50" s="55">
        <f t="shared" si="143"/>
        <v>0.89</v>
      </c>
      <c r="BI50" s="55">
        <f t="shared" si="143"/>
        <v>0.87</v>
      </c>
      <c r="BJ50" s="55">
        <f t="shared" si="143"/>
        <v>0.85</v>
      </c>
      <c r="BK50" s="55">
        <f t="shared" si="143"/>
        <v>0.83</v>
      </c>
      <c r="BL50" s="55">
        <f t="shared" si="143"/>
        <v>0.80999999999999994</v>
      </c>
      <c r="BM50" s="55">
        <f t="shared" si="143"/>
        <v>0.78999999999999992</v>
      </c>
      <c r="BN50" s="55">
        <f t="shared" si="143"/>
        <v>0.76999999999999991</v>
      </c>
      <c r="BO50" s="55">
        <f t="shared" si="143"/>
        <v>0.74999999999999989</v>
      </c>
      <c r="BP50" s="55">
        <f t="shared" si="143"/>
        <v>0.72999999999999987</v>
      </c>
      <c r="BQ50" s="55">
        <f t="shared" si="143"/>
        <v>0.70999999999999985</v>
      </c>
      <c r="BR50" s="55">
        <f t="shared" si="143"/>
        <v>0.68999999999999984</v>
      </c>
      <c r="BS50" s="55">
        <f t="shared" si="143"/>
        <v>0.66999999999999982</v>
      </c>
      <c r="BT50" s="55">
        <f t="shared" si="143"/>
        <v>0.6499999999999998</v>
      </c>
      <c r="BU50" s="55">
        <f t="shared" si="143"/>
        <v>0.62999999999999978</v>
      </c>
      <c r="BV50" s="55">
        <f t="shared" si="143"/>
        <v>0.60999999999999976</v>
      </c>
      <c r="BW50" s="55">
        <f t="shared" si="143"/>
        <v>0.58999999999999975</v>
      </c>
      <c r="BX50" s="55">
        <f t="shared" si="143"/>
        <v>0.56999999999999973</v>
      </c>
      <c r="BZ50" s="55">
        <f t="shared" si="88"/>
        <v>205825.62000000002</v>
      </c>
      <c r="CA50" s="55">
        <f t="shared" si="89"/>
        <v>205825.62000000002</v>
      </c>
      <c r="CB50" s="59">
        <f t="shared" si="195"/>
        <v>680418.33459600015</v>
      </c>
      <c r="CC50" s="55">
        <f t="shared" si="196"/>
        <v>199650.85140000001</v>
      </c>
      <c r="CD50" s="59">
        <f t="shared" si="197"/>
        <v>660005.78455812007</v>
      </c>
      <c r="CE50" s="55">
        <f t="shared" si="198"/>
        <v>195534.33900000001</v>
      </c>
      <c r="CF50" s="59">
        <f t="shared" si="199"/>
        <v>646397.41786620009</v>
      </c>
      <c r="CG50" s="55">
        <f t="shared" si="200"/>
        <v>191417.82660000003</v>
      </c>
      <c r="CH50" s="59">
        <f t="shared" si="201"/>
        <v>632789.05117428012</v>
      </c>
      <c r="CI50" s="57">
        <f t="shared" si="202"/>
        <v>187301.31420000002</v>
      </c>
      <c r="CJ50" s="59">
        <f t="shared" si="203"/>
        <v>619180.68448236014</v>
      </c>
      <c r="CK50" s="55">
        <f t="shared" si="204"/>
        <v>183184.80180000002</v>
      </c>
      <c r="CL50" s="59">
        <f t="shared" si="205"/>
        <v>605572.31779044005</v>
      </c>
      <c r="CM50" s="57">
        <f t="shared" si="206"/>
        <v>179068.28940000001</v>
      </c>
      <c r="CN50" s="59">
        <f t="shared" si="207"/>
        <v>591963.95109852008</v>
      </c>
      <c r="CO50" s="60">
        <f t="shared" si="208"/>
        <v>174951.777</v>
      </c>
      <c r="CP50" s="59">
        <f t="shared" si="209"/>
        <v>578355.58440659998</v>
      </c>
      <c r="CQ50" s="57">
        <f t="shared" si="210"/>
        <v>170835.26460000002</v>
      </c>
      <c r="CR50" s="59">
        <f t="shared" si="211"/>
        <v>564747.21771468013</v>
      </c>
      <c r="CS50" s="55">
        <f t="shared" si="212"/>
        <v>166718.75220000002</v>
      </c>
      <c r="CT50" s="59">
        <f t="shared" si="213"/>
        <v>551138.85102276003</v>
      </c>
      <c r="CU50" s="60">
        <f t="shared" si="214"/>
        <v>162602.23980000001</v>
      </c>
      <c r="CV50" s="59">
        <f t="shared" si="215"/>
        <v>537530.48433084006</v>
      </c>
      <c r="CW50" s="60">
        <f t="shared" si="216"/>
        <v>158485.7274</v>
      </c>
      <c r="CX50" s="59">
        <f t="shared" si="217"/>
        <v>523922.11763892003</v>
      </c>
      <c r="CY50" s="60">
        <f t="shared" si="218"/>
        <v>154369.215</v>
      </c>
      <c r="CZ50" s="59">
        <f t="shared" si="219"/>
        <v>510313.75094699999</v>
      </c>
      <c r="DA50" s="55">
        <f t="shared" si="220"/>
        <v>150252.70259999999</v>
      </c>
      <c r="DB50" s="59">
        <f t="shared" si="221"/>
        <v>496705.38425507996</v>
      </c>
      <c r="DC50" s="60">
        <f t="shared" si="222"/>
        <v>146136.19019999998</v>
      </c>
      <c r="DD50" s="59">
        <f t="shared" si="223"/>
        <v>483097.01756315993</v>
      </c>
      <c r="DE50" s="60">
        <f t="shared" si="224"/>
        <v>142019.67779999998</v>
      </c>
      <c r="DF50" s="59">
        <f t="shared" si="225"/>
        <v>469488.65087123995</v>
      </c>
      <c r="DG50" s="60">
        <f t="shared" si="226"/>
        <v>137903.16539999997</v>
      </c>
      <c r="DH50" s="59">
        <f t="shared" si="227"/>
        <v>455880.28417931992</v>
      </c>
      <c r="DI50" s="60">
        <f t="shared" si="228"/>
        <v>133786.65299999996</v>
      </c>
      <c r="DJ50" s="59">
        <f t="shared" si="229"/>
        <v>442271.91748739989</v>
      </c>
      <c r="DK50" s="55">
        <f t="shared" si="230"/>
        <v>129670.14059999997</v>
      </c>
      <c r="DL50" s="59">
        <f t="shared" si="231"/>
        <v>428663.55079547991</v>
      </c>
      <c r="DM50" s="60">
        <f t="shared" si="232"/>
        <v>125553.62819999996</v>
      </c>
      <c r="DN50" s="59">
        <f t="shared" si="233"/>
        <v>415055.18410355988</v>
      </c>
      <c r="DO50" s="60">
        <f t="shared" si="234"/>
        <v>121437.11579999996</v>
      </c>
      <c r="DP50" s="59">
        <f t="shared" si="235"/>
        <v>401446.81741163984</v>
      </c>
      <c r="DQ50" s="55">
        <f t="shared" si="236"/>
        <v>117320.60339999996</v>
      </c>
      <c r="DR50" s="59">
        <f t="shared" si="237"/>
        <v>387838.45071971987</v>
      </c>
      <c r="DU50" s="55">
        <v>1</v>
      </c>
      <c r="DV50" s="55">
        <v>0.97</v>
      </c>
      <c r="DW50" s="55">
        <v>0.95</v>
      </c>
      <c r="DX50" s="55">
        <v>0.93</v>
      </c>
      <c r="DY50" s="55">
        <f t="shared" si="238"/>
        <v>0.91</v>
      </c>
      <c r="DZ50" s="55">
        <f t="shared" si="238"/>
        <v>0.89</v>
      </c>
      <c r="EA50" s="55">
        <f t="shared" si="238"/>
        <v>0.87</v>
      </c>
      <c r="EB50" s="55">
        <f t="shared" si="238"/>
        <v>0.85</v>
      </c>
      <c r="EC50" s="55">
        <f t="shared" si="238"/>
        <v>0.83</v>
      </c>
      <c r="ED50" s="55">
        <f t="shared" si="238"/>
        <v>0.80999999999999994</v>
      </c>
      <c r="EE50" s="55">
        <f t="shared" si="238"/>
        <v>0.78999999999999992</v>
      </c>
      <c r="EF50" s="55">
        <f t="shared" si="238"/>
        <v>0.76999999999999991</v>
      </c>
      <c r="EG50" s="55">
        <f t="shared" si="238"/>
        <v>0.74999999999999989</v>
      </c>
      <c r="EH50" s="55">
        <f t="shared" si="238"/>
        <v>0.72999999999999987</v>
      </c>
      <c r="EI50" s="55">
        <f t="shared" si="238"/>
        <v>0.70999999999999985</v>
      </c>
      <c r="EJ50" s="55">
        <f t="shared" si="238"/>
        <v>0.68999999999999984</v>
      </c>
      <c r="EK50" s="55">
        <f t="shared" si="238"/>
        <v>0.66999999999999982</v>
      </c>
      <c r="EL50" s="55">
        <f t="shared" si="238"/>
        <v>0.6499999999999998</v>
      </c>
      <c r="EM50" s="55">
        <f t="shared" si="238"/>
        <v>0.62999999999999978</v>
      </c>
      <c r="EN50" s="55">
        <f t="shared" si="238"/>
        <v>0.60999999999999976</v>
      </c>
      <c r="EO50" s="55">
        <f t="shared" si="238"/>
        <v>0.58999999999999975</v>
      </c>
      <c r="EP50" s="55">
        <f t="shared" si="238"/>
        <v>0.56999999999999973</v>
      </c>
      <c r="ER50" s="55">
        <f t="shared" si="142"/>
        <v>187301.31420000002</v>
      </c>
      <c r="ES50" s="55">
        <f t="shared" si="116"/>
        <v>187301.31420000002</v>
      </c>
      <c r="ET50" s="59">
        <f t="shared" si="239"/>
        <v>619180.68448236014</v>
      </c>
      <c r="EU50" s="55">
        <f t="shared" si="240"/>
        <v>181682.27477400002</v>
      </c>
      <c r="EV50" s="59">
        <f t="shared" si="241"/>
        <v>600605.26394788933</v>
      </c>
      <c r="EW50" s="55">
        <f t="shared" si="242"/>
        <v>177936.24849000003</v>
      </c>
      <c r="EX50" s="59">
        <f t="shared" si="243"/>
        <v>588221.65025824215</v>
      </c>
      <c r="EY50" s="55">
        <f t="shared" si="244"/>
        <v>174190.22220600003</v>
      </c>
      <c r="EZ50" s="59">
        <f t="shared" si="245"/>
        <v>575838.03656859498</v>
      </c>
      <c r="FA50" s="57">
        <f t="shared" si="246"/>
        <v>170444.19592200001</v>
      </c>
      <c r="FB50" s="59">
        <f t="shared" si="247"/>
        <v>563454.42287894769</v>
      </c>
      <c r="FC50" s="55">
        <f t="shared" si="248"/>
        <v>166698.16963800002</v>
      </c>
      <c r="FD50" s="59">
        <f t="shared" si="249"/>
        <v>551070.80918930052</v>
      </c>
      <c r="FE50" s="57">
        <f t="shared" si="250"/>
        <v>162952.14335400003</v>
      </c>
      <c r="FF50" s="59">
        <f t="shared" si="251"/>
        <v>538687.19549965335</v>
      </c>
      <c r="FG50" s="60">
        <f t="shared" si="252"/>
        <v>159206.11707000001</v>
      </c>
      <c r="FH50" s="59">
        <f t="shared" si="253"/>
        <v>526303.58181000606</v>
      </c>
      <c r="FI50" s="57">
        <f t="shared" si="254"/>
        <v>155460.09078600002</v>
      </c>
      <c r="FJ50" s="59">
        <f t="shared" si="255"/>
        <v>513919.96812035888</v>
      </c>
      <c r="FK50" s="55">
        <f t="shared" si="256"/>
        <v>151714.06450199999</v>
      </c>
      <c r="FL50" s="59">
        <f t="shared" si="257"/>
        <v>501536.3544307116</v>
      </c>
      <c r="FM50" s="60">
        <f t="shared" si="258"/>
        <v>147968.038218</v>
      </c>
      <c r="FN50" s="59">
        <f t="shared" si="259"/>
        <v>489152.74074106442</v>
      </c>
      <c r="FO50" s="60">
        <f t="shared" si="260"/>
        <v>144222.01193400001</v>
      </c>
      <c r="FP50" s="59">
        <f t="shared" si="261"/>
        <v>476769.12705141725</v>
      </c>
      <c r="FQ50" s="60">
        <f t="shared" si="262"/>
        <v>140475.98564999999</v>
      </c>
      <c r="FR50" s="59">
        <f t="shared" si="263"/>
        <v>464385.51336176996</v>
      </c>
      <c r="FS50" s="55">
        <f t="shared" si="264"/>
        <v>136729.959366</v>
      </c>
      <c r="FT50" s="59">
        <f t="shared" si="265"/>
        <v>452001.89967212279</v>
      </c>
      <c r="FU50" s="60">
        <f t="shared" si="266"/>
        <v>132983.93308199997</v>
      </c>
      <c r="FV50" s="59">
        <f t="shared" si="267"/>
        <v>439618.2859824755</v>
      </c>
      <c r="FW50" s="60">
        <f t="shared" si="268"/>
        <v>129237.90679799998</v>
      </c>
      <c r="FX50" s="59">
        <f t="shared" si="269"/>
        <v>427234.67229282833</v>
      </c>
      <c r="FY50" s="60">
        <f t="shared" si="270"/>
        <v>125491.88051399997</v>
      </c>
      <c r="FZ50" s="59">
        <f t="shared" si="271"/>
        <v>414851.05860318115</v>
      </c>
      <c r="GA50" s="60">
        <f t="shared" si="272"/>
        <v>121745.85422999998</v>
      </c>
      <c r="GB50" s="59">
        <f t="shared" si="273"/>
        <v>402467.44491353392</v>
      </c>
      <c r="GC50" s="55">
        <f t="shared" si="274"/>
        <v>117999.82794599998</v>
      </c>
      <c r="GD50" s="59">
        <f t="shared" si="275"/>
        <v>390083.83122388675</v>
      </c>
      <c r="GE50" s="60">
        <f t="shared" si="276"/>
        <v>114253.80166199997</v>
      </c>
      <c r="GF50" s="59">
        <f t="shared" si="277"/>
        <v>377700.21753423952</v>
      </c>
      <c r="GG50" s="60">
        <f t="shared" si="278"/>
        <v>110507.77537799996</v>
      </c>
      <c r="GH50" s="59">
        <f t="shared" si="279"/>
        <v>365316.60384459229</v>
      </c>
      <c r="GI50" s="55">
        <f t="shared" si="280"/>
        <v>106761.74909399996</v>
      </c>
      <c r="GJ50" s="59">
        <f t="shared" si="281"/>
        <v>352932.99015494506</v>
      </c>
      <c r="GK50" s="55"/>
      <c r="GL50" s="55"/>
      <c r="GM50" s="55">
        <v>1</v>
      </c>
      <c r="GN50" s="55">
        <v>0.97</v>
      </c>
      <c r="GO50" s="55">
        <v>0.95</v>
      </c>
      <c r="GP50" s="55">
        <v>0.93</v>
      </c>
      <c r="GQ50" s="55">
        <f t="shared" si="282"/>
        <v>0.91</v>
      </c>
      <c r="GR50" s="55">
        <f t="shared" si="282"/>
        <v>0.89</v>
      </c>
      <c r="GS50" s="55">
        <f t="shared" si="282"/>
        <v>0.87</v>
      </c>
      <c r="GT50" s="55">
        <f t="shared" si="282"/>
        <v>0.85</v>
      </c>
      <c r="GU50" s="55">
        <f t="shared" si="282"/>
        <v>0.83</v>
      </c>
      <c r="GV50" s="55">
        <f t="shared" si="282"/>
        <v>0.80999999999999994</v>
      </c>
      <c r="GW50" s="55">
        <f t="shared" si="282"/>
        <v>0.78999999999999992</v>
      </c>
      <c r="GX50" s="55">
        <f t="shared" si="282"/>
        <v>0.76999999999999991</v>
      </c>
      <c r="GY50" s="55">
        <f t="shared" si="282"/>
        <v>0.74999999999999989</v>
      </c>
      <c r="GZ50" s="55">
        <f t="shared" si="282"/>
        <v>0.72999999999999987</v>
      </c>
      <c r="HA50" s="55">
        <f t="shared" si="282"/>
        <v>0.70999999999999985</v>
      </c>
      <c r="HB50" s="55">
        <f t="shared" si="282"/>
        <v>0.68999999999999984</v>
      </c>
      <c r="HC50" s="55">
        <f t="shared" si="282"/>
        <v>0.66999999999999982</v>
      </c>
      <c r="HD50" s="55">
        <f t="shared" si="282"/>
        <v>0.6499999999999998</v>
      </c>
      <c r="HE50" s="55">
        <f t="shared" si="282"/>
        <v>0.62999999999999978</v>
      </c>
      <c r="HF50" s="55">
        <f t="shared" si="282"/>
        <v>0.60999999999999976</v>
      </c>
      <c r="HG50" s="55">
        <f t="shared" si="282"/>
        <v>0.58999999999999975</v>
      </c>
      <c r="HH50" s="55">
        <f t="shared" si="282"/>
        <v>0.56999999999999973</v>
      </c>
    </row>
    <row r="51" spans="1:216" x14ac:dyDescent="0.3">
      <c r="A51" s="2">
        <v>12</v>
      </c>
      <c r="C51" s="38" t="s">
        <v>23</v>
      </c>
      <c r="D51" s="42">
        <v>0</v>
      </c>
      <c r="E51" s="71">
        <f t="shared" si="152"/>
        <v>0</v>
      </c>
      <c r="H51" s="55">
        <f t="shared" si="61"/>
        <v>0</v>
      </c>
      <c r="I51" s="55">
        <f t="shared" si="62"/>
        <v>0</v>
      </c>
      <c r="J51" s="59">
        <f t="shared" si="63"/>
        <v>0</v>
      </c>
      <c r="K51" s="55">
        <f t="shared" si="153"/>
        <v>0</v>
      </c>
      <c r="L51" s="59">
        <f t="shared" si="154"/>
        <v>0</v>
      </c>
      <c r="M51" s="55">
        <f t="shared" si="155"/>
        <v>0</v>
      </c>
      <c r="N51" s="59">
        <f t="shared" si="156"/>
        <v>0</v>
      </c>
      <c r="O51" s="55">
        <f t="shared" si="157"/>
        <v>0</v>
      </c>
      <c r="P51" s="59">
        <f t="shared" si="158"/>
        <v>0</v>
      </c>
      <c r="Q51" s="57">
        <f t="shared" si="159"/>
        <v>0</v>
      </c>
      <c r="R51" s="59">
        <f t="shared" si="160"/>
        <v>0</v>
      </c>
      <c r="S51" s="55">
        <f t="shared" si="161"/>
        <v>0</v>
      </c>
      <c r="T51" s="59">
        <f t="shared" si="162"/>
        <v>0</v>
      </c>
      <c r="U51" s="57">
        <f t="shared" si="163"/>
        <v>0</v>
      </c>
      <c r="V51" s="59">
        <f t="shared" si="164"/>
        <v>0</v>
      </c>
      <c r="W51" s="60">
        <f t="shared" si="165"/>
        <v>0</v>
      </c>
      <c r="X51" s="59">
        <f t="shared" si="166"/>
        <v>0</v>
      </c>
      <c r="Y51" s="57">
        <f t="shared" si="167"/>
        <v>0</v>
      </c>
      <c r="Z51" s="59">
        <f t="shared" si="168"/>
        <v>0</v>
      </c>
      <c r="AA51" s="55">
        <f t="shared" si="169"/>
        <v>0</v>
      </c>
      <c r="AB51" s="59">
        <f t="shared" si="170"/>
        <v>0</v>
      </c>
      <c r="AC51" s="60">
        <f t="shared" si="171"/>
        <v>0</v>
      </c>
      <c r="AD51" s="59">
        <f t="shared" si="172"/>
        <v>0</v>
      </c>
      <c r="AE51" s="60">
        <f t="shared" si="173"/>
        <v>0</v>
      </c>
      <c r="AF51" s="59">
        <f t="shared" si="174"/>
        <v>0</v>
      </c>
      <c r="AG51" s="60">
        <f t="shared" si="175"/>
        <v>0</v>
      </c>
      <c r="AH51" s="59">
        <f t="shared" si="176"/>
        <v>0</v>
      </c>
      <c r="AI51" s="55">
        <f t="shared" si="177"/>
        <v>0</v>
      </c>
      <c r="AJ51" s="59">
        <f t="shared" si="178"/>
        <v>0</v>
      </c>
      <c r="AK51" s="60">
        <f t="shared" si="179"/>
        <v>0</v>
      </c>
      <c r="AL51" s="59">
        <f t="shared" si="180"/>
        <v>0</v>
      </c>
      <c r="AM51" s="60">
        <f t="shared" si="181"/>
        <v>0</v>
      </c>
      <c r="AN51" s="59">
        <f t="shared" si="182"/>
        <v>0</v>
      </c>
      <c r="AO51" s="60">
        <f t="shared" si="183"/>
        <v>0</v>
      </c>
      <c r="AP51" s="59">
        <f t="shared" si="184"/>
        <v>0</v>
      </c>
      <c r="AQ51" s="60">
        <f t="shared" si="185"/>
        <v>0</v>
      </c>
      <c r="AR51" s="59">
        <f t="shared" si="186"/>
        <v>0</v>
      </c>
      <c r="AS51" s="55">
        <f t="shared" si="187"/>
        <v>0</v>
      </c>
      <c r="AT51" s="59">
        <f t="shared" si="188"/>
        <v>0</v>
      </c>
      <c r="AU51" s="60">
        <f t="shared" si="189"/>
        <v>0</v>
      </c>
      <c r="AV51" s="59">
        <f t="shared" si="190"/>
        <v>0</v>
      </c>
      <c r="AW51" s="60">
        <f t="shared" si="191"/>
        <v>0</v>
      </c>
      <c r="AX51" s="59">
        <f t="shared" si="192"/>
        <v>0</v>
      </c>
      <c r="AY51" s="55">
        <f t="shared" si="193"/>
        <v>0</v>
      </c>
      <c r="AZ51" s="59">
        <f t="shared" si="194"/>
        <v>0</v>
      </c>
      <c r="BC51" s="55">
        <v>1</v>
      </c>
      <c r="BD51" s="55">
        <v>0.97</v>
      </c>
      <c r="BE51" s="55">
        <v>0.95</v>
      </c>
      <c r="BF51" s="55">
        <v>0.93</v>
      </c>
      <c r="BG51" s="55">
        <f t="shared" si="143"/>
        <v>0.91</v>
      </c>
      <c r="BH51" s="55">
        <f t="shared" si="143"/>
        <v>0.89</v>
      </c>
      <c r="BI51" s="55">
        <f t="shared" si="143"/>
        <v>0.87</v>
      </c>
      <c r="BJ51" s="55">
        <f t="shared" ref="BJ51:BX51" si="283">+BI51-0.02</f>
        <v>0.85</v>
      </c>
      <c r="BK51" s="55">
        <f t="shared" si="283"/>
        <v>0.83</v>
      </c>
      <c r="BL51" s="55">
        <f t="shared" si="283"/>
        <v>0.80999999999999994</v>
      </c>
      <c r="BM51" s="55">
        <f t="shared" si="283"/>
        <v>0.78999999999999992</v>
      </c>
      <c r="BN51" s="55">
        <f t="shared" si="283"/>
        <v>0.76999999999999991</v>
      </c>
      <c r="BO51" s="55">
        <f t="shared" si="283"/>
        <v>0.74999999999999989</v>
      </c>
      <c r="BP51" s="55">
        <f t="shared" si="283"/>
        <v>0.72999999999999987</v>
      </c>
      <c r="BQ51" s="55">
        <f t="shared" si="283"/>
        <v>0.70999999999999985</v>
      </c>
      <c r="BR51" s="55">
        <f t="shared" si="283"/>
        <v>0.68999999999999984</v>
      </c>
      <c r="BS51" s="55">
        <f t="shared" si="283"/>
        <v>0.66999999999999982</v>
      </c>
      <c r="BT51" s="55">
        <f t="shared" si="283"/>
        <v>0.6499999999999998</v>
      </c>
      <c r="BU51" s="55">
        <f t="shared" si="283"/>
        <v>0.62999999999999978</v>
      </c>
      <c r="BV51" s="55">
        <f t="shared" si="283"/>
        <v>0.60999999999999976</v>
      </c>
      <c r="BW51" s="55">
        <f t="shared" si="283"/>
        <v>0.58999999999999975</v>
      </c>
      <c r="BX51" s="55">
        <f t="shared" si="283"/>
        <v>0.56999999999999973</v>
      </c>
      <c r="BZ51" s="55">
        <f t="shared" si="88"/>
        <v>0</v>
      </c>
      <c r="CA51" s="55">
        <f t="shared" si="89"/>
        <v>0</v>
      </c>
      <c r="CB51" s="59">
        <f t="shared" si="195"/>
        <v>0</v>
      </c>
      <c r="CC51" s="55">
        <f t="shared" si="196"/>
        <v>0</v>
      </c>
      <c r="CD51" s="59">
        <f t="shared" si="197"/>
        <v>0</v>
      </c>
      <c r="CE51" s="55">
        <f t="shared" si="198"/>
        <v>0</v>
      </c>
      <c r="CF51" s="59">
        <f t="shared" si="199"/>
        <v>0</v>
      </c>
      <c r="CG51" s="55">
        <f t="shared" si="200"/>
        <v>0</v>
      </c>
      <c r="CH51" s="59">
        <f t="shared" si="201"/>
        <v>0</v>
      </c>
      <c r="CI51" s="57">
        <f t="shared" si="202"/>
        <v>0</v>
      </c>
      <c r="CJ51" s="59">
        <f t="shared" si="203"/>
        <v>0</v>
      </c>
      <c r="CK51" s="55">
        <f t="shared" si="204"/>
        <v>0</v>
      </c>
      <c r="CL51" s="59">
        <f t="shared" si="205"/>
        <v>0</v>
      </c>
      <c r="CM51" s="57">
        <f t="shared" si="206"/>
        <v>0</v>
      </c>
      <c r="CN51" s="59">
        <f t="shared" si="207"/>
        <v>0</v>
      </c>
      <c r="CO51" s="60">
        <f t="shared" si="208"/>
        <v>0</v>
      </c>
      <c r="CP51" s="59">
        <f t="shared" si="209"/>
        <v>0</v>
      </c>
      <c r="CQ51" s="57">
        <f t="shared" si="210"/>
        <v>0</v>
      </c>
      <c r="CR51" s="59">
        <f t="shared" si="211"/>
        <v>0</v>
      </c>
      <c r="CS51" s="55">
        <f t="shared" si="212"/>
        <v>0</v>
      </c>
      <c r="CT51" s="59">
        <f t="shared" si="213"/>
        <v>0</v>
      </c>
      <c r="CU51" s="60">
        <f t="shared" si="214"/>
        <v>0</v>
      </c>
      <c r="CV51" s="59">
        <f t="shared" si="215"/>
        <v>0</v>
      </c>
      <c r="CW51" s="60">
        <f t="shared" si="216"/>
        <v>0</v>
      </c>
      <c r="CX51" s="59">
        <f t="shared" si="217"/>
        <v>0</v>
      </c>
      <c r="CY51" s="60">
        <f t="shared" si="218"/>
        <v>0</v>
      </c>
      <c r="CZ51" s="59">
        <f t="shared" si="219"/>
        <v>0</v>
      </c>
      <c r="DA51" s="55">
        <f t="shared" si="220"/>
        <v>0</v>
      </c>
      <c r="DB51" s="59">
        <f t="shared" si="221"/>
        <v>0</v>
      </c>
      <c r="DC51" s="60">
        <f t="shared" si="222"/>
        <v>0</v>
      </c>
      <c r="DD51" s="59">
        <f t="shared" si="223"/>
        <v>0</v>
      </c>
      <c r="DE51" s="60">
        <f t="shared" si="224"/>
        <v>0</v>
      </c>
      <c r="DF51" s="59">
        <f t="shared" si="225"/>
        <v>0</v>
      </c>
      <c r="DG51" s="60">
        <f t="shared" si="226"/>
        <v>0</v>
      </c>
      <c r="DH51" s="59">
        <f t="shared" si="227"/>
        <v>0</v>
      </c>
      <c r="DI51" s="60">
        <f t="shared" si="228"/>
        <v>0</v>
      </c>
      <c r="DJ51" s="59">
        <f t="shared" si="229"/>
        <v>0</v>
      </c>
      <c r="DK51" s="55">
        <f t="shared" si="230"/>
        <v>0</v>
      </c>
      <c r="DL51" s="59">
        <f t="shared" si="231"/>
        <v>0</v>
      </c>
      <c r="DM51" s="60">
        <f t="shared" si="232"/>
        <v>0</v>
      </c>
      <c r="DN51" s="59">
        <f t="shared" si="233"/>
        <v>0</v>
      </c>
      <c r="DO51" s="60">
        <f t="shared" si="234"/>
        <v>0</v>
      </c>
      <c r="DP51" s="59">
        <f t="shared" si="235"/>
        <v>0</v>
      </c>
      <c r="DQ51" s="55">
        <f t="shared" si="236"/>
        <v>0</v>
      </c>
      <c r="DR51" s="59">
        <f t="shared" si="237"/>
        <v>0</v>
      </c>
      <c r="DU51" s="55">
        <v>1</v>
      </c>
      <c r="DV51" s="55">
        <v>0.97</v>
      </c>
      <c r="DW51" s="55">
        <v>0.95</v>
      </c>
      <c r="DX51" s="55">
        <v>0.93</v>
      </c>
      <c r="DY51" s="55">
        <f t="shared" si="238"/>
        <v>0.91</v>
      </c>
      <c r="DZ51" s="55">
        <f t="shared" si="238"/>
        <v>0.89</v>
      </c>
      <c r="EA51" s="55">
        <f t="shared" si="238"/>
        <v>0.87</v>
      </c>
      <c r="EB51" s="55">
        <f t="shared" si="238"/>
        <v>0.85</v>
      </c>
      <c r="EC51" s="55">
        <f t="shared" si="238"/>
        <v>0.83</v>
      </c>
      <c r="ED51" s="55">
        <f t="shared" si="238"/>
        <v>0.80999999999999994</v>
      </c>
      <c r="EE51" s="55">
        <f t="shared" si="238"/>
        <v>0.78999999999999992</v>
      </c>
      <c r="EF51" s="55">
        <f t="shared" si="238"/>
        <v>0.76999999999999991</v>
      </c>
      <c r="EG51" s="55">
        <f t="shared" si="238"/>
        <v>0.74999999999999989</v>
      </c>
      <c r="EH51" s="55">
        <f t="shared" si="238"/>
        <v>0.72999999999999987</v>
      </c>
      <c r="EI51" s="55">
        <f t="shared" si="238"/>
        <v>0.70999999999999985</v>
      </c>
      <c r="EJ51" s="55">
        <f t="shared" si="238"/>
        <v>0.68999999999999984</v>
      </c>
      <c r="EK51" s="55">
        <f t="shared" si="238"/>
        <v>0.66999999999999982</v>
      </c>
      <c r="EL51" s="55">
        <f t="shared" si="238"/>
        <v>0.6499999999999998</v>
      </c>
      <c r="EM51" s="55">
        <f t="shared" si="238"/>
        <v>0.62999999999999978</v>
      </c>
      <c r="EN51" s="55">
        <f t="shared" si="238"/>
        <v>0.60999999999999976</v>
      </c>
      <c r="EO51" s="55">
        <f t="shared" si="238"/>
        <v>0.58999999999999975</v>
      </c>
      <c r="EP51" s="55">
        <f t="shared" si="238"/>
        <v>0.56999999999999973</v>
      </c>
      <c r="ER51" s="55">
        <f t="shared" si="142"/>
        <v>0</v>
      </c>
      <c r="ES51" s="55">
        <f t="shared" si="116"/>
        <v>0</v>
      </c>
      <c r="ET51" s="59">
        <f t="shared" si="239"/>
        <v>0</v>
      </c>
      <c r="EU51" s="55">
        <f t="shared" si="240"/>
        <v>0</v>
      </c>
      <c r="EV51" s="59">
        <f t="shared" si="241"/>
        <v>0</v>
      </c>
      <c r="EW51" s="55">
        <f t="shared" si="242"/>
        <v>0</v>
      </c>
      <c r="EX51" s="59">
        <f t="shared" si="243"/>
        <v>0</v>
      </c>
      <c r="EY51" s="55">
        <f t="shared" si="244"/>
        <v>0</v>
      </c>
      <c r="EZ51" s="59">
        <f t="shared" si="245"/>
        <v>0</v>
      </c>
      <c r="FA51" s="57">
        <f t="shared" si="246"/>
        <v>0</v>
      </c>
      <c r="FB51" s="59">
        <f t="shared" si="247"/>
        <v>0</v>
      </c>
      <c r="FC51" s="55">
        <f t="shared" si="248"/>
        <v>0</v>
      </c>
      <c r="FD51" s="59">
        <f t="shared" si="249"/>
        <v>0</v>
      </c>
      <c r="FE51" s="57">
        <f t="shared" si="250"/>
        <v>0</v>
      </c>
      <c r="FF51" s="59">
        <f t="shared" si="251"/>
        <v>0</v>
      </c>
      <c r="FG51" s="60">
        <f t="shared" si="252"/>
        <v>0</v>
      </c>
      <c r="FH51" s="59">
        <f t="shared" si="253"/>
        <v>0</v>
      </c>
      <c r="FI51" s="57">
        <f t="shared" si="254"/>
        <v>0</v>
      </c>
      <c r="FJ51" s="59">
        <f t="shared" si="255"/>
        <v>0</v>
      </c>
      <c r="FK51" s="55">
        <f t="shared" si="256"/>
        <v>0</v>
      </c>
      <c r="FL51" s="59">
        <f t="shared" si="257"/>
        <v>0</v>
      </c>
      <c r="FM51" s="60">
        <f t="shared" si="258"/>
        <v>0</v>
      </c>
      <c r="FN51" s="59">
        <f t="shared" si="259"/>
        <v>0</v>
      </c>
      <c r="FO51" s="60">
        <f t="shared" si="260"/>
        <v>0</v>
      </c>
      <c r="FP51" s="59">
        <f t="shared" si="261"/>
        <v>0</v>
      </c>
      <c r="FQ51" s="60">
        <f t="shared" si="262"/>
        <v>0</v>
      </c>
      <c r="FR51" s="59">
        <f t="shared" si="263"/>
        <v>0</v>
      </c>
      <c r="FS51" s="55">
        <f t="shared" si="264"/>
        <v>0</v>
      </c>
      <c r="FT51" s="59">
        <f t="shared" si="265"/>
        <v>0</v>
      </c>
      <c r="FU51" s="60">
        <f t="shared" si="266"/>
        <v>0</v>
      </c>
      <c r="FV51" s="59">
        <f t="shared" si="267"/>
        <v>0</v>
      </c>
      <c r="FW51" s="60">
        <f t="shared" si="268"/>
        <v>0</v>
      </c>
      <c r="FX51" s="59">
        <f t="shared" si="269"/>
        <v>0</v>
      </c>
      <c r="FY51" s="60">
        <f t="shared" si="270"/>
        <v>0</v>
      </c>
      <c r="FZ51" s="59">
        <f t="shared" si="271"/>
        <v>0</v>
      </c>
      <c r="GA51" s="60">
        <f t="shared" si="272"/>
        <v>0</v>
      </c>
      <c r="GB51" s="59">
        <f t="shared" si="273"/>
        <v>0</v>
      </c>
      <c r="GC51" s="55">
        <f t="shared" si="274"/>
        <v>0</v>
      </c>
      <c r="GD51" s="59">
        <f t="shared" si="275"/>
        <v>0</v>
      </c>
      <c r="GE51" s="60">
        <f t="shared" si="276"/>
        <v>0</v>
      </c>
      <c r="GF51" s="59">
        <f t="shared" si="277"/>
        <v>0</v>
      </c>
      <c r="GG51" s="60">
        <f t="shared" si="278"/>
        <v>0</v>
      </c>
      <c r="GH51" s="59">
        <f t="shared" si="279"/>
        <v>0</v>
      </c>
      <c r="GI51" s="55">
        <f t="shared" si="280"/>
        <v>0</v>
      </c>
      <c r="GJ51" s="59">
        <f t="shared" si="281"/>
        <v>0</v>
      </c>
      <c r="GK51" s="55"/>
      <c r="GL51" s="55"/>
      <c r="GM51" s="55">
        <v>1</v>
      </c>
      <c r="GN51" s="55">
        <v>0.97</v>
      </c>
      <c r="GO51" s="55">
        <v>0.95</v>
      </c>
      <c r="GP51" s="55">
        <v>0.93</v>
      </c>
      <c r="GQ51" s="55">
        <f t="shared" si="282"/>
        <v>0.91</v>
      </c>
      <c r="GR51" s="55">
        <f t="shared" si="282"/>
        <v>0.89</v>
      </c>
      <c r="GS51" s="55">
        <f t="shared" si="282"/>
        <v>0.87</v>
      </c>
      <c r="GT51" s="55">
        <f t="shared" si="282"/>
        <v>0.85</v>
      </c>
      <c r="GU51" s="55">
        <f t="shared" si="282"/>
        <v>0.83</v>
      </c>
      <c r="GV51" s="55">
        <f t="shared" si="282"/>
        <v>0.80999999999999994</v>
      </c>
      <c r="GW51" s="55">
        <f t="shared" si="282"/>
        <v>0.78999999999999992</v>
      </c>
      <c r="GX51" s="55">
        <f t="shared" si="282"/>
        <v>0.76999999999999991</v>
      </c>
      <c r="GY51" s="55">
        <f t="shared" si="282"/>
        <v>0.74999999999999989</v>
      </c>
      <c r="GZ51" s="55">
        <f t="shared" si="282"/>
        <v>0.72999999999999987</v>
      </c>
      <c r="HA51" s="55">
        <f t="shared" si="282"/>
        <v>0.70999999999999985</v>
      </c>
      <c r="HB51" s="55">
        <f t="shared" si="282"/>
        <v>0.68999999999999984</v>
      </c>
      <c r="HC51" s="55">
        <f t="shared" si="282"/>
        <v>0.66999999999999982</v>
      </c>
      <c r="HD51" s="55">
        <f t="shared" si="282"/>
        <v>0.6499999999999998</v>
      </c>
      <c r="HE51" s="55">
        <f t="shared" si="282"/>
        <v>0.62999999999999978</v>
      </c>
      <c r="HF51" s="55">
        <f t="shared" si="282"/>
        <v>0.60999999999999976</v>
      </c>
      <c r="HG51" s="55">
        <f t="shared" si="282"/>
        <v>0.58999999999999975</v>
      </c>
      <c r="HH51" s="55">
        <f t="shared" si="282"/>
        <v>0.56999999999999973</v>
      </c>
    </row>
    <row r="52" spans="1:216" x14ac:dyDescent="0.3">
      <c r="A52" s="2">
        <v>13</v>
      </c>
      <c r="C52" s="38" t="s">
        <v>24</v>
      </c>
      <c r="D52" s="42">
        <f>TRUNC(12533,-1)</f>
        <v>12530</v>
      </c>
      <c r="E52" s="71">
        <f t="shared" si="152"/>
        <v>41420</v>
      </c>
      <c r="H52" s="55">
        <f t="shared" si="61"/>
        <v>45562.000000000007</v>
      </c>
      <c r="I52" s="55">
        <f t="shared" si="62"/>
        <v>45562.000000000007</v>
      </c>
      <c r="J52" s="59">
        <f t="shared" si="63"/>
        <v>150618.85960000003</v>
      </c>
      <c r="K52" s="55">
        <f t="shared" si="153"/>
        <v>44195.140000000007</v>
      </c>
      <c r="L52" s="59">
        <f t="shared" si="154"/>
        <v>146100.29381200002</v>
      </c>
      <c r="M52" s="55">
        <f t="shared" si="155"/>
        <v>43283.9</v>
      </c>
      <c r="N52" s="59">
        <f t="shared" si="156"/>
        <v>143087.91662</v>
      </c>
      <c r="O52" s="55">
        <f t="shared" si="157"/>
        <v>42372.660000000011</v>
      </c>
      <c r="P52" s="59">
        <f t="shared" si="158"/>
        <v>140075.53942800005</v>
      </c>
      <c r="Q52" s="57">
        <f t="shared" si="159"/>
        <v>41461.420000000006</v>
      </c>
      <c r="R52" s="59">
        <f t="shared" si="160"/>
        <v>137063.16223600003</v>
      </c>
      <c r="S52" s="55">
        <f t="shared" si="161"/>
        <v>40550.180000000008</v>
      </c>
      <c r="T52" s="59">
        <f t="shared" si="162"/>
        <v>134050.78504400002</v>
      </c>
      <c r="U52" s="57">
        <f t="shared" si="163"/>
        <v>39638.94000000001</v>
      </c>
      <c r="V52" s="59">
        <f t="shared" si="164"/>
        <v>131038.40785200003</v>
      </c>
      <c r="W52" s="60">
        <f t="shared" si="165"/>
        <v>38727.700000000004</v>
      </c>
      <c r="X52" s="59">
        <f t="shared" si="166"/>
        <v>128026.03066000002</v>
      </c>
      <c r="Y52" s="57">
        <f t="shared" si="167"/>
        <v>37816.460000000006</v>
      </c>
      <c r="Z52" s="59">
        <f t="shared" si="168"/>
        <v>125013.65346800002</v>
      </c>
      <c r="AA52" s="55">
        <f t="shared" si="169"/>
        <v>36905.22</v>
      </c>
      <c r="AB52" s="59">
        <f t="shared" si="170"/>
        <v>122001.276276</v>
      </c>
      <c r="AC52" s="60">
        <f t="shared" si="171"/>
        <v>35993.980000000003</v>
      </c>
      <c r="AD52" s="59">
        <f t="shared" si="172"/>
        <v>118988.89908400002</v>
      </c>
      <c r="AE52" s="60">
        <f t="shared" si="173"/>
        <v>35082.74</v>
      </c>
      <c r="AF52" s="59">
        <f t="shared" si="174"/>
        <v>115976.52189199999</v>
      </c>
      <c r="AG52" s="60">
        <f t="shared" si="175"/>
        <v>34171.5</v>
      </c>
      <c r="AH52" s="59">
        <f t="shared" si="176"/>
        <v>112964.1447</v>
      </c>
      <c r="AI52" s="55">
        <f t="shared" si="177"/>
        <v>33260.26</v>
      </c>
      <c r="AJ52" s="59">
        <f t="shared" si="178"/>
        <v>109951.767508</v>
      </c>
      <c r="AK52" s="60">
        <f t="shared" si="179"/>
        <v>32349.019999999997</v>
      </c>
      <c r="AL52" s="59">
        <f t="shared" si="180"/>
        <v>106939.39031599999</v>
      </c>
      <c r="AM52" s="60">
        <f t="shared" si="181"/>
        <v>31437.78</v>
      </c>
      <c r="AN52" s="59">
        <f t="shared" si="182"/>
        <v>103927.013124</v>
      </c>
      <c r="AO52" s="60">
        <f t="shared" si="183"/>
        <v>30526.539999999997</v>
      </c>
      <c r="AP52" s="59">
        <f t="shared" si="184"/>
        <v>100914.63593199999</v>
      </c>
      <c r="AQ52" s="60">
        <f t="shared" si="185"/>
        <v>29615.299999999996</v>
      </c>
      <c r="AR52" s="59">
        <f t="shared" si="186"/>
        <v>97902.25873999999</v>
      </c>
      <c r="AS52" s="55">
        <f t="shared" si="187"/>
        <v>28704.059999999994</v>
      </c>
      <c r="AT52" s="59">
        <f t="shared" si="188"/>
        <v>94889.881547999976</v>
      </c>
      <c r="AU52" s="60">
        <f t="shared" si="189"/>
        <v>27792.819999999992</v>
      </c>
      <c r="AV52" s="59">
        <f t="shared" si="190"/>
        <v>91877.504355999976</v>
      </c>
      <c r="AW52" s="60">
        <f t="shared" si="191"/>
        <v>26881.579999999994</v>
      </c>
      <c r="AX52" s="59">
        <f t="shared" si="192"/>
        <v>88865.12716399999</v>
      </c>
      <c r="AY52" s="55">
        <f t="shared" si="193"/>
        <v>25970.339999999993</v>
      </c>
      <c r="AZ52" s="59">
        <f t="shared" si="194"/>
        <v>85852.749971999976</v>
      </c>
      <c r="BC52" s="55">
        <v>1</v>
      </c>
      <c r="BD52" s="55">
        <v>0.97</v>
      </c>
      <c r="BE52" s="55">
        <v>0.95</v>
      </c>
      <c r="BF52" s="55">
        <v>0.93</v>
      </c>
      <c r="BG52" s="55">
        <f t="shared" ref="BG52:BX60" si="284">+BF52-0.02</f>
        <v>0.91</v>
      </c>
      <c r="BH52" s="55">
        <f t="shared" si="284"/>
        <v>0.89</v>
      </c>
      <c r="BI52" s="55">
        <f t="shared" si="284"/>
        <v>0.87</v>
      </c>
      <c r="BJ52" s="55">
        <f t="shared" si="284"/>
        <v>0.85</v>
      </c>
      <c r="BK52" s="55">
        <f t="shared" si="284"/>
        <v>0.83</v>
      </c>
      <c r="BL52" s="55">
        <f t="shared" si="284"/>
        <v>0.80999999999999994</v>
      </c>
      <c r="BM52" s="55">
        <f t="shared" si="284"/>
        <v>0.78999999999999992</v>
      </c>
      <c r="BN52" s="55">
        <f t="shared" si="284"/>
        <v>0.76999999999999991</v>
      </c>
      <c r="BO52" s="55">
        <f t="shared" si="284"/>
        <v>0.74999999999999989</v>
      </c>
      <c r="BP52" s="55">
        <f t="shared" si="284"/>
        <v>0.72999999999999987</v>
      </c>
      <c r="BQ52" s="55">
        <f t="shared" si="284"/>
        <v>0.70999999999999985</v>
      </c>
      <c r="BR52" s="55">
        <f t="shared" si="284"/>
        <v>0.68999999999999984</v>
      </c>
      <c r="BS52" s="55">
        <f t="shared" si="284"/>
        <v>0.66999999999999982</v>
      </c>
      <c r="BT52" s="55">
        <f t="shared" si="284"/>
        <v>0.6499999999999998</v>
      </c>
      <c r="BU52" s="55">
        <f t="shared" si="284"/>
        <v>0.62999999999999978</v>
      </c>
      <c r="BV52" s="55">
        <f t="shared" si="284"/>
        <v>0.60999999999999976</v>
      </c>
      <c r="BW52" s="55">
        <f t="shared" si="284"/>
        <v>0.58999999999999975</v>
      </c>
      <c r="BX52" s="55">
        <f t="shared" si="284"/>
        <v>0.56999999999999973</v>
      </c>
      <c r="BZ52" s="55">
        <f t="shared" si="88"/>
        <v>41461.420000000006</v>
      </c>
      <c r="CA52" s="55">
        <f t="shared" si="89"/>
        <v>41461.420000000006</v>
      </c>
      <c r="CB52" s="59">
        <f t="shared" si="195"/>
        <v>137063.16223600003</v>
      </c>
      <c r="CC52" s="55">
        <f t="shared" si="196"/>
        <v>40217.577400000002</v>
      </c>
      <c r="CD52" s="59">
        <f t="shared" si="197"/>
        <v>132951.26736892</v>
      </c>
      <c r="CE52" s="55">
        <f t="shared" si="198"/>
        <v>39388.349000000002</v>
      </c>
      <c r="CF52" s="59">
        <f t="shared" si="199"/>
        <v>130210.00412420002</v>
      </c>
      <c r="CG52" s="55">
        <f t="shared" si="200"/>
        <v>38559.120600000009</v>
      </c>
      <c r="CH52" s="59">
        <f t="shared" si="201"/>
        <v>127468.74087948003</v>
      </c>
      <c r="CI52" s="57">
        <f t="shared" si="202"/>
        <v>37729.892200000009</v>
      </c>
      <c r="CJ52" s="59">
        <f t="shared" si="203"/>
        <v>124727.47763476003</v>
      </c>
      <c r="CK52" s="55">
        <f t="shared" si="204"/>
        <v>36900.663800000002</v>
      </c>
      <c r="CL52" s="59">
        <f t="shared" si="205"/>
        <v>121986.21439004001</v>
      </c>
      <c r="CM52" s="57">
        <f t="shared" si="206"/>
        <v>36071.435400000002</v>
      </c>
      <c r="CN52" s="59">
        <f t="shared" si="207"/>
        <v>119244.95114532001</v>
      </c>
      <c r="CO52" s="60">
        <f t="shared" si="208"/>
        <v>35242.207000000002</v>
      </c>
      <c r="CP52" s="59">
        <f t="shared" si="209"/>
        <v>116503.68790060001</v>
      </c>
      <c r="CQ52" s="57">
        <f t="shared" si="210"/>
        <v>34412.978600000002</v>
      </c>
      <c r="CR52" s="59">
        <f t="shared" si="211"/>
        <v>113762.42465588001</v>
      </c>
      <c r="CS52" s="55">
        <f t="shared" si="212"/>
        <v>33583.750200000002</v>
      </c>
      <c r="CT52" s="59">
        <f t="shared" si="213"/>
        <v>111021.16141116001</v>
      </c>
      <c r="CU52" s="60">
        <f t="shared" si="214"/>
        <v>32754.521800000002</v>
      </c>
      <c r="CV52" s="59">
        <f t="shared" si="215"/>
        <v>108279.89816644001</v>
      </c>
      <c r="CW52" s="60">
        <f t="shared" si="216"/>
        <v>31925.293399999999</v>
      </c>
      <c r="CX52" s="59">
        <f t="shared" si="217"/>
        <v>105538.63492172</v>
      </c>
      <c r="CY52" s="60">
        <f t="shared" si="218"/>
        <v>31096.064999999999</v>
      </c>
      <c r="CZ52" s="59">
        <f t="shared" si="219"/>
        <v>102797.371677</v>
      </c>
      <c r="DA52" s="55">
        <f t="shared" si="220"/>
        <v>30266.836599999999</v>
      </c>
      <c r="DB52" s="59">
        <f t="shared" si="221"/>
        <v>100056.10843228</v>
      </c>
      <c r="DC52" s="60">
        <f t="shared" si="222"/>
        <v>29437.608199999999</v>
      </c>
      <c r="DD52" s="59">
        <f t="shared" si="223"/>
        <v>97314.84518756</v>
      </c>
      <c r="DE52" s="60">
        <f t="shared" si="224"/>
        <v>28608.379799999999</v>
      </c>
      <c r="DF52" s="59">
        <f t="shared" si="225"/>
        <v>94573.581942839999</v>
      </c>
      <c r="DG52" s="60">
        <f t="shared" si="226"/>
        <v>27779.151399999995</v>
      </c>
      <c r="DH52" s="59">
        <f t="shared" si="227"/>
        <v>91832.318698119983</v>
      </c>
      <c r="DI52" s="60">
        <f t="shared" si="228"/>
        <v>26949.922999999995</v>
      </c>
      <c r="DJ52" s="59">
        <f t="shared" si="229"/>
        <v>89091.055453399982</v>
      </c>
      <c r="DK52" s="55">
        <f t="shared" si="230"/>
        <v>26120.694599999995</v>
      </c>
      <c r="DL52" s="59">
        <f t="shared" si="231"/>
        <v>86349.792208679981</v>
      </c>
      <c r="DM52" s="60">
        <f t="shared" si="232"/>
        <v>25291.466199999995</v>
      </c>
      <c r="DN52" s="59">
        <f t="shared" si="233"/>
        <v>83608.52896395998</v>
      </c>
      <c r="DO52" s="60">
        <f t="shared" si="234"/>
        <v>24462.237799999992</v>
      </c>
      <c r="DP52" s="59">
        <f t="shared" si="235"/>
        <v>80867.265719239978</v>
      </c>
      <c r="DQ52" s="55">
        <f t="shared" si="236"/>
        <v>23633.009399999992</v>
      </c>
      <c r="DR52" s="59">
        <f t="shared" si="237"/>
        <v>78126.002474519977</v>
      </c>
      <c r="DU52" s="55">
        <v>1</v>
      </c>
      <c r="DV52" s="55">
        <v>0.97</v>
      </c>
      <c r="DW52" s="55">
        <v>0.95</v>
      </c>
      <c r="DX52" s="55">
        <v>0.93</v>
      </c>
      <c r="DY52" s="55">
        <f t="shared" si="238"/>
        <v>0.91</v>
      </c>
      <c r="DZ52" s="55">
        <f t="shared" si="238"/>
        <v>0.89</v>
      </c>
      <c r="EA52" s="55">
        <f t="shared" si="238"/>
        <v>0.87</v>
      </c>
      <c r="EB52" s="55">
        <f t="shared" si="238"/>
        <v>0.85</v>
      </c>
      <c r="EC52" s="55">
        <f t="shared" si="238"/>
        <v>0.83</v>
      </c>
      <c r="ED52" s="55">
        <f t="shared" si="238"/>
        <v>0.80999999999999994</v>
      </c>
      <c r="EE52" s="55">
        <f t="shared" si="238"/>
        <v>0.78999999999999992</v>
      </c>
      <c r="EF52" s="55">
        <f t="shared" si="238"/>
        <v>0.76999999999999991</v>
      </c>
      <c r="EG52" s="55">
        <f t="shared" si="238"/>
        <v>0.74999999999999989</v>
      </c>
      <c r="EH52" s="55">
        <f t="shared" si="238"/>
        <v>0.72999999999999987</v>
      </c>
      <c r="EI52" s="55">
        <f t="shared" si="238"/>
        <v>0.70999999999999985</v>
      </c>
      <c r="EJ52" s="55">
        <f t="shared" si="238"/>
        <v>0.68999999999999984</v>
      </c>
      <c r="EK52" s="55">
        <f t="shared" si="238"/>
        <v>0.66999999999999982</v>
      </c>
      <c r="EL52" s="55">
        <f t="shared" si="238"/>
        <v>0.6499999999999998</v>
      </c>
      <c r="EM52" s="55">
        <f t="shared" si="238"/>
        <v>0.62999999999999978</v>
      </c>
      <c r="EN52" s="55">
        <f t="shared" si="238"/>
        <v>0.60999999999999976</v>
      </c>
      <c r="EO52" s="55">
        <f t="shared" si="238"/>
        <v>0.58999999999999975</v>
      </c>
      <c r="EP52" s="55">
        <f t="shared" si="238"/>
        <v>0.56999999999999973</v>
      </c>
      <c r="ER52" s="55">
        <f t="shared" si="142"/>
        <v>37729.892200000009</v>
      </c>
      <c r="ES52" s="55">
        <f t="shared" si="116"/>
        <v>37729.892200000009</v>
      </c>
      <c r="ET52" s="59">
        <f t="shared" si="239"/>
        <v>124727.47763476003</v>
      </c>
      <c r="EU52" s="55">
        <f t="shared" si="240"/>
        <v>36597.995434000011</v>
      </c>
      <c r="EV52" s="59">
        <f t="shared" si="241"/>
        <v>120985.65330571723</v>
      </c>
      <c r="EW52" s="55">
        <f t="shared" si="242"/>
        <v>35843.397590000008</v>
      </c>
      <c r="EX52" s="59">
        <f t="shared" si="243"/>
        <v>118491.10375302203</v>
      </c>
      <c r="EY52" s="55">
        <f t="shared" si="244"/>
        <v>35088.799746000012</v>
      </c>
      <c r="EZ52" s="59">
        <f t="shared" si="245"/>
        <v>115996.55420032683</v>
      </c>
      <c r="FA52" s="57">
        <f t="shared" si="246"/>
        <v>34334.201902000008</v>
      </c>
      <c r="FB52" s="59">
        <f t="shared" si="247"/>
        <v>113502.00464763163</v>
      </c>
      <c r="FC52" s="55">
        <f t="shared" si="248"/>
        <v>33579.604058000012</v>
      </c>
      <c r="FD52" s="59">
        <f t="shared" si="249"/>
        <v>111007.45509493643</v>
      </c>
      <c r="FE52" s="57">
        <f t="shared" si="250"/>
        <v>32825.006214000008</v>
      </c>
      <c r="FF52" s="59">
        <f t="shared" si="251"/>
        <v>108512.90554224123</v>
      </c>
      <c r="FG52" s="60">
        <f t="shared" si="252"/>
        <v>32070.408370000008</v>
      </c>
      <c r="FH52" s="59">
        <f t="shared" si="253"/>
        <v>106018.35598954603</v>
      </c>
      <c r="FI52" s="57">
        <f t="shared" si="254"/>
        <v>31315.810526000005</v>
      </c>
      <c r="FJ52" s="59">
        <f t="shared" si="255"/>
        <v>103523.80643685082</v>
      </c>
      <c r="FK52" s="55">
        <f t="shared" si="256"/>
        <v>30561.212682000005</v>
      </c>
      <c r="FL52" s="59">
        <f t="shared" si="257"/>
        <v>101029.25688415562</v>
      </c>
      <c r="FM52" s="60">
        <f t="shared" si="258"/>
        <v>29806.614838000005</v>
      </c>
      <c r="FN52" s="59">
        <f t="shared" si="259"/>
        <v>98534.70733146042</v>
      </c>
      <c r="FO52" s="60">
        <f t="shared" si="260"/>
        <v>29052.016994000005</v>
      </c>
      <c r="FP52" s="59">
        <f t="shared" si="261"/>
        <v>96040.15777876522</v>
      </c>
      <c r="FQ52" s="60">
        <f t="shared" si="262"/>
        <v>28297.419150000002</v>
      </c>
      <c r="FR52" s="59">
        <f t="shared" si="263"/>
        <v>93545.608226070006</v>
      </c>
      <c r="FS52" s="55">
        <f t="shared" si="264"/>
        <v>27542.821306000002</v>
      </c>
      <c r="FT52" s="59">
        <f t="shared" si="265"/>
        <v>91051.058673374806</v>
      </c>
      <c r="FU52" s="60">
        <f t="shared" si="266"/>
        <v>26788.223462000002</v>
      </c>
      <c r="FV52" s="59">
        <f t="shared" si="267"/>
        <v>88556.509120679606</v>
      </c>
      <c r="FW52" s="60">
        <f t="shared" si="268"/>
        <v>26033.625618000002</v>
      </c>
      <c r="FX52" s="59">
        <f t="shared" si="269"/>
        <v>86061.959567984406</v>
      </c>
      <c r="FY52" s="60">
        <f t="shared" si="270"/>
        <v>25279.027773999998</v>
      </c>
      <c r="FZ52" s="59">
        <f t="shared" si="271"/>
        <v>83567.410015289192</v>
      </c>
      <c r="GA52" s="60">
        <f t="shared" si="272"/>
        <v>24524.429929999998</v>
      </c>
      <c r="GB52" s="59">
        <f t="shared" si="273"/>
        <v>81072.860462593992</v>
      </c>
      <c r="GC52" s="55">
        <f t="shared" si="274"/>
        <v>23769.832085999999</v>
      </c>
      <c r="GD52" s="59">
        <f t="shared" si="275"/>
        <v>78578.310909898792</v>
      </c>
      <c r="GE52" s="60">
        <f t="shared" si="276"/>
        <v>23015.234241999995</v>
      </c>
      <c r="GF52" s="59">
        <f t="shared" si="277"/>
        <v>76083.761357203592</v>
      </c>
      <c r="GG52" s="60">
        <f t="shared" si="278"/>
        <v>22260.636397999995</v>
      </c>
      <c r="GH52" s="59">
        <f t="shared" si="279"/>
        <v>73589.211804508392</v>
      </c>
      <c r="GI52" s="55">
        <f t="shared" si="280"/>
        <v>21506.038553999995</v>
      </c>
      <c r="GJ52" s="59">
        <f t="shared" si="281"/>
        <v>71094.662251813192</v>
      </c>
      <c r="GK52" s="55"/>
      <c r="GL52" s="55"/>
      <c r="GM52" s="55">
        <v>1</v>
      </c>
      <c r="GN52" s="55">
        <v>0.97</v>
      </c>
      <c r="GO52" s="55">
        <v>0.95</v>
      </c>
      <c r="GP52" s="55">
        <v>0.93</v>
      </c>
      <c r="GQ52" s="55">
        <f t="shared" si="282"/>
        <v>0.91</v>
      </c>
      <c r="GR52" s="55">
        <f t="shared" si="282"/>
        <v>0.89</v>
      </c>
      <c r="GS52" s="55">
        <f t="shared" si="282"/>
        <v>0.87</v>
      </c>
      <c r="GT52" s="55">
        <f t="shared" si="282"/>
        <v>0.85</v>
      </c>
      <c r="GU52" s="55">
        <f t="shared" si="282"/>
        <v>0.83</v>
      </c>
      <c r="GV52" s="55">
        <f t="shared" si="282"/>
        <v>0.80999999999999994</v>
      </c>
      <c r="GW52" s="55">
        <f t="shared" si="282"/>
        <v>0.78999999999999992</v>
      </c>
      <c r="GX52" s="55">
        <f t="shared" si="282"/>
        <v>0.76999999999999991</v>
      </c>
      <c r="GY52" s="55">
        <f t="shared" si="282"/>
        <v>0.74999999999999989</v>
      </c>
      <c r="GZ52" s="55">
        <f t="shared" si="282"/>
        <v>0.72999999999999987</v>
      </c>
      <c r="HA52" s="55">
        <f t="shared" si="282"/>
        <v>0.70999999999999985</v>
      </c>
      <c r="HB52" s="55">
        <f t="shared" si="282"/>
        <v>0.68999999999999984</v>
      </c>
      <c r="HC52" s="55">
        <f t="shared" si="282"/>
        <v>0.66999999999999982</v>
      </c>
      <c r="HD52" s="55">
        <f t="shared" si="282"/>
        <v>0.6499999999999998</v>
      </c>
      <c r="HE52" s="55">
        <f t="shared" si="282"/>
        <v>0.62999999999999978</v>
      </c>
      <c r="HF52" s="55">
        <f t="shared" si="282"/>
        <v>0.60999999999999976</v>
      </c>
      <c r="HG52" s="55">
        <f t="shared" si="282"/>
        <v>0.58999999999999975</v>
      </c>
      <c r="HH52" s="55">
        <f t="shared" si="282"/>
        <v>0.56999999999999973</v>
      </c>
    </row>
    <row r="53" spans="1:216" x14ac:dyDescent="0.3">
      <c r="A53" s="2">
        <v>14</v>
      </c>
      <c r="C53" s="38" t="s">
        <v>25</v>
      </c>
      <c r="D53" s="42">
        <f>TRUNC(124139,-1)</f>
        <v>124130</v>
      </c>
      <c r="E53" s="71">
        <f t="shared" si="152"/>
        <v>410340</v>
      </c>
      <c r="F53" s="2" t="s">
        <v>308</v>
      </c>
      <c r="H53" s="55">
        <f t="shared" si="61"/>
        <v>451374.00000000006</v>
      </c>
      <c r="I53" s="55">
        <f t="shared" si="62"/>
        <v>451374.00000000006</v>
      </c>
      <c r="J53" s="59">
        <f t="shared" si="63"/>
        <v>1492152.1692000001</v>
      </c>
      <c r="K53" s="55">
        <f t="shared" si="153"/>
        <v>437832.78</v>
      </c>
      <c r="L53" s="59">
        <f t="shared" si="154"/>
        <v>1447387.6041240001</v>
      </c>
      <c r="M53" s="55">
        <f t="shared" si="155"/>
        <v>428805.30000000005</v>
      </c>
      <c r="N53" s="59">
        <f t="shared" si="156"/>
        <v>1417544.5607400001</v>
      </c>
      <c r="O53" s="55">
        <f t="shared" si="157"/>
        <v>419777.82000000007</v>
      </c>
      <c r="P53" s="59">
        <f t="shared" si="158"/>
        <v>1387701.5173560001</v>
      </c>
      <c r="Q53" s="57">
        <f t="shared" si="159"/>
        <v>410750.34000000008</v>
      </c>
      <c r="R53" s="59">
        <f t="shared" si="160"/>
        <v>1357858.4739720004</v>
      </c>
      <c r="S53" s="55">
        <f t="shared" si="161"/>
        <v>401722.86000000004</v>
      </c>
      <c r="T53" s="59">
        <f t="shared" si="162"/>
        <v>1328015.4305880002</v>
      </c>
      <c r="U53" s="57">
        <f t="shared" si="163"/>
        <v>392695.38000000006</v>
      </c>
      <c r="V53" s="59">
        <f t="shared" si="164"/>
        <v>1298172.3872040003</v>
      </c>
      <c r="W53" s="60">
        <f t="shared" si="165"/>
        <v>383667.9</v>
      </c>
      <c r="X53" s="59">
        <f t="shared" si="166"/>
        <v>1268329.3438200001</v>
      </c>
      <c r="Y53" s="57">
        <f t="shared" si="167"/>
        <v>374640.42000000004</v>
      </c>
      <c r="Z53" s="59">
        <f t="shared" si="168"/>
        <v>1238486.3004360001</v>
      </c>
      <c r="AA53" s="55">
        <f t="shared" si="169"/>
        <v>365612.94</v>
      </c>
      <c r="AB53" s="59">
        <f t="shared" si="170"/>
        <v>1208643.2570520001</v>
      </c>
      <c r="AC53" s="60">
        <f t="shared" si="171"/>
        <v>356585.46</v>
      </c>
      <c r="AD53" s="59">
        <f t="shared" si="172"/>
        <v>1178800.2136680002</v>
      </c>
      <c r="AE53" s="60">
        <f t="shared" si="173"/>
        <v>347557.98</v>
      </c>
      <c r="AF53" s="59">
        <f t="shared" si="174"/>
        <v>1148957.170284</v>
      </c>
      <c r="AG53" s="60">
        <f t="shared" si="175"/>
        <v>338530.5</v>
      </c>
      <c r="AH53" s="59">
        <f t="shared" si="176"/>
        <v>1119114.1269</v>
      </c>
      <c r="AI53" s="55">
        <f t="shared" si="177"/>
        <v>329503.01999999996</v>
      </c>
      <c r="AJ53" s="59">
        <f t="shared" si="178"/>
        <v>1089271.0835159998</v>
      </c>
      <c r="AK53" s="60">
        <f t="shared" si="179"/>
        <v>320475.53999999998</v>
      </c>
      <c r="AL53" s="59">
        <f t="shared" si="180"/>
        <v>1059428.0401319999</v>
      </c>
      <c r="AM53" s="60">
        <f t="shared" si="181"/>
        <v>311448.05999999994</v>
      </c>
      <c r="AN53" s="59">
        <f t="shared" si="182"/>
        <v>1029584.9967479998</v>
      </c>
      <c r="AO53" s="60">
        <f t="shared" si="183"/>
        <v>302420.57999999996</v>
      </c>
      <c r="AP53" s="59">
        <f t="shared" si="184"/>
        <v>999741.95336399984</v>
      </c>
      <c r="AQ53" s="60">
        <f t="shared" si="185"/>
        <v>293393.09999999998</v>
      </c>
      <c r="AR53" s="59">
        <f t="shared" si="186"/>
        <v>969898.90998</v>
      </c>
      <c r="AS53" s="55">
        <f t="shared" si="187"/>
        <v>284365.61999999994</v>
      </c>
      <c r="AT53" s="59">
        <f t="shared" si="188"/>
        <v>940055.8665959998</v>
      </c>
      <c r="AU53" s="60">
        <f t="shared" si="189"/>
        <v>275338.13999999996</v>
      </c>
      <c r="AV53" s="59">
        <f t="shared" si="190"/>
        <v>910212.82321199984</v>
      </c>
      <c r="AW53" s="60">
        <f t="shared" si="191"/>
        <v>266310.65999999992</v>
      </c>
      <c r="AX53" s="59">
        <f t="shared" si="192"/>
        <v>880369.77982799977</v>
      </c>
      <c r="AY53" s="55">
        <f t="shared" si="193"/>
        <v>257283.17999999991</v>
      </c>
      <c r="AZ53" s="59">
        <f t="shared" si="194"/>
        <v>850526.73644399969</v>
      </c>
      <c r="BC53" s="55">
        <v>1</v>
      </c>
      <c r="BD53" s="55">
        <v>0.97</v>
      </c>
      <c r="BE53" s="55">
        <v>0.95</v>
      </c>
      <c r="BF53" s="55">
        <v>0.93</v>
      </c>
      <c r="BG53" s="55">
        <f t="shared" si="284"/>
        <v>0.91</v>
      </c>
      <c r="BH53" s="55">
        <f t="shared" si="284"/>
        <v>0.89</v>
      </c>
      <c r="BI53" s="55">
        <f t="shared" si="284"/>
        <v>0.87</v>
      </c>
      <c r="BJ53" s="55">
        <f t="shared" si="284"/>
        <v>0.85</v>
      </c>
      <c r="BK53" s="55">
        <f t="shared" si="284"/>
        <v>0.83</v>
      </c>
      <c r="BL53" s="55">
        <f t="shared" si="284"/>
        <v>0.80999999999999994</v>
      </c>
      <c r="BM53" s="55">
        <f t="shared" si="284"/>
        <v>0.78999999999999992</v>
      </c>
      <c r="BN53" s="55">
        <f t="shared" si="284"/>
        <v>0.76999999999999991</v>
      </c>
      <c r="BO53" s="55">
        <f t="shared" si="284"/>
        <v>0.74999999999999989</v>
      </c>
      <c r="BP53" s="55">
        <f t="shared" si="284"/>
        <v>0.72999999999999987</v>
      </c>
      <c r="BQ53" s="55">
        <f t="shared" si="284"/>
        <v>0.70999999999999985</v>
      </c>
      <c r="BR53" s="55">
        <f t="shared" si="284"/>
        <v>0.68999999999999984</v>
      </c>
      <c r="BS53" s="55">
        <f t="shared" si="284"/>
        <v>0.66999999999999982</v>
      </c>
      <c r="BT53" s="55">
        <f t="shared" si="284"/>
        <v>0.6499999999999998</v>
      </c>
      <c r="BU53" s="55">
        <f t="shared" si="284"/>
        <v>0.62999999999999978</v>
      </c>
      <c r="BV53" s="55">
        <f t="shared" si="284"/>
        <v>0.60999999999999976</v>
      </c>
      <c r="BW53" s="55">
        <f t="shared" si="284"/>
        <v>0.58999999999999975</v>
      </c>
      <c r="BX53" s="55">
        <f t="shared" si="284"/>
        <v>0.56999999999999973</v>
      </c>
      <c r="BZ53" s="55">
        <f t="shared" si="88"/>
        <v>410750.34000000008</v>
      </c>
      <c r="CA53" s="55">
        <f t="shared" si="89"/>
        <v>410750.34000000008</v>
      </c>
      <c r="CB53" s="59">
        <f t="shared" si="195"/>
        <v>1357858.4739720004</v>
      </c>
      <c r="CC53" s="55">
        <f t="shared" si="196"/>
        <v>398427.82980000007</v>
      </c>
      <c r="CD53" s="59">
        <f t="shared" si="197"/>
        <v>1317122.7197528402</v>
      </c>
      <c r="CE53" s="55">
        <f t="shared" si="198"/>
        <v>390212.82300000003</v>
      </c>
      <c r="CF53" s="59">
        <f t="shared" si="199"/>
        <v>1289965.5502734</v>
      </c>
      <c r="CG53" s="55">
        <f t="shared" si="200"/>
        <v>381997.81620000012</v>
      </c>
      <c r="CH53" s="59">
        <f t="shared" si="201"/>
        <v>1262808.3807939605</v>
      </c>
      <c r="CI53" s="57">
        <f t="shared" si="202"/>
        <v>373782.80940000009</v>
      </c>
      <c r="CJ53" s="59">
        <f t="shared" si="203"/>
        <v>1235651.2113145203</v>
      </c>
      <c r="CK53" s="55">
        <f t="shared" si="204"/>
        <v>365567.80260000005</v>
      </c>
      <c r="CL53" s="59">
        <f t="shared" si="205"/>
        <v>1208494.0418350801</v>
      </c>
      <c r="CM53" s="57">
        <f t="shared" si="206"/>
        <v>357352.79580000008</v>
      </c>
      <c r="CN53" s="59">
        <f t="shared" si="207"/>
        <v>1181336.8723556404</v>
      </c>
      <c r="CO53" s="60">
        <f t="shared" si="208"/>
        <v>349137.78900000005</v>
      </c>
      <c r="CP53" s="59">
        <f t="shared" si="209"/>
        <v>1154179.7028762002</v>
      </c>
      <c r="CQ53" s="57">
        <f t="shared" si="210"/>
        <v>340922.78220000007</v>
      </c>
      <c r="CR53" s="59">
        <f t="shared" si="211"/>
        <v>1127022.5333967602</v>
      </c>
      <c r="CS53" s="55">
        <f t="shared" si="212"/>
        <v>332707.77540000004</v>
      </c>
      <c r="CT53" s="59">
        <f t="shared" si="213"/>
        <v>1099865.3639173203</v>
      </c>
      <c r="CU53" s="60">
        <f t="shared" si="214"/>
        <v>324492.76860000001</v>
      </c>
      <c r="CV53" s="59">
        <f t="shared" si="215"/>
        <v>1072708.1944378801</v>
      </c>
      <c r="CW53" s="60">
        <f t="shared" si="216"/>
        <v>316277.76180000004</v>
      </c>
      <c r="CX53" s="59">
        <f t="shared" si="217"/>
        <v>1045551.0249584401</v>
      </c>
      <c r="CY53" s="60">
        <f t="shared" si="218"/>
        <v>308062.755</v>
      </c>
      <c r="CZ53" s="59">
        <f t="shared" si="219"/>
        <v>1018393.855479</v>
      </c>
      <c r="DA53" s="55">
        <f t="shared" si="220"/>
        <v>299847.74820000003</v>
      </c>
      <c r="DB53" s="59">
        <f t="shared" si="221"/>
        <v>991236.68599956017</v>
      </c>
      <c r="DC53" s="60">
        <f t="shared" si="222"/>
        <v>291632.7414</v>
      </c>
      <c r="DD53" s="59">
        <f t="shared" si="223"/>
        <v>964079.51652011997</v>
      </c>
      <c r="DE53" s="60">
        <f t="shared" si="224"/>
        <v>283417.73459999997</v>
      </c>
      <c r="DF53" s="59">
        <f t="shared" si="225"/>
        <v>936922.34704067989</v>
      </c>
      <c r="DG53" s="60">
        <f t="shared" si="226"/>
        <v>275202.72779999999</v>
      </c>
      <c r="DH53" s="59">
        <f t="shared" si="227"/>
        <v>909765.17756124004</v>
      </c>
      <c r="DI53" s="60">
        <f t="shared" si="228"/>
        <v>266987.72099999996</v>
      </c>
      <c r="DJ53" s="59">
        <f t="shared" si="229"/>
        <v>882608.00808179984</v>
      </c>
      <c r="DK53" s="55">
        <f t="shared" si="230"/>
        <v>258772.71419999996</v>
      </c>
      <c r="DL53" s="59">
        <f t="shared" si="231"/>
        <v>855450.83860235987</v>
      </c>
      <c r="DM53" s="60">
        <f t="shared" si="232"/>
        <v>250557.70739999996</v>
      </c>
      <c r="DN53" s="59">
        <f t="shared" si="233"/>
        <v>828293.66912291991</v>
      </c>
      <c r="DO53" s="60">
        <f t="shared" si="234"/>
        <v>242342.70059999995</v>
      </c>
      <c r="DP53" s="59">
        <f t="shared" si="235"/>
        <v>801136.49964347982</v>
      </c>
      <c r="DQ53" s="55">
        <f t="shared" si="236"/>
        <v>234127.69379999995</v>
      </c>
      <c r="DR53" s="59">
        <f t="shared" si="237"/>
        <v>773979.33016403986</v>
      </c>
      <c r="DU53" s="55">
        <v>1</v>
      </c>
      <c r="DV53" s="55">
        <v>0.97</v>
      </c>
      <c r="DW53" s="55">
        <v>0.95</v>
      </c>
      <c r="DX53" s="55">
        <v>0.93</v>
      </c>
      <c r="DY53" s="55">
        <f t="shared" si="238"/>
        <v>0.91</v>
      </c>
      <c r="DZ53" s="55">
        <f t="shared" si="238"/>
        <v>0.89</v>
      </c>
      <c r="EA53" s="55">
        <f t="shared" si="238"/>
        <v>0.87</v>
      </c>
      <c r="EB53" s="55">
        <f t="shared" si="238"/>
        <v>0.85</v>
      </c>
      <c r="EC53" s="55">
        <f t="shared" si="238"/>
        <v>0.83</v>
      </c>
      <c r="ED53" s="55">
        <f t="shared" si="238"/>
        <v>0.80999999999999994</v>
      </c>
      <c r="EE53" s="55">
        <f t="shared" si="238"/>
        <v>0.78999999999999992</v>
      </c>
      <c r="EF53" s="55">
        <f t="shared" si="238"/>
        <v>0.76999999999999991</v>
      </c>
      <c r="EG53" s="55">
        <f t="shared" si="238"/>
        <v>0.74999999999999989</v>
      </c>
      <c r="EH53" s="55">
        <f t="shared" si="238"/>
        <v>0.72999999999999987</v>
      </c>
      <c r="EI53" s="55">
        <f t="shared" si="238"/>
        <v>0.70999999999999985</v>
      </c>
      <c r="EJ53" s="55">
        <f t="shared" si="238"/>
        <v>0.68999999999999984</v>
      </c>
      <c r="EK53" s="55">
        <f t="shared" si="238"/>
        <v>0.66999999999999982</v>
      </c>
      <c r="EL53" s="55">
        <f t="shared" si="238"/>
        <v>0.6499999999999998</v>
      </c>
      <c r="EM53" s="55">
        <f t="shared" si="238"/>
        <v>0.62999999999999978</v>
      </c>
      <c r="EN53" s="55">
        <f t="shared" si="238"/>
        <v>0.60999999999999976</v>
      </c>
      <c r="EO53" s="55">
        <f t="shared" si="238"/>
        <v>0.58999999999999975</v>
      </c>
      <c r="EP53" s="55">
        <f t="shared" si="238"/>
        <v>0.56999999999999973</v>
      </c>
      <c r="ER53" s="55">
        <f t="shared" si="142"/>
        <v>373782.80940000009</v>
      </c>
      <c r="ES53" s="55">
        <f t="shared" si="116"/>
        <v>373782.80940000009</v>
      </c>
      <c r="ET53" s="59">
        <f t="shared" si="239"/>
        <v>1235651.2113145203</v>
      </c>
      <c r="EU53" s="55">
        <f t="shared" si="240"/>
        <v>362569.3251180001</v>
      </c>
      <c r="EV53" s="59">
        <f t="shared" si="241"/>
        <v>1198581.6749750848</v>
      </c>
      <c r="EW53" s="55">
        <f t="shared" si="242"/>
        <v>355093.66893000004</v>
      </c>
      <c r="EX53" s="59">
        <f t="shared" si="243"/>
        <v>1173868.6507487942</v>
      </c>
      <c r="EY53" s="55">
        <f t="shared" si="244"/>
        <v>347618.01274200011</v>
      </c>
      <c r="EZ53" s="59">
        <f t="shared" si="245"/>
        <v>1149155.626522504</v>
      </c>
      <c r="FA53" s="57">
        <f t="shared" si="246"/>
        <v>340142.35655400011</v>
      </c>
      <c r="FB53" s="59">
        <f t="shared" si="247"/>
        <v>1124442.6022962136</v>
      </c>
      <c r="FC53" s="55">
        <f t="shared" si="248"/>
        <v>332666.70036600006</v>
      </c>
      <c r="FD53" s="59">
        <f t="shared" si="249"/>
        <v>1099729.578069923</v>
      </c>
      <c r="FE53" s="57">
        <f t="shared" si="250"/>
        <v>325191.04417800007</v>
      </c>
      <c r="FF53" s="59">
        <f t="shared" si="251"/>
        <v>1075016.5538436326</v>
      </c>
      <c r="FG53" s="60">
        <f t="shared" si="252"/>
        <v>317715.38799000008</v>
      </c>
      <c r="FH53" s="59">
        <f t="shared" si="253"/>
        <v>1050303.5296173422</v>
      </c>
      <c r="FI53" s="57">
        <f t="shared" si="254"/>
        <v>310239.73180200008</v>
      </c>
      <c r="FJ53" s="59">
        <f t="shared" si="255"/>
        <v>1025590.5053910519</v>
      </c>
      <c r="FK53" s="55">
        <f t="shared" si="256"/>
        <v>302764.07561400003</v>
      </c>
      <c r="FL53" s="59">
        <f t="shared" si="257"/>
        <v>1000877.4811647614</v>
      </c>
      <c r="FM53" s="60">
        <f t="shared" si="258"/>
        <v>295288.41942600004</v>
      </c>
      <c r="FN53" s="59">
        <f t="shared" si="259"/>
        <v>976164.45693847095</v>
      </c>
      <c r="FO53" s="60">
        <f t="shared" si="260"/>
        <v>287812.76323800004</v>
      </c>
      <c r="FP53" s="59">
        <f t="shared" si="261"/>
        <v>951451.43271218054</v>
      </c>
      <c r="FQ53" s="60">
        <f t="shared" si="262"/>
        <v>280337.10705000005</v>
      </c>
      <c r="FR53" s="59">
        <f t="shared" si="263"/>
        <v>926738.40848589013</v>
      </c>
      <c r="FS53" s="55">
        <f t="shared" si="264"/>
        <v>272861.450862</v>
      </c>
      <c r="FT53" s="59">
        <f t="shared" si="265"/>
        <v>902025.38425959961</v>
      </c>
      <c r="FU53" s="60">
        <f t="shared" si="266"/>
        <v>265385.794674</v>
      </c>
      <c r="FV53" s="59">
        <f t="shared" si="267"/>
        <v>877312.3600333092</v>
      </c>
      <c r="FW53" s="60">
        <f t="shared" si="268"/>
        <v>257910.13848600001</v>
      </c>
      <c r="FX53" s="59">
        <f t="shared" si="269"/>
        <v>852599.3358070188</v>
      </c>
      <c r="FY53" s="60">
        <f t="shared" si="270"/>
        <v>250434.48229799999</v>
      </c>
      <c r="FZ53" s="59">
        <f t="shared" si="271"/>
        <v>827886.31158072839</v>
      </c>
      <c r="GA53" s="60">
        <f t="shared" si="272"/>
        <v>242958.82610999999</v>
      </c>
      <c r="GB53" s="59">
        <f t="shared" si="273"/>
        <v>803173.28735443798</v>
      </c>
      <c r="GC53" s="55">
        <f t="shared" si="274"/>
        <v>235483.16992199997</v>
      </c>
      <c r="GD53" s="59">
        <f t="shared" si="275"/>
        <v>778460.26312814758</v>
      </c>
      <c r="GE53" s="60">
        <f t="shared" si="276"/>
        <v>228007.51373399998</v>
      </c>
      <c r="GF53" s="59">
        <f t="shared" si="277"/>
        <v>753747.23890185717</v>
      </c>
      <c r="GG53" s="60">
        <f t="shared" si="278"/>
        <v>220531.85754599996</v>
      </c>
      <c r="GH53" s="59">
        <f t="shared" si="279"/>
        <v>729034.21467556665</v>
      </c>
      <c r="GI53" s="55">
        <f t="shared" si="280"/>
        <v>213056.20135799996</v>
      </c>
      <c r="GJ53" s="59">
        <f t="shared" si="281"/>
        <v>704321.19044927624</v>
      </c>
      <c r="GK53" s="55"/>
      <c r="GL53" s="55"/>
      <c r="GM53" s="55">
        <v>1</v>
      </c>
      <c r="GN53" s="55">
        <v>0.97</v>
      </c>
      <c r="GO53" s="55">
        <v>0.95</v>
      </c>
      <c r="GP53" s="55">
        <v>0.93</v>
      </c>
      <c r="GQ53" s="55">
        <f t="shared" si="282"/>
        <v>0.91</v>
      </c>
      <c r="GR53" s="55">
        <f t="shared" si="282"/>
        <v>0.89</v>
      </c>
      <c r="GS53" s="55">
        <f t="shared" si="282"/>
        <v>0.87</v>
      </c>
      <c r="GT53" s="55">
        <f t="shared" si="282"/>
        <v>0.85</v>
      </c>
      <c r="GU53" s="55">
        <f t="shared" si="282"/>
        <v>0.83</v>
      </c>
      <c r="GV53" s="55">
        <f t="shared" si="282"/>
        <v>0.80999999999999994</v>
      </c>
      <c r="GW53" s="55">
        <f t="shared" si="282"/>
        <v>0.78999999999999992</v>
      </c>
      <c r="GX53" s="55">
        <f t="shared" si="282"/>
        <v>0.76999999999999991</v>
      </c>
      <c r="GY53" s="55">
        <f t="shared" si="282"/>
        <v>0.74999999999999989</v>
      </c>
      <c r="GZ53" s="55">
        <f t="shared" si="282"/>
        <v>0.72999999999999987</v>
      </c>
      <c r="HA53" s="55">
        <f t="shared" si="282"/>
        <v>0.70999999999999985</v>
      </c>
      <c r="HB53" s="55">
        <f t="shared" si="282"/>
        <v>0.68999999999999984</v>
      </c>
      <c r="HC53" s="55">
        <f t="shared" si="282"/>
        <v>0.66999999999999982</v>
      </c>
      <c r="HD53" s="55">
        <f t="shared" si="282"/>
        <v>0.6499999999999998</v>
      </c>
      <c r="HE53" s="55">
        <f t="shared" si="282"/>
        <v>0.62999999999999978</v>
      </c>
      <c r="HF53" s="55">
        <f t="shared" si="282"/>
        <v>0.60999999999999976</v>
      </c>
      <c r="HG53" s="55">
        <f t="shared" si="282"/>
        <v>0.58999999999999975</v>
      </c>
      <c r="HH53" s="55">
        <f t="shared" si="282"/>
        <v>0.56999999999999973</v>
      </c>
    </row>
    <row r="54" spans="1:216" x14ac:dyDescent="0.3">
      <c r="A54" s="2">
        <v>15</v>
      </c>
      <c r="C54" s="38" t="s">
        <v>148</v>
      </c>
      <c r="D54" s="42">
        <v>0</v>
      </c>
      <c r="E54" s="71">
        <f t="shared" si="152"/>
        <v>0</v>
      </c>
      <c r="H54" s="55">
        <f t="shared" si="61"/>
        <v>0</v>
      </c>
      <c r="I54" s="55">
        <f t="shared" si="62"/>
        <v>0</v>
      </c>
      <c r="J54" s="59">
        <f t="shared" si="63"/>
        <v>0</v>
      </c>
      <c r="K54" s="55">
        <f t="shared" si="153"/>
        <v>0</v>
      </c>
      <c r="L54" s="59">
        <f t="shared" si="154"/>
        <v>0</v>
      </c>
      <c r="M54" s="55">
        <f t="shared" si="155"/>
        <v>0</v>
      </c>
      <c r="N54" s="59">
        <f t="shared" si="156"/>
        <v>0</v>
      </c>
      <c r="O54" s="55">
        <f t="shared" si="157"/>
        <v>0</v>
      </c>
      <c r="P54" s="59">
        <f t="shared" si="158"/>
        <v>0</v>
      </c>
      <c r="Q54" s="57">
        <f t="shared" si="159"/>
        <v>0</v>
      </c>
      <c r="R54" s="59">
        <f t="shared" si="160"/>
        <v>0</v>
      </c>
      <c r="S54" s="55">
        <f t="shared" si="161"/>
        <v>0</v>
      </c>
      <c r="T54" s="59">
        <f t="shared" si="162"/>
        <v>0</v>
      </c>
      <c r="U54" s="57">
        <f t="shared" si="163"/>
        <v>0</v>
      </c>
      <c r="V54" s="59">
        <f t="shared" si="164"/>
        <v>0</v>
      </c>
      <c r="W54" s="60">
        <f t="shared" si="165"/>
        <v>0</v>
      </c>
      <c r="X54" s="59">
        <f t="shared" si="166"/>
        <v>0</v>
      </c>
      <c r="Y54" s="57">
        <f t="shared" si="167"/>
        <v>0</v>
      </c>
      <c r="Z54" s="59">
        <f t="shared" si="168"/>
        <v>0</v>
      </c>
      <c r="AA54" s="55">
        <f t="shared" si="169"/>
        <v>0</v>
      </c>
      <c r="AB54" s="59">
        <f t="shared" si="170"/>
        <v>0</v>
      </c>
      <c r="AC54" s="60">
        <f t="shared" si="171"/>
        <v>0</v>
      </c>
      <c r="AD54" s="59">
        <f t="shared" si="172"/>
        <v>0</v>
      </c>
      <c r="AE54" s="60">
        <f t="shared" si="173"/>
        <v>0</v>
      </c>
      <c r="AF54" s="59">
        <f t="shared" si="174"/>
        <v>0</v>
      </c>
      <c r="AG54" s="60">
        <f t="shared" si="175"/>
        <v>0</v>
      </c>
      <c r="AH54" s="59">
        <f t="shared" si="176"/>
        <v>0</v>
      </c>
      <c r="AI54" s="55">
        <f t="shared" si="177"/>
        <v>0</v>
      </c>
      <c r="AJ54" s="59">
        <f t="shared" si="178"/>
        <v>0</v>
      </c>
      <c r="AK54" s="60">
        <f t="shared" si="179"/>
        <v>0</v>
      </c>
      <c r="AL54" s="59">
        <f t="shared" si="180"/>
        <v>0</v>
      </c>
      <c r="AM54" s="60">
        <f t="shared" si="181"/>
        <v>0</v>
      </c>
      <c r="AN54" s="59">
        <f t="shared" si="182"/>
        <v>0</v>
      </c>
      <c r="AO54" s="60">
        <f t="shared" si="183"/>
        <v>0</v>
      </c>
      <c r="AP54" s="59">
        <f t="shared" si="184"/>
        <v>0</v>
      </c>
      <c r="AQ54" s="60">
        <f t="shared" si="185"/>
        <v>0</v>
      </c>
      <c r="AR54" s="59">
        <f t="shared" si="186"/>
        <v>0</v>
      </c>
      <c r="AS54" s="55">
        <f t="shared" si="187"/>
        <v>0</v>
      </c>
      <c r="AT54" s="59">
        <f t="shared" si="188"/>
        <v>0</v>
      </c>
      <c r="AU54" s="60">
        <f t="shared" si="189"/>
        <v>0</v>
      </c>
      <c r="AV54" s="59">
        <f t="shared" si="190"/>
        <v>0</v>
      </c>
      <c r="AW54" s="60">
        <f t="shared" si="191"/>
        <v>0</v>
      </c>
      <c r="AX54" s="59">
        <f t="shared" si="192"/>
        <v>0</v>
      </c>
      <c r="AY54" s="55">
        <f t="shared" si="193"/>
        <v>0</v>
      </c>
      <c r="AZ54" s="59">
        <f t="shared" si="194"/>
        <v>0</v>
      </c>
      <c r="BC54" s="55">
        <v>1</v>
      </c>
      <c r="BD54" s="55">
        <v>0.97</v>
      </c>
      <c r="BE54" s="55">
        <v>0.95</v>
      </c>
      <c r="BF54" s="55">
        <v>0.93</v>
      </c>
      <c r="BG54" s="55">
        <f t="shared" si="284"/>
        <v>0.91</v>
      </c>
      <c r="BH54" s="55">
        <f t="shared" si="284"/>
        <v>0.89</v>
      </c>
      <c r="BI54" s="55">
        <f t="shared" si="284"/>
        <v>0.87</v>
      </c>
      <c r="BJ54" s="55">
        <f t="shared" si="284"/>
        <v>0.85</v>
      </c>
      <c r="BK54" s="55">
        <f t="shared" si="284"/>
        <v>0.83</v>
      </c>
      <c r="BL54" s="55">
        <f t="shared" si="284"/>
        <v>0.80999999999999994</v>
      </c>
      <c r="BM54" s="55">
        <f t="shared" si="284"/>
        <v>0.78999999999999992</v>
      </c>
      <c r="BN54" s="55">
        <f t="shared" si="284"/>
        <v>0.76999999999999991</v>
      </c>
      <c r="BO54" s="55">
        <f t="shared" si="284"/>
        <v>0.74999999999999989</v>
      </c>
      <c r="BP54" s="55">
        <f t="shared" si="284"/>
        <v>0.72999999999999987</v>
      </c>
      <c r="BQ54" s="55">
        <f t="shared" si="284"/>
        <v>0.70999999999999985</v>
      </c>
      <c r="BR54" s="55">
        <f t="shared" si="284"/>
        <v>0.68999999999999984</v>
      </c>
      <c r="BS54" s="55">
        <f t="shared" si="284"/>
        <v>0.66999999999999982</v>
      </c>
      <c r="BT54" s="55">
        <f t="shared" si="284"/>
        <v>0.6499999999999998</v>
      </c>
      <c r="BU54" s="55">
        <f t="shared" si="284"/>
        <v>0.62999999999999978</v>
      </c>
      <c r="BV54" s="55">
        <f t="shared" si="284"/>
        <v>0.60999999999999976</v>
      </c>
      <c r="BW54" s="55">
        <f t="shared" si="284"/>
        <v>0.58999999999999975</v>
      </c>
      <c r="BX54" s="55">
        <f t="shared" si="284"/>
        <v>0.56999999999999973</v>
      </c>
      <c r="BZ54" s="55">
        <f t="shared" si="88"/>
        <v>0</v>
      </c>
      <c r="CA54" s="55">
        <f t="shared" si="89"/>
        <v>0</v>
      </c>
      <c r="CB54" s="59">
        <f t="shared" si="195"/>
        <v>0</v>
      </c>
      <c r="CC54" s="55">
        <f t="shared" si="196"/>
        <v>0</v>
      </c>
      <c r="CD54" s="59">
        <f t="shared" si="197"/>
        <v>0</v>
      </c>
      <c r="CE54" s="55">
        <f t="shared" si="198"/>
        <v>0</v>
      </c>
      <c r="CF54" s="59">
        <f t="shared" si="199"/>
        <v>0</v>
      </c>
      <c r="CG54" s="55">
        <f t="shared" si="200"/>
        <v>0</v>
      </c>
      <c r="CH54" s="59">
        <f t="shared" si="201"/>
        <v>0</v>
      </c>
      <c r="CI54" s="57">
        <f t="shared" si="202"/>
        <v>0</v>
      </c>
      <c r="CJ54" s="59">
        <f t="shared" si="203"/>
        <v>0</v>
      </c>
      <c r="CK54" s="55">
        <f t="shared" si="204"/>
        <v>0</v>
      </c>
      <c r="CL54" s="59">
        <f t="shared" si="205"/>
        <v>0</v>
      </c>
      <c r="CM54" s="57">
        <f t="shared" si="206"/>
        <v>0</v>
      </c>
      <c r="CN54" s="59">
        <f t="shared" si="207"/>
        <v>0</v>
      </c>
      <c r="CO54" s="60">
        <f t="shared" si="208"/>
        <v>0</v>
      </c>
      <c r="CP54" s="59">
        <f t="shared" si="209"/>
        <v>0</v>
      </c>
      <c r="CQ54" s="57">
        <f t="shared" si="210"/>
        <v>0</v>
      </c>
      <c r="CR54" s="59">
        <f t="shared" si="211"/>
        <v>0</v>
      </c>
      <c r="CS54" s="55">
        <f t="shared" si="212"/>
        <v>0</v>
      </c>
      <c r="CT54" s="59">
        <f t="shared" si="213"/>
        <v>0</v>
      </c>
      <c r="CU54" s="60">
        <f t="shared" si="214"/>
        <v>0</v>
      </c>
      <c r="CV54" s="59">
        <f t="shared" si="215"/>
        <v>0</v>
      </c>
      <c r="CW54" s="60">
        <f t="shared" si="216"/>
        <v>0</v>
      </c>
      <c r="CX54" s="59">
        <f t="shared" si="217"/>
        <v>0</v>
      </c>
      <c r="CY54" s="60">
        <f t="shared" si="218"/>
        <v>0</v>
      </c>
      <c r="CZ54" s="59">
        <f t="shared" si="219"/>
        <v>0</v>
      </c>
      <c r="DA54" s="55">
        <f t="shared" si="220"/>
        <v>0</v>
      </c>
      <c r="DB54" s="59">
        <f t="shared" si="221"/>
        <v>0</v>
      </c>
      <c r="DC54" s="60">
        <f t="shared" si="222"/>
        <v>0</v>
      </c>
      <c r="DD54" s="59">
        <f t="shared" si="223"/>
        <v>0</v>
      </c>
      <c r="DE54" s="60">
        <f t="shared" si="224"/>
        <v>0</v>
      </c>
      <c r="DF54" s="59">
        <f t="shared" si="225"/>
        <v>0</v>
      </c>
      <c r="DG54" s="60">
        <f t="shared" si="226"/>
        <v>0</v>
      </c>
      <c r="DH54" s="59">
        <f t="shared" si="227"/>
        <v>0</v>
      </c>
      <c r="DI54" s="60">
        <f t="shared" si="228"/>
        <v>0</v>
      </c>
      <c r="DJ54" s="59">
        <f t="shared" si="229"/>
        <v>0</v>
      </c>
      <c r="DK54" s="55">
        <f t="shared" si="230"/>
        <v>0</v>
      </c>
      <c r="DL54" s="59">
        <f t="shared" si="231"/>
        <v>0</v>
      </c>
      <c r="DM54" s="60">
        <f t="shared" si="232"/>
        <v>0</v>
      </c>
      <c r="DN54" s="59">
        <f t="shared" si="233"/>
        <v>0</v>
      </c>
      <c r="DO54" s="60">
        <f t="shared" si="234"/>
        <v>0</v>
      </c>
      <c r="DP54" s="59">
        <f t="shared" si="235"/>
        <v>0</v>
      </c>
      <c r="DQ54" s="55">
        <f t="shared" si="236"/>
        <v>0</v>
      </c>
      <c r="DR54" s="59">
        <f t="shared" si="237"/>
        <v>0</v>
      </c>
      <c r="DU54" s="55">
        <v>1</v>
      </c>
      <c r="DV54" s="55">
        <v>0.97</v>
      </c>
      <c r="DW54" s="55">
        <v>0.95</v>
      </c>
      <c r="DX54" s="55">
        <v>0.93</v>
      </c>
      <c r="DY54" s="55">
        <f t="shared" si="238"/>
        <v>0.91</v>
      </c>
      <c r="DZ54" s="55">
        <f t="shared" si="238"/>
        <v>0.89</v>
      </c>
      <c r="EA54" s="55">
        <f t="shared" si="238"/>
        <v>0.87</v>
      </c>
      <c r="EB54" s="55">
        <f t="shared" ref="EB54:EP54" si="285">+EA54-0.02</f>
        <v>0.85</v>
      </c>
      <c r="EC54" s="55">
        <f t="shared" si="285"/>
        <v>0.83</v>
      </c>
      <c r="ED54" s="55">
        <f t="shared" si="285"/>
        <v>0.80999999999999994</v>
      </c>
      <c r="EE54" s="55">
        <f t="shared" si="285"/>
        <v>0.78999999999999992</v>
      </c>
      <c r="EF54" s="55">
        <f t="shared" si="285"/>
        <v>0.76999999999999991</v>
      </c>
      <c r="EG54" s="55">
        <f t="shared" si="285"/>
        <v>0.74999999999999989</v>
      </c>
      <c r="EH54" s="55">
        <f t="shared" si="285"/>
        <v>0.72999999999999987</v>
      </c>
      <c r="EI54" s="55">
        <f t="shared" si="285"/>
        <v>0.70999999999999985</v>
      </c>
      <c r="EJ54" s="55">
        <f t="shared" si="285"/>
        <v>0.68999999999999984</v>
      </c>
      <c r="EK54" s="55">
        <f t="shared" si="285"/>
        <v>0.66999999999999982</v>
      </c>
      <c r="EL54" s="55">
        <f t="shared" si="285"/>
        <v>0.6499999999999998</v>
      </c>
      <c r="EM54" s="55">
        <f t="shared" si="285"/>
        <v>0.62999999999999978</v>
      </c>
      <c r="EN54" s="55">
        <f t="shared" si="285"/>
        <v>0.60999999999999976</v>
      </c>
      <c r="EO54" s="55">
        <f t="shared" si="285"/>
        <v>0.58999999999999975</v>
      </c>
      <c r="EP54" s="55">
        <f t="shared" si="285"/>
        <v>0.56999999999999973</v>
      </c>
      <c r="ER54" s="55">
        <f t="shared" si="142"/>
        <v>0</v>
      </c>
      <c r="ES54" s="55">
        <f t="shared" si="116"/>
        <v>0</v>
      </c>
      <c r="ET54" s="59">
        <f t="shared" si="239"/>
        <v>0</v>
      </c>
      <c r="EU54" s="55">
        <f t="shared" si="240"/>
        <v>0</v>
      </c>
      <c r="EV54" s="59">
        <f t="shared" si="241"/>
        <v>0</v>
      </c>
      <c r="EW54" s="55">
        <f t="shared" si="242"/>
        <v>0</v>
      </c>
      <c r="EX54" s="59">
        <f t="shared" si="243"/>
        <v>0</v>
      </c>
      <c r="EY54" s="55">
        <f t="shared" si="244"/>
        <v>0</v>
      </c>
      <c r="EZ54" s="59">
        <f t="shared" si="245"/>
        <v>0</v>
      </c>
      <c r="FA54" s="57">
        <f t="shared" si="246"/>
        <v>0</v>
      </c>
      <c r="FB54" s="59">
        <f t="shared" si="247"/>
        <v>0</v>
      </c>
      <c r="FC54" s="55">
        <f t="shared" si="248"/>
        <v>0</v>
      </c>
      <c r="FD54" s="59">
        <f t="shared" si="249"/>
        <v>0</v>
      </c>
      <c r="FE54" s="57">
        <f t="shared" si="250"/>
        <v>0</v>
      </c>
      <c r="FF54" s="59">
        <f t="shared" si="251"/>
        <v>0</v>
      </c>
      <c r="FG54" s="60">
        <f t="shared" si="252"/>
        <v>0</v>
      </c>
      <c r="FH54" s="59">
        <f t="shared" si="253"/>
        <v>0</v>
      </c>
      <c r="FI54" s="57">
        <f t="shared" si="254"/>
        <v>0</v>
      </c>
      <c r="FJ54" s="59">
        <f t="shared" si="255"/>
        <v>0</v>
      </c>
      <c r="FK54" s="55">
        <f t="shared" si="256"/>
        <v>0</v>
      </c>
      <c r="FL54" s="59">
        <f t="shared" si="257"/>
        <v>0</v>
      </c>
      <c r="FM54" s="60">
        <f t="shared" si="258"/>
        <v>0</v>
      </c>
      <c r="FN54" s="59">
        <f t="shared" si="259"/>
        <v>0</v>
      </c>
      <c r="FO54" s="60">
        <f t="shared" si="260"/>
        <v>0</v>
      </c>
      <c r="FP54" s="59">
        <f t="shared" si="261"/>
        <v>0</v>
      </c>
      <c r="FQ54" s="60">
        <f t="shared" si="262"/>
        <v>0</v>
      </c>
      <c r="FR54" s="59">
        <f t="shared" si="263"/>
        <v>0</v>
      </c>
      <c r="FS54" s="55">
        <f t="shared" si="264"/>
        <v>0</v>
      </c>
      <c r="FT54" s="59">
        <f t="shared" si="265"/>
        <v>0</v>
      </c>
      <c r="FU54" s="60">
        <f t="shared" si="266"/>
        <v>0</v>
      </c>
      <c r="FV54" s="59">
        <f t="shared" si="267"/>
        <v>0</v>
      </c>
      <c r="FW54" s="60">
        <f t="shared" si="268"/>
        <v>0</v>
      </c>
      <c r="FX54" s="59">
        <f t="shared" si="269"/>
        <v>0</v>
      </c>
      <c r="FY54" s="60">
        <f t="shared" si="270"/>
        <v>0</v>
      </c>
      <c r="FZ54" s="59">
        <f t="shared" si="271"/>
        <v>0</v>
      </c>
      <c r="GA54" s="60">
        <f t="shared" si="272"/>
        <v>0</v>
      </c>
      <c r="GB54" s="59">
        <f t="shared" si="273"/>
        <v>0</v>
      </c>
      <c r="GC54" s="55">
        <f t="shared" si="274"/>
        <v>0</v>
      </c>
      <c r="GD54" s="59">
        <f t="shared" si="275"/>
        <v>0</v>
      </c>
      <c r="GE54" s="60">
        <f t="shared" si="276"/>
        <v>0</v>
      </c>
      <c r="GF54" s="59">
        <f t="shared" si="277"/>
        <v>0</v>
      </c>
      <c r="GG54" s="60">
        <f t="shared" si="278"/>
        <v>0</v>
      </c>
      <c r="GH54" s="59">
        <f t="shared" si="279"/>
        <v>0</v>
      </c>
      <c r="GI54" s="55">
        <f t="shared" si="280"/>
        <v>0</v>
      </c>
      <c r="GJ54" s="59">
        <f t="shared" si="281"/>
        <v>0</v>
      </c>
      <c r="GK54" s="55"/>
      <c r="GL54" s="55"/>
      <c r="GM54" s="55">
        <v>1</v>
      </c>
      <c r="GN54" s="55">
        <v>0.97</v>
      </c>
      <c r="GO54" s="55">
        <v>0.95</v>
      </c>
      <c r="GP54" s="55">
        <v>0.93</v>
      </c>
      <c r="GQ54" s="55">
        <f t="shared" si="282"/>
        <v>0.91</v>
      </c>
      <c r="GR54" s="55">
        <f t="shared" si="282"/>
        <v>0.89</v>
      </c>
      <c r="GS54" s="55">
        <f t="shared" si="282"/>
        <v>0.87</v>
      </c>
      <c r="GT54" s="55">
        <f t="shared" ref="GT54:HH54" si="286">+GS54-0.02</f>
        <v>0.85</v>
      </c>
      <c r="GU54" s="55">
        <f t="shared" si="286"/>
        <v>0.83</v>
      </c>
      <c r="GV54" s="55">
        <f t="shared" si="286"/>
        <v>0.80999999999999994</v>
      </c>
      <c r="GW54" s="55">
        <f t="shared" si="286"/>
        <v>0.78999999999999992</v>
      </c>
      <c r="GX54" s="55">
        <f t="shared" si="286"/>
        <v>0.76999999999999991</v>
      </c>
      <c r="GY54" s="55">
        <f t="shared" si="286"/>
        <v>0.74999999999999989</v>
      </c>
      <c r="GZ54" s="55">
        <f t="shared" si="286"/>
        <v>0.72999999999999987</v>
      </c>
      <c r="HA54" s="55">
        <f t="shared" si="286"/>
        <v>0.70999999999999985</v>
      </c>
      <c r="HB54" s="55">
        <f t="shared" si="286"/>
        <v>0.68999999999999984</v>
      </c>
      <c r="HC54" s="55">
        <f t="shared" si="286"/>
        <v>0.66999999999999982</v>
      </c>
      <c r="HD54" s="55">
        <f t="shared" si="286"/>
        <v>0.6499999999999998</v>
      </c>
      <c r="HE54" s="55">
        <f t="shared" si="286"/>
        <v>0.62999999999999978</v>
      </c>
      <c r="HF54" s="55">
        <f t="shared" si="286"/>
        <v>0.60999999999999976</v>
      </c>
      <c r="HG54" s="55">
        <f t="shared" si="286"/>
        <v>0.58999999999999975</v>
      </c>
      <c r="HH54" s="55">
        <f t="shared" si="286"/>
        <v>0.56999999999999973</v>
      </c>
    </row>
    <row r="55" spans="1:216" x14ac:dyDescent="0.3">
      <c r="A55" s="2">
        <v>16</v>
      </c>
      <c r="C55" s="38" t="s">
        <v>145</v>
      </c>
      <c r="D55" s="42">
        <v>0</v>
      </c>
      <c r="E55" s="71">
        <f t="shared" si="152"/>
        <v>0</v>
      </c>
      <c r="H55" s="55">
        <f t="shared" si="61"/>
        <v>0</v>
      </c>
      <c r="I55" s="55">
        <f t="shared" si="62"/>
        <v>0</v>
      </c>
      <c r="J55" s="59">
        <f t="shared" si="63"/>
        <v>0</v>
      </c>
      <c r="K55" s="55">
        <f t="shared" si="153"/>
        <v>0</v>
      </c>
      <c r="L55" s="59">
        <f t="shared" si="154"/>
        <v>0</v>
      </c>
      <c r="M55" s="55">
        <f t="shared" si="155"/>
        <v>0</v>
      </c>
      <c r="N55" s="59">
        <f t="shared" si="156"/>
        <v>0</v>
      </c>
      <c r="O55" s="55">
        <f t="shared" si="157"/>
        <v>0</v>
      </c>
      <c r="P55" s="59">
        <f t="shared" si="158"/>
        <v>0</v>
      </c>
      <c r="Q55" s="57">
        <f t="shared" si="159"/>
        <v>0</v>
      </c>
      <c r="R55" s="59">
        <f t="shared" si="160"/>
        <v>0</v>
      </c>
      <c r="S55" s="55">
        <f t="shared" si="161"/>
        <v>0</v>
      </c>
      <c r="T55" s="59">
        <f t="shared" si="162"/>
        <v>0</v>
      </c>
      <c r="U55" s="57">
        <f t="shared" si="163"/>
        <v>0</v>
      </c>
      <c r="V55" s="59">
        <f t="shared" si="164"/>
        <v>0</v>
      </c>
      <c r="W55" s="60">
        <f t="shared" si="165"/>
        <v>0</v>
      </c>
      <c r="X55" s="59">
        <f t="shared" si="166"/>
        <v>0</v>
      </c>
      <c r="Y55" s="57">
        <f t="shared" si="167"/>
        <v>0</v>
      </c>
      <c r="Z55" s="59">
        <f t="shared" si="168"/>
        <v>0</v>
      </c>
      <c r="AA55" s="55">
        <f t="shared" si="169"/>
        <v>0</v>
      </c>
      <c r="AB55" s="59">
        <f t="shared" si="170"/>
        <v>0</v>
      </c>
      <c r="AC55" s="60">
        <f t="shared" si="171"/>
        <v>0</v>
      </c>
      <c r="AD55" s="59">
        <f t="shared" si="172"/>
        <v>0</v>
      </c>
      <c r="AE55" s="60">
        <f t="shared" si="173"/>
        <v>0</v>
      </c>
      <c r="AF55" s="59">
        <f t="shared" si="174"/>
        <v>0</v>
      </c>
      <c r="AG55" s="60">
        <f t="shared" si="175"/>
        <v>0</v>
      </c>
      <c r="AH55" s="59">
        <f t="shared" si="176"/>
        <v>0</v>
      </c>
      <c r="AI55" s="55">
        <f t="shared" si="177"/>
        <v>0</v>
      </c>
      <c r="AJ55" s="59">
        <f t="shared" si="178"/>
        <v>0</v>
      </c>
      <c r="AK55" s="60">
        <f t="shared" si="179"/>
        <v>0</v>
      </c>
      <c r="AL55" s="59">
        <f t="shared" si="180"/>
        <v>0</v>
      </c>
      <c r="AM55" s="60">
        <f t="shared" si="181"/>
        <v>0</v>
      </c>
      <c r="AN55" s="59">
        <f t="shared" si="182"/>
        <v>0</v>
      </c>
      <c r="AO55" s="60">
        <f t="shared" si="183"/>
        <v>0</v>
      </c>
      <c r="AP55" s="59">
        <f t="shared" si="184"/>
        <v>0</v>
      </c>
      <c r="AQ55" s="60">
        <f t="shared" si="185"/>
        <v>0</v>
      </c>
      <c r="AR55" s="59">
        <f t="shared" si="186"/>
        <v>0</v>
      </c>
      <c r="AS55" s="55">
        <f t="shared" si="187"/>
        <v>0</v>
      </c>
      <c r="AT55" s="59">
        <f t="shared" si="188"/>
        <v>0</v>
      </c>
      <c r="AU55" s="60">
        <f t="shared" si="189"/>
        <v>0</v>
      </c>
      <c r="AV55" s="59">
        <f t="shared" si="190"/>
        <v>0</v>
      </c>
      <c r="AW55" s="60">
        <f t="shared" si="191"/>
        <v>0</v>
      </c>
      <c r="AX55" s="59">
        <f t="shared" si="192"/>
        <v>0</v>
      </c>
      <c r="AY55" s="55">
        <f t="shared" si="193"/>
        <v>0</v>
      </c>
      <c r="AZ55" s="59">
        <f t="shared" si="194"/>
        <v>0</v>
      </c>
      <c r="BC55" s="55">
        <v>1</v>
      </c>
      <c r="BD55" s="55">
        <v>0.97</v>
      </c>
      <c r="BE55" s="55">
        <v>0.95</v>
      </c>
      <c r="BF55" s="55">
        <v>0.93</v>
      </c>
      <c r="BG55" s="55">
        <f t="shared" si="284"/>
        <v>0.91</v>
      </c>
      <c r="BH55" s="55">
        <f t="shared" si="284"/>
        <v>0.89</v>
      </c>
      <c r="BI55" s="55">
        <f t="shared" si="284"/>
        <v>0.87</v>
      </c>
      <c r="BJ55" s="55">
        <f t="shared" si="284"/>
        <v>0.85</v>
      </c>
      <c r="BK55" s="55">
        <f t="shared" si="284"/>
        <v>0.83</v>
      </c>
      <c r="BL55" s="55">
        <f t="shared" si="284"/>
        <v>0.80999999999999994</v>
      </c>
      <c r="BM55" s="55">
        <f t="shared" si="284"/>
        <v>0.78999999999999992</v>
      </c>
      <c r="BN55" s="55">
        <f t="shared" si="284"/>
        <v>0.76999999999999991</v>
      </c>
      <c r="BO55" s="55">
        <f t="shared" si="284"/>
        <v>0.74999999999999989</v>
      </c>
      <c r="BP55" s="55">
        <f t="shared" si="284"/>
        <v>0.72999999999999987</v>
      </c>
      <c r="BQ55" s="55">
        <f t="shared" si="284"/>
        <v>0.70999999999999985</v>
      </c>
      <c r="BR55" s="55">
        <f t="shared" si="284"/>
        <v>0.68999999999999984</v>
      </c>
      <c r="BS55" s="55">
        <f t="shared" si="284"/>
        <v>0.66999999999999982</v>
      </c>
      <c r="BT55" s="55">
        <f t="shared" si="284"/>
        <v>0.6499999999999998</v>
      </c>
      <c r="BU55" s="55">
        <f t="shared" si="284"/>
        <v>0.62999999999999978</v>
      </c>
      <c r="BV55" s="55">
        <f t="shared" si="284"/>
        <v>0.60999999999999976</v>
      </c>
      <c r="BW55" s="55">
        <f t="shared" si="284"/>
        <v>0.58999999999999975</v>
      </c>
      <c r="BX55" s="55">
        <f t="shared" si="284"/>
        <v>0.56999999999999973</v>
      </c>
      <c r="BZ55" s="55">
        <f t="shared" si="88"/>
        <v>0</v>
      </c>
      <c r="CA55" s="55">
        <f t="shared" si="89"/>
        <v>0</v>
      </c>
      <c r="CB55" s="59">
        <f t="shared" si="195"/>
        <v>0</v>
      </c>
      <c r="CC55" s="55">
        <f t="shared" si="196"/>
        <v>0</v>
      </c>
      <c r="CD55" s="59">
        <f t="shared" si="197"/>
        <v>0</v>
      </c>
      <c r="CE55" s="55">
        <f t="shared" si="198"/>
        <v>0</v>
      </c>
      <c r="CF55" s="59">
        <f t="shared" si="199"/>
        <v>0</v>
      </c>
      <c r="CG55" s="55">
        <f t="shared" si="200"/>
        <v>0</v>
      </c>
      <c r="CH55" s="59">
        <f t="shared" si="201"/>
        <v>0</v>
      </c>
      <c r="CI55" s="57">
        <f t="shared" si="202"/>
        <v>0</v>
      </c>
      <c r="CJ55" s="59">
        <f t="shared" si="203"/>
        <v>0</v>
      </c>
      <c r="CK55" s="55">
        <f t="shared" si="204"/>
        <v>0</v>
      </c>
      <c r="CL55" s="59">
        <f t="shared" si="205"/>
        <v>0</v>
      </c>
      <c r="CM55" s="57">
        <f t="shared" si="206"/>
        <v>0</v>
      </c>
      <c r="CN55" s="59">
        <f t="shared" si="207"/>
        <v>0</v>
      </c>
      <c r="CO55" s="60">
        <f t="shared" si="208"/>
        <v>0</v>
      </c>
      <c r="CP55" s="59">
        <f t="shared" si="209"/>
        <v>0</v>
      </c>
      <c r="CQ55" s="57">
        <f t="shared" si="210"/>
        <v>0</v>
      </c>
      <c r="CR55" s="59">
        <f t="shared" si="211"/>
        <v>0</v>
      </c>
      <c r="CS55" s="55">
        <f t="shared" si="212"/>
        <v>0</v>
      </c>
      <c r="CT55" s="59">
        <f t="shared" si="213"/>
        <v>0</v>
      </c>
      <c r="CU55" s="60">
        <f t="shared" si="214"/>
        <v>0</v>
      </c>
      <c r="CV55" s="59">
        <f t="shared" si="215"/>
        <v>0</v>
      </c>
      <c r="CW55" s="60">
        <f t="shared" si="216"/>
        <v>0</v>
      </c>
      <c r="CX55" s="59">
        <f t="shared" si="217"/>
        <v>0</v>
      </c>
      <c r="CY55" s="60">
        <f t="shared" si="218"/>
        <v>0</v>
      </c>
      <c r="CZ55" s="59">
        <f t="shared" si="219"/>
        <v>0</v>
      </c>
      <c r="DA55" s="55">
        <f t="shared" si="220"/>
        <v>0</v>
      </c>
      <c r="DB55" s="59">
        <f t="shared" si="221"/>
        <v>0</v>
      </c>
      <c r="DC55" s="60">
        <f t="shared" si="222"/>
        <v>0</v>
      </c>
      <c r="DD55" s="59">
        <f t="shared" si="223"/>
        <v>0</v>
      </c>
      <c r="DE55" s="60">
        <f t="shared" si="224"/>
        <v>0</v>
      </c>
      <c r="DF55" s="59">
        <f t="shared" si="225"/>
        <v>0</v>
      </c>
      <c r="DG55" s="60">
        <f t="shared" si="226"/>
        <v>0</v>
      </c>
      <c r="DH55" s="59">
        <f t="shared" si="227"/>
        <v>0</v>
      </c>
      <c r="DI55" s="60">
        <f t="shared" si="228"/>
        <v>0</v>
      </c>
      <c r="DJ55" s="59">
        <f t="shared" si="229"/>
        <v>0</v>
      </c>
      <c r="DK55" s="55">
        <f t="shared" si="230"/>
        <v>0</v>
      </c>
      <c r="DL55" s="59">
        <f t="shared" si="231"/>
        <v>0</v>
      </c>
      <c r="DM55" s="60">
        <f t="shared" si="232"/>
        <v>0</v>
      </c>
      <c r="DN55" s="59">
        <f t="shared" si="233"/>
        <v>0</v>
      </c>
      <c r="DO55" s="60">
        <f t="shared" si="234"/>
        <v>0</v>
      </c>
      <c r="DP55" s="59">
        <f t="shared" si="235"/>
        <v>0</v>
      </c>
      <c r="DQ55" s="55">
        <f t="shared" si="236"/>
        <v>0</v>
      </c>
      <c r="DR55" s="59">
        <f t="shared" si="237"/>
        <v>0</v>
      </c>
      <c r="DU55" s="55">
        <v>1</v>
      </c>
      <c r="DV55" s="55">
        <v>0.97</v>
      </c>
      <c r="DW55" s="55">
        <v>0.95</v>
      </c>
      <c r="DX55" s="55">
        <v>0.93</v>
      </c>
      <c r="DY55" s="55">
        <f t="shared" ref="DY55:EP69" si="287">+DX55-0.02</f>
        <v>0.91</v>
      </c>
      <c r="DZ55" s="55">
        <f t="shared" si="287"/>
        <v>0.89</v>
      </c>
      <c r="EA55" s="55">
        <f t="shared" si="287"/>
        <v>0.87</v>
      </c>
      <c r="EB55" s="55">
        <f t="shared" si="287"/>
        <v>0.85</v>
      </c>
      <c r="EC55" s="55">
        <f t="shared" si="287"/>
        <v>0.83</v>
      </c>
      <c r="ED55" s="55">
        <f t="shared" si="287"/>
        <v>0.80999999999999994</v>
      </c>
      <c r="EE55" s="55">
        <f t="shared" si="287"/>
        <v>0.78999999999999992</v>
      </c>
      <c r="EF55" s="55">
        <f t="shared" si="287"/>
        <v>0.76999999999999991</v>
      </c>
      <c r="EG55" s="55">
        <f t="shared" si="287"/>
        <v>0.74999999999999989</v>
      </c>
      <c r="EH55" s="55">
        <f t="shared" si="287"/>
        <v>0.72999999999999987</v>
      </c>
      <c r="EI55" s="55">
        <f t="shared" si="287"/>
        <v>0.70999999999999985</v>
      </c>
      <c r="EJ55" s="55">
        <f t="shared" si="287"/>
        <v>0.68999999999999984</v>
      </c>
      <c r="EK55" s="55">
        <f t="shared" si="287"/>
        <v>0.66999999999999982</v>
      </c>
      <c r="EL55" s="55">
        <f t="shared" si="287"/>
        <v>0.6499999999999998</v>
      </c>
      <c r="EM55" s="55">
        <f t="shared" si="287"/>
        <v>0.62999999999999978</v>
      </c>
      <c r="EN55" s="55">
        <f t="shared" si="287"/>
        <v>0.60999999999999976</v>
      </c>
      <c r="EO55" s="55">
        <f t="shared" si="287"/>
        <v>0.58999999999999975</v>
      </c>
      <c r="EP55" s="55">
        <f t="shared" si="287"/>
        <v>0.56999999999999973</v>
      </c>
      <c r="ER55" s="55">
        <f t="shared" si="142"/>
        <v>0</v>
      </c>
      <c r="ES55" s="55">
        <f t="shared" si="116"/>
        <v>0</v>
      </c>
      <c r="ET55" s="59">
        <f t="shared" si="239"/>
        <v>0</v>
      </c>
      <c r="EU55" s="55">
        <f t="shared" si="240"/>
        <v>0</v>
      </c>
      <c r="EV55" s="59">
        <f t="shared" si="241"/>
        <v>0</v>
      </c>
      <c r="EW55" s="55">
        <f t="shared" si="242"/>
        <v>0</v>
      </c>
      <c r="EX55" s="59">
        <f t="shared" si="243"/>
        <v>0</v>
      </c>
      <c r="EY55" s="55">
        <f t="shared" si="244"/>
        <v>0</v>
      </c>
      <c r="EZ55" s="59">
        <f t="shared" si="245"/>
        <v>0</v>
      </c>
      <c r="FA55" s="57">
        <f t="shared" si="246"/>
        <v>0</v>
      </c>
      <c r="FB55" s="59">
        <f t="shared" si="247"/>
        <v>0</v>
      </c>
      <c r="FC55" s="55">
        <f t="shared" si="248"/>
        <v>0</v>
      </c>
      <c r="FD55" s="59">
        <f t="shared" si="249"/>
        <v>0</v>
      </c>
      <c r="FE55" s="57">
        <f t="shared" si="250"/>
        <v>0</v>
      </c>
      <c r="FF55" s="59">
        <f t="shared" si="251"/>
        <v>0</v>
      </c>
      <c r="FG55" s="60">
        <f t="shared" si="252"/>
        <v>0</v>
      </c>
      <c r="FH55" s="59">
        <f t="shared" si="253"/>
        <v>0</v>
      </c>
      <c r="FI55" s="57">
        <f t="shared" si="254"/>
        <v>0</v>
      </c>
      <c r="FJ55" s="59">
        <f t="shared" si="255"/>
        <v>0</v>
      </c>
      <c r="FK55" s="55">
        <f t="shared" si="256"/>
        <v>0</v>
      </c>
      <c r="FL55" s="59">
        <f t="shared" si="257"/>
        <v>0</v>
      </c>
      <c r="FM55" s="60">
        <f t="shared" si="258"/>
        <v>0</v>
      </c>
      <c r="FN55" s="59">
        <f t="shared" si="259"/>
        <v>0</v>
      </c>
      <c r="FO55" s="60">
        <f t="shared" si="260"/>
        <v>0</v>
      </c>
      <c r="FP55" s="59">
        <f t="shared" si="261"/>
        <v>0</v>
      </c>
      <c r="FQ55" s="60">
        <f t="shared" si="262"/>
        <v>0</v>
      </c>
      <c r="FR55" s="59">
        <f t="shared" si="263"/>
        <v>0</v>
      </c>
      <c r="FS55" s="55">
        <f t="shared" si="264"/>
        <v>0</v>
      </c>
      <c r="FT55" s="59">
        <f t="shared" si="265"/>
        <v>0</v>
      </c>
      <c r="FU55" s="60">
        <f t="shared" si="266"/>
        <v>0</v>
      </c>
      <c r="FV55" s="59">
        <f t="shared" si="267"/>
        <v>0</v>
      </c>
      <c r="FW55" s="60">
        <f t="shared" si="268"/>
        <v>0</v>
      </c>
      <c r="FX55" s="59">
        <f t="shared" si="269"/>
        <v>0</v>
      </c>
      <c r="FY55" s="60">
        <f t="shared" si="270"/>
        <v>0</v>
      </c>
      <c r="FZ55" s="59">
        <f t="shared" si="271"/>
        <v>0</v>
      </c>
      <c r="GA55" s="60">
        <f t="shared" si="272"/>
        <v>0</v>
      </c>
      <c r="GB55" s="59">
        <f t="shared" si="273"/>
        <v>0</v>
      </c>
      <c r="GC55" s="55">
        <f t="shared" si="274"/>
        <v>0</v>
      </c>
      <c r="GD55" s="59">
        <f t="shared" si="275"/>
        <v>0</v>
      </c>
      <c r="GE55" s="60">
        <f t="shared" si="276"/>
        <v>0</v>
      </c>
      <c r="GF55" s="59">
        <f t="shared" si="277"/>
        <v>0</v>
      </c>
      <c r="GG55" s="60">
        <f t="shared" si="278"/>
        <v>0</v>
      </c>
      <c r="GH55" s="59">
        <f t="shared" si="279"/>
        <v>0</v>
      </c>
      <c r="GI55" s="55">
        <f t="shared" si="280"/>
        <v>0</v>
      </c>
      <c r="GJ55" s="59">
        <f t="shared" si="281"/>
        <v>0</v>
      </c>
      <c r="GK55" s="55"/>
      <c r="GL55" s="55"/>
      <c r="GM55" s="55">
        <v>1</v>
      </c>
      <c r="GN55" s="55">
        <v>0.97</v>
      </c>
      <c r="GO55" s="55">
        <v>0.95</v>
      </c>
      <c r="GP55" s="55">
        <v>0.93</v>
      </c>
      <c r="GQ55" s="55">
        <f t="shared" ref="GQ55:HH69" si="288">+GP55-0.02</f>
        <v>0.91</v>
      </c>
      <c r="GR55" s="55">
        <f t="shared" si="288"/>
        <v>0.89</v>
      </c>
      <c r="GS55" s="55">
        <f t="shared" si="288"/>
        <v>0.87</v>
      </c>
      <c r="GT55" s="55">
        <f t="shared" si="288"/>
        <v>0.85</v>
      </c>
      <c r="GU55" s="55">
        <f t="shared" si="288"/>
        <v>0.83</v>
      </c>
      <c r="GV55" s="55">
        <f t="shared" si="288"/>
        <v>0.80999999999999994</v>
      </c>
      <c r="GW55" s="55">
        <f t="shared" si="288"/>
        <v>0.78999999999999992</v>
      </c>
      <c r="GX55" s="55">
        <f t="shared" si="288"/>
        <v>0.76999999999999991</v>
      </c>
      <c r="GY55" s="55">
        <f t="shared" si="288"/>
        <v>0.74999999999999989</v>
      </c>
      <c r="GZ55" s="55">
        <f t="shared" si="288"/>
        <v>0.72999999999999987</v>
      </c>
      <c r="HA55" s="55">
        <f t="shared" si="288"/>
        <v>0.70999999999999985</v>
      </c>
      <c r="HB55" s="55">
        <f t="shared" si="288"/>
        <v>0.68999999999999984</v>
      </c>
      <c r="HC55" s="55">
        <f t="shared" si="288"/>
        <v>0.66999999999999982</v>
      </c>
      <c r="HD55" s="55">
        <f t="shared" si="288"/>
        <v>0.6499999999999998</v>
      </c>
      <c r="HE55" s="55">
        <f t="shared" si="288"/>
        <v>0.62999999999999978</v>
      </c>
      <c r="HF55" s="55">
        <f t="shared" si="288"/>
        <v>0.60999999999999976</v>
      </c>
      <c r="HG55" s="55">
        <f t="shared" si="288"/>
        <v>0.58999999999999975</v>
      </c>
      <c r="HH55" s="55">
        <f t="shared" si="288"/>
        <v>0.56999999999999973</v>
      </c>
    </row>
    <row r="56" spans="1:216" x14ac:dyDescent="0.3">
      <c r="A56" s="2">
        <v>17</v>
      </c>
      <c r="C56" s="38" t="s">
        <v>146</v>
      </c>
      <c r="D56" s="42">
        <v>0</v>
      </c>
      <c r="E56" s="71">
        <f t="shared" si="152"/>
        <v>0</v>
      </c>
      <c r="H56" s="55">
        <f t="shared" si="61"/>
        <v>0</v>
      </c>
      <c r="I56" s="55">
        <f t="shared" si="62"/>
        <v>0</v>
      </c>
      <c r="J56" s="59">
        <f t="shared" si="63"/>
        <v>0</v>
      </c>
      <c r="K56" s="55">
        <f t="shared" si="153"/>
        <v>0</v>
      </c>
      <c r="L56" s="59">
        <f t="shared" si="154"/>
        <v>0</v>
      </c>
      <c r="M56" s="55">
        <f t="shared" si="155"/>
        <v>0</v>
      </c>
      <c r="N56" s="59">
        <f t="shared" si="156"/>
        <v>0</v>
      </c>
      <c r="O56" s="55">
        <f t="shared" si="157"/>
        <v>0</v>
      </c>
      <c r="P56" s="59">
        <f t="shared" si="158"/>
        <v>0</v>
      </c>
      <c r="Q56" s="57">
        <f t="shared" si="159"/>
        <v>0</v>
      </c>
      <c r="R56" s="59">
        <f t="shared" si="160"/>
        <v>0</v>
      </c>
      <c r="S56" s="55">
        <f t="shared" si="161"/>
        <v>0</v>
      </c>
      <c r="T56" s="59">
        <f t="shared" si="162"/>
        <v>0</v>
      </c>
      <c r="U56" s="57">
        <f t="shared" si="163"/>
        <v>0</v>
      </c>
      <c r="V56" s="59">
        <f t="shared" si="164"/>
        <v>0</v>
      </c>
      <c r="W56" s="60">
        <f t="shared" si="165"/>
        <v>0</v>
      </c>
      <c r="X56" s="59">
        <f t="shared" si="166"/>
        <v>0</v>
      </c>
      <c r="Y56" s="57">
        <f t="shared" si="167"/>
        <v>0</v>
      </c>
      <c r="Z56" s="59">
        <f t="shared" si="168"/>
        <v>0</v>
      </c>
      <c r="AA56" s="55">
        <f t="shared" si="169"/>
        <v>0</v>
      </c>
      <c r="AB56" s="59">
        <f t="shared" si="170"/>
        <v>0</v>
      </c>
      <c r="AC56" s="60">
        <f t="shared" si="171"/>
        <v>0</v>
      </c>
      <c r="AD56" s="59">
        <f t="shared" si="172"/>
        <v>0</v>
      </c>
      <c r="AE56" s="60">
        <f t="shared" si="173"/>
        <v>0</v>
      </c>
      <c r="AF56" s="59">
        <f t="shared" si="174"/>
        <v>0</v>
      </c>
      <c r="AG56" s="60">
        <f t="shared" si="175"/>
        <v>0</v>
      </c>
      <c r="AH56" s="59">
        <f t="shared" si="176"/>
        <v>0</v>
      </c>
      <c r="AI56" s="55">
        <f t="shared" si="177"/>
        <v>0</v>
      </c>
      <c r="AJ56" s="59">
        <f t="shared" si="178"/>
        <v>0</v>
      </c>
      <c r="AK56" s="60">
        <f t="shared" si="179"/>
        <v>0</v>
      </c>
      <c r="AL56" s="59">
        <f t="shared" si="180"/>
        <v>0</v>
      </c>
      <c r="AM56" s="60">
        <f t="shared" si="181"/>
        <v>0</v>
      </c>
      <c r="AN56" s="59">
        <f t="shared" si="182"/>
        <v>0</v>
      </c>
      <c r="AO56" s="60">
        <f t="shared" si="183"/>
        <v>0</v>
      </c>
      <c r="AP56" s="59">
        <f t="shared" si="184"/>
        <v>0</v>
      </c>
      <c r="AQ56" s="60">
        <f t="shared" si="185"/>
        <v>0</v>
      </c>
      <c r="AR56" s="59">
        <f t="shared" si="186"/>
        <v>0</v>
      </c>
      <c r="AS56" s="55">
        <f t="shared" si="187"/>
        <v>0</v>
      </c>
      <c r="AT56" s="59">
        <f t="shared" si="188"/>
        <v>0</v>
      </c>
      <c r="AU56" s="60">
        <f t="shared" si="189"/>
        <v>0</v>
      </c>
      <c r="AV56" s="59">
        <f t="shared" si="190"/>
        <v>0</v>
      </c>
      <c r="AW56" s="60">
        <f t="shared" si="191"/>
        <v>0</v>
      </c>
      <c r="AX56" s="59">
        <f t="shared" si="192"/>
        <v>0</v>
      </c>
      <c r="AY56" s="55">
        <f t="shared" si="193"/>
        <v>0</v>
      </c>
      <c r="AZ56" s="59">
        <f t="shared" si="194"/>
        <v>0</v>
      </c>
      <c r="BC56" s="55">
        <v>1</v>
      </c>
      <c r="BD56" s="55">
        <v>0.97</v>
      </c>
      <c r="BE56" s="55">
        <v>0.95</v>
      </c>
      <c r="BF56" s="55">
        <v>0.93</v>
      </c>
      <c r="BG56" s="55">
        <f t="shared" si="284"/>
        <v>0.91</v>
      </c>
      <c r="BH56" s="55">
        <f t="shared" si="284"/>
        <v>0.89</v>
      </c>
      <c r="BI56" s="55">
        <f t="shared" si="284"/>
        <v>0.87</v>
      </c>
      <c r="BJ56" s="55">
        <f t="shared" si="284"/>
        <v>0.85</v>
      </c>
      <c r="BK56" s="55">
        <f t="shared" si="284"/>
        <v>0.83</v>
      </c>
      <c r="BL56" s="55">
        <f t="shared" si="284"/>
        <v>0.80999999999999994</v>
      </c>
      <c r="BM56" s="55">
        <f t="shared" si="284"/>
        <v>0.78999999999999992</v>
      </c>
      <c r="BN56" s="55">
        <f t="shared" si="284"/>
        <v>0.76999999999999991</v>
      </c>
      <c r="BO56" s="55">
        <f t="shared" si="284"/>
        <v>0.74999999999999989</v>
      </c>
      <c r="BP56" s="55">
        <f t="shared" si="284"/>
        <v>0.72999999999999987</v>
      </c>
      <c r="BQ56" s="55">
        <f t="shared" si="284"/>
        <v>0.70999999999999985</v>
      </c>
      <c r="BR56" s="55">
        <f t="shared" si="284"/>
        <v>0.68999999999999984</v>
      </c>
      <c r="BS56" s="55">
        <f t="shared" si="284"/>
        <v>0.66999999999999982</v>
      </c>
      <c r="BT56" s="55">
        <f t="shared" si="284"/>
        <v>0.6499999999999998</v>
      </c>
      <c r="BU56" s="55">
        <f t="shared" si="284"/>
        <v>0.62999999999999978</v>
      </c>
      <c r="BV56" s="55">
        <f t="shared" si="284"/>
        <v>0.60999999999999976</v>
      </c>
      <c r="BW56" s="55">
        <f t="shared" si="284"/>
        <v>0.58999999999999975</v>
      </c>
      <c r="BX56" s="55">
        <f t="shared" si="284"/>
        <v>0.56999999999999973</v>
      </c>
      <c r="BZ56" s="55">
        <f t="shared" si="88"/>
        <v>0</v>
      </c>
      <c r="CA56" s="55">
        <f t="shared" si="89"/>
        <v>0</v>
      </c>
      <c r="CB56" s="59">
        <f t="shared" si="195"/>
        <v>0</v>
      </c>
      <c r="CC56" s="55">
        <f t="shared" si="196"/>
        <v>0</v>
      </c>
      <c r="CD56" s="59">
        <f t="shared" si="197"/>
        <v>0</v>
      </c>
      <c r="CE56" s="55">
        <f t="shared" si="198"/>
        <v>0</v>
      </c>
      <c r="CF56" s="59">
        <f t="shared" si="199"/>
        <v>0</v>
      </c>
      <c r="CG56" s="55">
        <f t="shared" si="200"/>
        <v>0</v>
      </c>
      <c r="CH56" s="59">
        <f t="shared" si="201"/>
        <v>0</v>
      </c>
      <c r="CI56" s="57">
        <f t="shared" si="202"/>
        <v>0</v>
      </c>
      <c r="CJ56" s="59">
        <f t="shared" si="203"/>
        <v>0</v>
      </c>
      <c r="CK56" s="55">
        <f t="shared" si="204"/>
        <v>0</v>
      </c>
      <c r="CL56" s="59">
        <f t="shared" si="205"/>
        <v>0</v>
      </c>
      <c r="CM56" s="57">
        <f t="shared" si="206"/>
        <v>0</v>
      </c>
      <c r="CN56" s="59">
        <f t="shared" si="207"/>
        <v>0</v>
      </c>
      <c r="CO56" s="60">
        <f t="shared" si="208"/>
        <v>0</v>
      </c>
      <c r="CP56" s="59">
        <f t="shared" si="209"/>
        <v>0</v>
      </c>
      <c r="CQ56" s="57">
        <f t="shared" si="210"/>
        <v>0</v>
      </c>
      <c r="CR56" s="59">
        <f t="shared" si="211"/>
        <v>0</v>
      </c>
      <c r="CS56" s="55">
        <f t="shared" si="212"/>
        <v>0</v>
      </c>
      <c r="CT56" s="59">
        <f t="shared" si="213"/>
        <v>0</v>
      </c>
      <c r="CU56" s="60">
        <f t="shared" si="214"/>
        <v>0</v>
      </c>
      <c r="CV56" s="59">
        <f t="shared" si="215"/>
        <v>0</v>
      </c>
      <c r="CW56" s="60">
        <f t="shared" si="216"/>
        <v>0</v>
      </c>
      <c r="CX56" s="59">
        <f t="shared" si="217"/>
        <v>0</v>
      </c>
      <c r="CY56" s="60">
        <f t="shared" si="218"/>
        <v>0</v>
      </c>
      <c r="CZ56" s="59">
        <f t="shared" si="219"/>
        <v>0</v>
      </c>
      <c r="DA56" s="55">
        <f t="shared" si="220"/>
        <v>0</v>
      </c>
      <c r="DB56" s="59">
        <f t="shared" si="221"/>
        <v>0</v>
      </c>
      <c r="DC56" s="60">
        <f t="shared" si="222"/>
        <v>0</v>
      </c>
      <c r="DD56" s="59">
        <f t="shared" si="223"/>
        <v>0</v>
      </c>
      <c r="DE56" s="60">
        <f t="shared" si="224"/>
        <v>0</v>
      </c>
      <c r="DF56" s="59">
        <f t="shared" si="225"/>
        <v>0</v>
      </c>
      <c r="DG56" s="60">
        <f t="shared" si="226"/>
        <v>0</v>
      </c>
      <c r="DH56" s="59">
        <f t="shared" si="227"/>
        <v>0</v>
      </c>
      <c r="DI56" s="60">
        <f t="shared" si="228"/>
        <v>0</v>
      </c>
      <c r="DJ56" s="59">
        <f t="shared" si="229"/>
        <v>0</v>
      </c>
      <c r="DK56" s="55">
        <f t="shared" si="230"/>
        <v>0</v>
      </c>
      <c r="DL56" s="59">
        <f t="shared" si="231"/>
        <v>0</v>
      </c>
      <c r="DM56" s="60">
        <f t="shared" si="232"/>
        <v>0</v>
      </c>
      <c r="DN56" s="59">
        <f t="shared" si="233"/>
        <v>0</v>
      </c>
      <c r="DO56" s="60">
        <f t="shared" si="234"/>
        <v>0</v>
      </c>
      <c r="DP56" s="59">
        <f t="shared" si="235"/>
        <v>0</v>
      </c>
      <c r="DQ56" s="55">
        <f t="shared" si="236"/>
        <v>0</v>
      </c>
      <c r="DR56" s="59">
        <f t="shared" si="237"/>
        <v>0</v>
      </c>
      <c r="DU56" s="55">
        <v>1</v>
      </c>
      <c r="DV56" s="55">
        <v>0.97</v>
      </c>
      <c r="DW56" s="55">
        <v>0.95</v>
      </c>
      <c r="DX56" s="55">
        <v>0.93</v>
      </c>
      <c r="DY56" s="55">
        <f t="shared" si="287"/>
        <v>0.91</v>
      </c>
      <c r="DZ56" s="55">
        <f t="shared" si="287"/>
        <v>0.89</v>
      </c>
      <c r="EA56" s="55">
        <f t="shared" si="287"/>
        <v>0.87</v>
      </c>
      <c r="EB56" s="55">
        <f t="shared" si="287"/>
        <v>0.85</v>
      </c>
      <c r="EC56" s="55">
        <f t="shared" si="287"/>
        <v>0.83</v>
      </c>
      <c r="ED56" s="55">
        <f t="shared" si="287"/>
        <v>0.80999999999999994</v>
      </c>
      <c r="EE56" s="55">
        <f t="shared" si="287"/>
        <v>0.78999999999999992</v>
      </c>
      <c r="EF56" s="55">
        <f t="shared" si="287"/>
        <v>0.76999999999999991</v>
      </c>
      <c r="EG56" s="55">
        <f t="shared" si="287"/>
        <v>0.74999999999999989</v>
      </c>
      <c r="EH56" s="55">
        <f t="shared" si="287"/>
        <v>0.72999999999999987</v>
      </c>
      <c r="EI56" s="55">
        <f t="shared" si="287"/>
        <v>0.70999999999999985</v>
      </c>
      <c r="EJ56" s="55">
        <f t="shared" si="287"/>
        <v>0.68999999999999984</v>
      </c>
      <c r="EK56" s="55">
        <f t="shared" si="287"/>
        <v>0.66999999999999982</v>
      </c>
      <c r="EL56" s="55">
        <f t="shared" si="287"/>
        <v>0.6499999999999998</v>
      </c>
      <c r="EM56" s="55">
        <f t="shared" si="287"/>
        <v>0.62999999999999978</v>
      </c>
      <c r="EN56" s="55">
        <f t="shared" si="287"/>
        <v>0.60999999999999976</v>
      </c>
      <c r="EO56" s="55">
        <f t="shared" si="287"/>
        <v>0.58999999999999975</v>
      </c>
      <c r="EP56" s="55">
        <f t="shared" si="287"/>
        <v>0.56999999999999973</v>
      </c>
      <c r="ER56" s="55">
        <f t="shared" si="142"/>
        <v>0</v>
      </c>
      <c r="ES56" s="55">
        <f t="shared" si="116"/>
        <v>0</v>
      </c>
      <c r="ET56" s="59">
        <f t="shared" si="239"/>
        <v>0</v>
      </c>
      <c r="EU56" s="55">
        <f t="shared" si="240"/>
        <v>0</v>
      </c>
      <c r="EV56" s="59">
        <f t="shared" si="241"/>
        <v>0</v>
      </c>
      <c r="EW56" s="55">
        <f t="shared" si="242"/>
        <v>0</v>
      </c>
      <c r="EX56" s="59">
        <f t="shared" si="243"/>
        <v>0</v>
      </c>
      <c r="EY56" s="55">
        <f t="shared" si="244"/>
        <v>0</v>
      </c>
      <c r="EZ56" s="59">
        <f t="shared" si="245"/>
        <v>0</v>
      </c>
      <c r="FA56" s="57">
        <f t="shared" si="246"/>
        <v>0</v>
      </c>
      <c r="FB56" s="59">
        <f t="shared" si="247"/>
        <v>0</v>
      </c>
      <c r="FC56" s="55">
        <f t="shared" si="248"/>
        <v>0</v>
      </c>
      <c r="FD56" s="59">
        <f t="shared" si="249"/>
        <v>0</v>
      </c>
      <c r="FE56" s="57">
        <f t="shared" si="250"/>
        <v>0</v>
      </c>
      <c r="FF56" s="59">
        <f t="shared" si="251"/>
        <v>0</v>
      </c>
      <c r="FG56" s="60">
        <f t="shared" si="252"/>
        <v>0</v>
      </c>
      <c r="FH56" s="59">
        <f t="shared" si="253"/>
        <v>0</v>
      </c>
      <c r="FI56" s="57">
        <f t="shared" si="254"/>
        <v>0</v>
      </c>
      <c r="FJ56" s="59">
        <f t="shared" si="255"/>
        <v>0</v>
      </c>
      <c r="FK56" s="55">
        <f t="shared" si="256"/>
        <v>0</v>
      </c>
      <c r="FL56" s="59">
        <f t="shared" si="257"/>
        <v>0</v>
      </c>
      <c r="FM56" s="60">
        <f t="shared" si="258"/>
        <v>0</v>
      </c>
      <c r="FN56" s="59">
        <f t="shared" si="259"/>
        <v>0</v>
      </c>
      <c r="FO56" s="60">
        <f t="shared" si="260"/>
        <v>0</v>
      </c>
      <c r="FP56" s="59">
        <f t="shared" si="261"/>
        <v>0</v>
      </c>
      <c r="FQ56" s="60">
        <f t="shared" si="262"/>
        <v>0</v>
      </c>
      <c r="FR56" s="59">
        <f t="shared" si="263"/>
        <v>0</v>
      </c>
      <c r="FS56" s="55">
        <f t="shared" si="264"/>
        <v>0</v>
      </c>
      <c r="FT56" s="59">
        <f t="shared" si="265"/>
        <v>0</v>
      </c>
      <c r="FU56" s="60">
        <f t="shared" si="266"/>
        <v>0</v>
      </c>
      <c r="FV56" s="59">
        <f t="shared" si="267"/>
        <v>0</v>
      </c>
      <c r="FW56" s="60">
        <f t="shared" si="268"/>
        <v>0</v>
      </c>
      <c r="FX56" s="59">
        <f t="shared" si="269"/>
        <v>0</v>
      </c>
      <c r="FY56" s="60">
        <f t="shared" si="270"/>
        <v>0</v>
      </c>
      <c r="FZ56" s="59">
        <f t="shared" si="271"/>
        <v>0</v>
      </c>
      <c r="GA56" s="60">
        <f t="shared" si="272"/>
        <v>0</v>
      </c>
      <c r="GB56" s="59">
        <f t="shared" si="273"/>
        <v>0</v>
      </c>
      <c r="GC56" s="55">
        <f t="shared" si="274"/>
        <v>0</v>
      </c>
      <c r="GD56" s="59">
        <f t="shared" si="275"/>
        <v>0</v>
      </c>
      <c r="GE56" s="60">
        <f t="shared" si="276"/>
        <v>0</v>
      </c>
      <c r="GF56" s="59">
        <f t="shared" si="277"/>
        <v>0</v>
      </c>
      <c r="GG56" s="60">
        <f t="shared" si="278"/>
        <v>0</v>
      </c>
      <c r="GH56" s="59">
        <f t="shared" si="279"/>
        <v>0</v>
      </c>
      <c r="GI56" s="55">
        <f t="shared" si="280"/>
        <v>0</v>
      </c>
      <c r="GJ56" s="59">
        <f t="shared" si="281"/>
        <v>0</v>
      </c>
      <c r="GK56" s="55"/>
      <c r="GL56" s="55"/>
      <c r="GM56" s="55">
        <v>1</v>
      </c>
      <c r="GN56" s="55">
        <v>0.97</v>
      </c>
      <c r="GO56" s="55">
        <v>0.95</v>
      </c>
      <c r="GP56" s="55">
        <v>0.93</v>
      </c>
      <c r="GQ56" s="55">
        <f t="shared" si="288"/>
        <v>0.91</v>
      </c>
      <c r="GR56" s="55">
        <f t="shared" si="288"/>
        <v>0.89</v>
      </c>
      <c r="GS56" s="55">
        <f t="shared" si="288"/>
        <v>0.87</v>
      </c>
      <c r="GT56" s="55">
        <f t="shared" si="288"/>
        <v>0.85</v>
      </c>
      <c r="GU56" s="55">
        <f t="shared" si="288"/>
        <v>0.83</v>
      </c>
      <c r="GV56" s="55">
        <f t="shared" si="288"/>
        <v>0.80999999999999994</v>
      </c>
      <c r="GW56" s="55">
        <f t="shared" si="288"/>
        <v>0.78999999999999992</v>
      </c>
      <c r="GX56" s="55">
        <f t="shared" si="288"/>
        <v>0.76999999999999991</v>
      </c>
      <c r="GY56" s="55">
        <f t="shared" si="288"/>
        <v>0.74999999999999989</v>
      </c>
      <c r="GZ56" s="55">
        <f t="shared" si="288"/>
        <v>0.72999999999999987</v>
      </c>
      <c r="HA56" s="55">
        <f t="shared" si="288"/>
        <v>0.70999999999999985</v>
      </c>
      <c r="HB56" s="55">
        <f t="shared" si="288"/>
        <v>0.68999999999999984</v>
      </c>
      <c r="HC56" s="55">
        <f t="shared" si="288"/>
        <v>0.66999999999999982</v>
      </c>
      <c r="HD56" s="55">
        <f t="shared" si="288"/>
        <v>0.6499999999999998</v>
      </c>
      <c r="HE56" s="55">
        <f t="shared" si="288"/>
        <v>0.62999999999999978</v>
      </c>
      <c r="HF56" s="55">
        <f t="shared" si="288"/>
        <v>0.60999999999999976</v>
      </c>
      <c r="HG56" s="55">
        <f t="shared" si="288"/>
        <v>0.58999999999999975</v>
      </c>
      <c r="HH56" s="55">
        <f t="shared" si="288"/>
        <v>0.56999999999999973</v>
      </c>
    </row>
    <row r="57" spans="1:216" x14ac:dyDescent="0.3">
      <c r="A57" s="2">
        <v>18</v>
      </c>
      <c r="C57" s="38" t="s">
        <v>147</v>
      </c>
      <c r="D57" s="42">
        <v>0</v>
      </c>
      <c r="E57" s="71">
        <f t="shared" si="152"/>
        <v>0</v>
      </c>
      <c r="H57" s="55">
        <f t="shared" si="61"/>
        <v>0</v>
      </c>
      <c r="I57" s="55">
        <f t="shared" si="62"/>
        <v>0</v>
      </c>
      <c r="J57" s="59">
        <f t="shared" si="63"/>
        <v>0</v>
      </c>
      <c r="K57" s="55">
        <f t="shared" si="153"/>
        <v>0</v>
      </c>
      <c r="L57" s="59">
        <f t="shared" si="154"/>
        <v>0</v>
      </c>
      <c r="M57" s="55">
        <f t="shared" si="155"/>
        <v>0</v>
      </c>
      <c r="N57" s="59">
        <f t="shared" si="156"/>
        <v>0</v>
      </c>
      <c r="O57" s="55">
        <f t="shared" si="157"/>
        <v>0</v>
      </c>
      <c r="P57" s="59">
        <f t="shared" si="158"/>
        <v>0</v>
      </c>
      <c r="Q57" s="57">
        <f t="shared" si="159"/>
        <v>0</v>
      </c>
      <c r="R57" s="59">
        <f t="shared" si="160"/>
        <v>0</v>
      </c>
      <c r="S57" s="55">
        <f t="shared" si="161"/>
        <v>0</v>
      </c>
      <c r="T57" s="59">
        <f t="shared" si="162"/>
        <v>0</v>
      </c>
      <c r="U57" s="57">
        <f t="shared" si="163"/>
        <v>0</v>
      </c>
      <c r="V57" s="59">
        <f t="shared" si="164"/>
        <v>0</v>
      </c>
      <c r="W57" s="60">
        <f t="shared" si="165"/>
        <v>0</v>
      </c>
      <c r="X57" s="59">
        <f t="shared" si="166"/>
        <v>0</v>
      </c>
      <c r="Y57" s="57">
        <f t="shared" si="167"/>
        <v>0</v>
      </c>
      <c r="Z57" s="59">
        <f t="shared" si="168"/>
        <v>0</v>
      </c>
      <c r="AA57" s="55">
        <f t="shared" si="169"/>
        <v>0</v>
      </c>
      <c r="AB57" s="59">
        <f t="shared" si="170"/>
        <v>0</v>
      </c>
      <c r="AC57" s="60">
        <f t="shared" si="171"/>
        <v>0</v>
      </c>
      <c r="AD57" s="59">
        <f t="shared" si="172"/>
        <v>0</v>
      </c>
      <c r="AE57" s="60">
        <f t="shared" si="173"/>
        <v>0</v>
      </c>
      <c r="AF57" s="59">
        <f t="shared" si="174"/>
        <v>0</v>
      </c>
      <c r="AG57" s="60">
        <f t="shared" si="175"/>
        <v>0</v>
      </c>
      <c r="AH57" s="59">
        <f t="shared" si="176"/>
        <v>0</v>
      </c>
      <c r="AI57" s="55">
        <f t="shared" si="177"/>
        <v>0</v>
      </c>
      <c r="AJ57" s="59">
        <f t="shared" si="178"/>
        <v>0</v>
      </c>
      <c r="AK57" s="60">
        <f t="shared" si="179"/>
        <v>0</v>
      </c>
      <c r="AL57" s="59">
        <f t="shared" si="180"/>
        <v>0</v>
      </c>
      <c r="AM57" s="60">
        <f t="shared" si="181"/>
        <v>0</v>
      </c>
      <c r="AN57" s="59">
        <f t="shared" si="182"/>
        <v>0</v>
      </c>
      <c r="AO57" s="60">
        <f t="shared" si="183"/>
        <v>0</v>
      </c>
      <c r="AP57" s="59">
        <f t="shared" si="184"/>
        <v>0</v>
      </c>
      <c r="AQ57" s="60">
        <f t="shared" si="185"/>
        <v>0</v>
      </c>
      <c r="AR57" s="59">
        <f t="shared" si="186"/>
        <v>0</v>
      </c>
      <c r="AS57" s="55">
        <f t="shared" si="187"/>
        <v>0</v>
      </c>
      <c r="AT57" s="59">
        <f t="shared" si="188"/>
        <v>0</v>
      </c>
      <c r="AU57" s="60">
        <f t="shared" si="189"/>
        <v>0</v>
      </c>
      <c r="AV57" s="59">
        <f t="shared" si="190"/>
        <v>0</v>
      </c>
      <c r="AW57" s="60">
        <f t="shared" si="191"/>
        <v>0</v>
      </c>
      <c r="AX57" s="59">
        <f t="shared" si="192"/>
        <v>0</v>
      </c>
      <c r="AY57" s="55">
        <f t="shared" si="193"/>
        <v>0</v>
      </c>
      <c r="AZ57" s="59">
        <f t="shared" si="194"/>
        <v>0</v>
      </c>
      <c r="BC57" s="55">
        <v>1</v>
      </c>
      <c r="BD57" s="55">
        <v>0.97</v>
      </c>
      <c r="BE57" s="55">
        <v>0.95</v>
      </c>
      <c r="BF57" s="55">
        <v>0.93</v>
      </c>
      <c r="BG57" s="55">
        <f t="shared" si="284"/>
        <v>0.91</v>
      </c>
      <c r="BH57" s="55">
        <f t="shared" si="284"/>
        <v>0.89</v>
      </c>
      <c r="BI57" s="55">
        <f t="shared" si="284"/>
        <v>0.87</v>
      </c>
      <c r="BJ57" s="55">
        <f t="shared" si="284"/>
        <v>0.85</v>
      </c>
      <c r="BK57" s="55">
        <f t="shared" si="284"/>
        <v>0.83</v>
      </c>
      <c r="BL57" s="55">
        <f t="shared" si="284"/>
        <v>0.80999999999999994</v>
      </c>
      <c r="BM57" s="55">
        <f t="shared" si="284"/>
        <v>0.78999999999999992</v>
      </c>
      <c r="BN57" s="55">
        <f t="shared" si="284"/>
        <v>0.76999999999999991</v>
      </c>
      <c r="BO57" s="55">
        <f t="shared" si="284"/>
        <v>0.74999999999999989</v>
      </c>
      <c r="BP57" s="55">
        <f t="shared" si="284"/>
        <v>0.72999999999999987</v>
      </c>
      <c r="BQ57" s="55">
        <f t="shared" si="284"/>
        <v>0.70999999999999985</v>
      </c>
      <c r="BR57" s="55">
        <f t="shared" si="284"/>
        <v>0.68999999999999984</v>
      </c>
      <c r="BS57" s="55">
        <f t="shared" si="284"/>
        <v>0.66999999999999982</v>
      </c>
      <c r="BT57" s="55">
        <f t="shared" si="284"/>
        <v>0.6499999999999998</v>
      </c>
      <c r="BU57" s="55">
        <f t="shared" si="284"/>
        <v>0.62999999999999978</v>
      </c>
      <c r="BV57" s="55">
        <f t="shared" si="284"/>
        <v>0.60999999999999976</v>
      </c>
      <c r="BW57" s="55">
        <f t="shared" si="284"/>
        <v>0.58999999999999975</v>
      </c>
      <c r="BX57" s="55">
        <f t="shared" si="284"/>
        <v>0.56999999999999973</v>
      </c>
      <c r="BZ57" s="55">
        <f t="shared" si="88"/>
        <v>0</v>
      </c>
      <c r="CA57" s="55">
        <f t="shared" si="89"/>
        <v>0</v>
      </c>
      <c r="CB57" s="59">
        <f t="shared" si="195"/>
        <v>0</v>
      </c>
      <c r="CC57" s="55">
        <f t="shared" si="196"/>
        <v>0</v>
      </c>
      <c r="CD57" s="59">
        <f t="shared" si="197"/>
        <v>0</v>
      </c>
      <c r="CE57" s="55">
        <f t="shared" si="198"/>
        <v>0</v>
      </c>
      <c r="CF57" s="59">
        <f t="shared" si="199"/>
        <v>0</v>
      </c>
      <c r="CG57" s="55">
        <f t="shared" si="200"/>
        <v>0</v>
      </c>
      <c r="CH57" s="59">
        <f t="shared" si="201"/>
        <v>0</v>
      </c>
      <c r="CI57" s="57">
        <f t="shared" si="202"/>
        <v>0</v>
      </c>
      <c r="CJ57" s="59">
        <f t="shared" si="203"/>
        <v>0</v>
      </c>
      <c r="CK57" s="55">
        <f t="shared" si="204"/>
        <v>0</v>
      </c>
      <c r="CL57" s="59">
        <f t="shared" si="205"/>
        <v>0</v>
      </c>
      <c r="CM57" s="57">
        <f t="shared" si="206"/>
        <v>0</v>
      </c>
      <c r="CN57" s="59">
        <f t="shared" si="207"/>
        <v>0</v>
      </c>
      <c r="CO57" s="60">
        <f t="shared" si="208"/>
        <v>0</v>
      </c>
      <c r="CP57" s="59">
        <f t="shared" si="209"/>
        <v>0</v>
      </c>
      <c r="CQ57" s="57">
        <f t="shared" si="210"/>
        <v>0</v>
      </c>
      <c r="CR57" s="59">
        <f t="shared" si="211"/>
        <v>0</v>
      </c>
      <c r="CS57" s="55">
        <f t="shared" si="212"/>
        <v>0</v>
      </c>
      <c r="CT57" s="59">
        <f t="shared" si="213"/>
        <v>0</v>
      </c>
      <c r="CU57" s="60">
        <f t="shared" si="214"/>
        <v>0</v>
      </c>
      <c r="CV57" s="59">
        <f t="shared" si="215"/>
        <v>0</v>
      </c>
      <c r="CW57" s="60">
        <f t="shared" si="216"/>
        <v>0</v>
      </c>
      <c r="CX57" s="59">
        <f t="shared" si="217"/>
        <v>0</v>
      </c>
      <c r="CY57" s="60">
        <f t="shared" si="218"/>
        <v>0</v>
      </c>
      <c r="CZ57" s="59">
        <f t="shared" si="219"/>
        <v>0</v>
      </c>
      <c r="DA57" s="55">
        <f t="shared" si="220"/>
        <v>0</v>
      </c>
      <c r="DB57" s="59">
        <f t="shared" si="221"/>
        <v>0</v>
      </c>
      <c r="DC57" s="60">
        <f t="shared" si="222"/>
        <v>0</v>
      </c>
      <c r="DD57" s="59">
        <f t="shared" si="223"/>
        <v>0</v>
      </c>
      <c r="DE57" s="60">
        <f t="shared" si="224"/>
        <v>0</v>
      </c>
      <c r="DF57" s="59">
        <f t="shared" si="225"/>
        <v>0</v>
      </c>
      <c r="DG57" s="60">
        <f t="shared" si="226"/>
        <v>0</v>
      </c>
      <c r="DH57" s="59">
        <f t="shared" si="227"/>
        <v>0</v>
      </c>
      <c r="DI57" s="60">
        <f t="shared" si="228"/>
        <v>0</v>
      </c>
      <c r="DJ57" s="59">
        <f t="shared" si="229"/>
        <v>0</v>
      </c>
      <c r="DK57" s="55">
        <f t="shared" si="230"/>
        <v>0</v>
      </c>
      <c r="DL57" s="59">
        <f t="shared" si="231"/>
        <v>0</v>
      </c>
      <c r="DM57" s="60">
        <f t="shared" si="232"/>
        <v>0</v>
      </c>
      <c r="DN57" s="59">
        <f t="shared" si="233"/>
        <v>0</v>
      </c>
      <c r="DO57" s="60">
        <f t="shared" si="234"/>
        <v>0</v>
      </c>
      <c r="DP57" s="59">
        <f t="shared" si="235"/>
        <v>0</v>
      </c>
      <c r="DQ57" s="55">
        <f t="shared" si="236"/>
        <v>0</v>
      </c>
      <c r="DR57" s="59">
        <f t="shared" si="237"/>
        <v>0</v>
      </c>
      <c r="DU57" s="55">
        <v>1</v>
      </c>
      <c r="DV57" s="55">
        <v>0.97</v>
      </c>
      <c r="DW57" s="55">
        <v>0.95</v>
      </c>
      <c r="DX57" s="55">
        <v>0.93</v>
      </c>
      <c r="DY57" s="55">
        <f t="shared" si="287"/>
        <v>0.91</v>
      </c>
      <c r="DZ57" s="55">
        <f t="shared" si="287"/>
        <v>0.89</v>
      </c>
      <c r="EA57" s="55">
        <f t="shared" si="287"/>
        <v>0.87</v>
      </c>
      <c r="EB57" s="55">
        <f t="shared" si="287"/>
        <v>0.85</v>
      </c>
      <c r="EC57" s="55">
        <f t="shared" si="287"/>
        <v>0.83</v>
      </c>
      <c r="ED57" s="55">
        <f t="shared" si="287"/>
        <v>0.80999999999999994</v>
      </c>
      <c r="EE57" s="55">
        <f t="shared" si="287"/>
        <v>0.78999999999999992</v>
      </c>
      <c r="EF57" s="55">
        <f t="shared" si="287"/>
        <v>0.76999999999999991</v>
      </c>
      <c r="EG57" s="55">
        <f t="shared" si="287"/>
        <v>0.74999999999999989</v>
      </c>
      <c r="EH57" s="55">
        <f t="shared" si="287"/>
        <v>0.72999999999999987</v>
      </c>
      <c r="EI57" s="55">
        <f t="shared" si="287"/>
        <v>0.70999999999999985</v>
      </c>
      <c r="EJ57" s="55">
        <f t="shared" si="287"/>
        <v>0.68999999999999984</v>
      </c>
      <c r="EK57" s="55">
        <f t="shared" si="287"/>
        <v>0.66999999999999982</v>
      </c>
      <c r="EL57" s="55">
        <f t="shared" si="287"/>
        <v>0.6499999999999998</v>
      </c>
      <c r="EM57" s="55">
        <f t="shared" si="287"/>
        <v>0.62999999999999978</v>
      </c>
      <c r="EN57" s="55">
        <f t="shared" si="287"/>
        <v>0.60999999999999976</v>
      </c>
      <c r="EO57" s="55">
        <f t="shared" si="287"/>
        <v>0.58999999999999975</v>
      </c>
      <c r="EP57" s="55">
        <f t="shared" si="287"/>
        <v>0.56999999999999973</v>
      </c>
      <c r="ER57" s="55">
        <f t="shared" si="142"/>
        <v>0</v>
      </c>
      <c r="ES57" s="55">
        <f t="shared" si="116"/>
        <v>0</v>
      </c>
      <c r="ET57" s="59">
        <f t="shared" si="239"/>
        <v>0</v>
      </c>
      <c r="EU57" s="55">
        <f t="shared" si="240"/>
        <v>0</v>
      </c>
      <c r="EV57" s="59">
        <f t="shared" si="241"/>
        <v>0</v>
      </c>
      <c r="EW57" s="55">
        <f t="shared" si="242"/>
        <v>0</v>
      </c>
      <c r="EX57" s="59">
        <f t="shared" si="243"/>
        <v>0</v>
      </c>
      <c r="EY57" s="55">
        <f t="shared" si="244"/>
        <v>0</v>
      </c>
      <c r="EZ57" s="59">
        <f t="shared" si="245"/>
        <v>0</v>
      </c>
      <c r="FA57" s="57">
        <f t="shared" si="246"/>
        <v>0</v>
      </c>
      <c r="FB57" s="59">
        <f t="shared" si="247"/>
        <v>0</v>
      </c>
      <c r="FC57" s="55">
        <f t="shared" si="248"/>
        <v>0</v>
      </c>
      <c r="FD57" s="59">
        <f t="shared" si="249"/>
        <v>0</v>
      </c>
      <c r="FE57" s="57">
        <f t="shared" si="250"/>
        <v>0</v>
      </c>
      <c r="FF57" s="59">
        <f t="shared" si="251"/>
        <v>0</v>
      </c>
      <c r="FG57" s="60">
        <f t="shared" si="252"/>
        <v>0</v>
      </c>
      <c r="FH57" s="59">
        <f t="shared" si="253"/>
        <v>0</v>
      </c>
      <c r="FI57" s="57">
        <f t="shared" si="254"/>
        <v>0</v>
      </c>
      <c r="FJ57" s="59">
        <f t="shared" si="255"/>
        <v>0</v>
      </c>
      <c r="FK57" s="55">
        <f t="shared" si="256"/>
        <v>0</v>
      </c>
      <c r="FL57" s="59">
        <f t="shared" si="257"/>
        <v>0</v>
      </c>
      <c r="FM57" s="60">
        <f t="shared" si="258"/>
        <v>0</v>
      </c>
      <c r="FN57" s="59">
        <f t="shared" si="259"/>
        <v>0</v>
      </c>
      <c r="FO57" s="60">
        <f t="shared" si="260"/>
        <v>0</v>
      </c>
      <c r="FP57" s="59">
        <f t="shared" si="261"/>
        <v>0</v>
      </c>
      <c r="FQ57" s="60">
        <f t="shared" si="262"/>
        <v>0</v>
      </c>
      <c r="FR57" s="59">
        <f t="shared" si="263"/>
        <v>0</v>
      </c>
      <c r="FS57" s="55">
        <f t="shared" si="264"/>
        <v>0</v>
      </c>
      <c r="FT57" s="59">
        <f t="shared" si="265"/>
        <v>0</v>
      </c>
      <c r="FU57" s="60">
        <f t="shared" si="266"/>
        <v>0</v>
      </c>
      <c r="FV57" s="59">
        <f t="shared" si="267"/>
        <v>0</v>
      </c>
      <c r="FW57" s="60">
        <f t="shared" si="268"/>
        <v>0</v>
      </c>
      <c r="FX57" s="59">
        <f t="shared" si="269"/>
        <v>0</v>
      </c>
      <c r="FY57" s="60">
        <f t="shared" si="270"/>
        <v>0</v>
      </c>
      <c r="FZ57" s="59">
        <f t="shared" si="271"/>
        <v>0</v>
      </c>
      <c r="GA57" s="60">
        <f t="shared" si="272"/>
        <v>0</v>
      </c>
      <c r="GB57" s="59">
        <f t="shared" si="273"/>
        <v>0</v>
      </c>
      <c r="GC57" s="55">
        <f t="shared" si="274"/>
        <v>0</v>
      </c>
      <c r="GD57" s="59">
        <f t="shared" si="275"/>
        <v>0</v>
      </c>
      <c r="GE57" s="60">
        <f t="shared" si="276"/>
        <v>0</v>
      </c>
      <c r="GF57" s="59">
        <f t="shared" si="277"/>
        <v>0</v>
      </c>
      <c r="GG57" s="60">
        <f t="shared" si="278"/>
        <v>0</v>
      </c>
      <c r="GH57" s="59">
        <f t="shared" si="279"/>
        <v>0</v>
      </c>
      <c r="GI57" s="55">
        <f t="shared" si="280"/>
        <v>0</v>
      </c>
      <c r="GJ57" s="59">
        <f t="shared" si="281"/>
        <v>0</v>
      </c>
      <c r="GK57" s="55"/>
      <c r="GL57" s="55"/>
      <c r="GM57" s="55">
        <v>1</v>
      </c>
      <c r="GN57" s="55">
        <v>0.97</v>
      </c>
      <c r="GO57" s="55">
        <v>0.95</v>
      </c>
      <c r="GP57" s="55">
        <v>0.93</v>
      </c>
      <c r="GQ57" s="55">
        <f t="shared" si="288"/>
        <v>0.91</v>
      </c>
      <c r="GR57" s="55">
        <f t="shared" si="288"/>
        <v>0.89</v>
      </c>
      <c r="GS57" s="55">
        <f t="shared" si="288"/>
        <v>0.87</v>
      </c>
      <c r="GT57" s="55">
        <f t="shared" si="288"/>
        <v>0.85</v>
      </c>
      <c r="GU57" s="55">
        <f t="shared" si="288"/>
        <v>0.83</v>
      </c>
      <c r="GV57" s="55">
        <f t="shared" si="288"/>
        <v>0.80999999999999994</v>
      </c>
      <c r="GW57" s="55">
        <f t="shared" si="288"/>
        <v>0.78999999999999992</v>
      </c>
      <c r="GX57" s="55">
        <f t="shared" si="288"/>
        <v>0.76999999999999991</v>
      </c>
      <c r="GY57" s="55">
        <f t="shared" si="288"/>
        <v>0.74999999999999989</v>
      </c>
      <c r="GZ57" s="55">
        <f t="shared" si="288"/>
        <v>0.72999999999999987</v>
      </c>
      <c r="HA57" s="55">
        <f t="shared" si="288"/>
        <v>0.70999999999999985</v>
      </c>
      <c r="HB57" s="55">
        <f t="shared" si="288"/>
        <v>0.68999999999999984</v>
      </c>
      <c r="HC57" s="55">
        <f t="shared" si="288"/>
        <v>0.66999999999999982</v>
      </c>
      <c r="HD57" s="55">
        <f t="shared" si="288"/>
        <v>0.6499999999999998</v>
      </c>
      <c r="HE57" s="55">
        <f t="shared" si="288"/>
        <v>0.62999999999999978</v>
      </c>
      <c r="HF57" s="55">
        <f t="shared" si="288"/>
        <v>0.60999999999999976</v>
      </c>
      <c r="HG57" s="55">
        <f t="shared" si="288"/>
        <v>0.58999999999999975</v>
      </c>
      <c r="HH57" s="55">
        <f t="shared" si="288"/>
        <v>0.56999999999999973</v>
      </c>
    </row>
    <row r="58" spans="1:216" x14ac:dyDescent="0.3">
      <c r="A58" s="2">
        <v>19</v>
      </c>
      <c r="C58" s="38" t="s">
        <v>26</v>
      </c>
      <c r="D58" s="42">
        <f>TRUNC(33301+4188+9463,-1)</f>
        <v>46950</v>
      </c>
      <c r="E58" s="71">
        <f t="shared" si="152"/>
        <v>155200</v>
      </c>
      <c r="F58" s="2" t="s">
        <v>309</v>
      </c>
      <c r="H58" s="55">
        <f t="shared" si="61"/>
        <v>170720</v>
      </c>
      <c r="I58" s="55">
        <f t="shared" si="62"/>
        <v>170720</v>
      </c>
      <c r="J58" s="59">
        <f t="shared" si="63"/>
        <v>564366.17599999998</v>
      </c>
      <c r="K58" s="55">
        <f t="shared" si="153"/>
        <v>165598.39999999999</v>
      </c>
      <c r="L58" s="59">
        <f t="shared" si="154"/>
        <v>547435.19071999996</v>
      </c>
      <c r="M58" s="55">
        <f t="shared" si="155"/>
        <v>162184</v>
      </c>
      <c r="N58" s="59">
        <f t="shared" si="156"/>
        <v>536147.86719999998</v>
      </c>
      <c r="O58" s="55">
        <f t="shared" si="157"/>
        <v>158769.60000000001</v>
      </c>
      <c r="P58" s="59">
        <f t="shared" si="158"/>
        <v>524860.54368</v>
      </c>
      <c r="Q58" s="57">
        <f t="shared" si="159"/>
        <v>155355.20000000001</v>
      </c>
      <c r="R58" s="59">
        <f t="shared" si="160"/>
        <v>513573.22016000003</v>
      </c>
      <c r="S58" s="55">
        <f t="shared" si="161"/>
        <v>151940.79999999999</v>
      </c>
      <c r="T58" s="59">
        <f t="shared" si="162"/>
        <v>502285.89663999999</v>
      </c>
      <c r="U58" s="57">
        <f t="shared" si="163"/>
        <v>148526.39999999999</v>
      </c>
      <c r="V58" s="59">
        <f t="shared" si="164"/>
        <v>490998.57312000002</v>
      </c>
      <c r="W58" s="60">
        <f t="shared" si="165"/>
        <v>145112</v>
      </c>
      <c r="X58" s="59">
        <f t="shared" si="166"/>
        <v>479711.24960000004</v>
      </c>
      <c r="Y58" s="57">
        <f t="shared" si="167"/>
        <v>141697.60000000001</v>
      </c>
      <c r="Z58" s="59">
        <f t="shared" si="168"/>
        <v>468423.92608</v>
      </c>
      <c r="AA58" s="55">
        <f t="shared" si="169"/>
        <v>138283.19999999998</v>
      </c>
      <c r="AB58" s="59">
        <f t="shared" si="170"/>
        <v>457136.60255999997</v>
      </c>
      <c r="AC58" s="60">
        <f t="shared" si="171"/>
        <v>134868.79999999999</v>
      </c>
      <c r="AD58" s="59">
        <f t="shared" si="172"/>
        <v>445849.27903999999</v>
      </c>
      <c r="AE58" s="60">
        <f t="shared" si="173"/>
        <v>131454.39999999999</v>
      </c>
      <c r="AF58" s="59">
        <f t="shared" si="174"/>
        <v>434561.95552000002</v>
      </c>
      <c r="AG58" s="60">
        <f t="shared" si="175"/>
        <v>128039.99999999999</v>
      </c>
      <c r="AH58" s="59">
        <f t="shared" si="176"/>
        <v>423274.63199999998</v>
      </c>
      <c r="AI58" s="55">
        <f t="shared" si="177"/>
        <v>124625.59999999998</v>
      </c>
      <c r="AJ58" s="59">
        <f t="shared" si="178"/>
        <v>411987.30847999995</v>
      </c>
      <c r="AK58" s="60">
        <f t="shared" si="179"/>
        <v>121211.19999999997</v>
      </c>
      <c r="AL58" s="59">
        <f t="shared" si="180"/>
        <v>400699.98495999991</v>
      </c>
      <c r="AM58" s="60">
        <f t="shared" si="181"/>
        <v>117796.79999999997</v>
      </c>
      <c r="AN58" s="59">
        <f t="shared" si="182"/>
        <v>389412.66143999994</v>
      </c>
      <c r="AO58" s="60">
        <f t="shared" si="183"/>
        <v>114382.39999999997</v>
      </c>
      <c r="AP58" s="59">
        <f t="shared" si="184"/>
        <v>378125.3379199999</v>
      </c>
      <c r="AQ58" s="60">
        <f t="shared" si="185"/>
        <v>110967.99999999997</v>
      </c>
      <c r="AR58" s="59">
        <f t="shared" si="186"/>
        <v>366838.01439999993</v>
      </c>
      <c r="AS58" s="55">
        <f t="shared" si="187"/>
        <v>107553.59999999996</v>
      </c>
      <c r="AT58" s="59">
        <f t="shared" si="188"/>
        <v>355550.69087999989</v>
      </c>
      <c r="AU58" s="60">
        <f t="shared" si="189"/>
        <v>104139.19999999995</v>
      </c>
      <c r="AV58" s="59">
        <f t="shared" si="190"/>
        <v>344263.36735999986</v>
      </c>
      <c r="AW58" s="60">
        <f t="shared" si="191"/>
        <v>100724.79999999996</v>
      </c>
      <c r="AX58" s="59">
        <f t="shared" si="192"/>
        <v>332976.04383999988</v>
      </c>
      <c r="AY58" s="55">
        <f t="shared" si="193"/>
        <v>97310.399999999951</v>
      </c>
      <c r="AZ58" s="59">
        <f t="shared" si="194"/>
        <v>321688.72031999985</v>
      </c>
      <c r="BC58" s="55">
        <v>1</v>
      </c>
      <c r="BD58" s="55">
        <v>0.97</v>
      </c>
      <c r="BE58" s="55">
        <v>0.95</v>
      </c>
      <c r="BF58" s="55">
        <v>0.93</v>
      </c>
      <c r="BG58" s="55">
        <f t="shared" si="284"/>
        <v>0.91</v>
      </c>
      <c r="BH58" s="55">
        <f t="shared" si="284"/>
        <v>0.89</v>
      </c>
      <c r="BI58" s="55">
        <f t="shared" si="284"/>
        <v>0.87</v>
      </c>
      <c r="BJ58" s="55">
        <f t="shared" si="284"/>
        <v>0.85</v>
      </c>
      <c r="BK58" s="55">
        <f t="shared" si="284"/>
        <v>0.83</v>
      </c>
      <c r="BL58" s="55">
        <f t="shared" si="284"/>
        <v>0.80999999999999994</v>
      </c>
      <c r="BM58" s="55">
        <f t="shared" si="284"/>
        <v>0.78999999999999992</v>
      </c>
      <c r="BN58" s="55">
        <f t="shared" si="284"/>
        <v>0.76999999999999991</v>
      </c>
      <c r="BO58" s="55">
        <f t="shared" si="284"/>
        <v>0.74999999999999989</v>
      </c>
      <c r="BP58" s="55">
        <f t="shared" si="284"/>
        <v>0.72999999999999987</v>
      </c>
      <c r="BQ58" s="55">
        <f t="shared" si="284"/>
        <v>0.70999999999999985</v>
      </c>
      <c r="BR58" s="55">
        <f t="shared" si="284"/>
        <v>0.68999999999999984</v>
      </c>
      <c r="BS58" s="55">
        <f t="shared" si="284"/>
        <v>0.66999999999999982</v>
      </c>
      <c r="BT58" s="55">
        <f t="shared" si="284"/>
        <v>0.6499999999999998</v>
      </c>
      <c r="BU58" s="55">
        <f t="shared" si="284"/>
        <v>0.62999999999999978</v>
      </c>
      <c r="BV58" s="55">
        <f t="shared" si="284"/>
        <v>0.60999999999999976</v>
      </c>
      <c r="BW58" s="55">
        <f t="shared" si="284"/>
        <v>0.58999999999999975</v>
      </c>
      <c r="BX58" s="55">
        <f t="shared" si="284"/>
        <v>0.56999999999999973</v>
      </c>
      <c r="BZ58" s="55">
        <f t="shared" si="88"/>
        <v>155355.20000000001</v>
      </c>
      <c r="CA58" s="55">
        <f t="shared" si="89"/>
        <v>155355.20000000001</v>
      </c>
      <c r="CB58" s="59">
        <f t="shared" si="195"/>
        <v>513573.22016000003</v>
      </c>
      <c r="CC58" s="55">
        <f t="shared" si="196"/>
        <v>150694.54399999999</v>
      </c>
      <c r="CD58" s="59">
        <f t="shared" si="197"/>
        <v>498166.02355519996</v>
      </c>
      <c r="CE58" s="55">
        <f t="shared" si="198"/>
        <v>147587.44</v>
      </c>
      <c r="CF58" s="59">
        <f t="shared" si="199"/>
        <v>487894.559152</v>
      </c>
      <c r="CG58" s="55">
        <f t="shared" si="200"/>
        <v>144480.33600000001</v>
      </c>
      <c r="CH58" s="59">
        <f t="shared" si="201"/>
        <v>477623.09474880004</v>
      </c>
      <c r="CI58" s="57">
        <f t="shared" si="202"/>
        <v>141373.23200000002</v>
      </c>
      <c r="CJ58" s="59">
        <f t="shared" si="203"/>
        <v>467351.63034560008</v>
      </c>
      <c r="CK58" s="55">
        <f t="shared" si="204"/>
        <v>138266.12800000003</v>
      </c>
      <c r="CL58" s="59">
        <f t="shared" si="205"/>
        <v>457080.16594240011</v>
      </c>
      <c r="CM58" s="57">
        <f t="shared" si="206"/>
        <v>135159.024</v>
      </c>
      <c r="CN58" s="59">
        <f t="shared" si="207"/>
        <v>446808.70153920003</v>
      </c>
      <c r="CO58" s="60">
        <f t="shared" si="208"/>
        <v>132051.92000000001</v>
      </c>
      <c r="CP58" s="59">
        <f t="shared" si="209"/>
        <v>436537.23713600007</v>
      </c>
      <c r="CQ58" s="57">
        <f t="shared" si="210"/>
        <v>128944.81600000001</v>
      </c>
      <c r="CR58" s="59">
        <f t="shared" si="211"/>
        <v>426265.77273280005</v>
      </c>
      <c r="CS58" s="55">
        <f t="shared" si="212"/>
        <v>125837.712</v>
      </c>
      <c r="CT58" s="59">
        <f t="shared" si="213"/>
        <v>415994.30832960003</v>
      </c>
      <c r="CU58" s="60">
        <f t="shared" si="214"/>
        <v>122730.60799999999</v>
      </c>
      <c r="CV58" s="59">
        <f t="shared" si="215"/>
        <v>405722.8439264</v>
      </c>
      <c r="CW58" s="60">
        <f t="shared" si="216"/>
        <v>119623.504</v>
      </c>
      <c r="CX58" s="59">
        <f t="shared" si="217"/>
        <v>395451.37952319998</v>
      </c>
      <c r="CY58" s="60">
        <f t="shared" si="218"/>
        <v>116516.4</v>
      </c>
      <c r="CZ58" s="59">
        <f t="shared" si="219"/>
        <v>385179.91511999996</v>
      </c>
      <c r="DA58" s="55">
        <f t="shared" si="220"/>
        <v>113409.29599999999</v>
      </c>
      <c r="DB58" s="59">
        <f t="shared" si="221"/>
        <v>374908.45071679994</v>
      </c>
      <c r="DC58" s="60">
        <f t="shared" si="222"/>
        <v>110302.19199999998</v>
      </c>
      <c r="DD58" s="59">
        <f t="shared" si="223"/>
        <v>364636.98631359992</v>
      </c>
      <c r="DE58" s="60">
        <f t="shared" si="224"/>
        <v>107195.08799999999</v>
      </c>
      <c r="DF58" s="59">
        <f t="shared" si="225"/>
        <v>354365.52191039996</v>
      </c>
      <c r="DG58" s="60">
        <f t="shared" si="226"/>
        <v>104087.98399999998</v>
      </c>
      <c r="DH58" s="59">
        <f t="shared" si="227"/>
        <v>344094.05750719993</v>
      </c>
      <c r="DI58" s="60">
        <f t="shared" si="228"/>
        <v>100980.87999999998</v>
      </c>
      <c r="DJ58" s="59">
        <f t="shared" si="229"/>
        <v>333822.59310399991</v>
      </c>
      <c r="DK58" s="55">
        <f t="shared" si="230"/>
        <v>97873.775999999969</v>
      </c>
      <c r="DL58" s="59">
        <f t="shared" si="231"/>
        <v>323551.12870079989</v>
      </c>
      <c r="DM58" s="60">
        <f t="shared" si="232"/>
        <v>94766.671999999977</v>
      </c>
      <c r="DN58" s="59">
        <f t="shared" si="233"/>
        <v>313279.66429759993</v>
      </c>
      <c r="DO58" s="60">
        <f t="shared" si="234"/>
        <v>91659.56799999997</v>
      </c>
      <c r="DP58" s="59">
        <f t="shared" si="235"/>
        <v>303008.19989439991</v>
      </c>
      <c r="DQ58" s="55">
        <f t="shared" si="236"/>
        <v>88552.463999999964</v>
      </c>
      <c r="DR58" s="59">
        <f t="shared" si="237"/>
        <v>292736.73549119988</v>
      </c>
      <c r="DU58" s="55">
        <v>1</v>
      </c>
      <c r="DV58" s="55">
        <v>0.97</v>
      </c>
      <c r="DW58" s="55">
        <v>0.95</v>
      </c>
      <c r="DX58" s="55">
        <v>0.93</v>
      </c>
      <c r="DY58" s="55">
        <f t="shared" si="287"/>
        <v>0.91</v>
      </c>
      <c r="DZ58" s="55">
        <f t="shared" si="287"/>
        <v>0.89</v>
      </c>
      <c r="EA58" s="55">
        <f t="shared" si="287"/>
        <v>0.87</v>
      </c>
      <c r="EB58" s="55">
        <f t="shared" si="287"/>
        <v>0.85</v>
      </c>
      <c r="EC58" s="55">
        <f t="shared" si="287"/>
        <v>0.83</v>
      </c>
      <c r="ED58" s="55">
        <f t="shared" si="287"/>
        <v>0.80999999999999994</v>
      </c>
      <c r="EE58" s="55">
        <f t="shared" si="287"/>
        <v>0.78999999999999992</v>
      </c>
      <c r="EF58" s="55">
        <f t="shared" si="287"/>
        <v>0.76999999999999991</v>
      </c>
      <c r="EG58" s="55">
        <f t="shared" si="287"/>
        <v>0.74999999999999989</v>
      </c>
      <c r="EH58" s="55">
        <f t="shared" si="287"/>
        <v>0.72999999999999987</v>
      </c>
      <c r="EI58" s="55">
        <f t="shared" si="287"/>
        <v>0.70999999999999985</v>
      </c>
      <c r="EJ58" s="55">
        <f t="shared" si="287"/>
        <v>0.68999999999999984</v>
      </c>
      <c r="EK58" s="55">
        <f t="shared" si="287"/>
        <v>0.66999999999999982</v>
      </c>
      <c r="EL58" s="55">
        <f t="shared" si="287"/>
        <v>0.6499999999999998</v>
      </c>
      <c r="EM58" s="55">
        <f t="shared" si="287"/>
        <v>0.62999999999999978</v>
      </c>
      <c r="EN58" s="55">
        <f t="shared" si="287"/>
        <v>0.60999999999999976</v>
      </c>
      <c r="EO58" s="55">
        <f t="shared" si="287"/>
        <v>0.58999999999999975</v>
      </c>
      <c r="EP58" s="55">
        <f t="shared" si="287"/>
        <v>0.56999999999999973</v>
      </c>
      <c r="ER58" s="55">
        <f t="shared" si="142"/>
        <v>141373.23200000002</v>
      </c>
      <c r="ES58" s="55">
        <f t="shared" si="116"/>
        <v>141373.23200000002</v>
      </c>
      <c r="ET58" s="59">
        <f t="shared" si="239"/>
        <v>467351.63034560008</v>
      </c>
      <c r="EU58" s="55">
        <f t="shared" si="240"/>
        <v>137132.03504000002</v>
      </c>
      <c r="EV58" s="59">
        <f t="shared" si="241"/>
        <v>453331.08143523207</v>
      </c>
      <c r="EW58" s="55">
        <f t="shared" si="242"/>
        <v>134304.5704</v>
      </c>
      <c r="EX58" s="59">
        <f t="shared" si="243"/>
        <v>443984.04882832</v>
      </c>
      <c r="EY58" s="55">
        <f t="shared" si="244"/>
        <v>131477.10576000003</v>
      </c>
      <c r="EZ58" s="59">
        <f t="shared" si="245"/>
        <v>434637.01622140815</v>
      </c>
      <c r="FA58" s="57">
        <f t="shared" si="246"/>
        <v>128649.64112000001</v>
      </c>
      <c r="FB58" s="59">
        <f t="shared" si="247"/>
        <v>425289.98361449607</v>
      </c>
      <c r="FC58" s="55">
        <f t="shared" si="248"/>
        <v>125822.17648000002</v>
      </c>
      <c r="FD58" s="59">
        <f t="shared" si="249"/>
        <v>415942.95100758411</v>
      </c>
      <c r="FE58" s="57">
        <f t="shared" si="250"/>
        <v>122994.71184000002</v>
      </c>
      <c r="FF58" s="59">
        <f t="shared" si="251"/>
        <v>406595.91840067209</v>
      </c>
      <c r="FG58" s="60">
        <f t="shared" si="252"/>
        <v>120167.24720000001</v>
      </c>
      <c r="FH58" s="59">
        <f t="shared" si="253"/>
        <v>397248.88579376007</v>
      </c>
      <c r="FI58" s="57">
        <f t="shared" si="254"/>
        <v>117339.78256000001</v>
      </c>
      <c r="FJ58" s="59">
        <f t="shared" si="255"/>
        <v>387901.85318684805</v>
      </c>
      <c r="FK58" s="55">
        <f t="shared" si="256"/>
        <v>114512.31792</v>
      </c>
      <c r="FL58" s="59">
        <f t="shared" si="257"/>
        <v>378554.82057993603</v>
      </c>
      <c r="FM58" s="60">
        <f t="shared" si="258"/>
        <v>111684.85328000001</v>
      </c>
      <c r="FN58" s="59">
        <f t="shared" si="259"/>
        <v>369207.78797302407</v>
      </c>
      <c r="FO58" s="60">
        <f t="shared" si="260"/>
        <v>108857.38864</v>
      </c>
      <c r="FP58" s="59">
        <f t="shared" si="261"/>
        <v>359860.75536611205</v>
      </c>
      <c r="FQ58" s="60">
        <f t="shared" si="262"/>
        <v>106029.924</v>
      </c>
      <c r="FR58" s="59">
        <f t="shared" si="263"/>
        <v>350513.72275920003</v>
      </c>
      <c r="FS58" s="55">
        <f t="shared" si="264"/>
        <v>103202.45935999999</v>
      </c>
      <c r="FT58" s="59">
        <f t="shared" si="265"/>
        <v>341166.69015228801</v>
      </c>
      <c r="FU58" s="60">
        <f t="shared" si="266"/>
        <v>100374.99471999999</v>
      </c>
      <c r="FV58" s="59">
        <f t="shared" si="267"/>
        <v>331819.65754537599</v>
      </c>
      <c r="FW58" s="60">
        <f t="shared" si="268"/>
        <v>97547.530079999982</v>
      </c>
      <c r="FX58" s="59">
        <f t="shared" si="269"/>
        <v>322472.62493846397</v>
      </c>
      <c r="FY58" s="60">
        <f t="shared" si="270"/>
        <v>94720.065439999991</v>
      </c>
      <c r="FZ58" s="59">
        <f t="shared" si="271"/>
        <v>313125.592331552</v>
      </c>
      <c r="GA58" s="60">
        <f t="shared" si="272"/>
        <v>91892.600799999986</v>
      </c>
      <c r="GB58" s="59">
        <f t="shared" si="273"/>
        <v>303778.55972463998</v>
      </c>
      <c r="GC58" s="55">
        <f t="shared" si="274"/>
        <v>89065.13615999998</v>
      </c>
      <c r="GD58" s="59">
        <f t="shared" si="275"/>
        <v>294431.52711772796</v>
      </c>
      <c r="GE58" s="60">
        <f t="shared" si="276"/>
        <v>86237.671519999974</v>
      </c>
      <c r="GF58" s="59">
        <f t="shared" si="277"/>
        <v>285084.49451081594</v>
      </c>
      <c r="GG58" s="60">
        <f t="shared" si="278"/>
        <v>83410.206879999969</v>
      </c>
      <c r="GH58" s="59">
        <f t="shared" si="279"/>
        <v>275737.46190390392</v>
      </c>
      <c r="GI58" s="55">
        <f t="shared" si="280"/>
        <v>80582.742239999978</v>
      </c>
      <c r="GJ58" s="59">
        <f t="shared" si="281"/>
        <v>266390.4292969919</v>
      </c>
      <c r="GK58" s="55"/>
      <c r="GL58" s="55"/>
      <c r="GM58" s="55">
        <v>1</v>
      </c>
      <c r="GN58" s="55">
        <v>0.97</v>
      </c>
      <c r="GO58" s="55">
        <v>0.95</v>
      </c>
      <c r="GP58" s="55">
        <v>0.93</v>
      </c>
      <c r="GQ58" s="55">
        <f t="shared" si="288"/>
        <v>0.91</v>
      </c>
      <c r="GR58" s="55">
        <f t="shared" si="288"/>
        <v>0.89</v>
      </c>
      <c r="GS58" s="55">
        <f t="shared" si="288"/>
        <v>0.87</v>
      </c>
      <c r="GT58" s="55">
        <f t="shared" si="288"/>
        <v>0.85</v>
      </c>
      <c r="GU58" s="55">
        <f t="shared" si="288"/>
        <v>0.83</v>
      </c>
      <c r="GV58" s="55">
        <f t="shared" si="288"/>
        <v>0.80999999999999994</v>
      </c>
      <c r="GW58" s="55">
        <f t="shared" si="288"/>
        <v>0.78999999999999992</v>
      </c>
      <c r="GX58" s="55">
        <f t="shared" si="288"/>
        <v>0.76999999999999991</v>
      </c>
      <c r="GY58" s="55">
        <f t="shared" si="288"/>
        <v>0.74999999999999989</v>
      </c>
      <c r="GZ58" s="55">
        <f t="shared" si="288"/>
        <v>0.72999999999999987</v>
      </c>
      <c r="HA58" s="55">
        <f t="shared" si="288"/>
        <v>0.70999999999999985</v>
      </c>
      <c r="HB58" s="55">
        <f t="shared" si="288"/>
        <v>0.68999999999999984</v>
      </c>
      <c r="HC58" s="55">
        <f t="shared" si="288"/>
        <v>0.66999999999999982</v>
      </c>
      <c r="HD58" s="55">
        <f t="shared" si="288"/>
        <v>0.6499999999999998</v>
      </c>
      <c r="HE58" s="55">
        <f t="shared" si="288"/>
        <v>0.62999999999999978</v>
      </c>
      <c r="HF58" s="55">
        <f t="shared" si="288"/>
        <v>0.60999999999999976</v>
      </c>
      <c r="HG58" s="55">
        <f t="shared" si="288"/>
        <v>0.58999999999999975</v>
      </c>
      <c r="HH58" s="55">
        <f t="shared" si="288"/>
        <v>0.56999999999999973</v>
      </c>
    </row>
    <row r="59" spans="1:216" ht="17.25" thickBot="1" x14ac:dyDescent="0.35">
      <c r="A59" s="2">
        <v>20</v>
      </c>
      <c r="C59" s="38" t="s">
        <v>149</v>
      </c>
      <c r="D59" s="43">
        <f>TRUNC(151300,-1)</f>
        <v>151300</v>
      </c>
      <c r="E59" s="72">
        <f t="shared" si="152"/>
        <v>500160</v>
      </c>
      <c r="H59" s="55">
        <f t="shared" si="61"/>
        <v>550176</v>
      </c>
      <c r="I59" s="55">
        <f t="shared" si="62"/>
        <v>550176</v>
      </c>
      <c r="J59" s="59">
        <f t="shared" si="63"/>
        <v>1818771.8208000001</v>
      </c>
      <c r="K59" s="55">
        <f t="shared" si="153"/>
        <v>533670.72</v>
      </c>
      <c r="L59" s="59">
        <f t="shared" si="154"/>
        <v>1764208.6661759999</v>
      </c>
      <c r="M59" s="55">
        <f t="shared" si="155"/>
        <v>522667.19999999995</v>
      </c>
      <c r="N59" s="59">
        <f t="shared" si="156"/>
        <v>1727833.2297599998</v>
      </c>
      <c r="O59" s="55">
        <f t="shared" si="157"/>
        <v>511663.68000000005</v>
      </c>
      <c r="P59" s="59">
        <f t="shared" si="158"/>
        <v>1691457.7933440001</v>
      </c>
      <c r="Q59" s="57">
        <f t="shared" si="159"/>
        <v>500660.16000000003</v>
      </c>
      <c r="R59" s="59">
        <f t="shared" si="160"/>
        <v>1655082.3569280002</v>
      </c>
      <c r="S59" s="55">
        <f t="shared" si="161"/>
        <v>489656.64</v>
      </c>
      <c r="T59" s="59">
        <f t="shared" si="162"/>
        <v>1618706.9205120001</v>
      </c>
      <c r="U59" s="57">
        <f t="shared" si="163"/>
        <v>478653.12</v>
      </c>
      <c r="V59" s="59">
        <f t="shared" si="164"/>
        <v>1582331.484096</v>
      </c>
      <c r="W59" s="60">
        <f t="shared" si="165"/>
        <v>467649.6</v>
      </c>
      <c r="X59" s="59">
        <f t="shared" si="166"/>
        <v>1545956.0476799998</v>
      </c>
      <c r="Y59" s="57">
        <f t="shared" si="167"/>
        <v>456646.07999999996</v>
      </c>
      <c r="Z59" s="59">
        <f t="shared" si="168"/>
        <v>1509580.6112639999</v>
      </c>
      <c r="AA59" s="55">
        <f t="shared" si="169"/>
        <v>445642.55999999994</v>
      </c>
      <c r="AB59" s="59">
        <f t="shared" si="170"/>
        <v>1473205.1748479998</v>
      </c>
      <c r="AC59" s="60">
        <f t="shared" si="171"/>
        <v>434639.04</v>
      </c>
      <c r="AD59" s="59">
        <f t="shared" si="172"/>
        <v>1436829.7384319999</v>
      </c>
      <c r="AE59" s="60">
        <f t="shared" si="173"/>
        <v>423635.51999999996</v>
      </c>
      <c r="AF59" s="59">
        <f t="shared" si="174"/>
        <v>1400454.3020159998</v>
      </c>
      <c r="AG59" s="60">
        <f t="shared" si="175"/>
        <v>412631.99999999994</v>
      </c>
      <c r="AH59" s="59">
        <f t="shared" si="176"/>
        <v>1364078.8655999999</v>
      </c>
      <c r="AI59" s="55">
        <f t="shared" si="177"/>
        <v>401628.47999999992</v>
      </c>
      <c r="AJ59" s="59">
        <f t="shared" si="178"/>
        <v>1327703.4291839998</v>
      </c>
      <c r="AK59" s="60">
        <f t="shared" si="179"/>
        <v>390624.9599999999</v>
      </c>
      <c r="AL59" s="59">
        <f t="shared" si="180"/>
        <v>1291327.9927679996</v>
      </c>
      <c r="AM59" s="60">
        <f t="shared" si="181"/>
        <v>379621.43999999989</v>
      </c>
      <c r="AN59" s="59">
        <f t="shared" si="182"/>
        <v>1254952.5563519998</v>
      </c>
      <c r="AO59" s="60">
        <f t="shared" si="183"/>
        <v>368617.91999999993</v>
      </c>
      <c r="AP59" s="59">
        <f t="shared" si="184"/>
        <v>1218577.1199359999</v>
      </c>
      <c r="AQ59" s="60">
        <f t="shared" si="185"/>
        <v>357614.39999999991</v>
      </c>
      <c r="AR59" s="59">
        <f t="shared" si="186"/>
        <v>1182201.6835199997</v>
      </c>
      <c r="AS59" s="55">
        <f t="shared" si="187"/>
        <v>346610.87999999989</v>
      </c>
      <c r="AT59" s="59">
        <f t="shared" si="188"/>
        <v>1145826.2471039996</v>
      </c>
      <c r="AU59" s="60">
        <f t="shared" si="189"/>
        <v>335607.35999999987</v>
      </c>
      <c r="AV59" s="59">
        <f t="shared" si="190"/>
        <v>1109450.8106879997</v>
      </c>
      <c r="AW59" s="60">
        <f t="shared" si="191"/>
        <v>324603.83999999985</v>
      </c>
      <c r="AX59" s="59">
        <f t="shared" si="192"/>
        <v>1073075.3742719996</v>
      </c>
      <c r="AY59" s="55">
        <f t="shared" si="193"/>
        <v>313600.31999999983</v>
      </c>
      <c r="AZ59" s="59">
        <f t="shared" si="194"/>
        <v>1036699.9378559995</v>
      </c>
      <c r="BC59" s="55">
        <v>1</v>
      </c>
      <c r="BD59" s="55">
        <v>0.97</v>
      </c>
      <c r="BE59" s="55">
        <v>0.95</v>
      </c>
      <c r="BF59" s="55">
        <v>0.93</v>
      </c>
      <c r="BG59" s="55">
        <f t="shared" si="284"/>
        <v>0.91</v>
      </c>
      <c r="BH59" s="55">
        <f t="shared" si="284"/>
        <v>0.89</v>
      </c>
      <c r="BI59" s="55">
        <f t="shared" si="284"/>
        <v>0.87</v>
      </c>
      <c r="BJ59" s="55">
        <f t="shared" si="284"/>
        <v>0.85</v>
      </c>
      <c r="BK59" s="55">
        <f t="shared" si="284"/>
        <v>0.83</v>
      </c>
      <c r="BL59" s="55">
        <f t="shared" si="284"/>
        <v>0.80999999999999994</v>
      </c>
      <c r="BM59" s="55">
        <f t="shared" si="284"/>
        <v>0.78999999999999992</v>
      </c>
      <c r="BN59" s="55">
        <f t="shared" si="284"/>
        <v>0.76999999999999991</v>
      </c>
      <c r="BO59" s="55">
        <f t="shared" si="284"/>
        <v>0.74999999999999989</v>
      </c>
      <c r="BP59" s="55">
        <f t="shared" si="284"/>
        <v>0.72999999999999987</v>
      </c>
      <c r="BQ59" s="55">
        <f t="shared" si="284"/>
        <v>0.70999999999999985</v>
      </c>
      <c r="BR59" s="55">
        <f t="shared" si="284"/>
        <v>0.68999999999999984</v>
      </c>
      <c r="BS59" s="55">
        <f t="shared" si="284"/>
        <v>0.66999999999999982</v>
      </c>
      <c r="BT59" s="55">
        <f t="shared" si="284"/>
        <v>0.6499999999999998</v>
      </c>
      <c r="BU59" s="55">
        <f t="shared" si="284"/>
        <v>0.62999999999999978</v>
      </c>
      <c r="BV59" s="55">
        <f t="shared" si="284"/>
        <v>0.60999999999999976</v>
      </c>
      <c r="BW59" s="55">
        <f t="shared" si="284"/>
        <v>0.58999999999999975</v>
      </c>
      <c r="BX59" s="55">
        <f t="shared" si="284"/>
        <v>0.56999999999999973</v>
      </c>
      <c r="BZ59" s="55">
        <f t="shared" si="88"/>
        <v>500660.16000000003</v>
      </c>
      <c r="CA59" s="55">
        <f t="shared" si="89"/>
        <v>500660.16000000003</v>
      </c>
      <c r="CB59" s="59">
        <f t="shared" si="195"/>
        <v>1655082.3569280002</v>
      </c>
      <c r="CC59" s="55">
        <f t="shared" si="196"/>
        <v>485640.35519999999</v>
      </c>
      <c r="CD59" s="59">
        <f t="shared" si="197"/>
        <v>1605429.8862201599</v>
      </c>
      <c r="CE59" s="55">
        <f t="shared" si="198"/>
        <v>475627.152</v>
      </c>
      <c r="CF59" s="59">
        <f t="shared" si="199"/>
        <v>1572328.2390816</v>
      </c>
      <c r="CG59" s="55">
        <f t="shared" si="200"/>
        <v>465613.94880000007</v>
      </c>
      <c r="CH59" s="59">
        <f t="shared" si="201"/>
        <v>1539226.5919430403</v>
      </c>
      <c r="CI59" s="57">
        <f t="shared" si="202"/>
        <v>455600.74560000002</v>
      </c>
      <c r="CJ59" s="59">
        <f t="shared" si="203"/>
        <v>1506124.9448044801</v>
      </c>
      <c r="CK59" s="55">
        <f t="shared" si="204"/>
        <v>445587.54240000003</v>
      </c>
      <c r="CL59" s="59">
        <f t="shared" si="205"/>
        <v>1473023.2976659201</v>
      </c>
      <c r="CM59" s="57">
        <f t="shared" si="206"/>
        <v>435574.33920000005</v>
      </c>
      <c r="CN59" s="59">
        <f t="shared" si="207"/>
        <v>1439921.6505273602</v>
      </c>
      <c r="CO59" s="60">
        <f t="shared" si="208"/>
        <v>425561.136</v>
      </c>
      <c r="CP59" s="59">
        <f t="shared" si="209"/>
        <v>1406820.0033888</v>
      </c>
      <c r="CQ59" s="57">
        <f t="shared" si="210"/>
        <v>415547.93280000001</v>
      </c>
      <c r="CR59" s="59">
        <f t="shared" si="211"/>
        <v>1373718.35625024</v>
      </c>
      <c r="CS59" s="55">
        <f t="shared" si="212"/>
        <v>405534.72960000002</v>
      </c>
      <c r="CT59" s="59">
        <f t="shared" si="213"/>
        <v>1340616.70911168</v>
      </c>
      <c r="CU59" s="60">
        <f t="shared" si="214"/>
        <v>395521.52639999997</v>
      </c>
      <c r="CV59" s="59">
        <f t="shared" si="215"/>
        <v>1307515.0619731199</v>
      </c>
      <c r="CW59" s="60">
        <f t="shared" si="216"/>
        <v>385508.32319999998</v>
      </c>
      <c r="CX59" s="59">
        <f t="shared" si="217"/>
        <v>1274413.4148345599</v>
      </c>
      <c r="CY59" s="60">
        <f t="shared" si="218"/>
        <v>375495.12</v>
      </c>
      <c r="CZ59" s="59">
        <f t="shared" si="219"/>
        <v>1241311.7676959999</v>
      </c>
      <c r="DA59" s="55">
        <f t="shared" si="220"/>
        <v>365481.91679999995</v>
      </c>
      <c r="DB59" s="59">
        <f t="shared" si="221"/>
        <v>1208210.1205574397</v>
      </c>
      <c r="DC59" s="60">
        <f t="shared" si="222"/>
        <v>355468.71359999996</v>
      </c>
      <c r="DD59" s="59">
        <f t="shared" si="223"/>
        <v>1175108.4734188798</v>
      </c>
      <c r="DE59" s="60">
        <f t="shared" si="224"/>
        <v>345455.51039999991</v>
      </c>
      <c r="DF59" s="59">
        <f t="shared" si="225"/>
        <v>1142006.8262803198</v>
      </c>
      <c r="DG59" s="60">
        <f t="shared" si="226"/>
        <v>335442.30719999992</v>
      </c>
      <c r="DH59" s="59">
        <f t="shared" si="227"/>
        <v>1108905.1791417599</v>
      </c>
      <c r="DI59" s="60">
        <f t="shared" si="228"/>
        <v>325429.10399999993</v>
      </c>
      <c r="DJ59" s="59">
        <f t="shared" si="229"/>
        <v>1075803.5320031999</v>
      </c>
      <c r="DK59" s="55">
        <f t="shared" si="230"/>
        <v>315415.90079999989</v>
      </c>
      <c r="DL59" s="59">
        <f t="shared" si="231"/>
        <v>1042701.8848646396</v>
      </c>
      <c r="DM59" s="60">
        <f t="shared" si="232"/>
        <v>305402.6975999999</v>
      </c>
      <c r="DN59" s="59">
        <f t="shared" si="233"/>
        <v>1009600.2377260796</v>
      </c>
      <c r="DO59" s="60">
        <f t="shared" si="234"/>
        <v>295389.49439999991</v>
      </c>
      <c r="DP59" s="59">
        <f t="shared" si="235"/>
        <v>976498.59058751969</v>
      </c>
      <c r="DQ59" s="55">
        <f t="shared" si="236"/>
        <v>285376.29119999986</v>
      </c>
      <c r="DR59" s="59">
        <f t="shared" si="237"/>
        <v>943396.94344895962</v>
      </c>
      <c r="DU59" s="55">
        <v>1</v>
      </c>
      <c r="DV59" s="55">
        <v>0.97</v>
      </c>
      <c r="DW59" s="55">
        <v>0.95</v>
      </c>
      <c r="DX59" s="55">
        <v>0.93</v>
      </c>
      <c r="DY59" s="55">
        <f t="shared" si="287"/>
        <v>0.91</v>
      </c>
      <c r="DZ59" s="55">
        <f t="shared" si="287"/>
        <v>0.89</v>
      </c>
      <c r="EA59" s="55">
        <f t="shared" si="287"/>
        <v>0.87</v>
      </c>
      <c r="EB59" s="55">
        <f t="shared" si="287"/>
        <v>0.85</v>
      </c>
      <c r="EC59" s="55">
        <f t="shared" si="287"/>
        <v>0.83</v>
      </c>
      <c r="ED59" s="55">
        <f t="shared" si="287"/>
        <v>0.80999999999999994</v>
      </c>
      <c r="EE59" s="55">
        <f t="shared" si="287"/>
        <v>0.78999999999999992</v>
      </c>
      <c r="EF59" s="55">
        <f t="shared" si="287"/>
        <v>0.76999999999999991</v>
      </c>
      <c r="EG59" s="55">
        <f t="shared" si="287"/>
        <v>0.74999999999999989</v>
      </c>
      <c r="EH59" s="55">
        <f t="shared" si="287"/>
        <v>0.72999999999999987</v>
      </c>
      <c r="EI59" s="55">
        <f t="shared" si="287"/>
        <v>0.70999999999999985</v>
      </c>
      <c r="EJ59" s="55">
        <f t="shared" si="287"/>
        <v>0.68999999999999984</v>
      </c>
      <c r="EK59" s="55">
        <f t="shared" si="287"/>
        <v>0.66999999999999982</v>
      </c>
      <c r="EL59" s="55">
        <f t="shared" si="287"/>
        <v>0.6499999999999998</v>
      </c>
      <c r="EM59" s="55">
        <f t="shared" si="287"/>
        <v>0.62999999999999978</v>
      </c>
      <c r="EN59" s="55">
        <f t="shared" si="287"/>
        <v>0.60999999999999976</v>
      </c>
      <c r="EO59" s="55">
        <f t="shared" si="287"/>
        <v>0.58999999999999975</v>
      </c>
      <c r="EP59" s="55">
        <f t="shared" si="287"/>
        <v>0.56999999999999973</v>
      </c>
      <c r="ER59" s="55">
        <f t="shared" si="142"/>
        <v>455600.74560000002</v>
      </c>
      <c r="ES59" s="55">
        <f t="shared" si="116"/>
        <v>455600.74560000002</v>
      </c>
      <c r="ET59" s="59">
        <f t="shared" si="239"/>
        <v>1506124.9448044801</v>
      </c>
      <c r="EU59" s="55">
        <f t="shared" si="240"/>
        <v>441932.72323200002</v>
      </c>
      <c r="EV59" s="59">
        <f t="shared" si="241"/>
        <v>1460941.1964603458</v>
      </c>
      <c r="EW59" s="55">
        <f t="shared" si="242"/>
        <v>432820.70831999998</v>
      </c>
      <c r="EX59" s="59">
        <f t="shared" si="243"/>
        <v>1430818.6975642559</v>
      </c>
      <c r="EY59" s="55">
        <f t="shared" si="244"/>
        <v>423708.69340800005</v>
      </c>
      <c r="EZ59" s="59">
        <f t="shared" si="245"/>
        <v>1400696.1986681665</v>
      </c>
      <c r="FA59" s="57">
        <f t="shared" si="246"/>
        <v>414596.67849600001</v>
      </c>
      <c r="FB59" s="59">
        <f t="shared" si="247"/>
        <v>1370573.6997720769</v>
      </c>
      <c r="FC59" s="55">
        <f t="shared" si="248"/>
        <v>405484.66358400002</v>
      </c>
      <c r="FD59" s="59">
        <f t="shared" si="249"/>
        <v>1340451.2008759873</v>
      </c>
      <c r="FE59" s="57">
        <f t="shared" si="250"/>
        <v>396372.64867200004</v>
      </c>
      <c r="FF59" s="59">
        <f t="shared" si="251"/>
        <v>1310328.7019798977</v>
      </c>
      <c r="FG59" s="60">
        <f t="shared" si="252"/>
        <v>387260.63376</v>
      </c>
      <c r="FH59" s="59">
        <f t="shared" si="253"/>
        <v>1280206.2030838081</v>
      </c>
      <c r="FI59" s="57">
        <f t="shared" si="254"/>
        <v>378148.61884800001</v>
      </c>
      <c r="FJ59" s="59">
        <f t="shared" si="255"/>
        <v>1250083.7041877185</v>
      </c>
      <c r="FK59" s="55">
        <f t="shared" si="256"/>
        <v>369036.60393599997</v>
      </c>
      <c r="FL59" s="59">
        <f t="shared" si="257"/>
        <v>1219961.2052916288</v>
      </c>
      <c r="FM59" s="60">
        <f t="shared" si="258"/>
        <v>359924.58902399999</v>
      </c>
      <c r="FN59" s="59">
        <f t="shared" si="259"/>
        <v>1189838.7063955392</v>
      </c>
      <c r="FO59" s="60">
        <f t="shared" si="260"/>
        <v>350812.574112</v>
      </c>
      <c r="FP59" s="59">
        <f t="shared" si="261"/>
        <v>1159716.2074994496</v>
      </c>
      <c r="FQ59" s="60">
        <f t="shared" si="262"/>
        <v>341700.55919999996</v>
      </c>
      <c r="FR59" s="59">
        <f t="shared" si="263"/>
        <v>1129593.70860336</v>
      </c>
      <c r="FS59" s="55">
        <f t="shared" si="264"/>
        <v>332588.54428799998</v>
      </c>
      <c r="FT59" s="59">
        <f t="shared" si="265"/>
        <v>1099471.2097072704</v>
      </c>
      <c r="FU59" s="60">
        <f t="shared" si="266"/>
        <v>323476.52937599993</v>
      </c>
      <c r="FV59" s="59">
        <f t="shared" si="267"/>
        <v>1069348.7108111805</v>
      </c>
      <c r="FW59" s="60">
        <f t="shared" si="268"/>
        <v>314364.51446399995</v>
      </c>
      <c r="FX59" s="59">
        <f t="shared" si="269"/>
        <v>1039226.211915091</v>
      </c>
      <c r="FY59" s="60">
        <f t="shared" si="270"/>
        <v>305252.49955199991</v>
      </c>
      <c r="FZ59" s="59">
        <f t="shared" si="271"/>
        <v>1009103.7130190013</v>
      </c>
      <c r="GA59" s="60">
        <f t="shared" si="272"/>
        <v>296140.48463999992</v>
      </c>
      <c r="GB59" s="59">
        <f t="shared" si="273"/>
        <v>978981.2141229118</v>
      </c>
      <c r="GC59" s="55">
        <f t="shared" si="274"/>
        <v>287028.46972799994</v>
      </c>
      <c r="GD59" s="59">
        <f t="shared" si="275"/>
        <v>948858.71522682218</v>
      </c>
      <c r="GE59" s="60">
        <f t="shared" si="276"/>
        <v>277916.4548159999</v>
      </c>
      <c r="GF59" s="59">
        <f t="shared" si="277"/>
        <v>918736.21633073245</v>
      </c>
      <c r="GG59" s="60">
        <f t="shared" si="278"/>
        <v>268804.43990399991</v>
      </c>
      <c r="GH59" s="59">
        <f t="shared" si="279"/>
        <v>888613.71743464295</v>
      </c>
      <c r="GI59" s="55">
        <f t="shared" si="280"/>
        <v>259692.4249919999</v>
      </c>
      <c r="GJ59" s="59">
        <f t="shared" si="281"/>
        <v>858491.21853855334</v>
      </c>
      <c r="GK59" s="55"/>
      <c r="GL59" s="55"/>
      <c r="GM59" s="55">
        <v>1</v>
      </c>
      <c r="GN59" s="55">
        <v>0.97</v>
      </c>
      <c r="GO59" s="55">
        <v>0.95</v>
      </c>
      <c r="GP59" s="55">
        <v>0.93</v>
      </c>
      <c r="GQ59" s="55">
        <f t="shared" si="288"/>
        <v>0.91</v>
      </c>
      <c r="GR59" s="55">
        <f t="shared" si="288"/>
        <v>0.89</v>
      </c>
      <c r="GS59" s="55">
        <f t="shared" si="288"/>
        <v>0.87</v>
      </c>
      <c r="GT59" s="55">
        <f t="shared" si="288"/>
        <v>0.85</v>
      </c>
      <c r="GU59" s="55">
        <f t="shared" si="288"/>
        <v>0.83</v>
      </c>
      <c r="GV59" s="55">
        <f t="shared" si="288"/>
        <v>0.80999999999999994</v>
      </c>
      <c r="GW59" s="55">
        <f t="shared" si="288"/>
        <v>0.78999999999999992</v>
      </c>
      <c r="GX59" s="55">
        <f t="shared" si="288"/>
        <v>0.76999999999999991</v>
      </c>
      <c r="GY59" s="55">
        <f t="shared" si="288"/>
        <v>0.74999999999999989</v>
      </c>
      <c r="GZ59" s="55">
        <f t="shared" si="288"/>
        <v>0.72999999999999987</v>
      </c>
      <c r="HA59" s="55">
        <f t="shared" si="288"/>
        <v>0.70999999999999985</v>
      </c>
      <c r="HB59" s="55">
        <f t="shared" si="288"/>
        <v>0.68999999999999984</v>
      </c>
      <c r="HC59" s="55">
        <f t="shared" si="288"/>
        <v>0.66999999999999982</v>
      </c>
      <c r="HD59" s="55">
        <f t="shared" si="288"/>
        <v>0.6499999999999998</v>
      </c>
      <c r="HE59" s="55">
        <f t="shared" si="288"/>
        <v>0.62999999999999978</v>
      </c>
      <c r="HF59" s="55">
        <f t="shared" si="288"/>
        <v>0.60999999999999976</v>
      </c>
      <c r="HG59" s="55">
        <f t="shared" si="288"/>
        <v>0.58999999999999975</v>
      </c>
      <c r="HH59" s="55">
        <f t="shared" si="288"/>
        <v>0.56999999999999973</v>
      </c>
    </row>
    <row r="60" spans="1:216" x14ac:dyDescent="0.3">
      <c r="A60" s="2">
        <v>21</v>
      </c>
      <c r="C60" s="27" t="s">
        <v>112</v>
      </c>
      <c r="D60" s="39">
        <f>SUM(D40:D59)</f>
        <v>858950</v>
      </c>
      <c r="E60" s="39">
        <f>SUM(E40:E59)</f>
        <v>2839450</v>
      </c>
      <c r="H60" s="55">
        <f t="shared" si="61"/>
        <v>3123395.0000000005</v>
      </c>
      <c r="I60" s="55">
        <f t="shared" si="62"/>
        <v>3123395.0000000005</v>
      </c>
      <c r="J60" s="59">
        <f t="shared" si="63"/>
        <v>10325319.191000002</v>
      </c>
      <c r="K60" s="55">
        <f t="shared" si="153"/>
        <v>3029693.1500000004</v>
      </c>
      <c r="L60" s="59">
        <f t="shared" si="154"/>
        <v>10015559.615270002</v>
      </c>
      <c r="M60" s="55">
        <f t="shared" si="155"/>
        <v>2967225.2500000005</v>
      </c>
      <c r="N60" s="59">
        <f t="shared" si="156"/>
        <v>9809053.2314500026</v>
      </c>
      <c r="O60" s="55">
        <f t="shared" si="157"/>
        <v>2904757.3500000006</v>
      </c>
      <c r="P60" s="59">
        <f t="shared" si="158"/>
        <v>9602546.8476300016</v>
      </c>
      <c r="Q60" s="57">
        <f t="shared" si="159"/>
        <v>2842289.4500000007</v>
      </c>
      <c r="R60" s="59">
        <f t="shared" si="160"/>
        <v>9396040.4638100024</v>
      </c>
      <c r="S60" s="55">
        <f t="shared" si="161"/>
        <v>2779821.5500000003</v>
      </c>
      <c r="T60" s="59">
        <f t="shared" si="162"/>
        <v>9189534.0799900014</v>
      </c>
      <c r="U60" s="57">
        <f t="shared" si="163"/>
        <v>2717353.6500000004</v>
      </c>
      <c r="V60" s="59">
        <f t="shared" si="164"/>
        <v>8983027.6961700022</v>
      </c>
      <c r="W60" s="60">
        <f t="shared" si="165"/>
        <v>2654885.7500000005</v>
      </c>
      <c r="X60" s="59">
        <f t="shared" si="166"/>
        <v>8776521.3123500012</v>
      </c>
      <c r="Y60" s="57">
        <f t="shared" si="167"/>
        <v>2592417.85</v>
      </c>
      <c r="Z60" s="59">
        <f t="shared" si="168"/>
        <v>8570014.9285300002</v>
      </c>
      <c r="AA60" s="55">
        <f t="shared" si="169"/>
        <v>2529949.9500000002</v>
      </c>
      <c r="AB60" s="59">
        <f t="shared" si="170"/>
        <v>8363508.544710001</v>
      </c>
      <c r="AC60" s="60">
        <f t="shared" si="171"/>
        <v>2467482.0500000003</v>
      </c>
      <c r="AD60" s="59">
        <f t="shared" si="172"/>
        <v>8157002.1608900009</v>
      </c>
      <c r="AE60" s="60">
        <f t="shared" si="173"/>
        <v>2405014.15</v>
      </c>
      <c r="AF60" s="59">
        <f t="shared" si="174"/>
        <v>7950495.7770699998</v>
      </c>
      <c r="AG60" s="60">
        <f t="shared" si="175"/>
        <v>2342546.25</v>
      </c>
      <c r="AH60" s="59">
        <f t="shared" si="176"/>
        <v>7743989.3932499997</v>
      </c>
      <c r="AI60" s="55">
        <f t="shared" si="177"/>
        <v>2280078.35</v>
      </c>
      <c r="AJ60" s="59">
        <f t="shared" si="178"/>
        <v>7537483.0094300006</v>
      </c>
      <c r="AK60" s="60">
        <f t="shared" si="179"/>
        <v>2217610.4499999997</v>
      </c>
      <c r="AL60" s="59">
        <f t="shared" si="180"/>
        <v>7330976.6256099995</v>
      </c>
      <c r="AM60" s="60">
        <f t="shared" si="181"/>
        <v>2155142.5499999998</v>
      </c>
      <c r="AN60" s="59">
        <f t="shared" si="182"/>
        <v>7124470.2417899994</v>
      </c>
      <c r="AO60" s="60">
        <f t="shared" si="183"/>
        <v>2092674.6499999997</v>
      </c>
      <c r="AP60" s="59">
        <f t="shared" si="184"/>
        <v>6917963.8579699993</v>
      </c>
      <c r="AQ60" s="60">
        <f t="shared" si="185"/>
        <v>2030206.7499999998</v>
      </c>
      <c r="AR60" s="59">
        <f t="shared" si="186"/>
        <v>6711457.4741499992</v>
      </c>
      <c r="AS60" s="55">
        <f t="shared" si="187"/>
        <v>1967738.8499999996</v>
      </c>
      <c r="AT60" s="59">
        <f t="shared" si="188"/>
        <v>6504951.0903299991</v>
      </c>
      <c r="AU60" s="60">
        <f t="shared" si="189"/>
        <v>1905270.9499999995</v>
      </c>
      <c r="AV60" s="59">
        <f t="shared" si="190"/>
        <v>6298444.7065099981</v>
      </c>
      <c r="AW60" s="60">
        <f t="shared" si="191"/>
        <v>1842803.0499999996</v>
      </c>
      <c r="AX60" s="59">
        <f t="shared" si="192"/>
        <v>6091938.3226899989</v>
      </c>
      <c r="AY60" s="55">
        <f t="shared" si="193"/>
        <v>1780335.1499999994</v>
      </c>
      <c r="AZ60" s="59">
        <f t="shared" si="194"/>
        <v>5885431.9388699979</v>
      </c>
      <c r="BC60" s="55">
        <v>1</v>
      </c>
      <c r="BD60" s="55">
        <v>0.97</v>
      </c>
      <c r="BE60" s="55">
        <v>0.95</v>
      </c>
      <c r="BF60" s="55">
        <v>0.93</v>
      </c>
      <c r="BG60" s="55">
        <f t="shared" si="284"/>
        <v>0.91</v>
      </c>
      <c r="BH60" s="55">
        <f t="shared" si="284"/>
        <v>0.89</v>
      </c>
      <c r="BI60" s="55">
        <f t="shared" si="284"/>
        <v>0.87</v>
      </c>
      <c r="BJ60" s="55">
        <f t="shared" si="284"/>
        <v>0.85</v>
      </c>
      <c r="BK60" s="55">
        <f t="shared" si="284"/>
        <v>0.83</v>
      </c>
      <c r="BL60" s="55">
        <f t="shared" si="284"/>
        <v>0.80999999999999994</v>
      </c>
      <c r="BM60" s="55">
        <f t="shared" si="284"/>
        <v>0.78999999999999992</v>
      </c>
      <c r="BN60" s="55">
        <f t="shared" si="284"/>
        <v>0.76999999999999991</v>
      </c>
      <c r="BO60" s="55">
        <f t="shared" si="284"/>
        <v>0.74999999999999989</v>
      </c>
      <c r="BP60" s="55">
        <f t="shared" si="284"/>
        <v>0.72999999999999987</v>
      </c>
      <c r="BQ60" s="55">
        <f t="shared" si="284"/>
        <v>0.70999999999999985</v>
      </c>
      <c r="BR60" s="55">
        <f t="shared" si="284"/>
        <v>0.68999999999999984</v>
      </c>
      <c r="BS60" s="55">
        <f t="shared" si="284"/>
        <v>0.66999999999999982</v>
      </c>
      <c r="BT60" s="55">
        <f t="shared" si="284"/>
        <v>0.6499999999999998</v>
      </c>
      <c r="BU60" s="55">
        <f t="shared" si="284"/>
        <v>0.62999999999999978</v>
      </c>
      <c r="BV60" s="55">
        <f t="shared" si="284"/>
        <v>0.60999999999999976</v>
      </c>
      <c r="BW60" s="55">
        <f t="shared" si="284"/>
        <v>0.58999999999999975</v>
      </c>
      <c r="BX60" s="55">
        <f t="shared" si="284"/>
        <v>0.56999999999999973</v>
      </c>
      <c r="BZ60" s="55">
        <f t="shared" si="88"/>
        <v>2842289.4500000007</v>
      </c>
      <c r="CA60" s="55">
        <f t="shared" si="89"/>
        <v>2842289.4500000007</v>
      </c>
      <c r="CB60" s="59">
        <f t="shared" si="195"/>
        <v>9396040.4638100024</v>
      </c>
      <c r="CC60" s="55">
        <f t="shared" si="196"/>
        <v>2757020.7665000004</v>
      </c>
      <c r="CD60" s="59">
        <f t="shared" si="197"/>
        <v>9114159.2498957012</v>
      </c>
      <c r="CE60" s="55">
        <f t="shared" si="198"/>
        <v>2700174.9775000005</v>
      </c>
      <c r="CF60" s="59">
        <f t="shared" si="199"/>
        <v>8926238.4406195022</v>
      </c>
      <c r="CG60" s="55">
        <f t="shared" si="200"/>
        <v>2643329.1885000006</v>
      </c>
      <c r="CH60" s="59">
        <f t="shared" si="201"/>
        <v>8738317.6313433014</v>
      </c>
      <c r="CI60" s="57">
        <f t="shared" si="202"/>
        <v>2586483.3995000008</v>
      </c>
      <c r="CJ60" s="59">
        <f t="shared" si="203"/>
        <v>8550396.8220671024</v>
      </c>
      <c r="CK60" s="55">
        <f t="shared" si="204"/>
        <v>2529637.6105000004</v>
      </c>
      <c r="CL60" s="59">
        <f t="shared" si="205"/>
        <v>8362476.0127909016</v>
      </c>
      <c r="CM60" s="57">
        <f t="shared" si="206"/>
        <v>2472791.8215000005</v>
      </c>
      <c r="CN60" s="59">
        <f t="shared" si="207"/>
        <v>8174555.2035147017</v>
      </c>
      <c r="CO60" s="60">
        <f t="shared" si="208"/>
        <v>2415946.0325000007</v>
      </c>
      <c r="CP60" s="59">
        <f t="shared" si="209"/>
        <v>7986634.3942385027</v>
      </c>
      <c r="CQ60" s="57">
        <f t="shared" si="210"/>
        <v>2359100.2435000003</v>
      </c>
      <c r="CR60" s="59">
        <f t="shared" si="211"/>
        <v>7798713.584962301</v>
      </c>
      <c r="CS60" s="55">
        <f t="shared" si="212"/>
        <v>2302254.4545000005</v>
      </c>
      <c r="CT60" s="59">
        <f t="shared" si="213"/>
        <v>7610792.775686102</v>
      </c>
      <c r="CU60" s="60">
        <f t="shared" si="214"/>
        <v>2245408.6655000001</v>
      </c>
      <c r="CV60" s="59">
        <f t="shared" si="215"/>
        <v>7422871.9664099002</v>
      </c>
      <c r="CW60" s="60">
        <f t="shared" si="216"/>
        <v>2188562.8765000002</v>
      </c>
      <c r="CX60" s="59">
        <f t="shared" si="217"/>
        <v>7234951.1571337013</v>
      </c>
      <c r="CY60" s="60">
        <f t="shared" si="218"/>
        <v>2131717.0875000004</v>
      </c>
      <c r="CZ60" s="59">
        <f t="shared" si="219"/>
        <v>7047030.3478575014</v>
      </c>
      <c r="DA60" s="55">
        <f t="shared" si="220"/>
        <v>2074871.2985</v>
      </c>
      <c r="DB60" s="59">
        <f t="shared" si="221"/>
        <v>6859109.5385813005</v>
      </c>
      <c r="DC60" s="60">
        <f t="shared" si="222"/>
        <v>2018025.5095000002</v>
      </c>
      <c r="DD60" s="59">
        <f t="shared" si="223"/>
        <v>6671188.7293051006</v>
      </c>
      <c r="DE60" s="60">
        <f t="shared" si="224"/>
        <v>1961179.7205000001</v>
      </c>
      <c r="DF60" s="59">
        <f t="shared" si="225"/>
        <v>6483267.9200289007</v>
      </c>
      <c r="DG60" s="60">
        <f t="shared" si="226"/>
        <v>1904333.9314999999</v>
      </c>
      <c r="DH60" s="59">
        <f t="shared" si="227"/>
        <v>6295347.1107526999</v>
      </c>
      <c r="DI60" s="60">
        <f t="shared" si="228"/>
        <v>1847488.1424999998</v>
      </c>
      <c r="DJ60" s="59">
        <f t="shared" si="229"/>
        <v>6107426.3014765</v>
      </c>
      <c r="DK60" s="55">
        <f t="shared" si="230"/>
        <v>1790642.3534999997</v>
      </c>
      <c r="DL60" s="59">
        <f t="shared" si="231"/>
        <v>5919505.4922002992</v>
      </c>
      <c r="DM60" s="60">
        <f t="shared" si="232"/>
        <v>1733796.5644999996</v>
      </c>
      <c r="DN60" s="59">
        <f t="shared" si="233"/>
        <v>5731584.6829240993</v>
      </c>
      <c r="DO60" s="60">
        <f t="shared" si="234"/>
        <v>1676950.7754999998</v>
      </c>
      <c r="DP60" s="59">
        <f t="shared" si="235"/>
        <v>5543663.8736478994</v>
      </c>
      <c r="DQ60" s="55">
        <f t="shared" si="236"/>
        <v>1620104.9864999996</v>
      </c>
      <c r="DR60" s="59">
        <f t="shared" si="237"/>
        <v>5355743.0643716985</v>
      </c>
      <c r="DU60" s="55">
        <v>1</v>
      </c>
      <c r="DV60" s="55">
        <v>0.97</v>
      </c>
      <c r="DW60" s="55">
        <v>0.95</v>
      </c>
      <c r="DX60" s="55">
        <v>0.93</v>
      </c>
      <c r="DY60" s="55">
        <f t="shared" si="287"/>
        <v>0.91</v>
      </c>
      <c r="DZ60" s="55">
        <f t="shared" si="287"/>
        <v>0.89</v>
      </c>
      <c r="EA60" s="55">
        <f t="shared" si="287"/>
        <v>0.87</v>
      </c>
      <c r="EB60" s="55">
        <f t="shared" si="287"/>
        <v>0.85</v>
      </c>
      <c r="EC60" s="55">
        <f t="shared" si="287"/>
        <v>0.83</v>
      </c>
      <c r="ED60" s="55">
        <f t="shared" si="287"/>
        <v>0.80999999999999994</v>
      </c>
      <c r="EE60" s="55">
        <f t="shared" si="287"/>
        <v>0.78999999999999992</v>
      </c>
      <c r="EF60" s="55">
        <f t="shared" si="287"/>
        <v>0.76999999999999991</v>
      </c>
      <c r="EG60" s="55">
        <f t="shared" si="287"/>
        <v>0.74999999999999989</v>
      </c>
      <c r="EH60" s="55">
        <f t="shared" si="287"/>
        <v>0.72999999999999987</v>
      </c>
      <c r="EI60" s="55">
        <f t="shared" si="287"/>
        <v>0.70999999999999985</v>
      </c>
      <c r="EJ60" s="55">
        <f t="shared" si="287"/>
        <v>0.68999999999999984</v>
      </c>
      <c r="EK60" s="55">
        <f t="shared" si="287"/>
        <v>0.66999999999999982</v>
      </c>
      <c r="EL60" s="55">
        <f t="shared" si="287"/>
        <v>0.6499999999999998</v>
      </c>
      <c r="EM60" s="55">
        <f t="shared" si="287"/>
        <v>0.62999999999999978</v>
      </c>
      <c r="EN60" s="55">
        <f t="shared" si="287"/>
        <v>0.60999999999999976</v>
      </c>
      <c r="EO60" s="55">
        <f t="shared" si="287"/>
        <v>0.58999999999999975</v>
      </c>
      <c r="EP60" s="55">
        <f t="shared" si="287"/>
        <v>0.56999999999999973</v>
      </c>
      <c r="ER60" s="55">
        <f t="shared" si="142"/>
        <v>2586483.3995000008</v>
      </c>
      <c r="ES60" s="55">
        <f t="shared" si="116"/>
        <v>2586483.3995000008</v>
      </c>
      <c r="ET60" s="59">
        <f t="shared" si="239"/>
        <v>8550396.8220671024</v>
      </c>
      <c r="EU60" s="55">
        <f t="shared" si="240"/>
        <v>2508888.8975150008</v>
      </c>
      <c r="EV60" s="59">
        <f t="shared" si="241"/>
        <v>8293884.9174050894</v>
      </c>
      <c r="EW60" s="55">
        <f t="shared" si="242"/>
        <v>2457159.2295250008</v>
      </c>
      <c r="EX60" s="59">
        <f t="shared" si="243"/>
        <v>8122876.9809637479</v>
      </c>
      <c r="EY60" s="55">
        <f t="shared" si="244"/>
        <v>2405429.5615350008</v>
      </c>
      <c r="EZ60" s="59">
        <f t="shared" si="245"/>
        <v>7951869.0445224056</v>
      </c>
      <c r="FA60" s="57">
        <f t="shared" si="246"/>
        <v>2353699.8935450008</v>
      </c>
      <c r="FB60" s="59">
        <f t="shared" si="247"/>
        <v>7780861.1080810642</v>
      </c>
      <c r="FC60" s="55">
        <f t="shared" si="248"/>
        <v>2301970.2255550008</v>
      </c>
      <c r="FD60" s="59">
        <f t="shared" si="249"/>
        <v>7609853.1716397218</v>
      </c>
      <c r="FE60" s="57">
        <f t="shared" si="250"/>
        <v>2250240.5575650008</v>
      </c>
      <c r="FF60" s="59">
        <f t="shared" si="251"/>
        <v>7438845.2351983795</v>
      </c>
      <c r="FG60" s="60">
        <f t="shared" si="252"/>
        <v>2198510.8895750004</v>
      </c>
      <c r="FH60" s="59">
        <f t="shared" si="253"/>
        <v>7267837.2987570362</v>
      </c>
      <c r="FI60" s="57">
        <f t="shared" si="254"/>
        <v>2146781.2215850004</v>
      </c>
      <c r="FJ60" s="59">
        <f t="shared" si="255"/>
        <v>7096829.3623156948</v>
      </c>
      <c r="FK60" s="55">
        <f t="shared" si="256"/>
        <v>2095051.5535950004</v>
      </c>
      <c r="FL60" s="59">
        <f t="shared" si="257"/>
        <v>6925821.4258743525</v>
      </c>
      <c r="FM60" s="60">
        <f t="shared" si="258"/>
        <v>2043321.8856050004</v>
      </c>
      <c r="FN60" s="59">
        <f t="shared" si="259"/>
        <v>6754813.4894330101</v>
      </c>
      <c r="FO60" s="60">
        <f t="shared" si="260"/>
        <v>1991592.2176150004</v>
      </c>
      <c r="FP60" s="59">
        <f t="shared" si="261"/>
        <v>6583805.5529916687</v>
      </c>
      <c r="FQ60" s="60">
        <f t="shared" si="262"/>
        <v>1939862.5496250002</v>
      </c>
      <c r="FR60" s="59">
        <f t="shared" si="263"/>
        <v>6412797.6165503254</v>
      </c>
      <c r="FS60" s="55">
        <f t="shared" si="264"/>
        <v>1888132.8816350002</v>
      </c>
      <c r="FT60" s="59">
        <f t="shared" si="265"/>
        <v>6241789.680108984</v>
      </c>
      <c r="FU60" s="60">
        <f t="shared" si="266"/>
        <v>1836403.2136450002</v>
      </c>
      <c r="FV60" s="59">
        <f t="shared" si="267"/>
        <v>6070781.7436676417</v>
      </c>
      <c r="FW60" s="60">
        <f t="shared" si="268"/>
        <v>1784673.545655</v>
      </c>
      <c r="FX60" s="59">
        <f t="shared" si="269"/>
        <v>5899773.8072262993</v>
      </c>
      <c r="FY60" s="60">
        <f t="shared" si="270"/>
        <v>1732943.877665</v>
      </c>
      <c r="FZ60" s="59">
        <f t="shared" si="271"/>
        <v>5728765.870784957</v>
      </c>
      <c r="GA60" s="60">
        <f t="shared" si="272"/>
        <v>1681214.209675</v>
      </c>
      <c r="GB60" s="59">
        <f t="shared" si="273"/>
        <v>5557757.9343436155</v>
      </c>
      <c r="GC60" s="55">
        <f t="shared" si="274"/>
        <v>1629484.5416849998</v>
      </c>
      <c r="GD60" s="59">
        <f t="shared" si="275"/>
        <v>5386749.9979022723</v>
      </c>
      <c r="GE60" s="60">
        <f t="shared" si="276"/>
        <v>1577754.8736949998</v>
      </c>
      <c r="GF60" s="59">
        <f t="shared" si="277"/>
        <v>5215742.0614609309</v>
      </c>
      <c r="GG60" s="60">
        <f t="shared" si="278"/>
        <v>1526025.2057049999</v>
      </c>
      <c r="GH60" s="59">
        <f t="shared" si="279"/>
        <v>5044734.1250195885</v>
      </c>
      <c r="GI60" s="55">
        <f t="shared" si="280"/>
        <v>1474295.5377149996</v>
      </c>
      <c r="GJ60" s="59">
        <f t="shared" si="281"/>
        <v>4873726.1885782462</v>
      </c>
      <c r="GK60" s="55"/>
      <c r="GL60" s="55"/>
      <c r="GM60" s="55">
        <v>1</v>
      </c>
      <c r="GN60" s="55">
        <v>0.97</v>
      </c>
      <c r="GO60" s="55">
        <v>0.95</v>
      </c>
      <c r="GP60" s="55">
        <v>0.93</v>
      </c>
      <c r="GQ60" s="55">
        <f t="shared" si="288"/>
        <v>0.91</v>
      </c>
      <c r="GR60" s="55">
        <f t="shared" si="288"/>
        <v>0.89</v>
      </c>
      <c r="GS60" s="55">
        <f t="shared" si="288"/>
        <v>0.87</v>
      </c>
      <c r="GT60" s="55">
        <f t="shared" si="288"/>
        <v>0.85</v>
      </c>
      <c r="GU60" s="55">
        <f t="shared" si="288"/>
        <v>0.83</v>
      </c>
      <c r="GV60" s="55">
        <f t="shared" si="288"/>
        <v>0.80999999999999994</v>
      </c>
      <c r="GW60" s="55">
        <f t="shared" si="288"/>
        <v>0.78999999999999992</v>
      </c>
      <c r="GX60" s="55">
        <f t="shared" si="288"/>
        <v>0.76999999999999991</v>
      </c>
      <c r="GY60" s="55">
        <f t="shared" si="288"/>
        <v>0.74999999999999989</v>
      </c>
      <c r="GZ60" s="55">
        <f t="shared" si="288"/>
        <v>0.72999999999999987</v>
      </c>
      <c r="HA60" s="55">
        <f t="shared" si="288"/>
        <v>0.70999999999999985</v>
      </c>
      <c r="HB60" s="55">
        <f t="shared" si="288"/>
        <v>0.68999999999999984</v>
      </c>
      <c r="HC60" s="55">
        <f t="shared" si="288"/>
        <v>0.66999999999999982</v>
      </c>
      <c r="HD60" s="55">
        <f t="shared" si="288"/>
        <v>0.6499999999999998</v>
      </c>
      <c r="HE60" s="55">
        <f t="shared" si="288"/>
        <v>0.62999999999999978</v>
      </c>
      <c r="HF60" s="55">
        <f t="shared" si="288"/>
        <v>0.60999999999999976</v>
      </c>
      <c r="HG60" s="55">
        <f t="shared" si="288"/>
        <v>0.58999999999999975</v>
      </c>
      <c r="HH60" s="55">
        <f t="shared" si="288"/>
        <v>0.56999999999999973</v>
      </c>
    </row>
    <row r="61" spans="1:216" s="64" customFormat="1" x14ac:dyDescent="0.3">
      <c r="C61" s="65"/>
      <c r="D61" s="65"/>
      <c r="E61" s="65"/>
      <c r="G61" s="61"/>
      <c r="H61" s="61"/>
      <c r="I61" s="61"/>
      <c r="J61" s="61"/>
      <c r="K61" s="61"/>
      <c r="L61" s="61"/>
      <c r="M61" s="61"/>
      <c r="N61" s="61"/>
      <c r="O61" s="61"/>
      <c r="P61" s="62"/>
      <c r="Q61" s="61"/>
      <c r="R61" s="61"/>
      <c r="S61" s="61"/>
      <c r="T61" s="62"/>
      <c r="U61" s="61"/>
      <c r="V61" s="63"/>
      <c r="W61" s="61"/>
      <c r="X61" s="62"/>
      <c r="Y61" s="61"/>
      <c r="Z61" s="61"/>
      <c r="AA61" s="61"/>
      <c r="AB61" s="63"/>
      <c r="AC61" s="61"/>
      <c r="AD61" s="63"/>
      <c r="AE61" s="61"/>
      <c r="AF61" s="63"/>
      <c r="AG61" s="61"/>
      <c r="AH61" s="61"/>
      <c r="AI61" s="61"/>
      <c r="AJ61" s="63"/>
      <c r="AK61" s="61"/>
      <c r="AL61" s="63"/>
      <c r="AM61" s="61"/>
      <c r="AN61" s="63"/>
      <c r="AO61" s="61"/>
      <c r="AP61" s="63"/>
      <c r="AQ61" s="61"/>
      <c r="AR61" s="61"/>
      <c r="AS61" s="61"/>
      <c r="AT61" s="63"/>
      <c r="AU61" s="61"/>
      <c r="AV61" s="63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>
        <f t="shared" ref="BY61:BY62" si="289">+G61*0.91</f>
        <v>0</v>
      </c>
      <c r="BZ61" s="61"/>
      <c r="CA61" s="61"/>
      <c r="CB61" s="61"/>
      <c r="CC61" s="61"/>
      <c r="CD61" s="61"/>
      <c r="CE61" s="61"/>
      <c r="CF61" s="61"/>
      <c r="CG61" s="61"/>
      <c r="CH61" s="62"/>
      <c r="CI61" s="61"/>
      <c r="CJ61" s="61"/>
      <c r="CK61" s="61"/>
      <c r="CL61" s="62"/>
      <c r="CM61" s="61"/>
      <c r="CN61" s="63"/>
      <c r="CO61" s="61"/>
      <c r="CP61" s="62"/>
      <c r="CQ61" s="61"/>
      <c r="CR61" s="61"/>
      <c r="CS61" s="61"/>
      <c r="CT61" s="63"/>
      <c r="CU61" s="61"/>
      <c r="CV61" s="63"/>
      <c r="CW61" s="61"/>
      <c r="CX61" s="63"/>
      <c r="CY61" s="61"/>
      <c r="CZ61" s="61"/>
      <c r="DA61" s="61"/>
      <c r="DB61" s="63"/>
      <c r="DC61" s="61"/>
      <c r="DD61" s="63"/>
      <c r="DE61" s="61"/>
      <c r="DF61" s="63"/>
      <c r="DG61" s="61"/>
      <c r="DH61" s="63"/>
      <c r="DI61" s="61"/>
      <c r="DJ61" s="61"/>
      <c r="DK61" s="61"/>
      <c r="DL61" s="63"/>
      <c r="DM61" s="61"/>
      <c r="DN61" s="63"/>
      <c r="DO61" s="61"/>
      <c r="DP61" s="61"/>
      <c r="DQ61" s="61"/>
      <c r="DR61" s="61"/>
      <c r="DS61" s="61"/>
      <c r="DT61" s="61">
        <v>1</v>
      </c>
      <c r="DU61" s="61">
        <v>0.97</v>
      </c>
      <c r="DV61" s="61">
        <v>0.95</v>
      </c>
      <c r="DW61" s="61">
        <v>0.93</v>
      </c>
      <c r="DX61" s="61">
        <f t="shared" ref="DX61:EO62" si="290">+DW61-0.02</f>
        <v>0.91</v>
      </c>
      <c r="DY61" s="61">
        <f t="shared" si="290"/>
        <v>0.89</v>
      </c>
      <c r="DZ61" s="61">
        <f t="shared" si="290"/>
        <v>0.87</v>
      </c>
      <c r="EA61" s="61">
        <f t="shared" si="290"/>
        <v>0.85</v>
      </c>
      <c r="EB61" s="61">
        <f t="shared" si="290"/>
        <v>0.83</v>
      </c>
      <c r="EC61" s="61">
        <f t="shared" si="290"/>
        <v>0.80999999999999994</v>
      </c>
      <c r="ED61" s="61">
        <f t="shared" si="290"/>
        <v>0.78999999999999992</v>
      </c>
      <c r="EE61" s="61">
        <f t="shared" si="290"/>
        <v>0.76999999999999991</v>
      </c>
      <c r="EF61" s="61">
        <f t="shared" si="290"/>
        <v>0.74999999999999989</v>
      </c>
      <c r="EG61" s="61">
        <f t="shared" si="290"/>
        <v>0.72999999999999987</v>
      </c>
      <c r="EH61" s="61">
        <f t="shared" si="290"/>
        <v>0.70999999999999985</v>
      </c>
      <c r="EI61" s="61">
        <f t="shared" si="290"/>
        <v>0.68999999999999984</v>
      </c>
      <c r="EJ61" s="61">
        <f t="shared" si="290"/>
        <v>0.66999999999999982</v>
      </c>
      <c r="EK61" s="61">
        <f t="shared" si="290"/>
        <v>0.6499999999999998</v>
      </c>
      <c r="EL61" s="61">
        <f t="shared" si="290"/>
        <v>0.62999999999999978</v>
      </c>
      <c r="EM61" s="61">
        <f t="shared" si="290"/>
        <v>0.60999999999999976</v>
      </c>
      <c r="EN61" s="61">
        <f t="shared" si="290"/>
        <v>0.58999999999999975</v>
      </c>
      <c r="EO61" s="61">
        <f t="shared" si="290"/>
        <v>0.56999999999999973</v>
      </c>
      <c r="EQ61" s="61">
        <f t="shared" ref="EQ61:EQ62" si="291">+BY61*0.91</f>
        <v>0</v>
      </c>
      <c r="ER61" s="61"/>
      <c r="ES61" s="61"/>
      <c r="ET61" s="61"/>
      <c r="EU61" s="61"/>
      <c r="EV61" s="61"/>
      <c r="EW61" s="61"/>
      <c r="EX61" s="61"/>
      <c r="EY61" s="61"/>
      <c r="EZ61" s="62"/>
      <c r="FA61" s="61"/>
      <c r="FB61" s="61"/>
      <c r="FC61" s="61"/>
      <c r="FD61" s="62"/>
      <c r="FE61" s="61"/>
      <c r="FF61" s="63"/>
      <c r="FG61" s="61"/>
      <c r="FH61" s="62"/>
      <c r="FI61" s="61"/>
      <c r="FJ61" s="61"/>
      <c r="FK61" s="61"/>
      <c r="FL61" s="63"/>
      <c r="FM61" s="61"/>
      <c r="FN61" s="63"/>
      <c r="FO61" s="61"/>
      <c r="FP61" s="63"/>
      <c r="FQ61" s="61"/>
      <c r="FR61" s="61"/>
      <c r="FS61" s="61"/>
      <c r="FT61" s="63"/>
      <c r="FU61" s="61"/>
      <c r="FV61" s="63"/>
      <c r="FW61" s="61"/>
      <c r="FX61" s="63"/>
      <c r="FY61" s="61"/>
      <c r="FZ61" s="63"/>
      <c r="GA61" s="61"/>
      <c r="GB61" s="61"/>
      <c r="GC61" s="61"/>
      <c r="GD61" s="63"/>
      <c r="GE61" s="61"/>
      <c r="GF61" s="63"/>
      <c r="GG61" s="61"/>
      <c r="GH61" s="61"/>
      <c r="GI61" s="61"/>
      <c r="GJ61" s="61"/>
      <c r="GK61" s="61"/>
      <c r="GL61" s="61">
        <v>1</v>
      </c>
      <c r="GM61" s="61">
        <v>0.97</v>
      </c>
      <c r="GN61" s="61">
        <v>0.95</v>
      </c>
      <c r="GO61" s="61">
        <v>0.93</v>
      </c>
      <c r="GP61" s="61">
        <f t="shared" ref="GP61:HG62" si="292">+GO61-0.02</f>
        <v>0.91</v>
      </c>
      <c r="GQ61" s="61">
        <f t="shared" si="292"/>
        <v>0.89</v>
      </c>
      <c r="GR61" s="61">
        <f t="shared" si="292"/>
        <v>0.87</v>
      </c>
      <c r="GS61" s="61">
        <f t="shared" si="292"/>
        <v>0.85</v>
      </c>
      <c r="GT61" s="61">
        <f t="shared" si="292"/>
        <v>0.83</v>
      </c>
      <c r="GU61" s="61">
        <f t="shared" si="292"/>
        <v>0.80999999999999994</v>
      </c>
      <c r="GV61" s="61">
        <f t="shared" si="292"/>
        <v>0.78999999999999992</v>
      </c>
      <c r="GW61" s="61">
        <f t="shared" si="292"/>
        <v>0.76999999999999991</v>
      </c>
      <c r="GX61" s="61">
        <f t="shared" si="292"/>
        <v>0.74999999999999989</v>
      </c>
      <c r="GY61" s="61">
        <f t="shared" si="292"/>
        <v>0.72999999999999987</v>
      </c>
      <c r="GZ61" s="61">
        <f t="shared" si="292"/>
        <v>0.70999999999999985</v>
      </c>
      <c r="HA61" s="61">
        <f t="shared" si="292"/>
        <v>0.68999999999999984</v>
      </c>
      <c r="HB61" s="61">
        <f t="shared" si="292"/>
        <v>0.66999999999999982</v>
      </c>
      <c r="HC61" s="61">
        <f t="shared" si="292"/>
        <v>0.6499999999999998</v>
      </c>
      <c r="HD61" s="61">
        <f t="shared" si="292"/>
        <v>0.62999999999999978</v>
      </c>
      <c r="HE61" s="61">
        <f t="shared" si="292"/>
        <v>0.60999999999999976</v>
      </c>
      <c r="HF61" s="61">
        <f t="shared" si="292"/>
        <v>0.58999999999999975</v>
      </c>
      <c r="HG61" s="61">
        <f t="shared" si="292"/>
        <v>0.56999999999999973</v>
      </c>
    </row>
    <row r="62" spans="1:216" s="64" customFormat="1" ht="17.25" thickBot="1" x14ac:dyDescent="0.35">
      <c r="B62" s="64" t="s">
        <v>294</v>
      </c>
      <c r="C62" s="64" t="s">
        <v>295</v>
      </c>
      <c r="D62" s="65" t="s">
        <v>292</v>
      </c>
      <c r="E62" s="65" t="s">
        <v>154</v>
      </c>
      <c r="G62" s="61"/>
      <c r="H62" s="61"/>
      <c r="I62" s="61"/>
      <c r="J62" s="61"/>
      <c r="K62" s="61"/>
      <c r="L62" s="61"/>
      <c r="M62" s="61"/>
      <c r="N62" s="61"/>
      <c r="O62" s="61"/>
      <c r="P62" s="62"/>
      <c r="Q62" s="61"/>
      <c r="R62" s="61"/>
      <c r="S62" s="61"/>
      <c r="T62" s="62"/>
      <c r="U62" s="61"/>
      <c r="V62" s="63"/>
      <c r="W62" s="61"/>
      <c r="X62" s="62"/>
      <c r="Y62" s="61"/>
      <c r="Z62" s="61"/>
      <c r="AA62" s="61"/>
      <c r="AB62" s="63"/>
      <c r="AC62" s="61"/>
      <c r="AD62" s="63"/>
      <c r="AE62" s="61"/>
      <c r="AF62" s="63"/>
      <c r="AG62" s="61"/>
      <c r="AH62" s="61"/>
      <c r="AI62" s="61"/>
      <c r="AJ62" s="63"/>
      <c r="AK62" s="61"/>
      <c r="AL62" s="63"/>
      <c r="AM62" s="61"/>
      <c r="AN62" s="63"/>
      <c r="AO62" s="61"/>
      <c r="AP62" s="63"/>
      <c r="AQ62" s="61"/>
      <c r="AR62" s="61"/>
      <c r="AS62" s="61"/>
      <c r="AT62" s="63"/>
      <c r="AU62" s="61"/>
      <c r="AV62" s="63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>
        <f t="shared" si="289"/>
        <v>0</v>
      </c>
      <c r="BZ62" s="61"/>
      <c r="CA62" s="61"/>
      <c r="CB62" s="61"/>
      <c r="CC62" s="61"/>
      <c r="CD62" s="61"/>
      <c r="CE62" s="61"/>
      <c r="CF62" s="61"/>
      <c r="CG62" s="61"/>
      <c r="CH62" s="62"/>
      <c r="CI62" s="61"/>
      <c r="CJ62" s="61"/>
      <c r="CK62" s="61"/>
      <c r="CL62" s="62"/>
      <c r="CM62" s="61"/>
      <c r="CN62" s="63"/>
      <c r="CO62" s="61"/>
      <c r="CP62" s="62"/>
      <c r="CQ62" s="61"/>
      <c r="CR62" s="61"/>
      <c r="CS62" s="61"/>
      <c r="CT62" s="63"/>
      <c r="CU62" s="61"/>
      <c r="CV62" s="63"/>
      <c r="CW62" s="61"/>
      <c r="CX62" s="63"/>
      <c r="CY62" s="61"/>
      <c r="CZ62" s="61"/>
      <c r="DA62" s="61"/>
      <c r="DB62" s="63"/>
      <c r="DC62" s="61"/>
      <c r="DD62" s="63"/>
      <c r="DE62" s="61"/>
      <c r="DF62" s="63"/>
      <c r="DG62" s="61"/>
      <c r="DH62" s="63"/>
      <c r="DI62" s="61"/>
      <c r="DJ62" s="61"/>
      <c r="DK62" s="61"/>
      <c r="DL62" s="63"/>
      <c r="DM62" s="61"/>
      <c r="DN62" s="63"/>
      <c r="DO62" s="61"/>
      <c r="DP62" s="61"/>
      <c r="DQ62" s="61"/>
      <c r="DR62" s="61"/>
      <c r="DS62" s="61"/>
      <c r="DT62" s="61">
        <v>1</v>
      </c>
      <c r="DU62" s="61">
        <v>0.97</v>
      </c>
      <c r="DV62" s="61">
        <v>0.95</v>
      </c>
      <c r="DW62" s="61">
        <v>0.93</v>
      </c>
      <c r="DX62" s="61">
        <f t="shared" si="290"/>
        <v>0.91</v>
      </c>
      <c r="DY62" s="61">
        <f t="shared" si="290"/>
        <v>0.89</v>
      </c>
      <c r="DZ62" s="61">
        <f t="shared" si="290"/>
        <v>0.87</v>
      </c>
      <c r="EA62" s="61">
        <f t="shared" si="290"/>
        <v>0.85</v>
      </c>
      <c r="EB62" s="61">
        <f t="shared" si="290"/>
        <v>0.83</v>
      </c>
      <c r="EC62" s="61">
        <f t="shared" si="290"/>
        <v>0.80999999999999994</v>
      </c>
      <c r="ED62" s="61">
        <f t="shared" si="290"/>
        <v>0.78999999999999992</v>
      </c>
      <c r="EE62" s="61">
        <f t="shared" si="290"/>
        <v>0.76999999999999991</v>
      </c>
      <c r="EF62" s="61">
        <f t="shared" si="290"/>
        <v>0.74999999999999989</v>
      </c>
      <c r="EG62" s="61">
        <f t="shared" si="290"/>
        <v>0.72999999999999987</v>
      </c>
      <c r="EH62" s="61">
        <f t="shared" si="290"/>
        <v>0.70999999999999985</v>
      </c>
      <c r="EI62" s="61">
        <f t="shared" si="290"/>
        <v>0.68999999999999984</v>
      </c>
      <c r="EJ62" s="61">
        <f t="shared" si="290"/>
        <v>0.66999999999999982</v>
      </c>
      <c r="EK62" s="61">
        <f t="shared" si="290"/>
        <v>0.6499999999999998</v>
      </c>
      <c r="EL62" s="61">
        <f t="shared" si="290"/>
        <v>0.62999999999999978</v>
      </c>
      <c r="EM62" s="61">
        <f t="shared" si="290"/>
        <v>0.60999999999999976</v>
      </c>
      <c r="EN62" s="61">
        <f t="shared" si="290"/>
        <v>0.58999999999999975</v>
      </c>
      <c r="EO62" s="61">
        <f t="shared" si="290"/>
        <v>0.56999999999999973</v>
      </c>
      <c r="EQ62" s="61">
        <f t="shared" si="291"/>
        <v>0</v>
      </c>
      <c r="ER62" s="61"/>
      <c r="ES62" s="61"/>
      <c r="ET62" s="61"/>
      <c r="EU62" s="61"/>
      <c r="EV62" s="61"/>
      <c r="EW62" s="61"/>
      <c r="EX62" s="61"/>
      <c r="EY62" s="61"/>
      <c r="EZ62" s="62"/>
      <c r="FA62" s="61"/>
      <c r="FB62" s="61"/>
      <c r="FC62" s="61"/>
      <c r="FD62" s="62"/>
      <c r="FE62" s="61"/>
      <c r="FF62" s="63"/>
      <c r="FG62" s="61"/>
      <c r="FH62" s="62"/>
      <c r="FI62" s="61"/>
      <c r="FJ62" s="61"/>
      <c r="FK62" s="61"/>
      <c r="FL62" s="63"/>
      <c r="FM62" s="61"/>
      <c r="FN62" s="63"/>
      <c r="FO62" s="61"/>
      <c r="FP62" s="63"/>
      <c r="FQ62" s="61"/>
      <c r="FR62" s="61"/>
      <c r="FS62" s="61"/>
      <c r="FT62" s="63"/>
      <c r="FU62" s="61"/>
      <c r="FV62" s="63"/>
      <c r="FW62" s="61"/>
      <c r="FX62" s="63"/>
      <c r="FY62" s="61"/>
      <c r="FZ62" s="63"/>
      <c r="GA62" s="61"/>
      <c r="GB62" s="61"/>
      <c r="GC62" s="61"/>
      <c r="GD62" s="63"/>
      <c r="GE62" s="61"/>
      <c r="GF62" s="63"/>
      <c r="GG62" s="61"/>
      <c r="GH62" s="61"/>
      <c r="GI62" s="61"/>
      <c r="GJ62" s="61"/>
      <c r="GK62" s="61"/>
      <c r="GL62" s="61">
        <v>1</v>
      </c>
      <c r="GM62" s="61">
        <v>0.97</v>
      </c>
      <c r="GN62" s="61">
        <v>0.95</v>
      </c>
      <c r="GO62" s="61">
        <v>0.93</v>
      </c>
      <c r="GP62" s="61">
        <f t="shared" si="292"/>
        <v>0.91</v>
      </c>
      <c r="GQ62" s="61">
        <f t="shared" si="292"/>
        <v>0.89</v>
      </c>
      <c r="GR62" s="61">
        <f t="shared" si="292"/>
        <v>0.87</v>
      </c>
      <c r="GS62" s="61">
        <f t="shared" si="292"/>
        <v>0.85</v>
      </c>
      <c r="GT62" s="61">
        <f t="shared" si="292"/>
        <v>0.83</v>
      </c>
      <c r="GU62" s="61">
        <f t="shared" si="292"/>
        <v>0.80999999999999994</v>
      </c>
      <c r="GV62" s="61">
        <f t="shared" si="292"/>
        <v>0.78999999999999992</v>
      </c>
      <c r="GW62" s="61">
        <f t="shared" si="292"/>
        <v>0.76999999999999991</v>
      </c>
      <c r="GX62" s="61">
        <f t="shared" si="292"/>
        <v>0.74999999999999989</v>
      </c>
      <c r="GY62" s="61">
        <f t="shared" si="292"/>
        <v>0.72999999999999987</v>
      </c>
      <c r="GZ62" s="61">
        <f t="shared" si="292"/>
        <v>0.70999999999999985</v>
      </c>
      <c r="HA62" s="61">
        <f t="shared" si="292"/>
        <v>0.68999999999999984</v>
      </c>
      <c r="HB62" s="61">
        <f t="shared" si="292"/>
        <v>0.66999999999999982</v>
      </c>
      <c r="HC62" s="61">
        <f t="shared" si="292"/>
        <v>0.6499999999999998</v>
      </c>
      <c r="HD62" s="61">
        <f t="shared" si="292"/>
        <v>0.62999999999999978</v>
      </c>
      <c r="HE62" s="61">
        <f t="shared" si="292"/>
        <v>0.60999999999999976</v>
      </c>
      <c r="HF62" s="61">
        <f t="shared" si="292"/>
        <v>0.58999999999999975</v>
      </c>
      <c r="HG62" s="61">
        <f t="shared" si="292"/>
        <v>0.56999999999999973</v>
      </c>
    </row>
    <row r="63" spans="1:216" x14ac:dyDescent="0.3">
      <c r="A63" s="2">
        <v>1</v>
      </c>
      <c r="C63" s="38" t="s">
        <v>27</v>
      </c>
      <c r="D63" s="40">
        <f>TRUNC(7251,-1)</f>
        <v>7250</v>
      </c>
      <c r="E63" s="70">
        <f>TRUNC(+D63*3.3058,-1)</f>
        <v>23960</v>
      </c>
      <c r="H63" s="55">
        <f t="shared" si="61"/>
        <v>26356.000000000004</v>
      </c>
      <c r="I63" s="55">
        <f t="shared" si="62"/>
        <v>26356.000000000004</v>
      </c>
      <c r="J63" s="59">
        <f t="shared" si="63"/>
        <v>87127.664800000013</v>
      </c>
      <c r="K63" s="55">
        <f t="shared" ref="K63:K66" si="293">+I63*BD63</f>
        <v>25565.320000000003</v>
      </c>
      <c r="L63" s="59">
        <f t="shared" ref="L63:L66" si="294">+K63*3.3058</f>
        <v>84513.834856000016</v>
      </c>
      <c r="M63" s="55">
        <f t="shared" ref="M63:M66" si="295">+I63*BE63</f>
        <v>25038.2</v>
      </c>
      <c r="N63" s="59">
        <f t="shared" ref="N63:N66" si="296">+M63*3.3058</f>
        <v>82771.281560000003</v>
      </c>
      <c r="O63" s="55">
        <f>+I63*BF63</f>
        <v>24511.080000000005</v>
      </c>
      <c r="P63" s="59">
        <f t="shared" ref="P63:P66" si="297">+O63*3.3058</f>
        <v>81028.728264000019</v>
      </c>
      <c r="Q63" s="57">
        <f>+I63*BG63</f>
        <v>23983.960000000003</v>
      </c>
      <c r="R63" s="59">
        <f t="shared" ref="R63:R66" si="298">+Q63*3.3058</f>
        <v>79286.174968000007</v>
      </c>
      <c r="S63" s="55">
        <f>+I63*BH63</f>
        <v>23456.840000000004</v>
      </c>
      <c r="T63" s="59">
        <f t="shared" ref="T63:T66" si="299">+S63*3.3058</f>
        <v>77543.621672000008</v>
      </c>
      <c r="U63" s="57">
        <f>+I63*BI63</f>
        <v>22929.720000000005</v>
      </c>
      <c r="V63" s="59">
        <f t="shared" ref="V63:V66" si="300">+U63*3.3058</f>
        <v>75801.068376000025</v>
      </c>
      <c r="W63" s="60">
        <f>+I63*BJ63</f>
        <v>22402.600000000002</v>
      </c>
      <c r="X63" s="59">
        <f t="shared" ref="X63:X66" si="301">+W63*3.3058</f>
        <v>74058.515080000012</v>
      </c>
      <c r="Y63" s="57">
        <f>+I63*BK63</f>
        <v>21875.480000000003</v>
      </c>
      <c r="Z63" s="59">
        <f t="shared" ref="Z63:Z66" si="302">+Y63*3.3058</f>
        <v>72315.961784000014</v>
      </c>
      <c r="AA63" s="55">
        <f>+I63*BL63</f>
        <v>21348.36</v>
      </c>
      <c r="AB63" s="59">
        <f t="shared" ref="AB63:AB66" si="303">+AA63*3.3058</f>
        <v>70573.408488000001</v>
      </c>
      <c r="AC63" s="60">
        <f>+I63*BM63</f>
        <v>20821.240000000002</v>
      </c>
      <c r="AD63" s="59">
        <f t="shared" ref="AD63:AD66" si="304">+AC63*3.3058</f>
        <v>68830.855192000003</v>
      </c>
      <c r="AE63" s="60">
        <f>+I63*BN63</f>
        <v>20294.12</v>
      </c>
      <c r="AF63" s="59">
        <f t="shared" ref="AF63:AF66" si="305">+AE63*3.3058</f>
        <v>67088.301896000004</v>
      </c>
      <c r="AG63" s="60">
        <f>+I63*BO63</f>
        <v>19767</v>
      </c>
      <c r="AH63" s="59">
        <f t="shared" ref="AH63:AH66" si="306">+AG63*3.3058</f>
        <v>65345.748599999999</v>
      </c>
      <c r="AI63" s="55">
        <f>+I63*BP63</f>
        <v>19239.88</v>
      </c>
      <c r="AJ63" s="59">
        <f t="shared" ref="AJ63:AJ66" si="307">+AI63*3.3058</f>
        <v>63603.195304000008</v>
      </c>
      <c r="AK63" s="60">
        <f>+I63*BQ63</f>
        <v>18712.759999999998</v>
      </c>
      <c r="AL63" s="59">
        <f t="shared" ref="AL63:AL66" si="308">+AK63*3.3058</f>
        <v>61860.642007999995</v>
      </c>
      <c r="AM63" s="60">
        <f>+I63*BR63</f>
        <v>18185.64</v>
      </c>
      <c r="AN63" s="59">
        <f t="shared" ref="AN63:AN66" si="309">+AM63*3.3058</f>
        <v>60118.088711999997</v>
      </c>
      <c r="AO63" s="60">
        <f>+I63*BS63</f>
        <v>17658.519999999997</v>
      </c>
      <c r="AP63" s="59">
        <f t="shared" ref="AP63:AP66" si="310">+AO63*3.3058</f>
        <v>58375.535415999992</v>
      </c>
      <c r="AQ63" s="60">
        <f>+I63*BT63</f>
        <v>17131.399999999998</v>
      </c>
      <c r="AR63" s="59">
        <f t="shared" ref="AR63:AR66" si="311">+AQ63*3.3058</f>
        <v>56632.982119999993</v>
      </c>
      <c r="AS63" s="55">
        <f>+I63*BU63</f>
        <v>16604.279999999995</v>
      </c>
      <c r="AT63" s="59">
        <f t="shared" ref="AT63:AT66" si="312">+AS63*3.3058</f>
        <v>54890.428823999988</v>
      </c>
      <c r="AU63" s="60">
        <f>+I63*BV63</f>
        <v>16077.159999999996</v>
      </c>
      <c r="AV63" s="59">
        <f t="shared" ref="AV63:AV66" si="313">+AU63*3.3058</f>
        <v>53147.87552799999</v>
      </c>
      <c r="AW63" s="60">
        <f>+I63*BW63</f>
        <v>15550.039999999995</v>
      </c>
      <c r="AX63" s="59">
        <f t="shared" ref="AX63:AX66" si="314">+AW63*3.3058</f>
        <v>51405.322231999984</v>
      </c>
      <c r="AY63" s="55">
        <f>+I63*BX63</f>
        <v>15022.919999999995</v>
      </c>
      <c r="AZ63" s="59">
        <f t="shared" ref="AZ63:AZ66" si="315">+AY63*3.3058</f>
        <v>49662.768935999986</v>
      </c>
      <c r="BC63" s="55">
        <v>1</v>
      </c>
      <c r="BD63" s="55">
        <v>0.97</v>
      </c>
      <c r="BE63" s="55">
        <v>0.95</v>
      </c>
      <c r="BF63" s="55">
        <v>0.93</v>
      </c>
      <c r="BG63" s="55">
        <f t="shared" ref="BG63:BX66" si="316">+BF63-0.02</f>
        <v>0.91</v>
      </c>
      <c r="BH63" s="55">
        <f t="shared" si="316"/>
        <v>0.89</v>
      </c>
      <c r="BI63" s="55">
        <f t="shared" si="316"/>
        <v>0.87</v>
      </c>
      <c r="BJ63" s="55">
        <f t="shared" si="316"/>
        <v>0.85</v>
      </c>
      <c r="BK63" s="55">
        <f t="shared" si="316"/>
        <v>0.83</v>
      </c>
      <c r="BL63" s="55">
        <f t="shared" si="316"/>
        <v>0.80999999999999994</v>
      </c>
      <c r="BM63" s="55">
        <f t="shared" si="316"/>
        <v>0.78999999999999992</v>
      </c>
      <c r="BN63" s="55">
        <f t="shared" si="316"/>
        <v>0.76999999999999991</v>
      </c>
      <c r="BO63" s="55">
        <f t="shared" si="316"/>
        <v>0.74999999999999989</v>
      </c>
      <c r="BP63" s="55">
        <f t="shared" si="316"/>
        <v>0.72999999999999987</v>
      </c>
      <c r="BQ63" s="55">
        <f t="shared" si="316"/>
        <v>0.70999999999999985</v>
      </c>
      <c r="BR63" s="55">
        <f t="shared" si="316"/>
        <v>0.68999999999999984</v>
      </c>
      <c r="BS63" s="55">
        <f t="shared" si="316"/>
        <v>0.66999999999999982</v>
      </c>
      <c r="BT63" s="55">
        <f t="shared" si="316"/>
        <v>0.6499999999999998</v>
      </c>
      <c r="BU63" s="55">
        <f t="shared" si="316"/>
        <v>0.62999999999999978</v>
      </c>
      <c r="BV63" s="55">
        <f t="shared" si="316"/>
        <v>0.60999999999999976</v>
      </c>
      <c r="BW63" s="55">
        <f t="shared" si="316"/>
        <v>0.58999999999999975</v>
      </c>
      <c r="BX63" s="55">
        <f t="shared" si="316"/>
        <v>0.56999999999999973</v>
      </c>
      <c r="BZ63" s="55">
        <f t="shared" si="88"/>
        <v>23983.960000000003</v>
      </c>
      <c r="CA63" s="55">
        <f t="shared" si="89"/>
        <v>23983.960000000003</v>
      </c>
      <c r="CB63" s="59">
        <f t="shared" ref="CB63:CB66" si="317">+CA63*3.3058</f>
        <v>79286.174968000007</v>
      </c>
      <c r="CC63" s="55">
        <f t="shared" ref="CC63:CC66" si="318">+CA63*DV63</f>
        <v>23264.441200000001</v>
      </c>
      <c r="CD63" s="59">
        <f t="shared" ref="CD63:CD66" si="319">+CC63*3.3058</f>
        <v>76907.589718960007</v>
      </c>
      <c r="CE63" s="55">
        <f t="shared" ref="CE63:CE66" si="320">+CA63*DW63</f>
        <v>22784.762000000002</v>
      </c>
      <c r="CF63" s="59">
        <f t="shared" ref="CF63:CF66" si="321">+CE63*3.3058</f>
        <v>75321.866219600008</v>
      </c>
      <c r="CG63" s="55">
        <f>+CA63*DX63</f>
        <v>22305.082800000004</v>
      </c>
      <c r="CH63" s="59">
        <f t="shared" ref="CH63:CH66" si="322">+CG63*3.3058</f>
        <v>73736.142720240008</v>
      </c>
      <c r="CI63" s="57">
        <f>+CA63*DY63</f>
        <v>21825.403600000001</v>
      </c>
      <c r="CJ63" s="59">
        <f t="shared" ref="CJ63:CJ66" si="323">+CI63*3.3058</f>
        <v>72150.419220880009</v>
      </c>
      <c r="CK63" s="55">
        <f>+CA63*DZ63</f>
        <v>21345.724400000003</v>
      </c>
      <c r="CL63" s="59">
        <f t="shared" ref="CL63:CL66" si="324">+CK63*3.3058</f>
        <v>70564.695721520009</v>
      </c>
      <c r="CM63" s="57">
        <f>+CA63*EA63</f>
        <v>20866.045200000004</v>
      </c>
      <c r="CN63" s="59">
        <f t="shared" ref="CN63:CN66" si="325">+CM63*3.3058</f>
        <v>68978.97222216001</v>
      </c>
      <c r="CO63" s="60">
        <f>+CA63*EB63</f>
        <v>20386.366000000002</v>
      </c>
      <c r="CP63" s="59">
        <f t="shared" ref="CP63:CP66" si="326">+CO63*3.3058</f>
        <v>67393.24872280001</v>
      </c>
      <c r="CQ63" s="57">
        <f>+CA63*EC63</f>
        <v>19906.686800000003</v>
      </c>
      <c r="CR63" s="59">
        <f t="shared" ref="CR63:CR66" si="327">+CQ63*3.3058</f>
        <v>65807.52522344001</v>
      </c>
      <c r="CS63" s="55">
        <f>+CA63*ED63</f>
        <v>19427.007600000001</v>
      </c>
      <c r="CT63" s="59">
        <f t="shared" ref="CT63:CT66" si="328">+CS63*3.3058</f>
        <v>64221.801724080004</v>
      </c>
      <c r="CU63" s="60">
        <f>+CA63*EE63</f>
        <v>18947.328400000002</v>
      </c>
      <c r="CV63" s="59">
        <f t="shared" ref="CV63:CV66" si="329">+CU63*3.3058</f>
        <v>62636.078224720011</v>
      </c>
      <c r="CW63" s="60">
        <f>+CA63*EF63</f>
        <v>18467.6492</v>
      </c>
      <c r="CX63" s="59">
        <f t="shared" ref="CX63:CX66" si="330">+CW63*3.3058</f>
        <v>61050.354725359997</v>
      </c>
      <c r="CY63" s="60">
        <f>+CA63*EG63</f>
        <v>17987.97</v>
      </c>
      <c r="CZ63" s="59">
        <f t="shared" ref="CZ63:CZ66" si="331">+CY63*3.3058</f>
        <v>59464.631226000005</v>
      </c>
      <c r="DA63" s="55">
        <f>+CA63*EH63</f>
        <v>17508.290799999999</v>
      </c>
      <c r="DB63" s="59">
        <f t="shared" ref="DB63:DB66" si="332">+DA63*3.3058</f>
        <v>57878.907726639998</v>
      </c>
      <c r="DC63" s="60">
        <f>+CA63*EI63</f>
        <v>17028.6116</v>
      </c>
      <c r="DD63" s="59">
        <f t="shared" ref="DD63:DD66" si="333">+DC63*3.3058</f>
        <v>56293.184227279999</v>
      </c>
      <c r="DE63" s="60">
        <f>+CA63*EJ63</f>
        <v>16548.932399999998</v>
      </c>
      <c r="DF63" s="59">
        <f t="shared" ref="DF63:DF66" si="334">+DE63*3.3058</f>
        <v>54707.460727919992</v>
      </c>
      <c r="DG63" s="60">
        <f>+CA63*EK63</f>
        <v>16069.253199999997</v>
      </c>
      <c r="DH63" s="59">
        <f t="shared" ref="DH63:DH66" si="335">+DG63*3.3058</f>
        <v>53121.737228559992</v>
      </c>
      <c r="DI63" s="60">
        <f>+CA63*EL63</f>
        <v>15589.573999999997</v>
      </c>
      <c r="DJ63" s="59">
        <f t="shared" ref="DJ63:DJ66" si="336">+DI63*3.3058</f>
        <v>51536.013729199993</v>
      </c>
      <c r="DK63" s="55">
        <f>+CA63*EM63</f>
        <v>15109.894799999996</v>
      </c>
      <c r="DL63" s="59">
        <f t="shared" ref="DL63:DL66" si="337">+DK63*3.3058</f>
        <v>49950.290229839986</v>
      </c>
      <c r="DM63" s="60">
        <f>+CA63*EN63</f>
        <v>14630.215599999996</v>
      </c>
      <c r="DN63" s="59">
        <f t="shared" ref="DN63:DN66" si="338">+DM63*3.3058</f>
        <v>48364.566730479986</v>
      </c>
      <c r="DO63" s="60">
        <f>+CA63*EO63</f>
        <v>14150.536399999995</v>
      </c>
      <c r="DP63" s="59">
        <f t="shared" ref="DP63:DP66" si="339">+DO63*3.3058</f>
        <v>46778.843231119987</v>
      </c>
      <c r="DQ63" s="55">
        <f>+CA63*EP63</f>
        <v>13670.857199999995</v>
      </c>
      <c r="DR63" s="59">
        <f t="shared" ref="DR63:DR66" si="340">+DQ63*3.3058</f>
        <v>45193.119731759987</v>
      </c>
      <c r="DU63" s="55">
        <v>1</v>
      </c>
      <c r="DV63" s="55">
        <v>0.97</v>
      </c>
      <c r="DW63" s="55">
        <v>0.95</v>
      </c>
      <c r="DX63" s="55">
        <v>0.93</v>
      </c>
      <c r="DY63" s="55">
        <f t="shared" si="287"/>
        <v>0.91</v>
      </c>
      <c r="DZ63" s="55">
        <f t="shared" si="287"/>
        <v>0.89</v>
      </c>
      <c r="EA63" s="55">
        <f t="shared" si="287"/>
        <v>0.87</v>
      </c>
      <c r="EB63" s="55">
        <f t="shared" si="287"/>
        <v>0.85</v>
      </c>
      <c r="EC63" s="55">
        <f t="shared" si="287"/>
        <v>0.83</v>
      </c>
      <c r="ED63" s="55">
        <f t="shared" si="287"/>
        <v>0.80999999999999994</v>
      </c>
      <c r="EE63" s="55">
        <f t="shared" si="287"/>
        <v>0.78999999999999992</v>
      </c>
      <c r="EF63" s="55">
        <f t="shared" si="287"/>
        <v>0.76999999999999991</v>
      </c>
      <c r="EG63" s="55">
        <f t="shared" si="287"/>
        <v>0.74999999999999989</v>
      </c>
      <c r="EH63" s="55">
        <f t="shared" si="287"/>
        <v>0.72999999999999987</v>
      </c>
      <c r="EI63" s="55">
        <f t="shared" si="287"/>
        <v>0.70999999999999985</v>
      </c>
      <c r="EJ63" s="55">
        <f t="shared" si="287"/>
        <v>0.68999999999999984</v>
      </c>
      <c r="EK63" s="55">
        <f t="shared" si="287"/>
        <v>0.66999999999999982</v>
      </c>
      <c r="EL63" s="55">
        <f t="shared" si="287"/>
        <v>0.6499999999999998</v>
      </c>
      <c r="EM63" s="55">
        <f t="shared" si="287"/>
        <v>0.62999999999999978</v>
      </c>
      <c r="EN63" s="55">
        <f t="shared" si="287"/>
        <v>0.60999999999999976</v>
      </c>
      <c r="EO63" s="55">
        <f t="shared" si="287"/>
        <v>0.58999999999999975</v>
      </c>
      <c r="EP63" s="55">
        <f t="shared" si="287"/>
        <v>0.56999999999999973</v>
      </c>
      <c r="ER63" s="55">
        <f t="shared" si="142"/>
        <v>21825.403600000001</v>
      </c>
      <c r="ES63" s="55">
        <f t="shared" si="116"/>
        <v>21825.403600000001</v>
      </c>
      <c r="ET63" s="59">
        <f t="shared" ref="ET63:ET66" si="341">+ES63*3.3058</f>
        <v>72150.419220880009</v>
      </c>
      <c r="EU63" s="55">
        <f t="shared" ref="EU63:EU66" si="342">+ES63*GN63</f>
        <v>21170.641492000002</v>
      </c>
      <c r="EV63" s="59">
        <f t="shared" ref="EV63:EV66" si="343">+EU63*3.3058</f>
        <v>69985.906644253613</v>
      </c>
      <c r="EW63" s="55">
        <f t="shared" ref="EW63:EW66" si="344">+ES63*GO63</f>
        <v>20734.133420000002</v>
      </c>
      <c r="EX63" s="59">
        <f t="shared" ref="EX63:EX66" si="345">+EW63*3.3058</f>
        <v>68542.898259836002</v>
      </c>
      <c r="EY63" s="55">
        <f>+ES63*GP63</f>
        <v>20297.625348000001</v>
      </c>
      <c r="EZ63" s="59">
        <f t="shared" ref="EZ63:EZ66" si="346">+EY63*3.3058</f>
        <v>67099.889875418405</v>
      </c>
      <c r="FA63" s="57">
        <f>+ES63*GQ63</f>
        <v>19861.117276000001</v>
      </c>
      <c r="FB63" s="59">
        <f t="shared" ref="FB63:FB66" si="347">+FA63*3.3058</f>
        <v>65656.881491000808</v>
      </c>
      <c r="FC63" s="55">
        <f>+ES63*GR63</f>
        <v>19424.609204</v>
      </c>
      <c r="FD63" s="59">
        <f t="shared" ref="FD63:FD66" si="348">+FC63*3.3058</f>
        <v>64213.873106583203</v>
      </c>
      <c r="FE63" s="57">
        <f>+ES63*GS63</f>
        <v>18988.101132</v>
      </c>
      <c r="FF63" s="59">
        <f t="shared" ref="FF63:FF66" si="349">+FE63*3.3058</f>
        <v>62770.864722165599</v>
      </c>
      <c r="FG63" s="60">
        <f>+ES63*GT63</f>
        <v>18551.593059999999</v>
      </c>
      <c r="FH63" s="59">
        <f t="shared" ref="FH63:FH66" si="350">+FG63*3.3058</f>
        <v>61327.856337748002</v>
      </c>
      <c r="FI63" s="57">
        <f>+ES63*GU63</f>
        <v>18115.084987999999</v>
      </c>
      <c r="FJ63" s="59">
        <f t="shared" ref="FJ63:FJ66" si="351">+FI63*3.3058</f>
        <v>59884.847953330398</v>
      </c>
      <c r="FK63" s="55">
        <f>+ES63*GV63</f>
        <v>17678.576915999998</v>
      </c>
      <c r="FL63" s="59">
        <f t="shared" ref="FL63:FL66" si="352">+FK63*3.3058</f>
        <v>58441.839568912794</v>
      </c>
      <c r="FM63" s="60">
        <f>+ES63*GW63</f>
        <v>17242.068844000001</v>
      </c>
      <c r="FN63" s="59">
        <f t="shared" ref="FN63:FN66" si="353">+FM63*3.3058</f>
        <v>56998.831184495204</v>
      </c>
      <c r="FO63" s="60">
        <f>+ES63*GX63</f>
        <v>16805.560772000001</v>
      </c>
      <c r="FP63" s="59">
        <f t="shared" ref="FP63:FP66" si="354">+FO63*3.3058</f>
        <v>55555.822800077607</v>
      </c>
      <c r="FQ63" s="60">
        <f>+ES63*GY63</f>
        <v>16369.052699999998</v>
      </c>
      <c r="FR63" s="59">
        <f t="shared" ref="FR63:FR66" si="355">+FQ63*3.3058</f>
        <v>54112.814415659996</v>
      </c>
      <c r="FS63" s="55">
        <f>+ES63*GZ63</f>
        <v>15932.544627999998</v>
      </c>
      <c r="FT63" s="59">
        <f t="shared" ref="FT63:FT66" si="356">+FS63*3.3058</f>
        <v>52669.806031242391</v>
      </c>
      <c r="FU63" s="60">
        <f>+ES63*HA63</f>
        <v>15496.036555999997</v>
      </c>
      <c r="FV63" s="59">
        <f t="shared" ref="FV63:FV66" si="357">+FU63*3.3058</f>
        <v>51226.797646824794</v>
      </c>
      <c r="FW63" s="60">
        <f>+ES63*HB63</f>
        <v>15059.528483999997</v>
      </c>
      <c r="FX63" s="59">
        <f t="shared" ref="FX63:FX66" si="358">+FW63*3.3058</f>
        <v>49783.78926240719</v>
      </c>
      <c r="FY63" s="60">
        <f>+ES63*HC63</f>
        <v>14623.020411999996</v>
      </c>
      <c r="FZ63" s="59">
        <f t="shared" ref="FZ63:FZ66" si="359">+FY63*3.3058</f>
        <v>48340.780877989586</v>
      </c>
      <c r="GA63" s="60">
        <f>+ES63*HD63</f>
        <v>14186.512339999997</v>
      </c>
      <c r="GB63" s="59">
        <f t="shared" ref="GB63:GB66" si="360">+GA63*3.3058</f>
        <v>46897.772493571996</v>
      </c>
      <c r="GC63" s="55">
        <f>+ES63*HE63</f>
        <v>13750.004267999997</v>
      </c>
      <c r="GD63" s="59">
        <f t="shared" ref="GD63:GD66" si="361">+GC63*3.3058</f>
        <v>45454.764109154392</v>
      </c>
      <c r="GE63" s="60">
        <f>+ES63*HF63</f>
        <v>13313.496195999996</v>
      </c>
      <c r="GF63" s="59">
        <f t="shared" ref="GF63:GF66" si="362">+GE63*3.3058</f>
        <v>44011.755724736788</v>
      </c>
      <c r="GG63" s="60">
        <f>+ES63*HG63</f>
        <v>12876.988123999996</v>
      </c>
      <c r="GH63" s="59">
        <f t="shared" ref="GH63:GH66" si="363">+GG63*3.3058</f>
        <v>42568.747340319191</v>
      </c>
      <c r="GI63" s="55">
        <f>+ES63*HH63</f>
        <v>12440.480051999995</v>
      </c>
      <c r="GJ63" s="59">
        <f t="shared" ref="GJ63:GJ66" si="364">+GI63*3.3058</f>
        <v>41125.738955901586</v>
      </c>
      <c r="GK63" s="55"/>
      <c r="GL63" s="55"/>
      <c r="GM63" s="55">
        <v>1</v>
      </c>
      <c r="GN63" s="55">
        <v>0.97</v>
      </c>
      <c r="GO63" s="55">
        <v>0.95</v>
      </c>
      <c r="GP63" s="55">
        <v>0.93</v>
      </c>
      <c r="GQ63" s="55">
        <f t="shared" si="288"/>
        <v>0.91</v>
      </c>
      <c r="GR63" s="55">
        <f t="shared" si="288"/>
        <v>0.89</v>
      </c>
      <c r="GS63" s="55">
        <f t="shared" si="288"/>
        <v>0.87</v>
      </c>
      <c r="GT63" s="55">
        <f t="shared" si="288"/>
        <v>0.85</v>
      </c>
      <c r="GU63" s="55">
        <f t="shared" si="288"/>
        <v>0.83</v>
      </c>
      <c r="GV63" s="55">
        <f t="shared" si="288"/>
        <v>0.80999999999999994</v>
      </c>
      <c r="GW63" s="55">
        <f t="shared" si="288"/>
        <v>0.78999999999999992</v>
      </c>
      <c r="GX63" s="55">
        <f t="shared" si="288"/>
        <v>0.76999999999999991</v>
      </c>
      <c r="GY63" s="55">
        <f t="shared" si="288"/>
        <v>0.74999999999999989</v>
      </c>
      <c r="GZ63" s="55">
        <f t="shared" si="288"/>
        <v>0.72999999999999987</v>
      </c>
      <c r="HA63" s="55">
        <f t="shared" si="288"/>
        <v>0.70999999999999985</v>
      </c>
      <c r="HB63" s="55">
        <f t="shared" si="288"/>
        <v>0.68999999999999984</v>
      </c>
      <c r="HC63" s="55">
        <f t="shared" si="288"/>
        <v>0.66999999999999982</v>
      </c>
      <c r="HD63" s="55">
        <f t="shared" si="288"/>
        <v>0.6499999999999998</v>
      </c>
      <c r="HE63" s="55">
        <f t="shared" si="288"/>
        <v>0.62999999999999978</v>
      </c>
      <c r="HF63" s="55">
        <f t="shared" si="288"/>
        <v>0.60999999999999976</v>
      </c>
      <c r="HG63" s="55">
        <f t="shared" si="288"/>
        <v>0.58999999999999975</v>
      </c>
      <c r="HH63" s="55">
        <f t="shared" si="288"/>
        <v>0.56999999999999973</v>
      </c>
    </row>
    <row r="64" spans="1:216" x14ac:dyDescent="0.3">
      <c r="A64" s="2">
        <v>2</v>
      </c>
      <c r="C64" s="38" t="s">
        <v>29</v>
      </c>
      <c r="D64" s="42">
        <v>0</v>
      </c>
      <c r="E64" s="71">
        <f>TRUNC(+D64*3.3058,-1)</f>
        <v>0</v>
      </c>
      <c r="H64" s="55">
        <f t="shared" si="61"/>
        <v>0</v>
      </c>
      <c r="I64" s="55">
        <f t="shared" si="62"/>
        <v>0</v>
      </c>
      <c r="J64" s="59">
        <f t="shared" si="63"/>
        <v>0</v>
      </c>
      <c r="K64" s="55">
        <f t="shared" si="293"/>
        <v>0</v>
      </c>
      <c r="L64" s="59">
        <f t="shared" si="294"/>
        <v>0</v>
      </c>
      <c r="M64" s="55">
        <f t="shared" si="295"/>
        <v>0</v>
      </c>
      <c r="N64" s="59">
        <f t="shared" si="296"/>
        <v>0</v>
      </c>
      <c r="O64" s="55">
        <f>+I64*BF64</f>
        <v>0</v>
      </c>
      <c r="P64" s="59">
        <f t="shared" si="297"/>
        <v>0</v>
      </c>
      <c r="Q64" s="57">
        <f>+I64*BG64</f>
        <v>0</v>
      </c>
      <c r="R64" s="59">
        <f t="shared" si="298"/>
        <v>0</v>
      </c>
      <c r="S64" s="55">
        <f>+I64*BH64</f>
        <v>0</v>
      </c>
      <c r="T64" s="59">
        <f t="shared" si="299"/>
        <v>0</v>
      </c>
      <c r="U64" s="57">
        <f>+I64*BI64</f>
        <v>0</v>
      </c>
      <c r="V64" s="59">
        <f t="shared" si="300"/>
        <v>0</v>
      </c>
      <c r="W64" s="60">
        <f>+I64*BJ64</f>
        <v>0</v>
      </c>
      <c r="X64" s="59">
        <f t="shared" si="301"/>
        <v>0</v>
      </c>
      <c r="Y64" s="57">
        <f>+I64*BK64</f>
        <v>0</v>
      </c>
      <c r="Z64" s="59">
        <f t="shared" si="302"/>
        <v>0</v>
      </c>
      <c r="AA64" s="55">
        <f>+I64*BL64</f>
        <v>0</v>
      </c>
      <c r="AB64" s="59">
        <f t="shared" si="303"/>
        <v>0</v>
      </c>
      <c r="AC64" s="60">
        <f>+I64*BM64</f>
        <v>0</v>
      </c>
      <c r="AD64" s="59">
        <f t="shared" si="304"/>
        <v>0</v>
      </c>
      <c r="AE64" s="60">
        <f>+I64*BN64</f>
        <v>0</v>
      </c>
      <c r="AF64" s="59">
        <f t="shared" si="305"/>
        <v>0</v>
      </c>
      <c r="AG64" s="60">
        <f>+I64*BO64</f>
        <v>0</v>
      </c>
      <c r="AH64" s="59">
        <f t="shared" si="306"/>
        <v>0</v>
      </c>
      <c r="AI64" s="55">
        <f>+I64*BP64</f>
        <v>0</v>
      </c>
      <c r="AJ64" s="59">
        <f t="shared" si="307"/>
        <v>0</v>
      </c>
      <c r="AK64" s="60">
        <f>+I64*BQ64</f>
        <v>0</v>
      </c>
      <c r="AL64" s="59">
        <f t="shared" si="308"/>
        <v>0</v>
      </c>
      <c r="AM64" s="60">
        <f>+I64*BR64</f>
        <v>0</v>
      </c>
      <c r="AN64" s="59">
        <f t="shared" si="309"/>
        <v>0</v>
      </c>
      <c r="AO64" s="60">
        <f>+I64*BS64</f>
        <v>0</v>
      </c>
      <c r="AP64" s="59">
        <f t="shared" si="310"/>
        <v>0</v>
      </c>
      <c r="AQ64" s="60">
        <f>+I64*BT64</f>
        <v>0</v>
      </c>
      <c r="AR64" s="59">
        <f t="shared" si="311"/>
        <v>0</v>
      </c>
      <c r="AS64" s="55">
        <f>+I64*BU64</f>
        <v>0</v>
      </c>
      <c r="AT64" s="59">
        <f t="shared" si="312"/>
        <v>0</v>
      </c>
      <c r="AU64" s="60">
        <f>+I64*BV64</f>
        <v>0</v>
      </c>
      <c r="AV64" s="59">
        <f t="shared" si="313"/>
        <v>0</v>
      </c>
      <c r="AW64" s="60">
        <f>+I64*BW64</f>
        <v>0</v>
      </c>
      <c r="AX64" s="59">
        <f t="shared" si="314"/>
        <v>0</v>
      </c>
      <c r="AY64" s="55">
        <f>+I64*BX64</f>
        <v>0</v>
      </c>
      <c r="AZ64" s="59">
        <f t="shared" si="315"/>
        <v>0</v>
      </c>
      <c r="BC64" s="55">
        <v>1</v>
      </c>
      <c r="BD64" s="55">
        <v>0.97</v>
      </c>
      <c r="BE64" s="55">
        <v>0.95</v>
      </c>
      <c r="BF64" s="55">
        <v>0.93</v>
      </c>
      <c r="BG64" s="55">
        <f t="shared" si="316"/>
        <v>0.91</v>
      </c>
      <c r="BH64" s="55">
        <f t="shared" si="316"/>
        <v>0.89</v>
      </c>
      <c r="BI64" s="55">
        <f t="shared" si="316"/>
        <v>0.87</v>
      </c>
      <c r="BJ64" s="55">
        <f t="shared" si="316"/>
        <v>0.85</v>
      </c>
      <c r="BK64" s="55">
        <f t="shared" si="316"/>
        <v>0.83</v>
      </c>
      <c r="BL64" s="55">
        <f t="shared" si="316"/>
        <v>0.80999999999999994</v>
      </c>
      <c r="BM64" s="55">
        <f t="shared" si="316"/>
        <v>0.78999999999999992</v>
      </c>
      <c r="BN64" s="55">
        <f t="shared" si="316"/>
        <v>0.76999999999999991</v>
      </c>
      <c r="BO64" s="55">
        <f t="shared" si="316"/>
        <v>0.74999999999999989</v>
      </c>
      <c r="BP64" s="55">
        <f t="shared" si="316"/>
        <v>0.72999999999999987</v>
      </c>
      <c r="BQ64" s="55">
        <f t="shared" si="316"/>
        <v>0.70999999999999985</v>
      </c>
      <c r="BR64" s="55">
        <f t="shared" si="316"/>
        <v>0.68999999999999984</v>
      </c>
      <c r="BS64" s="55">
        <f t="shared" si="316"/>
        <v>0.66999999999999982</v>
      </c>
      <c r="BT64" s="55">
        <f t="shared" si="316"/>
        <v>0.6499999999999998</v>
      </c>
      <c r="BU64" s="55">
        <f t="shared" si="316"/>
        <v>0.62999999999999978</v>
      </c>
      <c r="BV64" s="55">
        <f t="shared" si="316"/>
        <v>0.60999999999999976</v>
      </c>
      <c r="BW64" s="55">
        <f t="shared" si="316"/>
        <v>0.58999999999999975</v>
      </c>
      <c r="BX64" s="55">
        <f t="shared" si="316"/>
        <v>0.56999999999999973</v>
      </c>
      <c r="BZ64" s="55">
        <f t="shared" si="88"/>
        <v>0</v>
      </c>
      <c r="CA64" s="55">
        <f t="shared" si="89"/>
        <v>0</v>
      </c>
      <c r="CB64" s="59">
        <f t="shared" si="317"/>
        <v>0</v>
      </c>
      <c r="CC64" s="55">
        <f t="shared" si="318"/>
        <v>0</v>
      </c>
      <c r="CD64" s="59">
        <f t="shared" si="319"/>
        <v>0</v>
      </c>
      <c r="CE64" s="55">
        <f t="shared" si="320"/>
        <v>0</v>
      </c>
      <c r="CF64" s="59">
        <f t="shared" si="321"/>
        <v>0</v>
      </c>
      <c r="CG64" s="55">
        <f>+CA64*DX64</f>
        <v>0</v>
      </c>
      <c r="CH64" s="59">
        <f t="shared" si="322"/>
        <v>0</v>
      </c>
      <c r="CI64" s="57">
        <f>+CA64*DY64</f>
        <v>0</v>
      </c>
      <c r="CJ64" s="59">
        <f t="shared" si="323"/>
        <v>0</v>
      </c>
      <c r="CK64" s="55">
        <f>+CA64*DZ64</f>
        <v>0</v>
      </c>
      <c r="CL64" s="59">
        <f t="shared" si="324"/>
        <v>0</v>
      </c>
      <c r="CM64" s="57">
        <f>+CA64*EA64</f>
        <v>0</v>
      </c>
      <c r="CN64" s="59">
        <f t="shared" si="325"/>
        <v>0</v>
      </c>
      <c r="CO64" s="60">
        <f>+CA64*EB64</f>
        <v>0</v>
      </c>
      <c r="CP64" s="59">
        <f t="shared" si="326"/>
        <v>0</v>
      </c>
      <c r="CQ64" s="57">
        <f>+CA64*EC64</f>
        <v>0</v>
      </c>
      <c r="CR64" s="59">
        <f t="shared" si="327"/>
        <v>0</v>
      </c>
      <c r="CS64" s="55">
        <f>+CA64*ED64</f>
        <v>0</v>
      </c>
      <c r="CT64" s="59">
        <f t="shared" si="328"/>
        <v>0</v>
      </c>
      <c r="CU64" s="60">
        <f>+CA64*EE64</f>
        <v>0</v>
      </c>
      <c r="CV64" s="59">
        <f t="shared" si="329"/>
        <v>0</v>
      </c>
      <c r="CW64" s="60">
        <f>+CA64*EF64</f>
        <v>0</v>
      </c>
      <c r="CX64" s="59">
        <f t="shared" si="330"/>
        <v>0</v>
      </c>
      <c r="CY64" s="60">
        <f>+CA64*EG64</f>
        <v>0</v>
      </c>
      <c r="CZ64" s="59">
        <f t="shared" si="331"/>
        <v>0</v>
      </c>
      <c r="DA64" s="55">
        <f>+CA64*EH64</f>
        <v>0</v>
      </c>
      <c r="DB64" s="59">
        <f t="shared" si="332"/>
        <v>0</v>
      </c>
      <c r="DC64" s="60">
        <f>+CA64*EI64</f>
        <v>0</v>
      </c>
      <c r="DD64" s="59">
        <f t="shared" si="333"/>
        <v>0</v>
      </c>
      <c r="DE64" s="60">
        <f>+CA64*EJ64</f>
        <v>0</v>
      </c>
      <c r="DF64" s="59">
        <f t="shared" si="334"/>
        <v>0</v>
      </c>
      <c r="DG64" s="60">
        <f>+CA64*EK64</f>
        <v>0</v>
      </c>
      <c r="DH64" s="59">
        <f t="shared" si="335"/>
        <v>0</v>
      </c>
      <c r="DI64" s="60">
        <f>+CA64*EL64</f>
        <v>0</v>
      </c>
      <c r="DJ64" s="59">
        <f t="shared" si="336"/>
        <v>0</v>
      </c>
      <c r="DK64" s="55">
        <f>+CA64*EM64</f>
        <v>0</v>
      </c>
      <c r="DL64" s="59">
        <f t="shared" si="337"/>
        <v>0</v>
      </c>
      <c r="DM64" s="60">
        <f>+CA64*EN64</f>
        <v>0</v>
      </c>
      <c r="DN64" s="59">
        <f t="shared" si="338"/>
        <v>0</v>
      </c>
      <c r="DO64" s="60">
        <f>+CA64*EO64</f>
        <v>0</v>
      </c>
      <c r="DP64" s="59">
        <f t="shared" si="339"/>
        <v>0</v>
      </c>
      <c r="DQ64" s="55">
        <f>+CA64*EP64</f>
        <v>0</v>
      </c>
      <c r="DR64" s="59">
        <f t="shared" si="340"/>
        <v>0</v>
      </c>
      <c r="DU64" s="55">
        <v>1</v>
      </c>
      <c r="DV64" s="55">
        <v>0.97</v>
      </c>
      <c r="DW64" s="55">
        <v>0.95</v>
      </c>
      <c r="DX64" s="55">
        <v>0.93</v>
      </c>
      <c r="DY64" s="55">
        <f t="shared" si="287"/>
        <v>0.91</v>
      </c>
      <c r="DZ64" s="55">
        <f t="shared" si="287"/>
        <v>0.89</v>
      </c>
      <c r="EA64" s="55">
        <f t="shared" si="287"/>
        <v>0.87</v>
      </c>
      <c r="EB64" s="55">
        <f t="shared" si="287"/>
        <v>0.85</v>
      </c>
      <c r="EC64" s="55">
        <f t="shared" si="287"/>
        <v>0.83</v>
      </c>
      <c r="ED64" s="55">
        <f t="shared" si="287"/>
        <v>0.80999999999999994</v>
      </c>
      <c r="EE64" s="55">
        <f t="shared" si="287"/>
        <v>0.78999999999999992</v>
      </c>
      <c r="EF64" s="55">
        <f t="shared" si="287"/>
        <v>0.76999999999999991</v>
      </c>
      <c r="EG64" s="55">
        <f t="shared" si="287"/>
        <v>0.74999999999999989</v>
      </c>
      <c r="EH64" s="55">
        <f t="shared" si="287"/>
        <v>0.72999999999999987</v>
      </c>
      <c r="EI64" s="55">
        <f t="shared" si="287"/>
        <v>0.70999999999999985</v>
      </c>
      <c r="EJ64" s="55">
        <f t="shared" si="287"/>
        <v>0.68999999999999984</v>
      </c>
      <c r="EK64" s="55">
        <f t="shared" si="287"/>
        <v>0.66999999999999982</v>
      </c>
      <c r="EL64" s="55">
        <f t="shared" si="287"/>
        <v>0.6499999999999998</v>
      </c>
      <c r="EM64" s="55">
        <f t="shared" si="287"/>
        <v>0.62999999999999978</v>
      </c>
      <c r="EN64" s="55">
        <f t="shared" si="287"/>
        <v>0.60999999999999976</v>
      </c>
      <c r="EO64" s="55">
        <f t="shared" si="287"/>
        <v>0.58999999999999975</v>
      </c>
      <c r="EP64" s="55">
        <f t="shared" si="287"/>
        <v>0.56999999999999973</v>
      </c>
      <c r="ER64" s="55">
        <f t="shared" si="142"/>
        <v>0</v>
      </c>
      <c r="ES64" s="55">
        <f t="shared" si="116"/>
        <v>0</v>
      </c>
      <c r="ET64" s="59">
        <f t="shared" si="341"/>
        <v>0</v>
      </c>
      <c r="EU64" s="55">
        <f t="shared" si="342"/>
        <v>0</v>
      </c>
      <c r="EV64" s="59">
        <f t="shared" si="343"/>
        <v>0</v>
      </c>
      <c r="EW64" s="55">
        <f t="shared" si="344"/>
        <v>0</v>
      </c>
      <c r="EX64" s="59">
        <f t="shared" si="345"/>
        <v>0</v>
      </c>
      <c r="EY64" s="55">
        <f>+ES64*GP64</f>
        <v>0</v>
      </c>
      <c r="EZ64" s="59">
        <f t="shared" si="346"/>
        <v>0</v>
      </c>
      <c r="FA64" s="57">
        <f>+ES64*GQ64</f>
        <v>0</v>
      </c>
      <c r="FB64" s="59">
        <f t="shared" si="347"/>
        <v>0</v>
      </c>
      <c r="FC64" s="55">
        <f>+ES64*GR64</f>
        <v>0</v>
      </c>
      <c r="FD64" s="59">
        <f t="shared" si="348"/>
        <v>0</v>
      </c>
      <c r="FE64" s="57">
        <f>+ES64*GS64</f>
        <v>0</v>
      </c>
      <c r="FF64" s="59">
        <f t="shared" si="349"/>
        <v>0</v>
      </c>
      <c r="FG64" s="60">
        <f>+ES64*GT64</f>
        <v>0</v>
      </c>
      <c r="FH64" s="59">
        <f t="shared" si="350"/>
        <v>0</v>
      </c>
      <c r="FI64" s="57">
        <f>+ES64*GU64</f>
        <v>0</v>
      </c>
      <c r="FJ64" s="59">
        <f t="shared" si="351"/>
        <v>0</v>
      </c>
      <c r="FK64" s="55">
        <f>+ES64*GV64</f>
        <v>0</v>
      </c>
      <c r="FL64" s="59">
        <f t="shared" si="352"/>
        <v>0</v>
      </c>
      <c r="FM64" s="60">
        <f>+ES64*GW64</f>
        <v>0</v>
      </c>
      <c r="FN64" s="59">
        <f t="shared" si="353"/>
        <v>0</v>
      </c>
      <c r="FO64" s="60">
        <f>+ES64*GX64</f>
        <v>0</v>
      </c>
      <c r="FP64" s="59">
        <f t="shared" si="354"/>
        <v>0</v>
      </c>
      <c r="FQ64" s="60">
        <f>+ES64*GY64</f>
        <v>0</v>
      </c>
      <c r="FR64" s="59">
        <f t="shared" si="355"/>
        <v>0</v>
      </c>
      <c r="FS64" s="55">
        <f>+ES64*GZ64</f>
        <v>0</v>
      </c>
      <c r="FT64" s="59">
        <f t="shared" si="356"/>
        <v>0</v>
      </c>
      <c r="FU64" s="60">
        <f>+ES64*HA64</f>
        <v>0</v>
      </c>
      <c r="FV64" s="59">
        <f t="shared" si="357"/>
        <v>0</v>
      </c>
      <c r="FW64" s="60">
        <f>+ES64*HB64</f>
        <v>0</v>
      </c>
      <c r="FX64" s="59">
        <f t="shared" si="358"/>
        <v>0</v>
      </c>
      <c r="FY64" s="60">
        <f>+ES64*HC64</f>
        <v>0</v>
      </c>
      <c r="FZ64" s="59">
        <f t="shared" si="359"/>
        <v>0</v>
      </c>
      <c r="GA64" s="60">
        <f>+ES64*HD64</f>
        <v>0</v>
      </c>
      <c r="GB64" s="59">
        <f t="shared" si="360"/>
        <v>0</v>
      </c>
      <c r="GC64" s="55">
        <f>+ES64*HE64</f>
        <v>0</v>
      </c>
      <c r="GD64" s="59">
        <f t="shared" si="361"/>
        <v>0</v>
      </c>
      <c r="GE64" s="60">
        <f>+ES64*HF64</f>
        <v>0</v>
      </c>
      <c r="GF64" s="59">
        <f t="shared" si="362"/>
        <v>0</v>
      </c>
      <c r="GG64" s="60">
        <f>+ES64*HG64</f>
        <v>0</v>
      </c>
      <c r="GH64" s="59">
        <f t="shared" si="363"/>
        <v>0</v>
      </c>
      <c r="GI64" s="55">
        <f>+ES64*HH64</f>
        <v>0</v>
      </c>
      <c r="GJ64" s="59">
        <f t="shared" si="364"/>
        <v>0</v>
      </c>
      <c r="GK64" s="55"/>
      <c r="GL64" s="55"/>
      <c r="GM64" s="55">
        <v>1</v>
      </c>
      <c r="GN64" s="55">
        <v>0.97</v>
      </c>
      <c r="GO64" s="55">
        <v>0.95</v>
      </c>
      <c r="GP64" s="55">
        <v>0.93</v>
      </c>
      <c r="GQ64" s="55">
        <f t="shared" si="288"/>
        <v>0.91</v>
      </c>
      <c r="GR64" s="55">
        <f t="shared" si="288"/>
        <v>0.89</v>
      </c>
      <c r="GS64" s="55">
        <f t="shared" si="288"/>
        <v>0.87</v>
      </c>
      <c r="GT64" s="55">
        <f t="shared" si="288"/>
        <v>0.85</v>
      </c>
      <c r="GU64" s="55">
        <f t="shared" si="288"/>
        <v>0.83</v>
      </c>
      <c r="GV64" s="55">
        <f t="shared" si="288"/>
        <v>0.80999999999999994</v>
      </c>
      <c r="GW64" s="55">
        <f t="shared" si="288"/>
        <v>0.78999999999999992</v>
      </c>
      <c r="GX64" s="55">
        <f t="shared" si="288"/>
        <v>0.76999999999999991</v>
      </c>
      <c r="GY64" s="55">
        <f t="shared" si="288"/>
        <v>0.74999999999999989</v>
      </c>
      <c r="GZ64" s="55">
        <f t="shared" si="288"/>
        <v>0.72999999999999987</v>
      </c>
      <c r="HA64" s="55">
        <f t="shared" si="288"/>
        <v>0.70999999999999985</v>
      </c>
      <c r="HB64" s="55">
        <f t="shared" si="288"/>
        <v>0.68999999999999984</v>
      </c>
      <c r="HC64" s="55">
        <f t="shared" si="288"/>
        <v>0.66999999999999982</v>
      </c>
      <c r="HD64" s="55">
        <f t="shared" si="288"/>
        <v>0.6499999999999998</v>
      </c>
      <c r="HE64" s="55">
        <f t="shared" si="288"/>
        <v>0.62999999999999978</v>
      </c>
      <c r="HF64" s="55">
        <f t="shared" si="288"/>
        <v>0.60999999999999976</v>
      </c>
      <c r="HG64" s="55">
        <f t="shared" si="288"/>
        <v>0.58999999999999975</v>
      </c>
      <c r="HH64" s="55">
        <f t="shared" si="288"/>
        <v>0.56999999999999973</v>
      </c>
    </row>
    <row r="65" spans="1:216" ht="17.25" thickBot="1" x14ac:dyDescent="0.35">
      <c r="A65" s="2">
        <v>3</v>
      </c>
      <c r="C65" s="38" t="s">
        <v>28</v>
      </c>
      <c r="D65" s="43">
        <v>0</v>
      </c>
      <c r="E65" s="72">
        <f>TRUNC(+D65*3.3058,-1)</f>
        <v>0</v>
      </c>
      <c r="H65" s="55">
        <f t="shared" si="61"/>
        <v>0</v>
      </c>
      <c r="I65" s="55">
        <f t="shared" si="62"/>
        <v>0</v>
      </c>
      <c r="J65" s="59">
        <f t="shared" si="63"/>
        <v>0</v>
      </c>
      <c r="K65" s="55">
        <f t="shared" si="293"/>
        <v>0</v>
      </c>
      <c r="L65" s="59">
        <f t="shared" si="294"/>
        <v>0</v>
      </c>
      <c r="M65" s="55">
        <f t="shared" si="295"/>
        <v>0</v>
      </c>
      <c r="N65" s="59">
        <f t="shared" si="296"/>
        <v>0</v>
      </c>
      <c r="O65" s="55">
        <f>+I65*BF65</f>
        <v>0</v>
      </c>
      <c r="P65" s="59">
        <f t="shared" si="297"/>
        <v>0</v>
      </c>
      <c r="Q65" s="57">
        <f>+I65*BG65</f>
        <v>0</v>
      </c>
      <c r="R65" s="59">
        <f t="shared" si="298"/>
        <v>0</v>
      </c>
      <c r="S65" s="55">
        <f>+I65*BH65</f>
        <v>0</v>
      </c>
      <c r="T65" s="59">
        <f t="shared" si="299"/>
        <v>0</v>
      </c>
      <c r="U65" s="57">
        <f>+I65*BI65</f>
        <v>0</v>
      </c>
      <c r="V65" s="59">
        <f t="shared" si="300"/>
        <v>0</v>
      </c>
      <c r="W65" s="60">
        <f>+I65*BJ65</f>
        <v>0</v>
      </c>
      <c r="X65" s="59">
        <f t="shared" si="301"/>
        <v>0</v>
      </c>
      <c r="Y65" s="57">
        <f>+I65*BK65</f>
        <v>0</v>
      </c>
      <c r="Z65" s="59">
        <f t="shared" si="302"/>
        <v>0</v>
      </c>
      <c r="AA65" s="55">
        <f>+I65*BL65</f>
        <v>0</v>
      </c>
      <c r="AB65" s="59">
        <f t="shared" si="303"/>
        <v>0</v>
      </c>
      <c r="AC65" s="60">
        <f>+I65*BM65</f>
        <v>0</v>
      </c>
      <c r="AD65" s="59">
        <f t="shared" si="304"/>
        <v>0</v>
      </c>
      <c r="AE65" s="60">
        <f>+I65*BN65</f>
        <v>0</v>
      </c>
      <c r="AF65" s="59">
        <f t="shared" si="305"/>
        <v>0</v>
      </c>
      <c r="AG65" s="60">
        <f>+I65*BO65</f>
        <v>0</v>
      </c>
      <c r="AH65" s="59">
        <f t="shared" si="306"/>
        <v>0</v>
      </c>
      <c r="AI65" s="55">
        <f>+I65*BP65</f>
        <v>0</v>
      </c>
      <c r="AJ65" s="59">
        <f t="shared" si="307"/>
        <v>0</v>
      </c>
      <c r="AK65" s="60">
        <f>+I65*BQ65</f>
        <v>0</v>
      </c>
      <c r="AL65" s="59">
        <f t="shared" si="308"/>
        <v>0</v>
      </c>
      <c r="AM65" s="60">
        <f>+I65*BR65</f>
        <v>0</v>
      </c>
      <c r="AN65" s="59">
        <f t="shared" si="309"/>
        <v>0</v>
      </c>
      <c r="AO65" s="60">
        <f>+I65*BS65</f>
        <v>0</v>
      </c>
      <c r="AP65" s="59">
        <f t="shared" si="310"/>
        <v>0</v>
      </c>
      <c r="AQ65" s="60">
        <f>+I65*BT65</f>
        <v>0</v>
      </c>
      <c r="AR65" s="59">
        <f t="shared" si="311"/>
        <v>0</v>
      </c>
      <c r="AS65" s="55">
        <f>+I65*BU65</f>
        <v>0</v>
      </c>
      <c r="AT65" s="59">
        <f t="shared" si="312"/>
        <v>0</v>
      </c>
      <c r="AU65" s="60">
        <f>+I65*BV65</f>
        <v>0</v>
      </c>
      <c r="AV65" s="59">
        <f t="shared" si="313"/>
        <v>0</v>
      </c>
      <c r="AW65" s="60">
        <f>+I65*BW65</f>
        <v>0</v>
      </c>
      <c r="AX65" s="59">
        <f t="shared" si="314"/>
        <v>0</v>
      </c>
      <c r="AY65" s="55">
        <f>+I65*BX65</f>
        <v>0</v>
      </c>
      <c r="AZ65" s="59">
        <f t="shared" si="315"/>
        <v>0</v>
      </c>
      <c r="BC65" s="55">
        <v>1</v>
      </c>
      <c r="BD65" s="55">
        <v>0.97</v>
      </c>
      <c r="BE65" s="55">
        <v>0.95</v>
      </c>
      <c r="BF65" s="55">
        <v>0.93</v>
      </c>
      <c r="BG65" s="55">
        <f t="shared" si="316"/>
        <v>0.91</v>
      </c>
      <c r="BH65" s="55">
        <f t="shared" si="316"/>
        <v>0.89</v>
      </c>
      <c r="BI65" s="55">
        <f t="shared" si="316"/>
        <v>0.87</v>
      </c>
      <c r="BJ65" s="55">
        <f t="shared" si="316"/>
        <v>0.85</v>
      </c>
      <c r="BK65" s="55">
        <f t="shared" si="316"/>
        <v>0.83</v>
      </c>
      <c r="BL65" s="55">
        <f t="shared" si="316"/>
        <v>0.80999999999999994</v>
      </c>
      <c r="BM65" s="55">
        <f t="shared" si="316"/>
        <v>0.78999999999999992</v>
      </c>
      <c r="BN65" s="55">
        <f t="shared" si="316"/>
        <v>0.76999999999999991</v>
      </c>
      <c r="BO65" s="55">
        <f t="shared" si="316"/>
        <v>0.74999999999999989</v>
      </c>
      <c r="BP65" s="55">
        <f t="shared" si="316"/>
        <v>0.72999999999999987</v>
      </c>
      <c r="BQ65" s="55">
        <f t="shared" si="316"/>
        <v>0.70999999999999985</v>
      </c>
      <c r="BR65" s="55">
        <f t="shared" si="316"/>
        <v>0.68999999999999984</v>
      </c>
      <c r="BS65" s="55">
        <f t="shared" si="316"/>
        <v>0.66999999999999982</v>
      </c>
      <c r="BT65" s="55">
        <f t="shared" si="316"/>
        <v>0.6499999999999998</v>
      </c>
      <c r="BU65" s="55">
        <f t="shared" si="316"/>
        <v>0.62999999999999978</v>
      </c>
      <c r="BV65" s="55">
        <f t="shared" si="316"/>
        <v>0.60999999999999976</v>
      </c>
      <c r="BW65" s="55">
        <f t="shared" si="316"/>
        <v>0.58999999999999975</v>
      </c>
      <c r="BX65" s="55">
        <f t="shared" si="316"/>
        <v>0.56999999999999973</v>
      </c>
      <c r="BZ65" s="55">
        <f t="shared" si="88"/>
        <v>0</v>
      </c>
      <c r="CA65" s="55">
        <f t="shared" si="89"/>
        <v>0</v>
      </c>
      <c r="CB65" s="59">
        <f t="shared" si="317"/>
        <v>0</v>
      </c>
      <c r="CC65" s="55">
        <f t="shared" si="318"/>
        <v>0</v>
      </c>
      <c r="CD65" s="59">
        <f t="shared" si="319"/>
        <v>0</v>
      </c>
      <c r="CE65" s="55">
        <f t="shared" si="320"/>
        <v>0</v>
      </c>
      <c r="CF65" s="59">
        <f t="shared" si="321"/>
        <v>0</v>
      </c>
      <c r="CG65" s="55">
        <f>+CA65*DX65</f>
        <v>0</v>
      </c>
      <c r="CH65" s="59">
        <f t="shared" si="322"/>
        <v>0</v>
      </c>
      <c r="CI65" s="57">
        <f>+CA65*DY65</f>
        <v>0</v>
      </c>
      <c r="CJ65" s="59">
        <f t="shared" si="323"/>
        <v>0</v>
      </c>
      <c r="CK65" s="55">
        <f>+CA65*DZ65</f>
        <v>0</v>
      </c>
      <c r="CL65" s="59">
        <f t="shared" si="324"/>
        <v>0</v>
      </c>
      <c r="CM65" s="57">
        <f>+CA65*EA65</f>
        <v>0</v>
      </c>
      <c r="CN65" s="59">
        <f t="shared" si="325"/>
        <v>0</v>
      </c>
      <c r="CO65" s="60">
        <f>+CA65*EB65</f>
        <v>0</v>
      </c>
      <c r="CP65" s="59">
        <f t="shared" si="326"/>
        <v>0</v>
      </c>
      <c r="CQ65" s="57">
        <f>+CA65*EC65</f>
        <v>0</v>
      </c>
      <c r="CR65" s="59">
        <f t="shared" si="327"/>
        <v>0</v>
      </c>
      <c r="CS65" s="55">
        <f>+CA65*ED65</f>
        <v>0</v>
      </c>
      <c r="CT65" s="59">
        <f t="shared" si="328"/>
        <v>0</v>
      </c>
      <c r="CU65" s="60">
        <f>+CA65*EE65</f>
        <v>0</v>
      </c>
      <c r="CV65" s="59">
        <f t="shared" si="329"/>
        <v>0</v>
      </c>
      <c r="CW65" s="60">
        <f>+CA65*EF65</f>
        <v>0</v>
      </c>
      <c r="CX65" s="59">
        <f t="shared" si="330"/>
        <v>0</v>
      </c>
      <c r="CY65" s="60">
        <f>+CA65*EG65</f>
        <v>0</v>
      </c>
      <c r="CZ65" s="59">
        <f t="shared" si="331"/>
        <v>0</v>
      </c>
      <c r="DA65" s="55">
        <f>+CA65*EH65</f>
        <v>0</v>
      </c>
      <c r="DB65" s="59">
        <f t="shared" si="332"/>
        <v>0</v>
      </c>
      <c r="DC65" s="60">
        <f>+CA65*EI65</f>
        <v>0</v>
      </c>
      <c r="DD65" s="59">
        <f t="shared" si="333"/>
        <v>0</v>
      </c>
      <c r="DE65" s="60">
        <f>+CA65*EJ65</f>
        <v>0</v>
      </c>
      <c r="DF65" s="59">
        <f t="shared" si="334"/>
        <v>0</v>
      </c>
      <c r="DG65" s="60">
        <f>+CA65*EK65</f>
        <v>0</v>
      </c>
      <c r="DH65" s="59">
        <f t="shared" si="335"/>
        <v>0</v>
      </c>
      <c r="DI65" s="60">
        <f>+CA65*EL65</f>
        <v>0</v>
      </c>
      <c r="DJ65" s="59">
        <f t="shared" si="336"/>
        <v>0</v>
      </c>
      <c r="DK65" s="55">
        <f>+CA65*EM65</f>
        <v>0</v>
      </c>
      <c r="DL65" s="59">
        <f t="shared" si="337"/>
        <v>0</v>
      </c>
      <c r="DM65" s="60">
        <f>+CA65*EN65</f>
        <v>0</v>
      </c>
      <c r="DN65" s="59">
        <f t="shared" si="338"/>
        <v>0</v>
      </c>
      <c r="DO65" s="60">
        <f>+CA65*EO65</f>
        <v>0</v>
      </c>
      <c r="DP65" s="59">
        <f t="shared" si="339"/>
        <v>0</v>
      </c>
      <c r="DQ65" s="55">
        <f>+CA65*EP65</f>
        <v>0</v>
      </c>
      <c r="DR65" s="59">
        <f t="shared" si="340"/>
        <v>0</v>
      </c>
      <c r="DU65" s="55">
        <v>1</v>
      </c>
      <c r="DV65" s="55">
        <v>0.97</v>
      </c>
      <c r="DW65" s="55">
        <v>0.95</v>
      </c>
      <c r="DX65" s="55">
        <v>0.93</v>
      </c>
      <c r="DY65" s="55">
        <f t="shared" si="287"/>
        <v>0.91</v>
      </c>
      <c r="DZ65" s="55">
        <f t="shared" si="287"/>
        <v>0.89</v>
      </c>
      <c r="EA65" s="55">
        <f t="shared" si="287"/>
        <v>0.87</v>
      </c>
      <c r="EB65" s="55">
        <f t="shared" si="287"/>
        <v>0.85</v>
      </c>
      <c r="EC65" s="55">
        <f t="shared" si="287"/>
        <v>0.83</v>
      </c>
      <c r="ED65" s="55">
        <f t="shared" si="287"/>
        <v>0.80999999999999994</v>
      </c>
      <c r="EE65" s="55">
        <f t="shared" si="287"/>
        <v>0.78999999999999992</v>
      </c>
      <c r="EF65" s="55">
        <f t="shared" si="287"/>
        <v>0.76999999999999991</v>
      </c>
      <c r="EG65" s="55">
        <f t="shared" si="287"/>
        <v>0.74999999999999989</v>
      </c>
      <c r="EH65" s="55">
        <f t="shared" si="287"/>
        <v>0.72999999999999987</v>
      </c>
      <c r="EI65" s="55">
        <f t="shared" si="287"/>
        <v>0.70999999999999985</v>
      </c>
      <c r="EJ65" s="55">
        <f t="shared" si="287"/>
        <v>0.68999999999999984</v>
      </c>
      <c r="EK65" s="55">
        <f t="shared" si="287"/>
        <v>0.66999999999999982</v>
      </c>
      <c r="EL65" s="55">
        <f t="shared" si="287"/>
        <v>0.6499999999999998</v>
      </c>
      <c r="EM65" s="55">
        <f t="shared" si="287"/>
        <v>0.62999999999999978</v>
      </c>
      <c r="EN65" s="55">
        <f t="shared" si="287"/>
        <v>0.60999999999999976</v>
      </c>
      <c r="EO65" s="55">
        <f t="shared" si="287"/>
        <v>0.58999999999999975</v>
      </c>
      <c r="EP65" s="55">
        <f t="shared" si="287"/>
        <v>0.56999999999999973</v>
      </c>
      <c r="ER65" s="55">
        <f t="shared" si="142"/>
        <v>0</v>
      </c>
      <c r="ES65" s="55">
        <f t="shared" si="116"/>
        <v>0</v>
      </c>
      <c r="ET65" s="59">
        <f t="shared" si="341"/>
        <v>0</v>
      </c>
      <c r="EU65" s="55">
        <f t="shared" si="342"/>
        <v>0</v>
      </c>
      <c r="EV65" s="59">
        <f t="shared" si="343"/>
        <v>0</v>
      </c>
      <c r="EW65" s="55">
        <f t="shared" si="344"/>
        <v>0</v>
      </c>
      <c r="EX65" s="59">
        <f t="shared" si="345"/>
        <v>0</v>
      </c>
      <c r="EY65" s="55">
        <f>+ES65*GP65</f>
        <v>0</v>
      </c>
      <c r="EZ65" s="59">
        <f t="shared" si="346"/>
        <v>0</v>
      </c>
      <c r="FA65" s="57">
        <f>+ES65*GQ65</f>
        <v>0</v>
      </c>
      <c r="FB65" s="59">
        <f t="shared" si="347"/>
        <v>0</v>
      </c>
      <c r="FC65" s="55">
        <f>+ES65*GR65</f>
        <v>0</v>
      </c>
      <c r="FD65" s="59">
        <f t="shared" si="348"/>
        <v>0</v>
      </c>
      <c r="FE65" s="57">
        <f>+ES65*GS65</f>
        <v>0</v>
      </c>
      <c r="FF65" s="59">
        <f t="shared" si="349"/>
        <v>0</v>
      </c>
      <c r="FG65" s="60">
        <f>+ES65*GT65</f>
        <v>0</v>
      </c>
      <c r="FH65" s="59">
        <f t="shared" si="350"/>
        <v>0</v>
      </c>
      <c r="FI65" s="57">
        <f>+ES65*GU65</f>
        <v>0</v>
      </c>
      <c r="FJ65" s="59">
        <f t="shared" si="351"/>
        <v>0</v>
      </c>
      <c r="FK65" s="55">
        <f>+ES65*GV65</f>
        <v>0</v>
      </c>
      <c r="FL65" s="59">
        <f t="shared" si="352"/>
        <v>0</v>
      </c>
      <c r="FM65" s="60">
        <f>+ES65*GW65</f>
        <v>0</v>
      </c>
      <c r="FN65" s="59">
        <f t="shared" si="353"/>
        <v>0</v>
      </c>
      <c r="FO65" s="60">
        <f>+ES65*GX65</f>
        <v>0</v>
      </c>
      <c r="FP65" s="59">
        <f t="shared" si="354"/>
        <v>0</v>
      </c>
      <c r="FQ65" s="60">
        <f>+ES65*GY65</f>
        <v>0</v>
      </c>
      <c r="FR65" s="59">
        <f t="shared" si="355"/>
        <v>0</v>
      </c>
      <c r="FS65" s="55">
        <f>+ES65*GZ65</f>
        <v>0</v>
      </c>
      <c r="FT65" s="59">
        <f t="shared" si="356"/>
        <v>0</v>
      </c>
      <c r="FU65" s="60">
        <f>+ES65*HA65</f>
        <v>0</v>
      </c>
      <c r="FV65" s="59">
        <f t="shared" si="357"/>
        <v>0</v>
      </c>
      <c r="FW65" s="60">
        <f>+ES65*HB65</f>
        <v>0</v>
      </c>
      <c r="FX65" s="59">
        <f t="shared" si="358"/>
        <v>0</v>
      </c>
      <c r="FY65" s="60">
        <f>+ES65*HC65</f>
        <v>0</v>
      </c>
      <c r="FZ65" s="59">
        <f t="shared" si="359"/>
        <v>0</v>
      </c>
      <c r="GA65" s="60">
        <f>+ES65*HD65</f>
        <v>0</v>
      </c>
      <c r="GB65" s="59">
        <f t="shared" si="360"/>
        <v>0</v>
      </c>
      <c r="GC65" s="55">
        <f>+ES65*HE65</f>
        <v>0</v>
      </c>
      <c r="GD65" s="59">
        <f t="shared" si="361"/>
        <v>0</v>
      </c>
      <c r="GE65" s="60">
        <f>+ES65*HF65</f>
        <v>0</v>
      </c>
      <c r="GF65" s="59">
        <f t="shared" si="362"/>
        <v>0</v>
      </c>
      <c r="GG65" s="60">
        <f>+ES65*HG65</f>
        <v>0</v>
      </c>
      <c r="GH65" s="59">
        <f t="shared" si="363"/>
        <v>0</v>
      </c>
      <c r="GI65" s="55">
        <f>+ES65*HH65</f>
        <v>0</v>
      </c>
      <c r="GJ65" s="59">
        <f t="shared" si="364"/>
        <v>0</v>
      </c>
      <c r="GK65" s="55"/>
      <c r="GL65" s="55"/>
      <c r="GM65" s="55">
        <v>1</v>
      </c>
      <c r="GN65" s="55">
        <v>0.97</v>
      </c>
      <c r="GO65" s="55">
        <v>0.95</v>
      </c>
      <c r="GP65" s="55">
        <v>0.93</v>
      </c>
      <c r="GQ65" s="55">
        <f t="shared" si="288"/>
        <v>0.91</v>
      </c>
      <c r="GR65" s="55">
        <f t="shared" si="288"/>
        <v>0.89</v>
      </c>
      <c r="GS65" s="55">
        <f t="shared" si="288"/>
        <v>0.87</v>
      </c>
      <c r="GT65" s="55">
        <f t="shared" si="288"/>
        <v>0.85</v>
      </c>
      <c r="GU65" s="55">
        <f t="shared" si="288"/>
        <v>0.83</v>
      </c>
      <c r="GV65" s="55">
        <f t="shared" si="288"/>
        <v>0.80999999999999994</v>
      </c>
      <c r="GW65" s="55">
        <f t="shared" si="288"/>
        <v>0.78999999999999992</v>
      </c>
      <c r="GX65" s="55">
        <f t="shared" si="288"/>
        <v>0.76999999999999991</v>
      </c>
      <c r="GY65" s="55">
        <f t="shared" si="288"/>
        <v>0.74999999999999989</v>
      </c>
      <c r="GZ65" s="55">
        <f t="shared" si="288"/>
        <v>0.72999999999999987</v>
      </c>
      <c r="HA65" s="55">
        <f t="shared" si="288"/>
        <v>0.70999999999999985</v>
      </c>
      <c r="HB65" s="55">
        <f t="shared" si="288"/>
        <v>0.68999999999999984</v>
      </c>
      <c r="HC65" s="55">
        <f t="shared" si="288"/>
        <v>0.66999999999999982</v>
      </c>
      <c r="HD65" s="55">
        <f t="shared" si="288"/>
        <v>0.6499999999999998</v>
      </c>
      <c r="HE65" s="55">
        <f t="shared" si="288"/>
        <v>0.62999999999999978</v>
      </c>
      <c r="HF65" s="55">
        <f t="shared" si="288"/>
        <v>0.60999999999999976</v>
      </c>
      <c r="HG65" s="55">
        <f t="shared" si="288"/>
        <v>0.58999999999999975</v>
      </c>
      <c r="HH65" s="55">
        <f t="shared" si="288"/>
        <v>0.56999999999999973</v>
      </c>
    </row>
    <row r="66" spans="1:216" x14ac:dyDescent="0.3">
      <c r="A66" s="2">
        <v>4</v>
      </c>
      <c r="C66" s="27" t="s">
        <v>112</v>
      </c>
      <c r="D66" s="39">
        <f>SUM(D63:D65)</f>
        <v>7250</v>
      </c>
      <c r="E66" s="73">
        <f>SUM(E63:E65)</f>
        <v>23960</v>
      </c>
      <c r="H66" s="55">
        <f t="shared" si="61"/>
        <v>26356.000000000004</v>
      </c>
      <c r="I66" s="55">
        <f t="shared" si="62"/>
        <v>26356.000000000004</v>
      </c>
      <c r="J66" s="59">
        <f t="shared" si="63"/>
        <v>87127.664800000013</v>
      </c>
      <c r="K66" s="55">
        <f t="shared" si="293"/>
        <v>25565.320000000003</v>
      </c>
      <c r="L66" s="59">
        <f t="shared" si="294"/>
        <v>84513.834856000016</v>
      </c>
      <c r="M66" s="55">
        <f t="shared" si="295"/>
        <v>25038.2</v>
      </c>
      <c r="N66" s="59">
        <f t="shared" si="296"/>
        <v>82771.281560000003</v>
      </c>
      <c r="O66" s="55">
        <f>+I66*BF66</f>
        <v>24511.080000000005</v>
      </c>
      <c r="P66" s="59">
        <f t="shared" si="297"/>
        <v>81028.728264000019</v>
      </c>
      <c r="Q66" s="57">
        <f>+I66*BG66</f>
        <v>23983.960000000003</v>
      </c>
      <c r="R66" s="59">
        <f t="shared" si="298"/>
        <v>79286.174968000007</v>
      </c>
      <c r="S66" s="55">
        <f>+I66*BH66</f>
        <v>23456.840000000004</v>
      </c>
      <c r="T66" s="59">
        <f t="shared" si="299"/>
        <v>77543.621672000008</v>
      </c>
      <c r="U66" s="57">
        <f>+I66*BI66</f>
        <v>22929.720000000005</v>
      </c>
      <c r="V66" s="59">
        <f t="shared" si="300"/>
        <v>75801.068376000025</v>
      </c>
      <c r="W66" s="60">
        <f>+I66*BJ66</f>
        <v>22402.600000000002</v>
      </c>
      <c r="X66" s="59">
        <f t="shared" si="301"/>
        <v>74058.515080000012</v>
      </c>
      <c r="Y66" s="57">
        <f>+I66*BK66</f>
        <v>21875.480000000003</v>
      </c>
      <c r="Z66" s="59">
        <f t="shared" si="302"/>
        <v>72315.961784000014</v>
      </c>
      <c r="AA66" s="55">
        <f>+I66*BL66</f>
        <v>21348.36</v>
      </c>
      <c r="AB66" s="59">
        <f t="shared" si="303"/>
        <v>70573.408488000001</v>
      </c>
      <c r="AC66" s="60">
        <f>+I66*BM66</f>
        <v>20821.240000000002</v>
      </c>
      <c r="AD66" s="59">
        <f t="shared" si="304"/>
        <v>68830.855192000003</v>
      </c>
      <c r="AE66" s="60">
        <f>+I66*BN66</f>
        <v>20294.12</v>
      </c>
      <c r="AF66" s="59">
        <f t="shared" si="305"/>
        <v>67088.301896000004</v>
      </c>
      <c r="AG66" s="60">
        <f>+I66*BO66</f>
        <v>19767</v>
      </c>
      <c r="AH66" s="59">
        <f t="shared" si="306"/>
        <v>65345.748599999999</v>
      </c>
      <c r="AI66" s="55">
        <f>+I66*BP66</f>
        <v>19239.88</v>
      </c>
      <c r="AJ66" s="59">
        <f t="shared" si="307"/>
        <v>63603.195304000008</v>
      </c>
      <c r="AK66" s="60">
        <f>+I66*BQ66</f>
        <v>18712.759999999998</v>
      </c>
      <c r="AL66" s="59">
        <f t="shared" si="308"/>
        <v>61860.642007999995</v>
      </c>
      <c r="AM66" s="60">
        <f>+I66*BR66</f>
        <v>18185.64</v>
      </c>
      <c r="AN66" s="59">
        <f t="shared" si="309"/>
        <v>60118.088711999997</v>
      </c>
      <c r="AO66" s="60">
        <f>+I66*BS66</f>
        <v>17658.519999999997</v>
      </c>
      <c r="AP66" s="59">
        <f t="shared" si="310"/>
        <v>58375.535415999992</v>
      </c>
      <c r="AQ66" s="60">
        <f>+I66*BT66</f>
        <v>17131.399999999998</v>
      </c>
      <c r="AR66" s="59">
        <f t="shared" si="311"/>
        <v>56632.982119999993</v>
      </c>
      <c r="AS66" s="55">
        <f>+I66*BU66</f>
        <v>16604.279999999995</v>
      </c>
      <c r="AT66" s="59">
        <f t="shared" si="312"/>
        <v>54890.428823999988</v>
      </c>
      <c r="AU66" s="60">
        <f>+I66*BV66</f>
        <v>16077.159999999996</v>
      </c>
      <c r="AV66" s="59">
        <f t="shared" si="313"/>
        <v>53147.87552799999</v>
      </c>
      <c r="AW66" s="60">
        <f>+I66*BW66</f>
        <v>15550.039999999995</v>
      </c>
      <c r="AX66" s="59">
        <f t="shared" si="314"/>
        <v>51405.322231999984</v>
      </c>
      <c r="AY66" s="55">
        <f>+I66*BX66</f>
        <v>15022.919999999995</v>
      </c>
      <c r="AZ66" s="59">
        <f t="shared" si="315"/>
        <v>49662.768935999986</v>
      </c>
      <c r="BC66" s="55">
        <v>1</v>
      </c>
      <c r="BD66" s="55">
        <v>0.97</v>
      </c>
      <c r="BE66" s="55">
        <v>0.95</v>
      </c>
      <c r="BF66" s="55">
        <v>0.93</v>
      </c>
      <c r="BG66" s="55">
        <f t="shared" si="316"/>
        <v>0.91</v>
      </c>
      <c r="BH66" s="55">
        <f t="shared" si="316"/>
        <v>0.89</v>
      </c>
      <c r="BI66" s="55">
        <f t="shared" si="316"/>
        <v>0.87</v>
      </c>
      <c r="BJ66" s="55">
        <f t="shared" si="316"/>
        <v>0.85</v>
      </c>
      <c r="BK66" s="55">
        <f t="shared" si="316"/>
        <v>0.83</v>
      </c>
      <c r="BL66" s="55">
        <f t="shared" si="316"/>
        <v>0.80999999999999994</v>
      </c>
      <c r="BM66" s="55">
        <f t="shared" si="316"/>
        <v>0.78999999999999992</v>
      </c>
      <c r="BN66" s="55">
        <f t="shared" si="316"/>
        <v>0.76999999999999991</v>
      </c>
      <c r="BO66" s="55">
        <f t="shared" si="316"/>
        <v>0.74999999999999989</v>
      </c>
      <c r="BP66" s="55">
        <f t="shared" si="316"/>
        <v>0.72999999999999987</v>
      </c>
      <c r="BQ66" s="55">
        <f t="shared" si="316"/>
        <v>0.70999999999999985</v>
      </c>
      <c r="BR66" s="55">
        <f t="shared" si="316"/>
        <v>0.68999999999999984</v>
      </c>
      <c r="BS66" s="55">
        <f t="shared" si="316"/>
        <v>0.66999999999999982</v>
      </c>
      <c r="BT66" s="55">
        <f t="shared" si="316"/>
        <v>0.6499999999999998</v>
      </c>
      <c r="BU66" s="55">
        <f t="shared" si="316"/>
        <v>0.62999999999999978</v>
      </c>
      <c r="BV66" s="55">
        <f t="shared" si="316"/>
        <v>0.60999999999999976</v>
      </c>
      <c r="BW66" s="55">
        <f t="shared" si="316"/>
        <v>0.58999999999999975</v>
      </c>
      <c r="BX66" s="55">
        <f t="shared" si="316"/>
        <v>0.56999999999999973</v>
      </c>
      <c r="BZ66" s="55">
        <f t="shared" si="88"/>
        <v>23983.960000000003</v>
      </c>
      <c r="CA66" s="55">
        <f t="shared" si="89"/>
        <v>23983.960000000003</v>
      </c>
      <c r="CB66" s="59">
        <f t="shared" si="317"/>
        <v>79286.174968000007</v>
      </c>
      <c r="CC66" s="55">
        <f t="shared" si="318"/>
        <v>23264.441200000001</v>
      </c>
      <c r="CD66" s="59">
        <f t="shared" si="319"/>
        <v>76907.589718960007</v>
      </c>
      <c r="CE66" s="55">
        <f t="shared" si="320"/>
        <v>22784.762000000002</v>
      </c>
      <c r="CF66" s="59">
        <f t="shared" si="321"/>
        <v>75321.866219600008</v>
      </c>
      <c r="CG66" s="55">
        <f>+CA66*DX66</f>
        <v>22305.082800000004</v>
      </c>
      <c r="CH66" s="59">
        <f t="shared" si="322"/>
        <v>73736.142720240008</v>
      </c>
      <c r="CI66" s="57">
        <f>+CA66*DY66</f>
        <v>21825.403600000001</v>
      </c>
      <c r="CJ66" s="59">
        <f t="shared" si="323"/>
        <v>72150.419220880009</v>
      </c>
      <c r="CK66" s="55">
        <f>+CA66*DZ66</f>
        <v>21345.724400000003</v>
      </c>
      <c r="CL66" s="59">
        <f t="shared" si="324"/>
        <v>70564.695721520009</v>
      </c>
      <c r="CM66" s="57">
        <f>+CA66*EA66</f>
        <v>20866.045200000004</v>
      </c>
      <c r="CN66" s="59">
        <f t="shared" si="325"/>
        <v>68978.97222216001</v>
      </c>
      <c r="CO66" s="60">
        <f>+CA66*EB66</f>
        <v>20386.366000000002</v>
      </c>
      <c r="CP66" s="59">
        <f t="shared" si="326"/>
        <v>67393.24872280001</v>
      </c>
      <c r="CQ66" s="57">
        <f>+CA66*EC66</f>
        <v>19906.686800000003</v>
      </c>
      <c r="CR66" s="59">
        <f t="shared" si="327"/>
        <v>65807.52522344001</v>
      </c>
      <c r="CS66" s="55">
        <f>+CA66*ED66</f>
        <v>19427.007600000001</v>
      </c>
      <c r="CT66" s="59">
        <f t="shared" si="328"/>
        <v>64221.801724080004</v>
      </c>
      <c r="CU66" s="60">
        <f>+CA66*EE66</f>
        <v>18947.328400000002</v>
      </c>
      <c r="CV66" s="59">
        <f t="shared" si="329"/>
        <v>62636.078224720011</v>
      </c>
      <c r="CW66" s="60">
        <f>+CA66*EF66</f>
        <v>18467.6492</v>
      </c>
      <c r="CX66" s="59">
        <f t="shared" si="330"/>
        <v>61050.354725359997</v>
      </c>
      <c r="CY66" s="60">
        <f>+CA66*EG66</f>
        <v>17987.97</v>
      </c>
      <c r="CZ66" s="59">
        <f t="shared" si="331"/>
        <v>59464.631226000005</v>
      </c>
      <c r="DA66" s="55">
        <f>+CA66*EH66</f>
        <v>17508.290799999999</v>
      </c>
      <c r="DB66" s="59">
        <f t="shared" si="332"/>
        <v>57878.907726639998</v>
      </c>
      <c r="DC66" s="60">
        <f>+CA66*EI66</f>
        <v>17028.6116</v>
      </c>
      <c r="DD66" s="59">
        <f t="shared" si="333"/>
        <v>56293.184227279999</v>
      </c>
      <c r="DE66" s="60">
        <f>+CA66*EJ66</f>
        <v>16548.932399999998</v>
      </c>
      <c r="DF66" s="59">
        <f t="shared" si="334"/>
        <v>54707.460727919992</v>
      </c>
      <c r="DG66" s="60">
        <f>+CA66*EK66</f>
        <v>16069.253199999997</v>
      </c>
      <c r="DH66" s="59">
        <f t="shared" si="335"/>
        <v>53121.737228559992</v>
      </c>
      <c r="DI66" s="60">
        <f>+CA66*EL66</f>
        <v>15589.573999999997</v>
      </c>
      <c r="DJ66" s="59">
        <f t="shared" si="336"/>
        <v>51536.013729199993</v>
      </c>
      <c r="DK66" s="55">
        <f>+CA66*EM66</f>
        <v>15109.894799999996</v>
      </c>
      <c r="DL66" s="59">
        <f t="shared" si="337"/>
        <v>49950.290229839986</v>
      </c>
      <c r="DM66" s="60">
        <f>+CA66*EN66</f>
        <v>14630.215599999996</v>
      </c>
      <c r="DN66" s="59">
        <f t="shared" si="338"/>
        <v>48364.566730479986</v>
      </c>
      <c r="DO66" s="60">
        <f>+CA66*EO66</f>
        <v>14150.536399999995</v>
      </c>
      <c r="DP66" s="59">
        <f t="shared" si="339"/>
        <v>46778.843231119987</v>
      </c>
      <c r="DQ66" s="55">
        <f>+CA66*EP66</f>
        <v>13670.857199999995</v>
      </c>
      <c r="DR66" s="59">
        <f t="shared" si="340"/>
        <v>45193.119731759987</v>
      </c>
      <c r="DU66" s="55">
        <v>1</v>
      </c>
      <c r="DV66" s="55">
        <v>0.97</v>
      </c>
      <c r="DW66" s="55">
        <v>0.95</v>
      </c>
      <c r="DX66" s="55">
        <v>0.93</v>
      </c>
      <c r="DY66" s="55">
        <f t="shared" si="287"/>
        <v>0.91</v>
      </c>
      <c r="DZ66" s="55">
        <f t="shared" si="287"/>
        <v>0.89</v>
      </c>
      <c r="EA66" s="55">
        <f t="shared" si="287"/>
        <v>0.87</v>
      </c>
      <c r="EB66" s="55">
        <f t="shared" si="287"/>
        <v>0.85</v>
      </c>
      <c r="EC66" s="55">
        <f t="shared" si="287"/>
        <v>0.83</v>
      </c>
      <c r="ED66" s="55">
        <f t="shared" si="287"/>
        <v>0.80999999999999994</v>
      </c>
      <c r="EE66" s="55">
        <f t="shared" si="287"/>
        <v>0.78999999999999992</v>
      </c>
      <c r="EF66" s="55">
        <f t="shared" si="287"/>
        <v>0.76999999999999991</v>
      </c>
      <c r="EG66" s="55">
        <f t="shared" si="287"/>
        <v>0.74999999999999989</v>
      </c>
      <c r="EH66" s="55">
        <f t="shared" si="287"/>
        <v>0.72999999999999987</v>
      </c>
      <c r="EI66" s="55">
        <f t="shared" si="287"/>
        <v>0.70999999999999985</v>
      </c>
      <c r="EJ66" s="55">
        <f t="shared" si="287"/>
        <v>0.68999999999999984</v>
      </c>
      <c r="EK66" s="55">
        <f t="shared" si="287"/>
        <v>0.66999999999999982</v>
      </c>
      <c r="EL66" s="55">
        <f t="shared" si="287"/>
        <v>0.6499999999999998</v>
      </c>
      <c r="EM66" s="55">
        <f t="shared" si="287"/>
        <v>0.62999999999999978</v>
      </c>
      <c r="EN66" s="55">
        <f t="shared" si="287"/>
        <v>0.60999999999999976</v>
      </c>
      <c r="EO66" s="55">
        <f t="shared" si="287"/>
        <v>0.58999999999999975</v>
      </c>
      <c r="EP66" s="55">
        <f t="shared" si="287"/>
        <v>0.56999999999999973</v>
      </c>
      <c r="ER66" s="55">
        <f t="shared" si="142"/>
        <v>21825.403600000001</v>
      </c>
      <c r="ES66" s="55">
        <f t="shared" si="116"/>
        <v>21825.403600000001</v>
      </c>
      <c r="ET66" s="59">
        <f t="shared" si="341"/>
        <v>72150.419220880009</v>
      </c>
      <c r="EU66" s="55">
        <f t="shared" si="342"/>
        <v>21170.641492000002</v>
      </c>
      <c r="EV66" s="59">
        <f t="shared" si="343"/>
        <v>69985.906644253613</v>
      </c>
      <c r="EW66" s="55">
        <f t="shared" si="344"/>
        <v>20734.133420000002</v>
      </c>
      <c r="EX66" s="59">
        <f t="shared" si="345"/>
        <v>68542.898259836002</v>
      </c>
      <c r="EY66" s="55">
        <f>+ES66*GP66</f>
        <v>20297.625348000001</v>
      </c>
      <c r="EZ66" s="59">
        <f t="shared" si="346"/>
        <v>67099.889875418405</v>
      </c>
      <c r="FA66" s="57">
        <f>+ES66*GQ66</f>
        <v>19861.117276000001</v>
      </c>
      <c r="FB66" s="59">
        <f t="shared" si="347"/>
        <v>65656.881491000808</v>
      </c>
      <c r="FC66" s="55">
        <f>+ES66*GR66</f>
        <v>19424.609204</v>
      </c>
      <c r="FD66" s="59">
        <f t="shared" si="348"/>
        <v>64213.873106583203</v>
      </c>
      <c r="FE66" s="57">
        <f>+ES66*GS66</f>
        <v>18988.101132</v>
      </c>
      <c r="FF66" s="59">
        <f t="shared" si="349"/>
        <v>62770.864722165599</v>
      </c>
      <c r="FG66" s="60">
        <f>+ES66*GT66</f>
        <v>18551.593059999999</v>
      </c>
      <c r="FH66" s="59">
        <f t="shared" si="350"/>
        <v>61327.856337748002</v>
      </c>
      <c r="FI66" s="57">
        <f>+ES66*GU66</f>
        <v>18115.084987999999</v>
      </c>
      <c r="FJ66" s="59">
        <f t="shared" si="351"/>
        <v>59884.847953330398</v>
      </c>
      <c r="FK66" s="55">
        <f>+ES66*GV66</f>
        <v>17678.576915999998</v>
      </c>
      <c r="FL66" s="59">
        <f t="shared" si="352"/>
        <v>58441.839568912794</v>
      </c>
      <c r="FM66" s="60">
        <f>+ES66*GW66</f>
        <v>17242.068844000001</v>
      </c>
      <c r="FN66" s="59">
        <f t="shared" si="353"/>
        <v>56998.831184495204</v>
      </c>
      <c r="FO66" s="60">
        <f>+ES66*GX66</f>
        <v>16805.560772000001</v>
      </c>
      <c r="FP66" s="59">
        <f t="shared" si="354"/>
        <v>55555.822800077607</v>
      </c>
      <c r="FQ66" s="60">
        <f>+ES66*GY66</f>
        <v>16369.052699999998</v>
      </c>
      <c r="FR66" s="59">
        <f t="shared" si="355"/>
        <v>54112.814415659996</v>
      </c>
      <c r="FS66" s="55">
        <f>+ES66*GZ66</f>
        <v>15932.544627999998</v>
      </c>
      <c r="FT66" s="59">
        <f t="shared" si="356"/>
        <v>52669.806031242391</v>
      </c>
      <c r="FU66" s="60">
        <f>+ES66*HA66</f>
        <v>15496.036555999997</v>
      </c>
      <c r="FV66" s="59">
        <f t="shared" si="357"/>
        <v>51226.797646824794</v>
      </c>
      <c r="FW66" s="60">
        <f>+ES66*HB66</f>
        <v>15059.528483999997</v>
      </c>
      <c r="FX66" s="59">
        <f t="shared" si="358"/>
        <v>49783.78926240719</v>
      </c>
      <c r="FY66" s="60">
        <f>+ES66*HC66</f>
        <v>14623.020411999996</v>
      </c>
      <c r="FZ66" s="59">
        <f t="shared" si="359"/>
        <v>48340.780877989586</v>
      </c>
      <c r="GA66" s="60">
        <f>+ES66*HD66</f>
        <v>14186.512339999997</v>
      </c>
      <c r="GB66" s="59">
        <f t="shared" si="360"/>
        <v>46897.772493571996</v>
      </c>
      <c r="GC66" s="55">
        <f>+ES66*HE66</f>
        <v>13750.004267999997</v>
      </c>
      <c r="GD66" s="59">
        <f t="shared" si="361"/>
        <v>45454.764109154392</v>
      </c>
      <c r="GE66" s="60">
        <f>+ES66*HF66</f>
        <v>13313.496195999996</v>
      </c>
      <c r="GF66" s="59">
        <f t="shared" si="362"/>
        <v>44011.755724736788</v>
      </c>
      <c r="GG66" s="60">
        <f>+ES66*HG66</f>
        <v>12876.988123999996</v>
      </c>
      <c r="GH66" s="59">
        <f t="shared" si="363"/>
        <v>42568.747340319191</v>
      </c>
      <c r="GI66" s="55">
        <f>+ES66*HH66</f>
        <v>12440.480051999995</v>
      </c>
      <c r="GJ66" s="59">
        <f t="shared" si="364"/>
        <v>41125.738955901586</v>
      </c>
      <c r="GK66" s="55"/>
      <c r="GL66" s="55"/>
      <c r="GM66" s="55">
        <v>1</v>
      </c>
      <c r="GN66" s="55">
        <v>0.97</v>
      </c>
      <c r="GO66" s="55">
        <v>0.95</v>
      </c>
      <c r="GP66" s="55">
        <v>0.93</v>
      </c>
      <c r="GQ66" s="55">
        <f t="shared" si="288"/>
        <v>0.91</v>
      </c>
      <c r="GR66" s="55">
        <f t="shared" si="288"/>
        <v>0.89</v>
      </c>
      <c r="GS66" s="55">
        <f t="shared" si="288"/>
        <v>0.87</v>
      </c>
      <c r="GT66" s="55">
        <f t="shared" si="288"/>
        <v>0.85</v>
      </c>
      <c r="GU66" s="55">
        <f t="shared" si="288"/>
        <v>0.83</v>
      </c>
      <c r="GV66" s="55">
        <f t="shared" si="288"/>
        <v>0.80999999999999994</v>
      </c>
      <c r="GW66" s="55">
        <f t="shared" si="288"/>
        <v>0.78999999999999992</v>
      </c>
      <c r="GX66" s="55">
        <f t="shared" si="288"/>
        <v>0.76999999999999991</v>
      </c>
      <c r="GY66" s="55">
        <f t="shared" si="288"/>
        <v>0.74999999999999989</v>
      </c>
      <c r="GZ66" s="55">
        <f t="shared" si="288"/>
        <v>0.72999999999999987</v>
      </c>
      <c r="HA66" s="55">
        <f t="shared" si="288"/>
        <v>0.70999999999999985</v>
      </c>
      <c r="HB66" s="55">
        <f t="shared" si="288"/>
        <v>0.68999999999999984</v>
      </c>
      <c r="HC66" s="55">
        <f t="shared" si="288"/>
        <v>0.66999999999999982</v>
      </c>
      <c r="HD66" s="55">
        <f t="shared" si="288"/>
        <v>0.6499999999999998</v>
      </c>
      <c r="HE66" s="55">
        <f t="shared" si="288"/>
        <v>0.62999999999999978</v>
      </c>
      <c r="HF66" s="55">
        <f t="shared" si="288"/>
        <v>0.60999999999999976</v>
      </c>
      <c r="HG66" s="55">
        <f t="shared" si="288"/>
        <v>0.58999999999999975</v>
      </c>
      <c r="HH66" s="55">
        <f t="shared" si="288"/>
        <v>0.56999999999999973</v>
      </c>
    </row>
    <row r="67" spans="1:216" s="64" customFormat="1" x14ac:dyDescent="0.3">
      <c r="C67" s="65"/>
      <c r="D67" s="65"/>
      <c r="E67" s="65"/>
      <c r="G67" s="61"/>
      <c r="H67" s="61"/>
      <c r="I67" s="61"/>
      <c r="J67" s="61"/>
      <c r="K67" s="61"/>
      <c r="L67" s="61"/>
      <c r="M67" s="61"/>
      <c r="N67" s="61"/>
      <c r="O67" s="61"/>
      <c r="P67" s="62"/>
      <c r="Q67" s="61"/>
      <c r="R67" s="61"/>
      <c r="S67" s="61"/>
      <c r="T67" s="62"/>
      <c r="U67" s="61"/>
      <c r="V67" s="63"/>
      <c r="W67" s="61"/>
      <c r="X67" s="62"/>
      <c r="Y67" s="61"/>
      <c r="Z67" s="61"/>
      <c r="AA67" s="61"/>
      <c r="AB67" s="63"/>
      <c r="AC67" s="61"/>
      <c r="AD67" s="63"/>
      <c r="AE67" s="61"/>
      <c r="AF67" s="63"/>
      <c r="AG67" s="61"/>
      <c r="AH67" s="61"/>
      <c r="AI67" s="61"/>
      <c r="AJ67" s="63"/>
      <c r="AK67" s="61"/>
      <c r="AL67" s="63"/>
      <c r="AM67" s="61"/>
      <c r="AN67" s="63"/>
      <c r="AO67" s="61"/>
      <c r="AP67" s="63"/>
      <c r="AQ67" s="61"/>
      <c r="AR67" s="61"/>
      <c r="AS67" s="61"/>
      <c r="AT67" s="63"/>
      <c r="AU67" s="61"/>
      <c r="AV67" s="63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61"/>
      <c r="BJ67" s="61"/>
      <c r="BK67" s="61"/>
      <c r="BL67" s="61"/>
      <c r="BM67" s="61"/>
      <c r="BN67" s="61"/>
      <c r="BO67" s="61"/>
      <c r="BP67" s="61"/>
      <c r="BQ67" s="61"/>
      <c r="BR67" s="61"/>
      <c r="BS67" s="61"/>
      <c r="BT67" s="61"/>
      <c r="BU67" s="61"/>
      <c r="BV67" s="61"/>
      <c r="BW67" s="61"/>
      <c r="BX67" s="61"/>
      <c r="BY67" s="61">
        <f t="shared" ref="BY67:BY68" si="365">+G67*0.91</f>
        <v>0</v>
      </c>
      <c r="BZ67" s="61"/>
      <c r="CA67" s="61"/>
      <c r="CB67" s="61"/>
      <c r="CC67" s="61"/>
      <c r="CD67" s="61"/>
      <c r="CE67" s="61"/>
      <c r="CF67" s="61"/>
      <c r="CG67" s="61"/>
      <c r="CH67" s="62"/>
      <c r="CI67" s="61"/>
      <c r="CJ67" s="61"/>
      <c r="CK67" s="61"/>
      <c r="CL67" s="62"/>
      <c r="CM67" s="61"/>
      <c r="CN67" s="63"/>
      <c r="CO67" s="61"/>
      <c r="CP67" s="62"/>
      <c r="CQ67" s="61"/>
      <c r="CR67" s="61"/>
      <c r="CS67" s="61"/>
      <c r="CT67" s="63"/>
      <c r="CU67" s="61"/>
      <c r="CV67" s="63"/>
      <c r="CW67" s="61"/>
      <c r="CX67" s="63"/>
      <c r="CY67" s="61"/>
      <c r="CZ67" s="61"/>
      <c r="DA67" s="61"/>
      <c r="DB67" s="63"/>
      <c r="DC67" s="61"/>
      <c r="DD67" s="63"/>
      <c r="DE67" s="61"/>
      <c r="DF67" s="63"/>
      <c r="DG67" s="61"/>
      <c r="DH67" s="63"/>
      <c r="DI67" s="61"/>
      <c r="DJ67" s="61"/>
      <c r="DK67" s="61"/>
      <c r="DL67" s="63"/>
      <c r="DM67" s="61"/>
      <c r="DN67" s="63"/>
      <c r="DO67" s="61"/>
      <c r="DP67" s="61"/>
      <c r="DQ67" s="61"/>
      <c r="DR67" s="61"/>
      <c r="DS67" s="61"/>
      <c r="DT67" s="61">
        <v>1</v>
      </c>
      <c r="DU67" s="61">
        <v>0.97</v>
      </c>
      <c r="DV67" s="61">
        <v>0.95</v>
      </c>
      <c r="DW67" s="61">
        <v>0.93</v>
      </c>
      <c r="DX67" s="61">
        <f t="shared" ref="DX67:EO68" si="366">+DW67-0.02</f>
        <v>0.91</v>
      </c>
      <c r="DY67" s="61">
        <f t="shared" si="366"/>
        <v>0.89</v>
      </c>
      <c r="DZ67" s="61">
        <f t="shared" si="366"/>
        <v>0.87</v>
      </c>
      <c r="EA67" s="61">
        <f t="shared" si="366"/>
        <v>0.85</v>
      </c>
      <c r="EB67" s="61">
        <f t="shared" si="366"/>
        <v>0.83</v>
      </c>
      <c r="EC67" s="61">
        <f t="shared" si="366"/>
        <v>0.80999999999999994</v>
      </c>
      <c r="ED67" s="61">
        <f t="shared" si="366"/>
        <v>0.78999999999999992</v>
      </c>
      <c r="EE67" s="61">
        <f t="shared" si="366"/>
        <v>0.76999999999999991</v>
      </c>
      <c r="EF67" s="61">
        <f t="shared" si="366"/>
        <v>0.74999999999999989</v>
      </c>
      <c r="EG67" s="61">
        <f t="shared" si="366"/>
        <v>0.72999999999999987</v>
      </c>
      <c r="EH67" s="61">
        <f t="shared" si="366"/>
        <v>0.70999999999999985</v>
      </c>
      <c r="EI67" s="61">
        <f t="shared" si="366"/>
        <v>0.68999999999999984</v>
      </c>
      <c r="EJ67" s="61">
        <f t="shared" si="366"/>
        <v>0.66999999999999982</v>
      </c>
      <c r="EK67" s="61">
        <f t="shared" si="366"/>
        <v>0.6499999999999998</v>
      </c>
      <c r="EL67" s="61">
        <f t="shared" si="366"/>
        <v>0.62999999999999978</v>
      </c>
      <c r="EM67" s="61">
        <f t="shared" si="366"/>
        <v>0.60999999999999976</v>
      </c>
      <c r="EN67" s="61">
        <f t="shared" si="366"/>
        <v>0.58999999999999975</v>
      </c>
      <c r="EO67" s="61">
        <f t="shared" si="366"/>
        <v>0.56999999999999973</v>
      </c>
      <c r="EQ67" s="61">
        <f t="shared" ref="EQ67:EQ68" si="367">+BY67*0.91</f>
        <v>0</v>
      </c>
      <c r="ER67" s="61"/>
      <c r="ES67" s="61"/>
      <c r="ET67" s="61"/>
      <c r="EU67" s="61"/>
      <c r="EV67" s="61"/>
      <c r="EW67" s="61"/>
      <c r="EX67" s="61"/>
      <c r="EY67" s="61"/>
      <c r="EZ67" s="62"/>
      <c r="FA67" s="61"/>
      <c r="FB67" s="61"/>
      <c r="FC67" s="61"/>
      <c r="FD67" s="62"/>
      <c r="FE67" s="61"/>
      <c r="FF67" s="63"/>
      <c r="FG67" s="61"/>
      <c r="FH67" s="62"/>
      <c r="FI67" s="61"/>
      <c r="FJ67" s="61"/>
      <c r="FK67" s="61"/>
      <c r="FL67" s="63"/>
      <c r="FM67" s="61"/>
      <c r="FN67" s="63"/>
      <c r="FO67" s="61"/>
      <c r="FP67" s="63"/>
      <c r="FQ67" s="61"/>
      <c r="FR67" s="61"/>
      <c r="FS67" s="61"/>
      <c r="FT67" s="63"/>
      <c r="FU67" s="61"/>
      <c r="FV67" s="63"/>
      <c r="FW67" s="61"/>
      <c r="FX67" s="63"/>
      <c r="FY67" s="61"/>
      <c r="FZ67" s="63"/>
      <c r="GA67" s="61"/>
      <c r="GB67" s="61"/>
      <c r="GC67" s="61"/>
      <c r="GD67" s="63"/>
      <c r="GE67" s="61"/>
      <c r="GF67" s="63"/>
      <c r="GG67" s="61"/>
      <c r="GH67" s="61"/>
      <c r="GI67" s="61"/>
      <c r="GJ67" s="61"/>
      <c r="GK67" s="61"/>
      <c r="GL67" s="61">
        <v>1</v>
      </c>
      <c r="GM67" s="61">
        <v>0.97</v>
      </c>
      <c r="GN67" s="61">
        <v>0.95</v>
      </c>
      <c r="GO67" s="61">
        <v>0.93</v>
      </c>
      <c r="GP67" s="61">
        <f t="shared" ref="GP67:HG68" si="368">+GO67-0.02</f>
        <v>0.91</v>
      </c>
      <c r="GQ67" s="61">
        <f t="shared" si="368"/>
        <v>0.89</v>
      </c>
      <c r="GR67" s="61">
        <f t="shared" si="368"/>
        <v>0.87</v>
      </c>
      <c r="GS67" s="61">
        <f t="shared" si="368"/>
        <v>0.85</v>
      </c>
      <c r="GT67" s="61">
        <f t="shared" si="368"/>
        <v>0.83</v>
      </c>
      <c r="GU67" s="61">
        <f t="shared" si="368"/>
        <v>0.80999999999999994</v>
      </c>
      <c r="GV67" s="61">
        <f t="shared" si="368"/>
        <v>0.78999999999999992</v>
      </c>
      <c r="GW67" s="61">
        <f t="shared" si="368"/>
        <v>0.76999999999999991</v>
      </c>
      <c r="GX67" s="61">
        <f t="shared" si="368"/>
        <v>0.74999999999999989</v>
      </c>
      <c r="GY67" s="61">
        <f t="shared" si="368"/>
        <v>0.72999999999999987</v>
      </c>
      <c r="GZ67" s="61">
        <f t="shared" si="368"/>
        <v>0.70999999999999985</v>
      </c>
      <c r="HA67" s="61">
        <f t="shared" si="368"/>
        <v>0.68999999999999984</v>
      </c>
      <c r="HB67" s="61">
        <f t="shared" si="368"/>
        <v>0.66999999999999982</v>
      </c>
      <c r="HC67" s="61">
        <f t="shared" si="368"/>
        <v>0.6499999999999998</v>
      </c>
      <c r="HD67" s="61">
        <f t="shared" si="368"/>
        <v>0.62999999999999978</v>
      </c>
      <c r="HE67" s="61">
        <f t="shared" si="368"/>
        <v>0.60999999999999976</v>
      </c>
      <c r="HF67" s="61">
        <f t="shared" si="368"/>
        <v>0.58999999999999975</v>
      </c>
      <c r="HG67" s="61">
        <f t="shared" si="368"/>
        <v>0.56999999999999973</v>
      </c>
    </row>
    <row r="68" spans="1:216" s="64" customFormat="1" ht="17.25" thickBot="1" x14ac:dyDescent="0.35">
      <c r="B68" s="64" t="s">
        <v>296</v>
      </c>
      <c r="C68" s="64" t="s">
        <v>297</v>
      </c>
      <c r="D68" s="65" t="s">
        <v>271</v>
      </c>
      <c r="E68" s="65" t="s">
        <v>154</v>
      </c>
      <c r="G68" s="61"/>
      <c r="H68" s="61"/>
      <c r="I68" s="61"/>
      <c r="J68" s="61"/>
      <c r="K68" s="61"/>
      <c r="L68" s="61"/>
      <c r="M68" s="61"/>
      <c r="N68" s="61"/>
      <c r="O68" s="61"/>
      <c r="P68" s="62"/>
      <c r="Q68" s="61"/>
      <c r="R68" s="61"/>
      <c r="S68" s="61"/>
      <c r="T68" s="62"/>
      <c r="U68" s="61"/>
      <c r="V68" s="63"/>
      <c r="W68" s="61"/>
      <c r="X68" s="62"/>
      <c r="Y68" s="61"/>
      <c r="Z68" s="61"/>
      <c r="AA68" s="61"/>
      <c r="AB68" s="63"/>
      <c r="AC68" s="61"/>
      <c r="AD68" s="63"/>
      <c r="AE68" s="61"/>
      <c r="AF68" s="63"/>
      <c r="AG68" s="61"/>
      <c r="AH68" s="61"/>
      <c r="AI68" s="61"/>
      <c r="AJ68" s="63"/>
      <c r="AK68" s="61"/>
      <c r="AL68" s="63"/>
      <c r="AM68" s="61"/>
      <c r="AN68" s="63"/>
      <c r="AO68" s="61"/>
      <c r="AP68" s="63"/>
      <c r="AQ68" s="61"/>
      <c r="AR68" s="61"/>
      <c r="AS68" s="61"/>
      <c r="AT68" s="63"/>
      <c r="AU68" s="61"/>
      <c r="AV68" s="63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  <c r="BV68" s="61"/>
      <c r="BW68" s="61"/>
      <c r="BX68" s="61"/>
      <c r="BY68" s="61">
        <f t="shared" si="365"/>
        <v>0</v>
      </c>
      <c r="BZ68" s="61"/>
      <c r="CA68" s="61"/>
      <c r="CB68" s="61"/>
      <c r="CC68" s="61"/>
      <c r="CD68" s="61"/>
      <c r="CE68" s="61"/>
      <c r="CF68" s="61"/>
      <c r="CG68" s="61"/>
      <c r="CH68" s="62"/>
      <c r="CI68" s="61"/>
      <c r="CJ68" s="61"/>
      <c r="CK68" s="61"/>
      <c r="CL68" s="62"/>
      <c r="CM68" s="61"/>
      <c r="CN68" s="63"/>
      <c r="CO68" s="61"/>
      <c r="CP68" s="62"/>
      <c r="CQ68" s="61"/>
      <c r="CR68" s="61"/>
      <c r="CS68" s="61"/>
      <c r="CT68" s="63"/>
      <c r="CU68" s="61"/>
      <c r="CV68" s="63"/>
      <c r="CW68" s="61"/>
      <c r="CX68" s="63"/>
      <c r="CY68" s="61"/>
      <c r="CZ68" s="61"/>
      <c r="DA68" s="61"/>
      <c r="DB68" s="63"/>
      <c r="DC68" s="61"/>
      <c r="DD68" s="63"/>
      <c r="DE68" s="61"/>
      <c r="DF68" s="63"/>
      <c r="DG68" s="61"/>
      <c r="DH68" s="63"/>
      <c r="DI68" s="61"/>
      <c r="DJ68" s="61"/>
      <c r="DK68" s="61"/>
      <c r="DL68" s="63"/>
      <c r="DM68" s="61"/>
      <c r="DN68" s="63"/>
      <c r="DO68" s="61"/>
      <c r="DP68" s="61"/>
      <c r="DQ68" s="61"/>
      <c r="DR68" s="61"/>
      <c r="DS68" s="61"/>
      <c r="DT68" s="61">
        <v>1</v>
      </c>
      <c r="DU68" s="61">
        <v>0.97</v>
      </c>
      <c r="DV68" s="61">
        <v>0.95</v>
      </c>
      <c r="DW68" s="61">
        <v>0.93</v>
      </c>
      <c r="DX68" s="61">
        <f t="shared" si="366"/>
        <v>0.91</v>
      </c>
      <c r="DY68" s="61">
        <f t="shared" si="366"/>
        <v>0.89</v>
      </c>
      <c r="DZ68" s="61">
        <f t="shared" si="366"/>
        <v>0.87</v>
      </c>
      <c r="EA68" s="61">
        <f t="shared" si="366"/>
        <v>0.85</v>
      </c>
      <c r="EB68" s="61">
        <f t="shared" si="366"/>
        <v>0.83</v>
      </c>
      <c r="EC68" s="61">
        <f t="shared" si="366"/>
        <v>0.80999999999999994</v>
      </c>
      <c r="ED68" s="61">
        <f t="shared" si="366"/>
        <v>0.78999999999999992</v>
      </c>
      <c r="EE68" s="61">
        <f t="shared" si="366"/>
        <v>0.76999999999999991</v>
      </c>
      <c r="EF68" s="61">
        <f t="shared" si="366"/>
        <v>0.74999999999999989</v>
      </c>
      <c r="EG68" s="61">
        <f t="shared" si="366"/>
        <v>0.72999999999999987</v>
      </c>
      <c r="EH68" s="61">
        <f t="shared" si="366"/>
        <v>0.70999999999999985</v>
      </c>
      <c r="EI68" s="61">
        <f t="shared" si="366"/>
        <v>0.68999999999999984</v>
      </c>
      <c r="EJ68" s="61">
        <f t="shared" si="366"/>
        <v>0.66999999999999982</v>
      </c>
      <c r="EK68" s="61">
        <f t="shared" si="366"/>
        <v>0.6499999999999998</v>
      </c>
      <c r="EL68" s="61">
        <f t="shared" si="366"/>
        <v>0.62999999999999978</v>
      </c>
      <c r="EM68" s="61">
        <f t="shared" si="366"/>
        <v>0.60999999999999976</v>
      </c>
      <c r="EN68" s="61">
        <f t="shared" si="366"/>
        <v>0.58999999999999975</v>
      </c>
      <c r="EO68" s="61">
        <f t="shared" si="366"/>
        <v>0.56999999999999973</v>
      </c>
      <c r="EQ68" s="61">
        <f t="shared" si="367"/>
        <v>0</v>
      </c>
      <c r="ER68" s="61"/>
      <c r="ES68" s="61"/>
      <c r="ET68" s="61"/>
      <c r="EU68" s="61"/>
      <c r="EV68" s="61"/>
      <c r="EW68" s="61"/>
      <c r="EX68" s="61"/>
      <c r="EY68" s="61"/>
      <c r="EZ68" s="62"/>
      <c r="FA68" s="61"/>
      <c r="FB68" s="61"/>
      <c r="FC68" s="61"/>
      <c r="FD68" s="62"/>
      <c r="FE68" s="61"/>
      <c r="FF68" s="63"/>
      <c r="FG68" s="61"/>
      <c r="FH68" s="62"/>
      <c r="FI68" s="61"/>
      <c r="FJ68" s="61"/>
      <c r="FK68" s="61"/>
      <c r="FL68" s="63"/>
      <c r="FM68" s="61"/>
      <c r="FN68" s="63"/>
      <c r="FO68" s="61"/>
      <c r="FP68" s="63"/>
      <c r="FQ68" s="61"/>
      <c r="FR68" s="61"/>
      <c r="FS68" s="61"/>
      <c r="FT68" s="63"/>
      <c r="FU68" s="61"/>
      <c r="FV68" s="63"/>
      <c r="FW68" s="61"/>
      <c r="FX68" s="63"/>
      <c r="FY68" s="61"/>
      <c r="FZ68" s="63"/>
      <c r="GA68" s="61"/>
      <c r="GB68" s="61"/>
      <c r="GC68" s="61"/>
      <c r="GD68" s="63"/>
      <c r="GE68" s="61"/>
      <c r="GF68" s="63"/>
      <c r="GG68" s="61"/>
      <c r="GH68" s="61"/>
      <c r="GI68" s="61"/>
      <c r="GJ68" s="61"/>
      <c r="GK68" s="61"/>
      <c r="GL68" s="61">
        <v>1</v>
      </c>
      <c r="GM68" s="61">
        <v>0.97</v>
      </c>
      <c r="GN68" s="61">
        <v>0.95</v>
      </c>
      <c r="GO68" s="61">
        <v>0.93</v>
      </c>
      <c r="GP68" s="61">
        <f t="shared" si="368"/>
        <v>0.91</v>
      </c>
      <c r="GQ68" s="61">
        <f t="shared" si="368"/>
        <v>0.89</v>
      </c>
      <c r="GR68" s="61">
        <f t="shared" si="368"/>
        <v>0.87</v>
      </c>
      <c r="GS68" s="61">
        <f t="shared" si="368"/>
        <v>0.85</v>
      </c>
      <c r="GT68" s="61">
        <f t="shared" si="368"/>
        <v>0.83</v>
      </c>
      <c r="GU68" s="61">
        <f t="shared" si="368"/>
        <v>0.80999999999999994</v>
      </c>
      <c r="GV68" s="61">
        <f t="shared" si="368"/>
        <v>0.78999999999999992</v>
      </c>
      <c r="GW68" s="61">
        <f t="shared" si="368"/>
        <v>0.76999999999999991</v>
      </c>
      <c r="GX68" s="61">
        <f t="shared" si="368"/>
        <v>0.74999999999999989</v>
      </c>
      <c r="GY68" s="61">
        <f t="shared" si="368"/>
        <v>0.72999999999999987</v>
      </c>
      <c r="GZ68" s="61">
        <f t="shared" si="368"/>
        <v>0.70999999999999985</v>
      </c>
      <c r="HA68" s="61">
        <f t="shared" si="368"/>
        <v>0.68999999999999984</v>
      </c>
      <c r="HB68" s="61">
        <f t="shared" si="368"/>
        <v>0.66999999999999982</v>
      </c>
      <c r="HC68" s="61">
        <f t="shared" si="368"/>
        <v>0.6499999999999998</v>
      </c>
      <c r="HD68" s="61">
        <f t="shared" si="368"/>
        <v>0.62999999999999978</v>
      </c>
      <c r="HE68" s="61">
        <f t="shared" si="368"/>
        <v>0.60999999999999976</v>
      </c>
      <c r="HF68" s="61">
        <f t="shared" si="368"/>
        <v>0.58999999999999975</v>
      </c>
      <c r="HG68" s="61">
        <f t="shared" si="368"/>
        <v>0.56999999999999973</v>
      </c>
    </row>
    <row r="69" spans="1:216" x14ac:dyDescent="0.3">
      <c r="A69" s="2">
        <v>1</v>
      </c>
      <c r="C69" s="38" t="s">
        <v>30</v>
      </c>
      <c r="D69" s="40">
        <f>TRUNC(9719,-1)</f>
        <v>9710</v>
      </c>
      <c r="E69" s="70">
        <f t="shared" ref="E69:E94" si="369">TRUNC(+D69*3.3058,-1)</f>
        <v>32090</v>
      </c>
      <c r="H69" s="55">
        <f t="shared" si="61"/>
        <v>35299</v>
      </c>
      <c r="I69" s="55">
        <f t="shared" si="62"/>
        <v>35299</v>
      </c>
      <c r="J69" s="59">
        <f t="shared" si="63"/>
        <v>116691.4342</v>
      </c>
      <c r="K69" s="55">
        <f t="shared" ref="K69:K95" si="370">+I69*BD69</f>
        <v>34240.03</v>
      </c>
      <c r="L69" s="59">
        <f t="shared" ref="L69:L95" si="371">+K69*3.3058</f>
        <v>113190.69117399999</v>
      </c>
      <c r="M69" s="55">
        <f t="shared" ref="M69:M95" si="372">+I69*BE69</f>
        <v>33534.049999999996</v>
      </c>
      <c r="N69" s="59">
        <f t="shared" ref="N69:N95" si="373">+M69*3.3058</f>
        <v>110856.86248999998</v>
      </c>
      <c r="O69" s="55">
        <f t="shared" ref="O69:O95" si="374">+I69*BF69</f>
        <v>32828.07</v>
      </c>
      <c r="P69" s="59">
        <f t="shared" ref="P69:P95" si="375">+O69*3.3058</f>
        <v>108523.03380600001</v>
      </c>
      <c r="Q69" s="57">
        <f t="shared" ref="Q69:Q95" si="376">+I69*BG69</f>
        <v>32122.09</v>
      </c>
      <c r="R69" s="59">
        <f t="shared" ref="R69:R95" si="377">+Q69*3.3058</f>
        <v>106189.205122</v>
      </c>
      <c r="S69" s="55">
        <f t="shared" ref="S69:S95" si="378">+I69*BH69</f>
        <v>31416.11</v>
      </c>
      <c r="T69" s="59">
        <f t="shared" ref="T69:T95" si="379">+S69*3.3058</f>
        <v>103855.37643800001</v>
      </c>
      <c r="U69" s="57">
        <f t="shared" ref="U69:U95" si="380">+I69*BI69</f>
        <v>30710.13</v>
      </c>
      <c r="V69" s="59">
        <f t="shared" ref="V69:V95" si="381">+U69*3.3058</f>
        <v>101521.547754</v>
      </c>
      <c r="W69" s="60">
        <f t="shared" ref="W69:W95" si="382">+I69*BJ69</f>
        <v>30004.149999999998</v>
      </c>
      <c r="X69" s="59">
        <f t="shared" ref="X69:X95" si="383">+W69*3.3058</f>
        <v>99187.719069999992</v>
      </c>
      <c r="Y69" s="57">
        <f t="shared" ref="Y69:Y95" si="384">+I69*BK69</f>
        <v>29298.17</v>
      </c>
      <c r="Z69" s="59">
        <f t="shared" ref="Z69:Z95" si="385">+Y69*3.3058</f>
        <v>96853.890385999999</v>
      </c>
      <c r="AA69" s="55">
        <f t="shared" ref="AA69:AA95" si="386">+I69*BL69</f>
        <v>28592.19</v>
      </c>
      <c r="AB69" s="59">
        <f t="shared" ref="AB69:AB95" si="387">+AA69*3.3058</f>
        <v>94520.061701999992</v>
      </c>
      <c r="AC69" s="60">
        <f t="shared" ref="AC69:AC95" si="388">+I69*BM69</f>
        <v>27886.21</v>
      </c>
      <c r="AD69" s="59">
        <f t="shared" ref="AD69:AD95" si="389">+AC69*3.3058</f>
        <v>92186.233017999999</v>
      </c>
      <c r="AE69" s="60">
        <f t="shared" ref="AE69:AE95" si="390">+I69*BN69</f>
        <v>27180.229999999996</v>
      </c>
      <c r="AF69" s="59">
        <f t="shared" ref="AF69:AF95" si="391">+AE69*3.3058</f>
        <v>89852.404333999992</v>
      </c>
      <c r="AG69" s="60">
        <f t="shared" ref="AG69:AG95" si="392">+I69*BO69</f>
        <v>26474.249999999996</v>
      </c>
      <c r="AH69" s="59">
        <f t="shared" ref="AH69:AH95" si="393">+AG69*3.3058</f>
        <v>87518.575649999984</v>
      </c>
      <c r="AI69" s="55">
        <f t="shared" ref="AI69:AI95" si="394">+I69*BP69</f>
        <v>25768.269999999997</v>
      </c>
      <c r="AJ69" s="59">
        <f t="shared" ref="AJ69:AJ95" si="395">+AI69*3.3058</f>
        <v>85184.746965999992</v>
      </c>
      <c r="AK69" s="60">
        <f t="shared" ref="AK69:AK95" si="396">+I69*BQ69</f>
        <v>25062.289999999994</v>
      </c>
      <c r="AL69" s="59">
        <f t="shared" ref="AL69:AL95" si="397">+AK69*3.3058</f>
        <v>82850.918281999984</v>
      </c>
      <c r="AM69" s="60">
        <f t="shared" ref="AM69:AM95" si="398">+I69*BR69</f>
        <v>24356.309999999994</v>
      </c>
      <c r="AN69" s="59">
        <f t="shared" ref="AN69:AN95" si="399">+AM69*3.3058</f>
        <v>80517.089597999977</v>
      </c>
      <c r="AO69" s="60">
        <f t="shared" ref="AO69:AO95" si="400">+I69*BS69</f>
        <v>23650.329999999994</v>
      </c>
      <c r="AP69" s="59">
        <f t="shared" ref="AP69:AP95" si="401">+AO69*3.3058</f>
        <v>78183.260913999984</v>
      </c>
      <c r="AQ69" s="60">
        <f t="shared" ref="AQ69:AQ95" si="402">+I69*BT69</f>
        <v>22944.349999999991</v>
      </c>
      <c r="AR69" s="59">
        <f t="shared" ref="AR69:AR95" si="403">+AQ69*3.3058</f>
        <v>75849.432229999977</v>
      </c>
      <c r="AS69" s="55">
        <f t="shared" ref="AS69:AS95" si="404">+I69*BU69</f>
        <v>22238.369999999992</v>
      </c>
      <c r="AT69" s="59">
        <f t="shared" ref="AT69:AT95" si="405">+AS69*3.3058</f>
        <v>73515.603545999969</v>
      </c>
      <c r="AU69" s="60">
        <f t="shared" ref="AU69:AU95" si="406">+I69*BV69</f>
        <v>21532.389999999992</v>
      </c>
      <c r="AV69" s="59">
        <f t="shared" ref="AV69:AV95" si="407">+AU69*3.3058</f>
        <v>71181.774861999977</v>
      </c>
      <c r="AW69" s="60">
        <f t="shared" ref="AW69:AW95" si="408">+I69*BW69</f>
        <v>20826.409999999993</v>
      </c>
      <c r="AX69" s="59">
        <f t="shared" ref="AX69:AX95" si="409">+AW69*3.3058</f>
        <v>68847.946177999984</v>
      </c>
      <c r="AY69" s="55">
        <f t="shared" ref="AY69:AY95" si="410">+I69*BX69</f>
        <v>20120.429999999989</v>
      </c>
      <c r="AZ69" s="59">
        <f t="shared" ref="AZ69:AZ95" si="411">+AY69*3.3058</f>
        <v>66514.117493999962</v>
      </c>
      <c r="BC69" s="55">
        <v>1</v>
      </c>
      <c r="BD69" s="55">
        <v>0.97</v>
      </c>
      <c r="BE69" s="55">
        <v>0.95</v>
      </c>
      <c r="BF69" s="55">
        <v>0.93</v>
      </c>
      <c r="BG69" s="55">
        <f t="shared" ref="BG69:BX83" si="412">+BF69-0.02</f>
        <v>0.91</v>
      </c>
      <c r="BH69" s="55">
        <f t="shared" si="412"/>
        <v>0.89</v>
      </c>
      <c r="BI69" s="55">
        <f t="shared" si="412"/>
        <v>0.87</v>
      </c>
      <c r="BJ69" s="55">
        <f t="shared" si="412"/>
        <v>0.85</v>
      </c>
      <c r="BK69" s="55">
        <f t="shared" si="412"/>
        <v>0.83</v>
      </c>
      <c r="BL69" s="55">
        <f t="shared" si="412"/>
        <v>0.80999999999999994</v>
      </c>
      <c r="BM69" s="55">
        <f t="shared" si="412"/>
        <v>0.78999999999999992</v>
      </c>
      <c r="BN69" s="55">
        <f t="shared" si="412"/>
        <v>0.76999999999999991</v>
      </c>
      <c r="BO69" s="55">
        <f t="shared" si="412"/>
        <v>0.74999999999999989</v>
      </c>
      <c r="BP69" s="55">
        <f t="shared" si="412"/>
        <v>0.72999999999999987</v>
      </c>
      <c r="BQ69" s="55">
        <f t="shared" si="412"/>
        <v>0.70999999999999985</v>
      </c>
      <c r="BR69" s="55">
        <f t="shared" si="412"/>
        <v>0.68999999999999984</v>
      </c>
      <c r="BS69" s="55">
        <f t="shared" si="412"/>
        <v>0.66999999999999982</v>
      </c>
      <c r="BT69" s="55">
        <f t="shared" si="412"/>
        <v>0.6499999999999998</v>
      </c>
      <c r="BU69" s="55">
        <f t="shared" si="412"/>
        <v>0.62999999999999978</v>
      </c>
      <c r="BV69" s="55">
        <f t="shared" si="412"/>
        <v>0.60999999999999976</v>
      </c>
      <c r="BW69" s="55">
        <f t="shared" si="412"/>
        <v>0.58999999999999975</v>
      </c>
      <c r="BX69" s="55">
        <f t="shared" si="412"/>
        <v>0.56999999999999973</v>
      </c>
      <c r="BZ69" s="55">
        <f t="shared" si="88"/>
        <v>32122.09</v>
      </c>
      <c r="CA69" s="55">
        <f t="shared" si="89"/>
        <v>32122.09</v>
      </c>
      <c r="CB69" s="59">
        <f t="shared" ref="CB69:CB95" si="413">+CA69*3.3058</f>
        <v>106189.205122</v>
      </c>
      <c r="CC69" s="55">
        <f t="shared" ref="CC69:CC95" si="414">+CA69*DV69</f>
        <v>31158.427299999999</v>
      </c>
      <c r="CD69" s="59">
        <f t="shared" ref="CD69:CD95" si="415">+CC69*3.3058</f>
        <v>103003.52896834</v>
      </c>
      <c r="CE69" s="55">
        <f t="shared" ref="CE69:CE95" si="416">+CA69*DW69</f>
        <v>30515.985499999999</v>
      </c>
      <c r="CF69" s="59">
        <f t="shared" ref="CF69:CF95" si="417">+CE69*3.3058</f>
        <v>100879.74486589999</v>
      </c>
      <c r="CG69" s="55">
        <f t="shared" ref="CG69:CG95" si="418">+CA69*DX69</f>
        <v>29873.543700000002</v>
      </c>
      <c r="CH69" s="59">
        <f t="shared" ref="CH69:CH95" si="419">+CG69*3.3058</f>
        <v>98755.960763460011</v>
      </c>
      <c r="CI69" s="57">
        <f t="shared" ref="CI69:CI95" si="420">+CA69*DY69</f>
        <v>29231.101900000001</v>
      </c>
      <c r="CJ69" s="59">
        <f t="shared" ref="CJ69:CJ95" si="421">+CI69*3.3058</f>
        <v>96632.176661020014</v>
      </c>
      <c r="CK69" s="55">
        <f t="shared" ref="CK69:CK95" si="422">+CA69*DZ69</f>
        <v>28588.660100000001</v>
      </c>
      <c r="CL69" s="59">
        <f t="shared" ref="CL69:CL95" si="423">+CK69*3.3058</f>
        <v>94508.392558580003</v>
      </c>
      <c r="CM69" s="57">
        <f t="shared" ref="CM69:CM95" si="424">+CA69*EA69</f>
        <v>27946.2183</v>
      </c>
      <c r="CN69" s="59">
        <f t="shared" ref="CN69:CN95" si="425">+CM69*3.3058</f>
        <v>92384.608456140006</v>
      </c>
      <c r="CO69" s="60">
        <f t="shared" ref="CO69:CO95" si="426">+CA69*EB69</f>
        <v>27303.7765</v>
      </c>
      <c r="CP69" s="59">
        <f t="shared" ref="CP69:CP95" si="427">+CO69*3.3058</f>
        <v>90260.824353700009</v>
      </c>
      <c r="CQ69" s="57">
        <f t="shared" ref="CQ69:CQ95" si="428">+CA69*EC69</f>
        <v>26661.334699999999</v>
      </c>
      <c r="CR69" s="59">
        <f t="shared" ref="CR69:CR95" si="429">+CQ69*3.3058</f>
        <v>88137.040251259998</v>
      </c>
      <c r="CS69" s="55">
        <f t="shared" ref="CS69:CS95" si="430">+CA69*ED69</f>
        <v>26018.892899999999</v>
      </c>
      <c r="CT69" s="59">
        <f t="shared" ref="CT69:CT95" si="431">+CS69*3.3058</f>
        <v>86013.256148820001</v>
      </c>
      <c r="CU69" s="60">
        <f t="shared" ref="CU69:CU95" si="432">+CA69*EE69</f>
        <v>25376.451099999998</v>
      </c>
      <c r="CV69" s="59">
        <f t="shared" ref="CV69:CV95" si="433">+CU69*3.3058</f>
        <v>83889.472046379989</v>
      </c>
      <c r="CW69" s="60">
        <f t="shared" ref="CW69:CW95" si="434">+CA69*EF69</f>
        <v>24734.009299999998</v>
      </c>
      <c r="CX69" s="59">
        <f t="shared" ref="CX69:CX95" si="435">+CW69*3.3058</f>
        <v>81765.687943939993</v>
      </c>
      <c r="CY69" s="60">
        <f t="shared" ref="CY69:CY95" si="436">+CA69*EG69</f>
        <v>24091.567499999997</v>
      </c>
      <c r="CZ69" s="59">
        <f t="shared" ref="CZ69:CZ95" si="437">+CY69*3.3058</f>
        <v>79641.903841499996</v>
      </c>
      <c r="DA69" s="55">
        <f t="shared" ref="DA69:DA95" si="438">+CA69*EH69</f>
        <v>23449.125699999997</v>
      </c>
      <c r="DB69" s="59">
        <f t="shared" ref="DB69:DB95" si="439">+DA69*3.3058</f>
        <v>77518.119739059985</v>
      </c>
      <c r="DC69" s="60">
        <f t="shared" ref="DC69:DC95" si="440">+CA69*EI69</f>
        <v>22806.683899999996</v>
      </c>
      <c r="DD69" s="59">
        <f t="shared" ref="DD69:DD95" si="441">+DC69*3.3058</f>
        <v>75394.335636619988</v>
      </c>
      <c r="DE69" s="60">
        <f t="shared" ref="DE69:DE95" si="442">+CA69*EJ69</f>
        <v>22164.242099999996</v>
      </c>
      <c r="DF69" s="59">
        <f t="shared" ref="DF69:DF95" si="443">+DE69*3.3058</f>
        <v>73270.551534179991</v>
      </c>
      <c r="DG69" s="60">
        <f t="shared" ref="DG69:DG95" si="444">+CA69*EK69</f>
        <v>21521.800299999995</v>
      </c>
      <c r="DH69" s="59">
        <f t="shared" ref="DH69:DH95" si="445">+DG69*3.3058</f>
        <v>71146.76743173998</v>
      </c>
      <c r="DI69" s="60">
        <f t="shared" ref="DI69:DI95" si="446">+CA69*EL69</f>
        <v>20879.358499999995</v>
      </c>
      <c r="DJ69" s="59">
        <f t="shared" ref="DJ69:DJ95" si="447">+DI69*3.3058</f>
        <v>69022.983329299983</v>
      </c>
      <c r="DK69" s="55">
        <f t="shared" ref="DK69:DK95" si="448">+CA69*EM69</f>
        <v>20236.916699999994</v>
      </c>
      <c r="DL69" s="59">
        <f t="shared" ref="DL69:DL95" si="449">+DK69*3.3058</f>
        <v>66899.199226859986</v>
      </c>
      <c r="DM69" s="60">
        <f t="shared" ref="DM69:DM95" si="450">+CA69*EN69</f>
        <v>19594.474899999994</v>
      </c>
      <c r="DN69" s="59">
        <f t="shared" ref="DN69:DN95" si="451">+DM69*3.3058</f>
        <v>64775.415124419982</v>
      </c>
      <c r="DO69" s="60">
        <f t="shared" ref="DO69:DO95" si="452">+CA69*EO69</f>
        <v>18952.033099999993</v>
      </c>
      <c r="DP69" s="59">
        <f t="shared" ref="DP69:DP95" si="453">+DO69*3.3058</f>
        <v>62651.631021979978</v>
      </c>
      <c r="DQ69" s="55">
        <f t="shared" ref="DQ69:DQ95" si="454">+CA69*EP69</f>
        <v>18309.591299999993</v>
      </c>
      <c r="DR69" s="59">
        <f t="shared" ref="DR69:DR95" si="455">+DQ69*3.3058</f>
        <v>60527.846919539974</v>
      </c>
      <c r="DU69" s="55">
        <v>1</v>
      </c>
      <c r="DV69" s="55">
        <v>0.97</v>
      </c>
      <c r="DW69" s="55">
        <v>0.95</v>
      </c>
      <c r="DX69" s="55">
        <v>0.93</v>
      </c>
      <c r="DY69" s="55">
        <f t="shared" si="287"/>
        <v>0.91</v>
      </c>
      <c r="DZ69" s="55">
        <f t="shared" si="287"/>
        <v>0.89</v>
      </c>
      <c r="EA69" s="55">
        <f t="shared" si="287"/>
        <v>0.87</v>
      </c>
      <c r="EB69" s="55">
        <f t="shared" ref="EB69:EP69" si="456">+EA69-0.02</f>
        <v>0.85</v>
      </c>
      <c r="EC69" s="55">
        <f t="shared" si="456"/>
        <v>0.83</v>
      </c>
      <c r="ED69" s="55">
        <f t="shared" si="456"/>
        <v>0.80999999999999994</v>
      </c>
      <c r="EE69" s="55">
        <f t="shared" si="456"/>
        <v>0.78999999999999992</v>
      </c>
      <c r="EF69" s="55">
        <f t="shared" si="456"/>
        <v>0.76999999999999991</v>
      </c>
      <c r="EG69" s="55">
        <f t="shared" si="456"/>
        <v>0.74999999999999989</v>
      </c>
      <c r="EH69" s="55">
        <f t="shared" si="456"/>
        <v>0.72999999999999987</v>
      </c>
      <c r="EI69" s="55">
        <f t="shared" si="456"/>
        <v>0.70999999999999985</v>
      </c>
      <c r="EJ69" s="55">
        <f t="shared" si="456"/>
        <v>0.68999999999999984</v>
      </c>
      <c r="EK69" s="55">
        <f t="shared" si="456"/>
        <v>0.66999999999999982</v>
      </c>
      <c r="EL69" s="55">
        <f t="shared" si="456"/>
        <v>0.6499999999999998</v>
      </c>
      <c r="EM69" s="55">
        <f t="shared" si="456"/>
        <v>0.62999999999999978</v>
      </c>
      <c r="EN69" s="55">
        <f t="shared" si="456"/>
        <v>0.60999999999999976</v>
      </c>
      <c r="EO69" s="55">
        <f t="shared" si="456"/>
        <v>0.58999999999999975</v>
      </c>
      <c r="EP69" s="55">
        <f t="shared" si="456"/>
        <v>0.56999999999999973</v>
      </c>
      <c r="ER69" s="55">
        <f t="shared" si="142"/>
        <v>29231.101900000001</v>
      </c>
      <c r="ES69" s="55">
        <f t="shared" si="116"/>
        <v>29231.101900000001</v>
      </c>
      <c r="ET69" s="59">
        <f t="shared" ref="ET69:ET95" si="457">+ES69*3.3058</f>
        <v>96632.176661020014</v>
      </c>
      <c r="EU69" s="55">
        <f t="shared" ref="EU69:EU95" si="458">+ES69*GN69</f>
        <v>28354.168842999999</v>
      </c>
      <c r="EV69" s="59">
        <f t="shared" ref="EV69:EV95" si="459">+EU69*3.3058</f>
        <v>93733.211361189402</v>
      </c>
      <c r="EW69" s="55">
        <f t="shared" ref="EW69:EW95" si="460">+ES69*GO69</f>
        <v>27769.546805000002</v>
      </c>
      <c r="EX69" s="59">
        <f t="shared" ref="EX69:EX95" si="461">+EW69*3.3058</f>
        <v>91800.567827969004</v>
      </c>
      <c r="EY69" s="55">
        <f t="shared" ref="EY69:EY95" si="462">+ES69*GP69</f>
        <v>27184.924767000004</v>
      </c>
      <c r="EZ69" s="59">
        <f t="shared" ref="EZ69:EZ95" si="463">+EY69*3.3058</f>
        <v>89867.92429474862</v>
      </c>
      <c r="FA69" s="57">
        <f t="shared" ref="FA69:FA95" si="464">+ES69*GQ69</f>
        <v>26600.302729000003</v>
      </c>
      <c r="FB69" s="59">
        <f t="shared" ref="FB69:FB95" si="465">+FA69*3.3058</f>
        <v>87935.280761528207</v>
      </c>
      <c r="FC69" s="55">
        <f t="shared" ref="FC69:FC95" si="466">+ES69*GR69</f>
        <v>26015.680691000001</v>
      </c>
      <c r="FD69" s="59">
        <f t="shared" ref="FD69:FD95" si="467">+FC69*3.3058</f>
        <v>86002.637228307809</v>
      </c>
      <c r="FE69" s="57">
        <f t="shared" ref="FE69:FE95" si="468">+ES69*GS69</f>
        <v>25431.058653</v>
      </c>
      <c r="FF69" s="59">
        <f t="shared" ref="FF69:FF95" si="469">+FE69*3.3058</f>
        <v>84069.993695087396</v>
      </c>
      <c r="FG69" s="60">
        <f t="shared" ref="FG69:FG95" si="470">+ES69*GT69</f>
        <v>24846.436615000002</v>
      </c>
      <c r="FH69" s="59">
        <f t="shared" ref="FH69:FH95" si="471">+FG69*3.3058</f>
        <v>82137.350161867013</v>
      </c>
      <c r="FI69" s="57">
        <f t="shared" ref="FI69:FI95" si="472">+ES69*GU69</f>
        <v>24261.814577000001</v>
      </c>
      <c r="FJ69" s="59">
        <f t="shared" ref="FJ69:FJ95" si="473">+FI69*3.3058</f>
        <v>80204.7066286466</v>
      </c>
      <c r="FK69" s="55">
        <f t="shared" ref="FK69:FK95" si="474">+ES69*GV69</f>
        <v>23677.192539</v>
      </c>
      <c r="FL69" s="59">
        <f t="shared" ref="FL69:FL95" si="475">+FK69*3.3058</f>
        <v>78272.063095426201</v>
      </c>
      <c r="FM69" s="60">
        <f t="shared" ref="FM69:FM95" si="476">+ES69*GW69</f>
        <v>23092.570500999998</v>
      </c>
      <c r="FN69" s="59">
        <f t="shared" ref="FN69:FN95" si="477">+FM69*3.3058</f>
        <v>76339.419562205803</v>
      </c>
      <c r="FO69" s="60">
        <f t="shared" ref="FO69:FO95" si="478">+ES69*GX69</f>
        <v>22507.948462999997</v>
      </c>
      <c r="FP69" s="59">
        <f t="shared" ref="FP69:FP95" si="479">+FO69*3.3058</f>
        <v>74406.77602898539</v>
      </c>
      <c r="FQ69" s="60">
        <f t="shared" ref="FQ69:FQ95" si="480">+ES69*GY69</f>
        <v>21923.326424999999</v>
      </c>
      <c r="FR69" s="59">
        <f t="shared" ref="FR69:FR95" si="481">+FQ69*3.3058</f>
        <v>72474.132495764992</v>
      </c>
      <c r="FS69" s="55">
        <f t="shared" ref="FS69:FS95" si="482">+ES69*GZ69</f>
        <v>21338.704386999998</v>
      </c>
      <c r="FT69" s="59">
        <f t="shared" ref="FT69:FT95" si="483">+FS69*3.3058</f>
        <v>70541.488962544594</v>
      </c>
      <c r="FU69" s="60">
        <f t="shared" ref="FU69:FU95" si="484">+ES69*HA69</f>
        <v>20754.082348999997</v>
      </c>
      <c r="FV69" s="59">
        <f t="shared" ref="FV69:FV95" si="485">+FU69*3.3058</f>
        <v>68608.845429324196</v>
      </c>
      <c r="FW69" s="60">
        <f t="shared" ref="FW69:FW95" si="486">+ES69*HB69</f>
        <v>20169.460310999995</v>
      </c>
      <c r="FX69" s="59">
        <f t="shared" ref="FX69:FX95" si="487">+FW69*3.3058</f>
        <v>66676.201896103783</v>
      </c>
      <c r="FY69" s="60">
        <f t="shared" ref="FY69:FY95" si="488">+ES69*HC69</f>
        <v>19584.838272999994</v>
      </c>
      <c r="FZ69" s="59">
        <f t="shared" ref="FZ69:FZ95" si="489">+FY69*3.3058</f>
        <v>64743.558362883385</v>
      </c>
      <c r="GA69" s="60">
        <f t="shared" ref="GA69:GA95" si="490">+ES69*HD69</f>
        <v>19000.216234999996</v>
      </c>
      <c r="GB69" s="59">
        <f t="shared" ref="GB69:GB95" si="491">+GA69*3.3058</f>
        <v>62810.914829662986</v>
      </c>
      <c r="GC69" s="55">
        <f t="shared" ref="GC69:GC95" si="492">+ES69*HE69</f>
        <v>18415.594196999995</v>
      </c>
      <c r="GD69" s="59">
        <f t="shared" ref="GD69:GD95" si="493">+GC69*3.3058</f>
        <v>60878.271296442581</v>
      </c>
      <c r="GE69" s="60">
        <f t="shared" ref="GE69:GE95" si="494">+ES69*HF69</f>
        <v>17830.972158999994</v>
      </c>
      <c r="GF69" s="59">
        <f t="shared" ref="GF69:GF95" si="495">+GE69*3.3058</f>
        <v>58945.627763222183</v>
      </c>
      <c r="GG69" s="60">
        <f t="shared" ref="GG69:GG95" si="496">+ES69*HG69</f>
        <v>17246.350120999992</v>
      </c>
      <c r="GH69" s="59">
        <f t="shared" ref="GH69:GH95" si="497">+GG69*3.3058</f>
        <v>57012.984230001777</v>
      </c>
      <c r="GI69" s="55">
        <f t="shared" ref="GI69:GI95" si="498">+ES69*HH69</f>
        <v>16661.728082999995</v>
      </c>
      <c r="GJ69" s="59">
        <f t="shared" ref="GJ69:GJ95" si="499">+GI69*3.3058</f>
        <v>55080.340696781386</v>
      </c>
      <c r="GK69" s="55"/>
      <c r="GL69" s="55"/>
      <c r="GM69" s="55">
        <v>1</v>
      </c>
      <c r="GN69" s="55">
        <v>0.97</v>
      </c>
      <c r="GO69" s="55">
        <v>0.95</v>
      </c>
      <c r="GP69" s="55">
        <v>0.93</v>
      </c>
      <c r="GQ69" s="55">
        <f t="shared" si="288"/>
        <v>0.91</v>
      </c>
      <c r="GR69" s="55">
        <f t="shared" si="288"/>
        <v>0.89</v>
      </c>
      <c r="GS69" s="55">
        <f t="shared" si="288"/>
        <v>0.87</v>
      </c>
      <c r="GT69" s="55">
        <f t="shared" ref="GT69:HH69" si="500">+GS69-0.02</f>
        <v>0.85</v>
      </c>
      <c r="GU69" s="55">
        <f t="shared" si="500"/>
        <v>0.83</v>
      </c>
      <c r="GV69" s="55">
        <f t="shared" si="500"/>
        <v>0.80999999999999994</v>
      </c>
      <c r="GW69" s="55">
        <f t="shared" si="500"/>
        <v>0.78999999999999992</v>
      </c>
      <c r="GX69" s="55">
        <f t="shared" si="500"/>
        <v>0.76999999999999991</v>
      </c>
      <c r="GY69" s="55">
        <f t="shared" si="500"/>
        <v>0.74999999999999989</v>
      </c>
      <c r="GZ69" s="55">
        <f t="shared" si="500"/>
        <v>0.72999999999999987</v>
      </c>
      <c r="HA69" s="55">
        <f t="shared" si="500"/>
        <v>0.70999999999999985</v>
      </c>
      <c r="HB69" s="55">
        <f t="shared" si="500"/>
        <v>0.68999999999999984</v>
      </c>
      <c r="HC69" s="55">
        <f t="shared" si="500"/>
        <v>0.66999999999999982</v>
      </c>
      <c r="HD69" s="55">
        <f t="shared" si="500"/>
        <v>0.6499999999999998</v>
      </c>
      <c r="HE69" s="55">
        <f t="shared" si="500"/>
        <v>0.62999999999999978</v>
      </c>
      <c r="HF69" s="55">
        <f t="shared" si="500"/>
        <v>0.60999999999999976</v>
      </c>
      <c r="HG69" s="55">
        <f t="shared" si="500"/>
        <v>0.58999999999999975</v>
      </c>
      <c r="HH69" s="55">
        <f t="shared" si="500"/>
        <v>0.56999999999999973</v>
      </c>
    </row>
    <row r="70" spans="1:216" ht="16.5" customHeight="1" x14ac:dyDescent="0.3">
      <c r="A70" s="2">
        <v>2</v>
      </c>
      <c r="C70" s="38" t="s">
        <v>31</v>
      </c>
      <c r="D70" s="42">
        <f>TRUNC(16828,-1)</f>
        <v>16820</v>
      </c>
      <c r="E70" s="71">
        <f t="shared" si="369"/>
        <v>55600</v>
      </c>
      <c r="H70" s="55">
        <f t="shared" si="61"/>
        <v>61160.000000000007</v>
      </c>
      <c r="I70" s="55">
        <f t="shared" si="62"/>
        <v>61160.000000000007</v>
      </c>
      <c r="J70" s="59">
        <f t="shared" si="63"/>
        <v>202182.72800000003</v>
      </c>
      <c r="K70" s="55">
        <f t="shared" si="370"/>
        <v>59325.200000000004</v>
      </c>
      <c r="L70" s="59">
        <f t="shared" si="371"/>
        <v>196117.24616000001</v>
      </c>
      <c r="M70" s="55">
        <f t="shared" si="372"/>
        <v>58102.000000000007</v>
      </c>
      <c r="N70" s="59">
        <f t="shared" si="373"/>
        <v>192073.59160000001</v>
      </c>
      <c r="O70" s="55">
        <f t="shared" si="374"/>
        <v>56878.80000000001</v>
      </c>
      <c r="P70" s="59">
        <f t="shared" si="375"/>
        <v>188029.93704000005</v>
      </c>
      <c r="Q70" s="57">
        <f t="shared" si="376"/>
        <v>55655.600000000006</v>
      </c>
      <c r="R70" s="59">
        <f t="shared" si="377"/>
        <v>183986.28248000002</v>
      </c>
      <c r="S70" s="55">
        <f t="shared" si="378"/>
        <v>54432.400000000009</v>
      </c>
      <c r="T70" s="59">
        <f t="shared" si="379"/>
        <v>179942.62792000003</v>
      </c>
      <c r="U70" s="57">
        <f t="shared" si="380"/>
        <v>53209.200000000004</v>
      </c>
      <c r="V70" s="59">
        <f t="shared" si="381"/>
        <v>175898.97336000003</v>
      </c>
      <c r="W70" s="60">
        <f t="shared" si="382"/>
        <v>51986.000000000007</v>
      </c>
      <c r="X70" s="59">
        <f t="shared" si="383"/>
        <v>171855.31880000004</v>
      </c>
      <c r="Y70" s="57">
        <f t="shared" si="384"/>
        <v>50762.8</v>
      </c>
      <c r="Z70" s="59">
        <f t="shared" si="385"/>
        <v>167811.66424000001</v>
      </c>
      <c r="AA70" s="55">
        <f t="shared" si="386"/>
        <v>49539.600000000006</v>
      </c>
      <c r="AB70" s="59">
        <f t="shared" si="387"/>
        <v>163768.00968000002</v>
      </c>
      <c r="AC70" s="60">
        <f t="shared" si="388"/>
        <v>48316.4</v>
      </c>
      <c r="AD70" s="59">
        <f t="shared" si="389"/>
        <v>159724.35512000002</v>
      </c>
      <c r="AE70" s="60">
        <f t="shared" si="390"/>
        <v>47093.2</v>
      </c>
      <c r="AF70" s="59">
        <f t="shared" si="391"/>
        <v>155680.70056</v>
      </c>
      <c r="AG70" s="60">
        <f t="shared" si="392"/>
        <v>45870</v>
      </c>
      <c r="AH70" s="59">
        <f t="shared" si="393"/>
        <v>151637.046</v>
      </c>
      <c r="AI70" s="55">
        <f t="shared" si="394"/>
        <v>44646.799999999996</v>
      </c>
      <c r="AJ70" s="59">
        <f t="shared" si="395"/>
        <v>147593.39143999998</v>
      </c>
      <c r="AK70" s="60">
        <f t="shared" si="396"/>
        <v>43423.6</v>
      </c>
      <c r="AL70" s="59">
        <f t="shared" si="397"/>
        <v>143549.73688000001</v>
      </c>
      <c r="AM70" s="60">
        <f t="shared" si="398"/>
        <v>42200.399999999994</v>
      </c>
      <c r="AN70" s="59">
        <f t="shared" si="399"/>
        <v>139506.08231999999</v>
      </c>
      <c r="AO70" s="60">
        <f t="shared" si="400"/>
        <v>40977.199999999997</v>
      </c>
      <c r="AP70" s="59">
        <f t="shared" si="401"/>
        <v>135462.42775999999</v>
      </c>
      <c r="AQ70" s="60">
        <f t="shared" si="402"/>
        <v>39753.999999999993</v>
      </c>
      <c r="AR70" s="59">
        <f t="shared" si="403"/>
        <v>131418.77319999997</v>
      </c>
      <c r="AS70" s="55">
        <f t="shared" si="404"/>
        <v>38530.799999999988</v>
      </c>
      <c r="AT70" s="59">
        <f t="shared" si="405"/>
        <v>127375.11863999997</v>
      </c>
      <c r="AU70" s="60">
        <f t="shared" si="406"/>
        <v>37307.599999999991</v>
      </c>
      <c r="AV70" s="59">
        <f t="shared" si="407"/>
        <v>123331.46407999998</v>
      </c>
      <c r="AW70" s="60">
        <f t="shared" si="408"/>
        <v>36084.399999999987</v>
      </c>
      <c r="AX70" s="59">
        <f t="shared" si="409"/>
        <v>119287.80951999997</v>
      </c>
      <c r="AY70" s="55">
        <f t="shared" si="410"/>
        <v>34861.19999999999</v>
      </c>
      <c r="AZ70" s="59">
        <f t="shared" si="411"/>
        <v>115244.15495999997</v>
      </c>
      <c r="BC70" s="55">
        <v>1</v>
      </c>
      <c r="BD70" s="55">
        <v>0.97</v>
      </c>
      <c r="BE70" s="55">
        <v>0.95</v>
      </c>
      <c r="BF70" s="55">
        <v>0.93</v>
      </c>
      <c r="BG70" s="55">
        <f t="shared" si="412"/>
        <v>0.91</v>
      </c>
      <c r="BH70" s="55">
        <f t="shared" si="412"/>
        <v>0.89</v>
      </c>
      <c r="BI70" s="55">
        <f t="shared" si="412"/>
        <v>0.87</v>
      </c>
      <c r="BJ70" s="55">
        <f t="shared" si="412"/>
        <v>0.85</v>
      </c>
      <c r="BK70" s="55">
        <f t="shared" si="412"/>
        <v>0.83</v>
      </c>
      <c r="BL70" s="55">
        <f t="shared" si="412"/>
        <v>0.80999999999999994</v>
      </c>
      <c r="BM70" s="55">
        <f t="shared" si="412"/>
        <v>0.78999999999999992</v>
      </c>
      <c r="BN70" s="55">
        <f t="shared" si="412"/>
        <v>0.76999999999999991</v>
      </c>
      <c r="BO70" s="55">
        <f t="shared" si="412"/>
        <v>0.74999999999999989</v>
      </c>
      <c r="BP70" s="55">
        <f t="shared" si="412"/>
        <v>0.72999999999999987</v>
      </c>
      <c r="BQ70" s="55">
        <f t="shared" si="412"/>
        <v>0.70999999999999985</v>
      </c>
      <c r="BR70" s="55">
        <f t="shared" si="412"/>
        <v>0.68999999999999984</v>
      </c>
      <c r="BS70" s="55">
        <f t="shared" si="412"/>
        <v>0.66999999999999982</v>
      </c>
      <c r="BT70" s="55">
        <f t="shared" si="412"/>
        <v>0.6499999999999998</v>
      </c>
      <c r="BU70" s="55">
        <f t="shared" si="412"/>
        <v>0.62999999999999978</v>
      </c>
      <c r="BV70" s="55">
        <f t="shared" si="412"/>
        <v>0.60999999999999976</v>
      </c>
      <c r="BW70" s="55">
        <f t="shared" si="412"/>
        <v>0.58999999999999975</v>
      </c>
      <c r="BX70" s="55">
        <f t="shared" si="412"/>
        <v>0.56999999999999973</v>
      </c>
      <c r="BZ70" s="55">
        <f t="shared" si="88"/>
        <v>55655.600000000006</v>
      </c>
      <c r="CA70" s="55">
        <f t="shared" si="89"/>
        <v>55655.600000000006</v>
      </c>
      <c r="CB70" s="59">
        <f t="shared" si="413"/>
        <v>183986.28248000002</v>
      </c>
      <c r="CC70" s="55">
        <f t="shared" si="414"/>
        <v>53985.932000000001</v>
      </c>
      <c r="CD70" s="59">
        <f t="shared" si="415"/>
        <v>178466.6940056</v>
      </c>
      <c r="CE70" s="55">
        <f t="shared" si="416"/>
        <v>52872.82</v>
      </c>
      <c r="CF70" s="59">
        <f t="shared" si="417"/>
        <v>174786.968356</v>
      </c>
      <c r="CG70" s="55">
        <f t="shared" si="418"/>
        <v>51759.708000000006</v>
      </c>
      <c r="CH70" s="59">
        <f t="shared" si="419"/>
        <v>171107.24270640002</v>
      </c>
      <c r="CI70" s="57">
        <f t="shared" si="420"/>
        <v>50646.596000000005</v>
      </c>
      <c r="CJ70" s="59">
        <f t="shared" si="421"/>
        <v>167427.51705680002</v>
      </c>
      <c r="CK70" s="55">
        <f t="shared" si="422"/>
        <v>49533.484000000004</v>
      </c>
      <c r="CL70" s="59">
        <f t="shared" si="423"/>
        <v>163747.79140720001</v>
      </c>
      <c r="CM70" s="57">
        <f t="shared" si="424"/>
        <v>48420.372000000003</v>
      </c>
      <c r="CN70" s="59">
        <f t="shared" si="425"/>
        <v>160068.06575760001</v>
      </c>
      <c r="CO70" s="60">
        <f t="shared" si="426"/>
        <v>47307.26</v>
      </c>
      <c r="CP70" s="59">
        <f t="shared" si="427"/>
        <v>156388.340108</v>
      </c>
      <c r="CQ70" s="57">
        <f t="shared" si="428"/>
        <v>46194.148000000001</v>
      </c>
      <c r="CR70" s="59">
        <f t="shared" si="429"/>
        <v>152708.6144584</v>
      </c>
      <c r="CS70" s="55">
        <f t="shared" si="430"/>
        <v>45081.036</v>
      </c>
      <c r="CT70" s="59">
        <f t="shared" si="431"/>
        <v>149028.88880879999</v>
      </c>
      <c r="CU70" s="60">
        <f t="shared" si="432"/>
        <v>43967.923999999999</v>
      </c>
      <c r="CV70" s="59">
        <f t="shared" si="433"/>
        <v>145349.16315919999</v>
      </c>
      <c r="CW70" s="60">
        <f t="shared" si="434"/>
        <v>42854.811999999998</v>
      </c>
      <c r="CX70" s="59">
        <f t="shared" si="435"/>
        <v>141669.43750959999</v>
      </c>
      <c r="CY70" s="60">
        <f t="shared" si="436"/>
        <v>41741.699999999997</v>
      </c>
      <c r="CZ70" s="59">
        <f t="shared" si="437"/>
        <v>137989.71185999998</v>
      </c>
      <c r="DA70" s="55">
        <f t="shared" si="438"/>
        <v>40628.587999999996</v>
      </c>
      <c r="DB70" s="59">
        <f t="shared" si="439"/>
        <v>134309.98621039998</v>
      </c>
      <c r="DC70" s="60">
        <f t="shared" si="440"/>
        <v>39515.475999999995</v>
      </c>
      <c r="DD70" s="59">
        <f t="shared" si="441"/>
        <v>130630.26056079999</v>
      </c>
      <c r="DE70" s="60">
        <f t="shared" si="442"/>
        <v>38402.363999999994</v>
      </c>
      <c r="DF70" s="59">
        <f t="shared" si="443"/>
        <v>126950.53491119998</v>
      </c>
      <c r="DG70" s="60">
        <f t="shared" si="444"/>
        <v>37289.251999999993</v>
      </c>
      <c r="DH70" s="59">
        <f t="shared" si="445"/>
        <v>123270.80926159998</v>
      </c>
      <c r="DI70" s="60">
        <f t="shared" si="446"/>
        <v>36176.139999999992</v>
      </c>
      <c r="DJ70" s="59">
        <f t="shared" si="447"/>
        <v>119591.08361199997</v>
      </c>
      <c r="DK70" s="55">
        <f t="shared" si="448"/>
        <v>35063.027999999991</v>
      </c>
      <c r="DL70" s="59">
        <f t="shared" si="449"/>
        <v>115911.35796239997</v>
      </c>
      <c r="DM70" s="60">
        <f t="shared" si="450"/>
        <v>33949.91599999999</v>
      </c>
      <c r="DN70" s="59">
        <f t="shared" si="451"/>
        <v>112231.63231279996</v>
      </c>
      <c r="DO70" s="60">
        <f t="shared" si="452"/>
        <v>32836.803999999989</v>
      </c>
      <c r="DP70" s="59">
        <f t="shared" si="453"/>
        <v>108551.90666319996</v>
      </c>
      <c r="DQ70" s="55">
        <f t="shared" si="454"/>
        <v>31723.691999999988</v>
      </c>
      <c r="DR70" s="59">
        <f t="shared" si="455"/>
        <v>104872.18101359997</v>
      </c>
      <c r="DU70" s="55">
        <v>1</v>
      </c>
      <c r="DV70" s="55">
        <v>0.97</v>
      </c>
      <c r="DW70" s="55">
        <v>0.95</v>
      </c>
      <c r="DX70" s="55">
        <v>0.93</v>
      </c>
      <c r="DY70" s="55">
        <f t="shared" ref="DY70:EP84" si="501">+DX70-0.02</f>
        <v>0.91</v>
      </c>
      <c r="DZ70" s="55">
        <f t="shared" si="501"/>
        <v>0.89</v>
      </c>
      <c r="EA70" s="55">
        <f t="shared" si="501"/>
        <v>0.87</v>
      </c>
      <c r="EB70" s="55">
        <f t="shared" si="501"/>
        <v>0.85</v>
      </c>
      <c r="EC70" s="55">
        <f t="shared" si="501"/>
        <v>0.83</v>
      </c>
      <c r="ED70" s="55">
        <f t="shared" si="501"/>
        <v>0.80999999999999994</v>
      </c>
      <c r="EE70" s="55">
        <f t="shared" si="501"/>
        <v>0.78999999999999992</v>
      </c>
      <c r="EF70" s="55">
        <f t="shared" si="501"/>
        <v>0.76999999999999991</v>
      </c>
      <c r="EG70" s="55">
        <f t="shared" si="501"/>
        <v>0.74999999999999989</v>
      </c>
      <c r="EH70" s="55">
        <f t="shared" si="501"/>
        <v>0.72999999999999987</v>
      </c>
      <c r="EI70" s="55">
        <f t="shared" si="501"/>
        <v>0.70999999999999985</v>
      </c>
      <c r="EJ70" s="55">
        <f t="shared" si="501"/>
        <v>0.68999999999999984</v>
      </c>
      <c r="EK70" s="55">
        <f t="shared" si="501"/>
        <v>0.66999999999999982</v>
      </c>
      <c r="EL70" s="55">
        <f t="shared" si="501"/>
        <v>0.6499999999999998</v>
      </c>
      <c r="EM70" s="55">
        <f t="shared" si="501"/>
        <v>0.62999999999999978</v>
      </c>
      <c r="EN70" s="55">
        <f t="shared" si="501"/>
        <v>0.60999999999999976</v>
      </c>
      <c r="EO70" s="55">
        <f t="shared" si="501"/>
        <v>0.58999999999999975</v>
      </c>
      <c r="EP70" s="55">
        <f t="shared" si="501"/>
        <v>0.56999999999999973</v>
      </c>
      <c r="ER70" s="55">
        <f t="shared" si="142"/>
        <v>50646.596000000005</v>
      </c>
      <c r="ES70" s="55">
        <f t="shared" si="116"/>
        <v>50646.596000000005</v>
      </c>
      <c r="ET70" s="59">
        <f t="shared" si="457"/>
        <v>167427.51705680002</v>
      </c>
      <c r="EU70" s="55">
        <f t="shared" si="458"/>
        <v>49127.198120000001</v>
      </c>
      <c r="EV70" s="59">
        <f t="shared" si="459"/>
        <v>162404.69154509599</v>
      </c>
      <c r="EW70" s="55">
        <f t="shared" si="460"/>
        <v>48114.266200000005</v>
      </c>
      <c r="EX70" s="59">
        <f t="shared" si="461"/>
        <v>159056.14120396003</v>
      </c>
      <c r="EY70" s="55">
        <f t="shared" si="462"/>
        <v>47101.33428000001</v>
      </c>
      <c r="EZ70" s="59">
        <f t="shared" si="463"/>
        <v>155707.59086282403</v>
      </c>
      <c r="FA70" s="57">
        <f t="shared" si="464"/>
        <v>46088.402360000007</v>
      </c>
      <c r="FB70" s="59">
        <f t="shared" si="465"/>
        <v>152359.04052168803</v>
      </c>
      <c r="FC70" s="55">
        <f t="shared" si="466"/>
        <v>45075.470440000005</v>
      </c>
      <c r="FD70" s="59">
        <f t="shared" si="467"/>
        <v>149010.49018055201</v>
      </c>
      <c r="FE70" s="57">
        <f t="shared" si="468"/>
        <v>44062.538520000002</v>
      </c>
      <c r="FF70" s="59">
        <f t="shared" si="469"/>
        <v>145661.93983941601</v>
      </c>
      <c r="FG70" s="60">
        <f t="shared" si="470"/>
        <v>43049.606600000006</v>
      </c>
      <c r="FH70" s="59">
        <f t="shared" si="471"/>
        <v>142313.38949828001</v>
      </c>
      <c r="FI70" s="57">
        <f t="shared" si="472"/>
        <v>42036.674680000004</v>
      </c>
      <c r="FJ70" s="59">
        <f t="shared" si="473"/>
        <v>138964.83915714402</v>
      </c>
      <c r="FK70" s="55">
        <f t="shared" si="474"/>
        <v>41023.742760000001</v>
      </c>
      <c r="FL70" s="59">
        <f t="shared" si="475"/>
        <v>135616.28881600802</v>
      </c>
      <c r="FM70" s="60">
        <f t="shared" si="476"/>
        <v>40010.810839999998</v>
      </c>
      <c r="FN70" s="59">
        <f t="shared" si="477"/>
        <v>132267.73847487199</v>
      </c>
      <c r="FO70" s="60">
        <f t="shared" si="478"/>
        <v>38997.878919999996</v>
      </c>
      <c r="FP70" s="59">
        <f t="shared" si="479"/>
        <v>128919.18813373598</v>
      </c>
      <c r="FQ70" s="60">
        <f t="shared" si="480"/>
        <v>37984.947</v>
      </c>
      <c r="FR70" s="59">
        <f t="shared" si="481"/>
        <v>125570.6377926</v>
      </c>
      <c r="FS70" s="55">
        <f t="shared" si="482"/>
        <v>36972.015079999997</v>
      </c>
      <c r="FT70" s="59">
        <f t="shared" si="483"/>
        <v>122222.08745146399</v>
      </c>
      <c r="FU70" s="60">
        <f t="shared" si="484"/>
        <v>35959.083159999995</v>
      </c>
      <c r="FV70" s="59">
        <f t="shared" si="485"/>
        <v>118873.53711032799</v>
      </c>
      <c r="FW70" s="60">
        <f t="shared" si="486"/>
        <v>34946.151239999992</v>
      </c>
      <c r="FX70" s="59">
        <f t="shared" si="487"/>
        <v>115524.98676919198</v>
      </c>
      <c r="FY70" s="60">
        <f t="shared" si="488"/>
        <v>33933.219319999997</v>
      </c>
      <c r="FZ70" s="59">
        <f t="shared" si="489"/>
        <v>112176.436428056</v>
      </c>
      <c r="GA70" s="60">
        <f t="shared" si="490"/>
        <v>32920.287399999994</v>
      </c>
      <c r="GB70" s="59">
        <f t="shared" si="491"/>
        <v>108827.88608691999</v>
      </c>
      <c r="GC70" s="55">
        <f t="shared" si="492"/>
        <v>31907.355479999991</v>
      </c>
      <c r="GD70" s="59">
        <f t="shared" si="493"/>
        <v>105479.33574578397</v>
      </c>
      <c r="GE70" s="60">
        <f t="shared" si="494"/>
        <v>30894.423559999992</v>
      </c>
      <c r="GF70" s="59">
        <f t="shared" si="495"/>
        <v>102130.78540464798</v>
      </c>
      <c r="GG70" s="60">
        <f t="shared" si="496"/>
        <v>29881.491639999989</v>
      </c>
      <c r="GH70" s="59">
        <f t="shared" si="497"/>
        <v>98782.235063511966</v>
      </c>
      <c r="GI70" s="55">
        <f t="shared" si="498"/>
        <v>28868.55971999999</v>
      </c>
      <c r="GJ70" s="59">
        <f t="shared" si="499"/>
        <v>95433.684722375969</v>
      </c>
      <c r="GK70" s="55"/>
      <c r="GL70" s="55"/>
      <c r="GM70" s="55">
        <v>1</v>
      </c>
      <c r="GN70" s="55">
        <v>0.97</v>
      </c>
      <c r="GO70" s="55">
        <v>0.95</v>
      </c>
      <c r="GP70" s="55">
        <v>0.93</v>
      </c>
      <c r="GQ70" s="55">
        <f t="shared" ref="GQ70:HH84" si="502">+GP70-0.02</f>
        <v>0.91</v>
      </c>
      <c r="GR70" s="55">
        <f t="shared" si="502"/>
        <v>0.89</v>
      </c>
      <c r="GS70" s="55">
        <f t="shared" si="502"/>
        <v>0.87</v>
      </c>
      <c r="GT70" s="55">
        <f t="shared" si="502"/>
        <v>0.85</v>
      </c>
      <c r="GU70" s="55">
        <f t="shared" si="502"/>
        <v>0.83</v>
      </c>
      <c r="GV70" s="55">
        <f t="shared" si="502"/>
        <v>0.80999999999999994</v>
      </c>
      <c r="GW70" s="55">
        <f t="shared" si="502"/>
        <v>0.78999999999999992</v>
      </c>
      <c r="GX70" s="55">
        <f t="shared" si="502"/>
        <v>0.76999999999999991</v>
      </c>
      <c r="GY70" s="55">
        <f t="shared" si="502"/>
        <v>0.74999999999999989</v>
      </c>
      <c r="GZ70" s="55">
        <f t="shared" si="502"/>
        <v>0.72999999999999987</v>
      </c>
      <c r="HA70" s="55">
        <f t="shared" si="502"/>
        <v>0.70999999999999985</v>
      </c>
      <c r="HB70" s="55">
        <f t="shared" si="502"/>
        <v>0.68999999999999984</v>
      </c>
      <c r="HC70" s="55">
        <f t="shared" si="502"/>
        <v>0.66999999999999982</v>
      </c>
      <c r="HD70" s="55">
        <f t="shared" si="502"/>
        <v>0.6499999999999998</v>
      </c>
      <c r="HE70" s="55">
        <f t="shared" si="502"/>
        <v>0.62999999999999978</v>
      </c>
      <c r="HF70" s="55">
        <f t="shared" si="502"/>
        <v>0.60999999999999976</v>
      </c>
      <c r="HG70" s="55">
        <f t="shared" si="502"/>
        <v>0.58999999999999975</v>
      </c>
      <c r="HH70" s="55">
        <f t="shared" si="502"/>
        <v>0.56999999999999973</v>
      </c>
    </row>
    <row r="71" spans="1:216" x14ac:dyDescent="0.3">
      <c r="A71" s="2">
        <v>3</v>
      </c>
      <c r="C71" s="38" t="s">
        <v>32</v>
      </c>
      <c r="D71" s="42">
        <f>TRUNC(7288,-1)</f>
        <v>7280</v>
      </c>
      <c r="E71" s="71">
        <f t="shared" si="369"/>
        <v>24060</v>
      </c>
      <c r="H71" s="55">
        <f t="shared" si="61"/>
        <v>26466.000000000004</v>
      </c>
      <c r="I71" s="55">
        <f t="shared" si="62"/>
        <v>26466.000000000004</v>
      </c>
      <c r="J71" s="59">
        <f t="shared" si="63"/>
        <v>87491.302800000019</v>
      </c>
      <c r="K71" s="55">
        <f t="shared" si="370"/>
        <v>25672.020000000004</v>
      </c>
      <c r="L71" s="59">
        <f t="shared" si="371"/>
        <v>84866.563716000019</v>
      </c>
      <c r="M71" s="55">
        <f t="shared" si="372"/>
        <v>25142.7</v>
      </c>
      <c r="N71" s="59">
        <f t="shared" si="373"/>
        <v>83116.737659999999</v>
      </c>
      <c r="O71" s="55">
        <f t="shared" si="374"/>
        <v>24613.380000000005</v>
      </c>
      <c r="P71" s="59">
        <f t="shared" si="375"/>
        <v>81366.911604000023</v>
      </c>
      <c r="Q71" s="57">
        <f t="shared" si="376"/>
        <v>24084.060000000005</v>
      </c>
      <c r="R71" s="59">
        <f t="shared" si="377"/>
        <v>79617.085548000017</v>
      </c>
      <c r="S71" s="55">
        <f t="shared" si="378"/>
        <v>23554.740000000005</v>
      </c>
      <c r="T71" s="59">
        <f t="shared" si="379"/>
        <v>77867.259492000012</v>
      </c>
      <c r="U71" s="57">
        <f t="shared" si="380"/>
        <v>23025.420000000002</v>
      </c>
      <c r="V71" s="59">
        <f t="shared" si="381"/>
        <v>76117.433436000007</v>
      </c>
      <c r="W71" s="60">
        <f t="shared" si="382"/>
        <v>22496.100000000002</v>
      </c>
      <c r="X71" s="59">
        <f t="shared" si="383"/>
        <v>74367.607380000016</v>
      </c>
      <c r="Y71" s="57">
        <f t="shared" si="384"/>
        <v>21966.780000000002</v>
      </c>
      <c r="Z71" s="59">
        <f t="shared" si="385"/>
        <v>72617.78132400001</v>
      </c>
      <c r="AA71" s="55">
        <f t="shared" si="386"/>
        <v>21437.460000000003</v>
      </c>
      <c r="AB71" s="59">
        <f t="shared" si="387"/>
        <v>70867.955268000005</v>
      </c>
      <c r="AC71" s="60">
        <f t="shared" si="388"/>
        <v>20908.14</v>
      </c>
      <c r="AD71" s="59">
        <f t="shared" si="389"/>
        <v>69118.129212</v>
      </c>
      <c r="AE71" s="60">
        <f t="shared" si="390"/>
        <v>20378.82</v>
      </c>
      <c r="AF71" s="59">
        <f t="shared" si="391"/>
        <v>67368.303155999994</v>
      </c>
      <c r="AG71" s="60">
        <f t="shared" si="392"/>
        <v>19849.5</v>
      </c>
      <c r="AH71" s="59">
        <f t="shared" si="393"/>
        <v>65618.477100000004</v>
      </c>
      <c r="AI71" s="55">
        <f t="shared" si="394"/>
        <v>19320.18</v>
      </c>
      <c r="AJ71" s="59">
        <f t="shared" si="395"/>
        <v>63868.651044000006</v>
      </c>
      <c r="AK71" s="60">
        <f t="shared" si="396"/>
        <v>18790.859999999997</v>
      </c>
      <c r="AL71" s="59">
        <f t="shared" si="397"/>
        <v>62118.824987999993</v>
      </c>
      <c r="AM71" s="60">
        <f t="shared" si="398"/>
        <v>18261.539999999997</v>
      </c>
      <c r="AN71" s="59">
        <f t="shared" si="399"/>
        <v>60368.998931999995</v>
      </c>
      <c r="AO71" s="60">
        <f t="shared" si="400"/>
        <v>17732.219999999998</v>
      </c>
      <c r="AP71" s="59">
        <f t="shared" si="401"/>
        <v>58619.17287599999</v>
      </c>
      <c r="AQ71" s="60">
        <f t="shared" si="402"/>
        <v>17202.899999999998</v>
      </c>
      <c r="AR71" s="59">
        <f t="shared" si="403"/>
        <v>56869.346819999992</v>
      </c>
      <c r="AS71" s="55">
        <f t="shared" si="404"/>
        <v>16673.579999999998</v>
      </c>
      <c r="AT71" s="59">
        <f t="shared" si="405"/>
        <v>55119.520763999994</v>
      </c>
      <c r="AU71" s="60">
        <f t="shared" si="406"/>
        <v>16144.259999999997</v>
      </c>
      <c r="AV71" s="59">
        <f t="shared" si="407"/>
        <v>53369.694707999988</v>
      </c>
      <c r="AW71" s="60">
        <f t="shared" si="408"/>
        <v>15614.939999999995</v>
      </c>
      <c r="AX71" s="59">
        <f t="shared" si="409"/>
        <v>51619.868651999983</v>
      </c>
      <c r="AY71" s="55">
        <f t="shared" si="410"/>
        <v>15085.619999999995</v>
      </c>
      <c r="AZ71" s="59">
        <f t="shared" si="411"/>
        <v>49870.042595999985</v>
      </c>
      <c r="BC71" s="55">
        <v>1</v>
      </c>
      <c r="BD71" s="55">
        <v>0.97</v>
      </c>
      <c r="BE71" s="55">
        <v>0.95</v>
      </c>
      <c r="BF71" s="55">
        <v>0.93</v>
      </c>
      <c r="BG71" s="55">
        <f t="shared" si="412"/>
        <v>0.91</v>
      </c>
      <c r="BH71" s="55">
        <f t="shared" si="412"/>
        <v>0.89</v>
      </c>
      <c r="BI71" s="55">
        <f t="shared" si="412"/>
        <v>0.87</v>
      </c>
      <c r="BJ71" s="55">
        <f t="shared" si="412"/>
        <v>0.85</v>
      </c>
      <c r="BK71" s="55">
        <f t="shared" si="412"/>
        <v>0.83</v>
      </c>
      <c r="BL71" s="55">
        <f t="shared" si="412"/>
        <v>0.80999999999999994</v>
      </c>
      <c r="BM71" s="55">
        <f t="shared" si="412"/>
        <v>0.78999999999999992</v>
      </c>
      <c r="BN71" s="55">
        <f t="shared" si="412"/>
        <v>0.76999999999999991</v>
      </c>
      <c r="BO71" s="55">
        <f t="shared" si="412"/>
        <v>0.74999999999999989</v>
      </c>
      <c r="BP71" s="55">
        <f t="shared" si="412"/>
        <v>0.72999999999999987</v>
      </c>
      <c r="BQ71" s="55">
        <f t="shared" si="412"/>
        <v>0.70999999999999985</v>
      </c>
      <c r="BR71" s="55">
        <f t="shared" si="412"/>
        <v>0.68999999999999984</v>
      </c>
      <c r="BS71" s="55">
        <f t="shared" si="412"/>
        <v>0.66999999999999982</v>
      </c>
      <c r="BT71" s="55">
        <f t="shared" si="412"/>
        <v>0.6499999999999998</v>
      </c>
      <c r="BU71" s="55">
        <f t="shared" si="412"/>
        <v>0.62999999999999978</v>
      </c>
      <c r="BV71" s="55">
        <f t="shared" si="412"/>
        <v>0.60999999999999976</v>
      </c>
      <c r="BW71" s="55">
        <f t="shared" si="412"/>
        <v>0.58999999999999975</v>
      </c>
      <c r="BX71" s="55">
        <f t="shared" si="412"/>
        <v>0.56999999999999973</v>
      </c>
      <c r="BZ71" s="55">
        <f t="shared" si="88"/>
        <v>24084.060000000005</v>
      </c>
      <c r="CA71" s="55">
        <f t="shared" si="89"/>
        <v>24084.060000000005</v>
      </c>
      <c r="CB71" s="59">
        <f t="shared" si="413"/>
        <v>79617.085548000017</v>
      </c>
      <c r="CC71" s="55">
        <f t="shared" si="414"/>
        <v>23361.538200000003</v>
      </c>
      <c r="CD71" s="59">
        <f t="shared" si="415"/>
        <v>77228.572981560006</v>
      </c>
      <c r="CE71" s="55">
        <f t="shared" si="416"/>
        <v>22879.857000000004</v>
      </c>
      <c r="CF71" s="59">
        <f t="shared" si="417"/>
        <v>75636.231270600008</v>
      </c>
      <c r="CG71" s="55">
        <f t="shared" si="418"/>
        <v>22398.175800000005</v>
      </c>
      <c r="CH71" s="59">
        <f t="shared" si="419"/>
        <v>74043.889559640011</v>
      </c>
      <c r="CI71" s="57">
        <f t="shared" si="420"/>
        <v>21916.494600000005</v>
      </c>
      <c r="CJ71" s="59">
        <f t="shared" si="421"/>
        <v>72451.547848680013</v>
      </c>
      <c r="CK71" s="55">
        <f t="shared" si="422"/>
        <v>21434.813400000006</v>
      </c>
      <c r="CL71" s="59">
        <f t="shared" si="423"/>
        <v>70859.20613772003</v>
      </c>
      <c r="CM71" s="57">
        <f t="shared" si="424"/>
        <v>20953.132200000004</v>
      </c>
      <c r="CN71" s="59">
        <f t="shared" si="425"/>
        <v>69266.864426760018</v>
      </c>
      <c r="CO71" s="60">
        <f t="shared" si="426"/>
        <v>20471.451000000005</v>
      </c>
      <c r="CP71" s="59">
        <f t="shared" si="427"/>
        <v>67674.52271580002</v>
      </c>
      <c r="CQ71" s="57">
        <f t="shared" si="428"/>
        <v>19989.769800000002</v>
      </c>
      <c r="CR71" s="59">
        <f t="shared" si="429"/>
        <v>66082.181004840008</v>
      </c>
      <c r="CS71" s="55">
        <f t="shared" si="430"/>
        <v>19508.088600000003</v>
      </c>
      <c r="CT71" s="59">
        <f t="shared" si="431"/>
        <v>64489.83929388001</v>
      </c>
      <c r="CU71" s="60">
        <f t="shared" si="432"/>
        <v>19026.407400000004</v>
      </c>
      <c r="CV71" s="59">
        <f t="shared" si="433"/>
        <v>62897.497582920012</v>
      </c>
      <c r="CW71" s="60">
        <f t="shared" si="434"/>
        <v>18544.726200000001</v>
      </c>
      <c r="CX71" s="59">
        <f t="shared" si="435"/>
        <v>61305.155871960007</v>
      </c>
      <c r="CY71" s="60">
        <f t="shared" si="436"/>
        <v>18063.045000000002</v>
      </c>
      <c r="CZ71" s="59">
        <f t="shared" si="437"/>
        <v>59712.814161000009</v>
      </c>
      <c r="DA71" s="55">
        <f t="shared" si="438"/>
        <v>17581.363799999999</v>
      </c>
      <c r="DB71" s="59">
        <f t="shared" si="439"/>
        <v>58120.472450039997</v>
      </c>
      <c r="DC71" s="60">
        <f t="shared" si="440"/>
        <v>17099.6826</v>
      </c>
      <c r="DD71" s="59">
        <f t="shared" si="441"/>
        <v>56528.130739079999</v>
      </c>
      <c r="DE71" s="60">
        <f t="shared" si="442"/>
        <v>16618.001400000001</v>
      </c>
      <c r="DF71" s="59">
        <f t="shared" si="443"/>
        <v>54935.789028120002</v>
      </c>
      <c r="DG71" s="60">
        <f t="shared" si="444"/>
        <v>16136.320199999998</v>
      </c>
      <c r="DH71" s="59">
        <f t="shared" si="445"/>
        <v>53343.447317159997</v>
      </c>
      <c r="DI71" s="60">
        <f t="shared" si="446"/>
        <v>15654.638999999999</v>
      </c>
      <c r="DJ71" s="59">
        <f t="shared" si="447"/>
        <v>51751.105606199999</v>
      </c>
      <c r="DK71" s="55">
        <f t="shared" si="448"/>
        <v>15172.957799999998</v>
      </c>
      <c r="DL71" s="59">
        <f t="shared" si="449"/>
        <v>50158.763895239994</v>
      </c>
      <c r="DM71" s="60">
        <f t="shared" si="450"/>
        <v>14691.276599999997</v>
      </c>
      <c r="DN71" s="59">
        <f t="shared" si="451"/>
        <v>48566.422184279996</v>
      </c>
      <c r="DO71" s="60">
        <f t="shared" si="452"/>
        <v>14209.595399999997</v>
      </c>
      <c r="DP71" s="59">
        <f t="shared" si="453"/>
        <v>46974.080473319991</v>
      </c>
      <c r="DQ71" s="55">
        <f t="shared" si="454"/>
        <v>13727.914199999996</v>
      </c>
      <c r="DR71" s="59">
        <f t="shared" si="455"/>
        <v>45381.738762359986</v>
      </c>
      <c r="DU71" s="55">
        <v>1</v>
      </c>
      <c r="DV71" s="55">
        <v>0.97</v>
      </c>
      <c r="DW71" s="55">
        <v>0.95</v>
      </c>
      <c r="DX71" s="55">
        <v>0.93</v>
      </c>
      <c r="DY71" s="55">
        <f t="shared" si="501"/>
        <v>0.91</v>
      </c>
      <c r="DZ71" s="55">
        <f t="shared" si="501"/>
        <v>0.89</v>
      </c>
      <c r="EA71" s="55">
        <f t="shared" si="501"/>
        <v>0.87</v>
      </c>
      <c r="EB71" s="55">
        <f t="shared" si="501"/>
        <v>0.85</v>
      </c>
      <c r="EC71" s="55">
        <f t="shared" si="501"/>
        <v>0.83</v>
      </c>
      <c r="ED71" s="55">
        <f t="shared" si="501"/>
        <v>0.80999999999999994</v>
      </c>
      <c r="EE71" s="55">
        <f t="shared" si="501"/>
        <v>0.78999999999999992</v>
      </c>
      <c r="EF71" s="55">
        <f t="shared" si="501"/>
        <v>0.76999999999999991</v>
      </c>
      <c r="EG71" s="55">
        <f t="shared" si="501"/>
        <v>0.74999999999999989</v>
      </c>
      <c r="EH71" s="55">
        <f t="shared" si="501"/>
        <v>0.72999999999999987</v>
      </c>
      <c r="EI71" s="55">
        <f t="shared" si="501"/>
        <v>0.70999999999999985</v>
      </c>
      <c r="EJ71" s="55">
        <f t="shared" si="501"/>
        <v>0.68999999999999984</v>
      </c>
      <c r="EK71" s="55">
        <f t="shared" si="501"/>
        <v>0.66999999999999982</v>
      </c>
      <c r="EL71" s="55">
        <f t="shared" si="501"/>
        <v>0.6499999999999998</v>
      </c>
      <c r="EM71" s="55">
        <f t="shared" si="501"/>
        <v>0.62999999999999978</v>
      </c>
      <c r="EN71" s="55">
        <f t="shared" si="501"/>
        <v>0.60999999999999976</v>
      </c>
      <c r="EO71" s="55">
        <f t="shared" si="501"/>
        <v>0.58999999999999975</v>
      </c>
      <c r="EP71" s="55">
        <f t="shared" si="501"/>
        <v>0.56999999999999973</v>
      </c>
      <c r="ER71" s="55">
        <f t="shared" si="142"/>
        <v>21916.494600000005</v>
      </c>
      <c r="ES71" s="55">
        <f t="shared" si="116"/>
        <v>21916.494600000005</v>
      </c>
      <c r="ET71" s="59">
        <f t="shared" si="457"/>
        <v>72451.547848680013</v>
      </c>
      <c r="EU71" s="55">
        <f t="shared" si="458"/>
        <v>21258.999762000003</v>
      </c>
      <c r="EV71" s="59">
        <f t="shared" si="459"/>
        <v>70278.001413219608</v>
      </c>
      <c r="EW71" s="55">
        <f t="shared" si="460"/>
        <v>20820.669870000005</v>
      </c>
      <c r="EX71" s="59">
        <f t="shared" si="461"/>
        <v>68828.970456246025</v>
      </c>
      <c r="EY71" s="55">
        <f t="shared" si="462"/>
        <v>20382.339978000007</v>
      </c>
      <c r="EZ71" s="59">
        <f t="shared" si="463"/>
        <v>67379.939499272426</v>
      </c>
      <c r="FA71" s="57">
        <f t="shared" si="464"/>
        <v>19944.010086000006</v>
      </c>
      <c r="FB71" s="59">
        <f t="shared" si="465"/>
        <v>65930.908542298814</v>
      </c>
      <c r="FC71" s="55">
        <f t="shared" si="466"/>
        <v>19505.680194000004</v>
      </c>
      <c r="FD71" s="59">
        <f t="shared" si="467"/>
        <v>64481.877585325215</v>
      </c>
      <c r="FE71" s="57">
        <f t="shared" si="468"/>
        <v>19067.350302000006</v>
      </c>
      <c r="FF71" s="59">
        <f t="shared" si="469"/>
        <v>63032.846628351625</v>
      </c>
      <c r="FG71" s="60">
        <f t="shared" si="470"/>
        <v>18629.020410000005</v>
      </c>
      <c r="FH71" s="59">
        <f t="shared" si="471"/>
        <v>61583.815671378019</v>
      </c>
      <c r="FI71" s="57">
        <f t="shared" si="472"/>
        <v>18190.690518000003</v>
      </c>
      <c r="FJ71" s="59">
        <f t="shared" si="473"/>
        <v>60134.784714404414</v>
      </c>
      <c r="FK71" s="55">
        <f t="shared" si="474"/>
        <v>17752.360626000002</v>
      </c>
      <c r="FL71" s="59">
        <f t="shared" si="475"/>
        <v>58685.753757430808</v>
      </c>
      <c r="FM71" s="60">
        <f t="shared" si="476"/>
        <v>17314.030734000004</v>
      </c>
      <c r="FN71" s="59">
        <f t="shared" si="477"/>
        <v>57236.72280045721</v>
      </c>
      <c r="FO71" s="60">
        <f t="shared" si="478"/>
        <v>16875.700842000002</v>
      </c>
      <c r="FP71" s="59">
        <f t="shared" si="479"/>
        <v>55787.691843483604</v>
      </c>
      <c r="FQ71" s="60">
        <f t="shared" si="480"/>
        <v>16437.37095</v>
      </c>
      <c r="FR71" s="59">
        <f t="shared" si="481"/>
        <v>54338.660886510006</v>
      </c>
      <c r="FS71" s="55">
        <f t="shared" si="482"/>
        <v>15999.041058000001</v>
      </c>
      <c r="FT71" s="59">
        <f t="shared" si="483"/>
        <v>52889.629929536401</v>
      </c>
      <c r="FU71" s="60">
        <f t="shared" si="484"/>
        <v>15560.711166000001</v>
      </c>
      <c r="FV71" s="59">
        <f t="shared" si="485"/>
        <v>51440.598972562802</v>
      </c>
      <c r="FW71" s="60">
        <f t="shared" si="486"/>
        <v>15122.381273999999</v>
      </c>
      <c r="FX71" s="59">
        <f t="shared" si="487"/>
        <v>49991.568015589197</v>
      </c>
      <c r="FY71" s="60">
        <f t="shared" si="488"/>
        <v>14684.051382</v>
      </c>
      <c r="FZ71" s="59">
        <f t="shared" si="489"/>
        <v>48542.537058615599</v>
      </c>
      <c r="GA71" s="60">
        <f t="shared" si="490"/>
        <v>14245.72149</v>
      </c>
      <c r="GB71" s="59">
        <f t="shared" si="491"/>
        <v>47093.506101642</v>
      </c>
      <c r="GC71" s="55">
        <f t="shared" si="492"/>
        <v>13807.391597999998</v>
      </c>
      <c r="GD71" s="59">
        <f t="shared" si="493"/>
        <v>45644.475144668395</v>
      </c>
      <c r="GE71" s="60">
        <f t="shared" si="494"/>
        <v>13369.061705999999</v>
      </c>
      <c r="GF71" s="59">
        <f t="shared" si="495"/>
        <v>44195.444187694797</v>
      </c>
      <c r="GG71" s="60">
        <f t="shared" si="496"/>
        <v>12930.731813999997</v>
      </c>
      <c r="GH71" s="59">
        <f t="shared" si="497"/>
        <v>42746.413230721191</v>
      </c>
      <c r="GI71" s="55">
        <f t="shared" si="498"/>
        <v>12492.401921999997</v>
      </c>
      <c r="GJ71" s="59">
        <f t="shared" si="499"/>
        <v>41297.382273747593</v>
      </c>
      <c r="GK71" s="55"/>
      <c r="GL71" s="55"/>
      <c r="GM71" s="55">
        <v>1</v>
      </c>
      <c r="GN71" s="55">
        <v>0.97</v>
      </c>
      <c r="GO71" s="55">
        <v>0.95</v>
      </c>
      <c r="GP71" s="55">
        <v>0.93</v>
      </c>
      <c r="GQ71" s="55">
        <f t="shared" si="502"/>
        <v>0.91</v>
      </c>
      <c r="GR71" s="55">
        <f t="shared" si="502"/>
        <v>0.89</v>
      </c>
      <c r="GS71" s="55">
        <f t="shared" si="502"/>
        <v>0.87</v>
      </c>
      <c r="GT71" s="55">
        <f t="shared" si="502"/>
        <v>0.85</v>
      </c>
      <c r="GU71" s="55">
        <f t="shared" si="502"/>
        <v>0.83</v>
      </c>
      <c r="GV71" s="55">
        <f t="shared" si="502"/>
        <v>0.80999999999999994</v>
      </c>
      <c r="GW71" s="55">
        <f t="shared" si="502"/>
        <v>0.78999999999999992</v>
      </c>
      <c r="GX71" s="55">
        <f t="shared" si="502"/>
        <v>0.76999999999999991</v>
      </c>
      <c r="GY71" s="55">
        <f t="shared" si="502"/>
        <v>0.74999999999999989</v>
      </c>
      <c r="GZ71" s="55">
        <f t="shared" si="502"/>
        <v>0.72999999999999987</v>
      </c>
      <c r="HA71" s="55">
        <f t="shared" si="502"/>
        <v>0.70999999999999985</v>
      </c>
      <c r="HB71" s="55">
        <f t="shared" si="502"/>
        <v>0.68999999999999984</v>
      </c>
      <c r="HC71" s="55">
        <f t="shared" si="502"/>
        <v>0.66999999999999982</v>
      </c>
      <c r="HD71" s="55">
        <f t="shared" si="502"/>
        <v>0.6499999999999998</v>
      </c>
      <c r="HE71" s="55">
        <f t="shared" si="502"/>
        <v>0.62999999999999978</v>
      </c>
      <c r="HF71" s="55">
        <f t="shared" si="502"/>
        <v>0.60999999999999976</v>
      </c>
      <c r="HG71" s="55">
        <f t="shared" si="502"/>
        <v>0.58999999999999975</v>
      </c>
      <c r="HH71" s="55">
        <f t="shared" si="502"/>
        <v>0.56999999999999973</v>
      </c>
    </row>
    <row r="72" spans="1:216" x14ac:dyDescent="0.3">
      <c r="A72" s="2">
        <v>4</v>
      </c>
      <c r="C72" s="38" t="s">
        <v>33</v>
      </c>
      <c r="D72" s="42">
        <v>0</v>
      </c>
      <c r="E72" s="71">
        <f t="shared" si="369"/>
        <v>0</v>
      </c>
      <c r="H72" s="55">
        <f t="shared" si="61"/>
        <v>0</v>
      </c>
      <c r="I72" s="55">
        <f t="shared" si="62"/>
        <v>0</v>
      </c>
      <c r="J72" s="59">
        <f t="shared" si="63"/>
        <v>0</v>
      </c>
      <c r="K72" s="55">
        <f t="shared" si="370"/>
        <v>0</v>
      </c>
      <c r="L72" s="59">
        <f t="shared" si="371"/>
        <v>0</v>
      </c>
      <c r="M72" s="55">
        <f t="shared" si="372"/>
        <v>0</v>
      </c>
      <c r="N72" s="59">
        <f t="shared" si="373"/>
        <v>0</v>
      </c>
      <c r="O72" s="55">
        <f t="shared" si="374"/>
        <v>0</v>
      </c>
      <c r="P72" s="59">
        <f t="shared" si="375"/>
        <v>0</v>
      </c>
      <c r="Q72" s="57">
        <f t="shared" si="376"/>
        <v>0</v>
      </c>
      <c r="R72" s="59">
        <f t="shared" si="377"/>
        <v>0</v>
      </c>
      <c r="S72" s="55">
        <f t="shared" si="378"/>
        <v>0</v>
      </c>
      <c r="T72" s="59">
        <f t="shared" si="379"/>
        <v>0</v>
      </c>
      <c r="U72" s="57">
        <f t="shared" si="380"/>
        <v>0</v>
      </c>
      <c r="V72" s="59">
        <f t="shared" si="381"/>
        <v>0</v>
      </c>
      <c r="W72" s="60">
        <f t="shared" si="382"/>
        <v>0</v>
      </c>
      <c r="X72" s="59">
        <f t="shared" si="383"/>
        <v>0</v>
      </c>
      <c r="Y72" s="57">
        <f t="shared" si="384"/>
        <v>0</v>
      </c>
      <c r="Z72" s="59">
        <f t="shared" si="385"/>
        <v>0</v>
      </c>
      <c r="AA72" s="55">
        <f t="shared" si="386"/>
        <v>0</v>
      </c>
      <c r="AB72" s="59">
        <f t="shared" si="387"/>
        <v>0</v>
      </c>
      <c r="AC72" s="60">
        <f t="shared" si="388"/>
        <v>0</v>
      </c>
      <c r="AD72" s="59">
        <f t="shared" si="389"/>
        <v>0</v>
      </c>
      <c r="AE72" s="60">
        <f t="shared" si="390"/>
        <v>0</v>
      </c>
      <c r="AF72" s="59">
        <f t="shared" si="391"/>
        <v>0</v>
      </c>
      <c r="AG72" s="60">
        <f t="shared" si="392"/>
        <v>0</v>
      </c>
      <c r="AH72" s="59">
        <f t="shared" si="393"/>
        <v>0</v>
      </c>
      <c r="AI72" s="55">
        <f t="shared" si="394"/>
        <v>0</v>
      </c>
      <c r="AJ72" s="59">
        <f t="shared" si="395"/>
        <v>0</v>
      </c>
      <c r="AK72" s="60">
        <f t="shared" si="396"/>
        <v>0</v>
      </c>
      <c r="AL72" s="59">
        <f t="shared" si="397"/>
        <v>0</v>
      </c>
      <c r="AM72" s="60">
        <f t="shared" si="398"/>
        <v>0</v>
      </c>
      <c r="AN72" s="59">
        <f t="shared" si="399"/>
        <v>0</v>
      </c>
      <c r="AO72" s="60">
        <f t="shared" si="400"/>
        <v>0</v>
      </c>
      <c r="AP72" s="59">
        <f t="shared" si="401"/>
        <v>0</v>
      </c>
      <c r="AQ72" s="60">
        <f t="shared" si="402"/>
        <v>0</v>
      </c>
      <c r="AR72" s="59">
        <f t="shared" si="403"/>
        <v>0</v>
      </c>
      <c r="AS72" s="55">
        <f t="shared" si="404"/>
        <v>0</v>
      </c>
      <c r="AT72" s="59">
        <f t="shared" si="405"/>
        <v>0</v>
      </c>
      <c r="AU72" s="60">
        <f t="shared" si="406"/>
        <v>0</v>
      </c>
      <c r="AV72" s="59">
        <f t="shared" si="407"/>
        <v>0</v>
      </c>
      <c r="AW72" s="60">
        <f t="shared" si="408"/>
        <v>0</v>
      </c>
      <c r="AX72" s="59">
        <f t="shared" si="409"/>
        <v>0</v>
      </c>
      <c r="AY72" s="55">
        <f t="shared" si="410"/>
        <v>0</v>
      </c>
      <c r="AZ72" s="59">
        <f t="shared" si="411"/>
        <v>0</v>
      </c>
      <c r="BC72" s="55">
        <v>1</v>
      </c>
      <c r="BD72" s="55">
        <v>0.97</v>
      </c>
      <c r="BE72" s="55">
        <v>0.95</v>
      </c>
      <c r="BF72" s="55">
        <v>0.93</v>
      </c>
      <c r="BG72" s="55">
        <f t="shared" si="412"/>
        <v>0.91</v>
      </c>
      <c r="BH72" s="55">
        <f t="shared" si="412"/>
        <v>0.89</v>
      </c>
      <c r="BI72" s="55">
        <f t="shared" si="412"/>
        <v>0.87</v>
      </c>
      <c r="BJ72" s="55">
        <f t="shared" si="412"/>
        <v>0.85</v>
      </c>
      <c r="BK72" s="55">
        <f t="shared" si="412"/>
        <v>0.83</v>
      </c>
      <c r="BL72" s="55">
        <f t="shared" si="412"/>
        <v>0.80999999999999994</v>
      </c>
      <c r="BM72" s="55">
        <f t="shared" si="412"/>
        <v>0.78999999999999992</v>
      </c>
      <c r="BN72" s="55">
        <f t="shared" si="412"/>
        <v>0.76999999999999991</v>
      </c>
      <c r="BO72" s="55">
        <f t="shared" si="412"/>
        <v>0.74999999999999989</v>
      </c>
      <c r="BP72" s="55">
        <f t="shared" si="412"/>
        <v>0.72999999999999987</v>
      </c>
      <c r="BQ72" s="55">
        <f t="shared" si="412"/>
        <v>0.70999999999999985</v>
      </c>
      <c r="BR72" s="55">
        <f t="shared" si="412"/>
        <v>0.68999999999999984</v>
      </c>
      <c r="BS72" s="55">
        <f t="shared" si="412"/>
        <v>0.66999999999999982</v>
      </c>
      <c r="BT72" s="55">
        <f t="shared" si="412"/>
        <v>0.6499999999999998</v>
      </c>
      <c r="BU72" s="55">
        <f t="shared" si="412"/>
        <v>0.62999999999999978</v>
      </c>
      <c r="BV72" s="55">
        <f t="shared" si="412"/>
        <v>0.60999999999999976</v>
      </c>
      <c r="BW72" s="55">
        <f t="shared" si="412"/>
        <v>0.58999999999999975</v>
      </c>
      <c r="BX72" s="55">
        <f t="shared" si="412"/>
        <v>0.56999999999999973</v>
      </c>
      <c r="BZ72" s="55">
        <f t="shared" si="88"/>
        <v>0</v>
      </c>
      <c r="CA72" s="55">
        <f t="shared" si="89"/>
        <v>0</v>
      </c>
      <c r="CB72" s="59">
        <f t="shared" si="413"/>
        <v>0</v>
      </c>
      <c r="CC72" s="55">
        <f t="shared" si="414"/>
        <v>0</v>
      </c>
      <c r="CD72" s="59">
        <f t="shared" si="415"/>
        <v>0</v>
      </c>
      <c r="CE72" s="55">
        <f t="shared" si="416"/>
        <v>0</v>
      </c>
      <c r="CF72" s="59">
        <f t="shared" si="417"/>
        <v>0</v>
      </c>
      <c r="CG72" s="55">
        <f t="shared" si="418"/>
        <v>0</v>
      </c>
      <c r="CH72" s="59">
        <f t="shared" si="419"/>
        <v>0</v>
      </c>
      <c r="CI72" s="57">
        <f t="shared" si="420"/>
        <v>0</v>
      </c>
      <c r="CJ72" s="59">
        <f t="shared" si="421"/>
        <v>0</v>
      </c>
      <c r="CK72" s="55">
        <f t="shared" si="422"/>
        <v>0</v>
      </c>
      <c r="CL72" s="59">
        <f t="shared" si="423"/>
        <v>0</v>
      </c>
      <c r="CM72" s="57">
        <f t="shared" si="424"/>
        <v>0</v>
      </c>
      <c r="CN72" s="59">
        <f t="shared" si="425"/>
        <v>0</v>
      </c>
      <c r="CO72" s="60">
        <f t="shared" si="426"/>
        <v>0</v>
      </c>
      <c r="CP72" s="59">
        <f t="shared" si="427"/>
        <v>0</v>
      </c>
      <c r="CQ72" s="57">
        <f t="shared" si="428"/>
        <v>0</v>
      </c>
      <c r="CR72" s="59">
        <f t="shared" si="429"/>
        <v>0</v>
      </c>
      <c r="CS72" s="55">
        <f t="shared" si="430"/>
        <v>0</v>
      </c>
      <c r="CT72" s="59">
        <f t="shared" si="431"/>
        <v>0</v>
      </c>
      <c r="CU72" s="60">
        <f t="shared" si="432"/>
        <v>0</v>
      </c>
      <c r="CV72" s="59">
        <f t="shared" si="433"/>
        <v>0</v>
      </c>
      <c r="CW72" s="60">
        <f t="shared" si="434"/>
        <v>0</v>
      </c>
      <c r="CX72" s="59">
        <f t="shared" si="435"/>
        <v>0</v>
      </c>
      <c r="CY72" s="60">
        <f t="shared" si="436"/>
        <v>0</v>
      </c>
      <c r="CZ72" s="59">
        <f t="shared" si="437"/>
        <v>0</v>
      </c>
      <c r="DA72" s="55">
        <f t="shared" si="438"/>
        <v>0</v>
      </c>
      <c r="DB72" s="59">
        <f t="shared" si="439"/>
        <v>0</v>
      </c>
      <c r="DC72" s="60">
        <f t="shared" si="440"/>
        <v>0</v>
      </c>
      <c r="DD72" s="59">
        <f t="shared" si="441"/>
        <v>0</v>
      </c>
      <c r="DE72" s="60">
        <f t="shared" si="442"/>
        <v>0</v>
      </c>
      <c r="DF72" s="59">
        <f t="shared" si="443"/>
        <v>0</v>
      </c>
      <c r="DG72" s="60">
        <f t="shared" si="444"/>
        <v>0</v>
      </c>
      <c r="DH72" s="59">
        <f t="shared" si="445"/>
        <v>0</v>
      </c>
      <c r="DI72" s="60">
        <f t="shared" si="446"/>
        <v>0</v>
      </c>
      <c r="DJ72" s="59">
        <f t="shared" si="447"/>
        <v>0</v>
      </c>
      <c r="DK72" s="55">
        <f t="shared" si="448"/>
        <v>0</v>
      </c>
      <c r="DL72" s="59">
        <f t="shared" si="449"/>
        <v>0</v>
      </c>
      <c r="DM72" s="60">
        <f t="shared" si="450"/>
        <v>0</v>
      </c>
      <c r="DN72" s="59">
        <f t="shared" si="451"/>
        <v>0</v>
      </c>
      <c r="DO72" s="60">
        <f t="shared" si="452"/>
        <v>0</v>
      </c>
      <c r="DP72" s="59">
        <f t="shared" si="453"/>
        <v>0</v>
      </c>
      <c r="DQ72" s="55">
        <f t="shared" si="454"/>
        <v>0</v>
      </c>
      <c r="DR72" s="59">
        <f t="shared" si="455"/>
        <v>0</v>
      </c>
      <c r="DU72" s="55">
        <v>1</v>
      </c>
      <c r="DV72" s="55">
        <v>0.97</v>
      </c>
      <c r="DW72" s="55">
        <v>0.95</v>
      </c>
      <c r="DX72" s="55">
        <v>0.93</v>
      </c>
      <c r="DY72" s="55">
        <f t="shared" si="501"/>
        <v>0.91</v>
      </c>
      <c r="DZ72" s="55">
        <f t="shared" si="501"/>
        <v>0.89</v>
      </c>
      <c r="EA72" s="55">
        <f t="shared" si="501"/>
        <v>0.87</v>
      </c>
      <c r="EB72" s="55">
        <f t="shared" si="501"/>
        <v>0.85</v>
      </c>
      <c r="EC72" s="55">
        <f t="shared" si="501"/>
        <v>0.83</v>
      </c>
      <c r="ED72" s="55">
        <f t="shared" si="501"/>
        <v>0.80999999999999994</v>
      </c>
      <c r="EE72" s="55">
        <f t="shared" si="501"/>
        <v>0.78999999999999992</v>
      </c>
      <c r="EF72" s="55">
        <f t="shared" si="501"/>
        <v>0.76999999999999991</v>
      </c>
      <c r="EG72" s="55">
        <f t="shared" si="501"/>
        <v>0.74999999999999989</v>
      </c>
      <c r="EH72" s="55">
        <f t="shared" si="501"/>
        <v>0.72999999999999987</v>
      </c>
      <c r="EI72" s="55">
        <f t="shared" si="501"/>
        <v>0.70999999999999985</v>
      </c>
      <c r="EJ72" s="55">
        <f t="shared" si="501"/>
        <v>0.68999999999999984</v>
      </c>
      <c r="EK72" s="55">
        <f t="shared" si="501"/>
        <v>0.66999999999999982</v>
      </c>
      <c r="EL72" s="55">
        <f t="shared" si="501"/>
        <v>0.6499999999999998</v>
      </c>
      <c r="EM72" s="55">
        <f t="shared" si="501"/>
        <v>0.62999999999999978</v>
      </c>
      <c r="EN72" s="55">
        <f t="shared" si="501"/>
        <v>0.60999999999999976</v>
      </c>
      <c r="EO72" s="55">
        <f t="shared" si="501"/>
        <v>0.58999999999999975</v>
      </c>
      <c r="EP72" s="55">
        <f t="shared" si="501"/>
        <v>0.56999999999999973</v>
      </c>
      <c r="ER72" s="55">
        <f t="shared" si="142"/>
        <v>0</v>
      </c>
      <c r="ES72" s="55">
        <f t="shared" si="116"/>
        <v>0</v>
      </c>
      <c r="ET72" s="59">
        <f t="shared" si="457"/>
        <v>0</v>
      </c>
      <c r="EU72" s="55">
        <f t="shared" si="458"/>
        <v>0</v>
      </c>
      <c r="EV72" s="59">
        <f t="shared" si="459"/>
        <v>0</v>
      </c>
      <c r="EW72" s="55">
        <f t="shared" si="460"/>
        <v>0</v>
      </c>
      <c r="EX72" s="59">
        <f t="shared" si="461"/>
        <v>0</v>
      </c>
      <c r="EY72" s="55">
        <f t="shared" si="462"/>
        <v>0</v>
      </c>
      <c r="EZ72" s="59">
        <f t="shared" si="463"/>
        <v>0</v>
      </c>
      <c r="FA72" s="57">
        <f t="shared" si="464"/>
        <v>0</v>
      </c>
      <c r="FB72" s="59">
        <f t="shared" si="465"/>
        <v>0</v>
      </c>
      <c r="FC72" s="55">
        <f t="shared" si="466"/>
        <v>0</v>
      </c>
      <c r="FD72" s="59">
        <f t="shared" si="467"/>
        <v>0</v>
      </c>
      <c r="FE72" s="57">
        <f t="shared" si="468"/>
        <v>0</v>
      </c>
      <c r="FF72" s="59">
        <f t="shared" si="469"/>
        <v>0</v>
      </c>
      <c r="FG72" s="60">
        <f t="shared" si="470"/>
        <v>0</v>
      </c>
      <c r="FH72" s="59">
        <f t="shared" si="471"/>
        <v>0</v>
      </c>
      <c r="FI72" s="57">
        <f t="shared" si="472"/>
        <v>0</v>
      </c>
      <c r="FJ72" s="59">
        <f t="shared" si="473"/>
        <v>0</v>
      </c>
      <c r="FK72" s="55">
        <f t="shared" si="474"/>
        <v>0</v>
      </c>
      <c r="FL72" s="59">
        <f t="shared" si="475"/>
        <v>0</v>
      </c>
      <c r="FM72" s="60">
        <f t="shared" si="476"/>
        <v>0</v>
      </c>
      <c r="FN72" s="59">
        <f t="shared" si="477"/>
        <v>0</v>
      </c>
      <c r="FO72" s="60">
        <f t="shared" si="478"/>
        <v>0</v>
      </c>
      <c r="FP72" s="59">
        <f t="shared" si="479"/>
        <v>0</v>
      </c>
      <c r="FQ72" s="60">
        <f t="shared" si="480"/>
        <v>0</v>
      </c>
      <c r="FR72" s="59">
        <f t="shared" si="481"/>
        <v>0</v>
      </c>
      <c r="FS72" s="55">
        <f t="shared" si="482"/>
        <v>0</v>
      </c>
      <c r="FT72" s="59">
        <f t="shared" si="483"/>
        <v>0</v>
      </c>
      <c r="FU72" s="60">
        <f t="shared" si="484"/>
        <v>0</v>
      </c>
      <c r="FV72" s="59">
        <f t="shared" si="485"/>
        <v>0</v>
      </c>
      <c r="FW72" s="60">
        <f t="shared" si="486"/>
        <v>0</v>
      </c>
      <c r="FX72" s="59">
        <f t="shared" si="487"/>
        <v>0</v>
      </c>
      <c r="FY72" s="60">
        <f t="shared" si="488"/>
        <v>0</v>
      </c>
      <c r="FZ72" s="59">
        <f t="shared" si="489"/>
        <v>0</v>
      </c>
      <c r="GA72" s="60">
        <f t="shared" si="490"/>
        <v>0</v>
      </c>
      <c r="GB72" s="59">
        <f t="shared" si="491"/>
        <v>0</v>
      </c>
      <c r="GC72" s="55">
        <f t="shared" si="492"/>
        <v>0</v>
      </c>
      <c r="GD72" s="59">
        <f t="shared" si="493"/>
        <v>0</v>
      </c>
      <c r="GE72" s="60">
        <f t="shared" si="494"/>
        <v>0</v>
      </c>
      <c r="GF72" s="59">
        <f t="shared" si="495"/>
        <v>0</v>
      </c>
      <c r="GG72" s="60">
        <f t="shared" si="496"/>
        <v>0</v>
      </c>
      <c r="GH72" s="59">
        <f t="shared" si="497"/>
        <v>0</v>
      </c>
      <c r="GI72" s="55">
        <f t="shared" si="498"/>
        <v>0</v>
      </c>
      <c r="GJ72" s="59">
        <f t="shared" si="499"/>
        <v>0</v>
      </c>
      <c r="GK72" s="55"/>
      <c r="GL72" s="55"/>
      <c r="GM72" s="55">
        <v>1</v>
      </c>
      <c r="GN72" s="55">
        <v>0.97</v>
      </c>
      <c r="GO72" s="55">
        <v>0.95</v>
      </c>
      <c r="GP72" s="55">
        <v>0.93</v>
      </c>
      <c r="GQ72" s="55">
        <f t="shared" si="502"/>
        <v>0.91</v>
      </c>
      <c r="GR72" s="55">
        <f t="shared" si="502"/>
        <v>0.89</v>
      </c>
      <c r="GS72" s="55">
        <f t="shared" si="502"/>
        <v>0.87</v>
      </c>
      <c r="GT72" s="55">
        <f t="shared" si="502"/>
        <v>0.85</v>
      </c>
      <c r="GU72" s="55">
        <f t="shared" si="502"/>
        <v>0.83</v>
      </c>
      <c r="GV72" s="55">
        <f t="shared" si="502"/>
        <v>0.80999999999999994</v>
      </c>
      <c r="GW72" s="55">
        <f t="shared" si="502"/>
        <v>0.78999999999999992</v>
      </c>
      <c r="GX72" s="55">
        <f t="shared" si="502"/>
        <v>0.76999999999999991</v>
      </c>
      <c r="GY72" s="55">
        <f t="shared" si="502"/>
        <v>0.74999999999999989</v>
      </c>
      <c r="GZ72" s="55">
        <f t="shared" si="502"/>
        <v>0.72999999999999987</v>
      </c>
      <c r="HA72" s="55">
        <f t="shared" si="502"/>
        <v>0.70999999999999985</v>
      </c>
      <c r="HB72" s="55">
        <f t="shared" si="502"/>
        <v>0.68999999999999984</v>
      </c>
      <c r="HC72" s="55">
        <f t="shared" si="502"/>
        <v>0.66999999999999982</v>
      </c>
      <c r="HD72" s="55">
        <f t="shared" si="502"/>
        <v>0.6499999999999998</v>
      </c>
      <c r="HE72" s="55">
        <f t="shared" si="502"/>
        <v>0.62999999999999978</v>
      </c>
      <c r="HF72" s="55">
        <f t="shared" si="502"/>
        <v>0.60999999999999976</v>
      </c>
      <c r="HG72" s="55">
        <f t="shared" si="502"/>
        <v>0.58999999999999975</v>
      </c>
      <c r="HH72" s="55">
        <f t="shared" si="502"/>
        <v>0.56999999999999973</v>
      </c>
    </row>
    <row r="73" spans="1:216" x14ac:dyDescent="0.3">
      <c r="A73" s="2">
        <v>5</v>
      </c>
      <c r="C73" s="38" t="s">
        <v>34</v>
      </c>
      <c r="D73" s="42">
        <f>TRUNC(21792,-1)</f>
        <v>21790</v>
      </c>
      <c r="E73" s="71">
        <f t="shared" si="369"/>
        <v>72030</v>
      </c>
      <c r="H73" s="55">
        <f t="shared" si="61"/>
        <v>79233</v>
      </c>
      <c r="I73" s="55">
        <f t="shared" si="62"/>
        <v>79233</v>
      </c>
      <c r="J73" s="59">
        <f t="shared" si="63"/>
        <v>261928.45140000002</v>
      </c>
      <c r="K73" s="55">
        <f t="shared" si="370"/>
        <v>76856.009999999995</v>
      </c>
      <c r="L73" s="59">
        <f t="shared" si="371"/>
        <v>254070.59785799999</v>
      </c>
      <c r="M73" s="55">
        <f t="shared" si="372"/>
        <v>75271.349999999991</v>
      </c>
      <c r="N73" s="59">
        <f t="shared" si="373"/>
        <v>248832.02882999997</v>
      </c>
      <c r="O73" s="55">
        <f t="shared" si="374"/>
        <v>73686.69</v>
      </c>
      <c r="P73" s="59">
        <f t="shared" si="375"/>
        <v>243593.45980200003</v>
      </c>
      <c r="Q73" s="57">
        <f t="shared" si="376"/>
        <v>72102.03</v>
      </c>
      <c r="R73" s="59">
        <f t="shared" si="377"/>
        <v>238354.890774</v>
      </c>
      <c r="S73" s="55">
        <f t="shared" si="378"/>
        <v>70517.37</v>
      </c>
      <c r="T73" s="59">
        <f t="shared" si="379"/>
        <v>233116.321746</v>
      </c>
      <c r="U73" s="57">
        <f t="shared" si="380"/>
        <v>68932.710000000006</v>
      </c>
      <c r="V73" s="59">
        <f t="shared" si="381"/>
        <v>227877.75271800003</v>
      </c>
      <c r="W73" s="60">
        <f t="shared" si="382"/>
        <v>67348.05</v>
      </c>
      <c r="X73" s="59">
        <f t="shared" si="383"/>
        <v>222639.18369000001</v>
      </c>
      <c r="Y73" s="57">
        <f t="shared" si="384"/>
        <v>65763.39</v>
      </c>
      <c r="Z73" s="59">
        <f t="shared" si="385"/>
        <v>217400.61466200001</v>
      </c>
      <c r="AA73" s="55">
        <f t="shared" si="386"/>
        <v>64178.729999999996</v>
      </c>
      <c r="AB73" s="59">
        <f t="shared" si="387"/>
        <v>212162.04563399998</v>
      </c>
      <c r="AC73" s="60">
        <f t="shared" si="388"/>
        <v>62594.069999999992</v>
      </c>
      <c r="AD73" s="59">
        <f t="shared" si="389"/>
        <v>206923.47660599998</v>
      </c>
      <c r="AE73" s="60">
        <f t="shared" si="390"/>
        <v>61009.409999999996</v>
      </c>
      <c r="AF73" s="59">
        <f t="shared" si="391"/>
        <v>201684.90757799998</v>
      </c>
      <c r="AG73" s="60">
        <f t="shared" si="392"/>
        <v>59424.749999999993</v>
      </c>
      <c r="AH73" s="59">
        <f t="shared" si="393"/>
        <v>196446.33854999999</v>
      </c>
      <c r="AI73" s="55">
        <f t="shared" si="394"/>
        <v>57840.089999999989</v>
      </c>
      <c r="AJ73" s="59">
        <f t="shared" si="395"/>
        <v>191207.76952199996</v>
      </c>
      <c r="AK73" s="60">
        <f t="shared" si="396"/>
        <v>56255.429999999986</v>
      </c>
      <c r="AL73" s="59">
        <f t="shared" si="397"/>
        <v>185969.20049399996</v>
      </c>
      <c r="AM73" s="60">
        <f t="shared" si="398"/>
        <v>54670.76999999999</v>
      </c>
      <c r="AN73" s="59">
        <f t="shared" si="399"/>
        <v>180730.63146599996</v>
      </c>
      <c r="AO73" s="60">
        <f t="shared" si="400"/>
        <v>53086.109999999986</v>
      </c>
      <c r="AP73" s="59">
        <f t="shared" si="401"/>
        <v>175492.06243799996</v>
      </c>
      <c r="AQ73" s="60">
        <f t="shared" si="402"/>
        <v>51501.449999999983</v>
      </c>
      <c r="AR73" s="59">
        <f t="shared" si="403"/>
        <v>170253.49340999994</v>
      </c>
      <c r="AS73" s="55">
        <f t="shared" si="404"/>
        <v>49916.789999999986</v>
      </c>
      <c r="AT73" s="59">
        <f t="shared" si="405"/>
        <v>165014.92438199997</v>
      </c>
      <c r="AU73" s="60">
        <f t="shared" si="406"/>
        <v>48332.129999999983</v>
      </c>
      <c r="AV73" s="59">
        <f t="shared" si="407"/>
        <v>159776.35535399994</v>
      </c>
      <c r="AW73" s="60">
        <f t="shared" si="408"/>
        <v>46747.469999999979</v>
      </c>
      <c r="AX73" s="59">
        <f t="shared" si="409"/>
        <v>154537.78632599994</v>
      </c>
      <c r="AY73" s="55">
        <f t="shared" si="410"/>
        <v>45162.809999999976</v>
      </c>
      <c r="AZ73" s="59">
        <f t="shared" si="411"/>
        <v>149299.21729799992</v>
      </c>
      <c r="BC73" s="55">
        <v>1</v>
      </c>
      <c r="BD73" s="55">
        <v>0.97</v>
      </c>
      <c r="BE73" s="55">
        <v>0.95</v>
      </c>
      <c r="BF73" s="55">
        <v>0.93</v>
      </c>
      <c r="BG73" s="55">
        <f t="shared" si="412"/>
        <v>0.91</v>
      </c>
      <c r="BH73" s="55">
        <f t="shared" si="412"/>
        <v>0.89</v>
      </c>
      <c r="BI73" s="55">
        <f t="shared" si="412"/>
        <v>0.87</v>
      </c>
      <c r="BJ73" s="55">
        <f t="shared" si="412"/>
        <v>0.85</v>
      </c>
      <c r="BK73" s="55">
        <f t="shared" si="412"/>
        <v>0.83</v>
      </c>
      <c r="BL73" s="55">
        <f t="shared" si="412"/>
        <v>0.80999999999999994</v>
      </c>
      <c r="BM73" s="55">
        <f t="shared" si="412"/>
        <v>0.78999999999999992</v>
      </c>
      <c r="BN73" s="55">
        <f t="shared" si="412"/>
        <v>0.76999999999999991</v>
      </c>
      <c r="BO73" s="55">
        <f t="shared" si="412"/>
        <v>0.74999999999999989</v>
      </c>
      <c r="BP73" s="55">
        <f t="shared" si="412"/>
        <v>0.72999999999999987</v>
      </c>
      <c r="BQ73" s="55">
        <f t="shared" si="412"/>
        <v>0.70999999999999985</v>
      </c>
      <c r="BR73" s="55">
        <f t="shared" si="412"/>
        <v>0.68999999999999984</v>
      </c>
      <c r="BS73" s="55">
        <f t="shared" si="412"/>
        <v>0.66999999999999982</v>
      </c>
      <c r="BT73" s="55">
        <f t="shared" si="412"/>
        <v>0.6499999999999998</v>
      </c>
      <c r="BU73" s="55">
        <f t="shared" si="412"/>
        <v>0.62999999999999978</v>
      </c>
      <c r="BV73" s="55">
        <f t="shared" si="412"/>
        <v>0.60999999999999976</v>
      </c>
      <c r="BW73" s="55">
        <f t="shared" si="412"/>
        <v>0.58999999999999975</v>
      </c>
      <c r="BX73" s="55">
        <f t="shared" si="412"/>
        <v>0.56999999999999973</v>
      </c>
      <c r="BZ73" s="55">
        <f t="shared" si="88"/>
        <v>72102.03</v>
      </c>
      <c r="CA73" s="55">
        <f t="shared" si="89"/>
        <v>72102.03</v>
      </c>
      <c r="CB73" s="59">
        <f t="shared" si="413"/>
        <v>238354.890774</v>
      </c>
      <c r="CC73" s="55">
        <f t="shared" si="414"/>
        <v>69938.969100000002</v>
      </c>
      <c r="CD73" s="59">
        <f t="shared" si="415"/>
        <v>231204.24405078002</v>
      </c>
      <c r="CE73" s="55">
        <f t="shared" si="416"/>
        <v>68496.928499999995</v>
      </c>
      <c r="CF73" s="59">
        <f t="shared" si="417"/>
        <v>226437.1462353</v>
      </c>
      <c r="CG73" s="55">
        <f t="shared" si="418"/>
        <v>67054.887900000002</v>
      </c>
      <c r="CH73" s="59">
        <f t="shared" si="419"/>
        <v>221670.04841982</v>
      </c>
      <c r="CI73" s="57">
        <f t="shared" si="420"/>
        <v>65612.847299999994</v>
      </c>
      <c r="CJ73" s="59">
        <f t="shared" si="421"/>
        <v>216902.95060433997</v>
      </c>
      <c r="CK73" s="55">
        <f t="shared" si="422"/>
        <v>64170.806700000001</v>
      </c>
      <c r="CL73" s="59">
        <f t="shared" si="423"/>
        <v>212135.85278886001</v>
      </c>
      <c r="CM73" s="57">
        <f t="shared" si="424"/>
        <v>62728.766100000001</v>
      </c>
      <c r="CN73" s="59">
        <f t="shared" si="425"/>
        <v>207368.75497338001</v>
      </c>
      <c r="CO73" s="60">
        <f t="shared" si="426"/>
        <v>61286.7255</v>
      </c>
      <c r="CP73" s="59">
        <f t="shared" si="427"/>
        <v>202601.65715790002</v>
      </c>
      <c r="CQ73" s="57">
        <f t="shared" si="428"/>
        <v>59844.684899999993</v>
      </c>
      <c r="CR73" s="59">
        <f t="shared" si="429"/>
        <v>197834.55934241999</v>
      </c>
      <c r="CS73" s="55">
        <f t="shared" si="430"/>
        <v>58402.644299999993</v>
      </c>
      <c r="CT73" s="59">
        <f t="shared" si="431"/>
        <v>193067.46152693997</v>
      </c>
      <c r="CU73" s="60">
        <f t="shared" si="432"/>
        <v>56960.603699999992</v>
      </c>
      <c r="CV73" s="59">
        <f t="shared" si="433"/>
        <v>188300.36371145997</v>
      </c>
      <c r="CW73" s="60">
        <f t="shared" si="434"/>
        <v>55518.563099999992</v>
      </c>
      <c r="CX73" s="59">
        <f t="shared" si="435"/>
        <v>183533.26589597997</v>
      </c>
      <c r="CY73" s="60">
        <f t="shared" si="436"/>
        <v>54076.522499999992</v>
      </c>
      <c r="CZ73" s="59">
        <f t="shared" si="437"/>
        <v>178766.16808049998</v>
      </c>
      <c r="DA73" s="55">
        <f t="shared" si="438"/>
        <v>52634.481899999992</v>
      </c>
      <c r="DB73" s="59">
        <f t="shared" si="439"/>
        <v>173999.07026501998</v>
      </c>
      <c r="DC73" s="60">
        <f t="shared" si="440"/>
        <v>51192.441299999991</v>
      </c>
      <c r="DD73" s="59">
        <f t="shared" si="441"/>
        <v>169231.97244953999</v>
      </c>
      <c r="DE73" s="60">
        <f t="shared" si="442"/>
        <v>49750.400699999984</v>
      </c>
      <c r="DF73" s="59">
        <f t="shared" si="443"/>
        <v>164464.87463405996</v>
      </c>
      <c r="DG73" s="60">
        <f t="shared" si="444"/>
        <v>48308.360099999984</v>
      </c>
      <c r="DH73" s="59">
        <f t="shared" si="445"/>
        <v>159697.77681857994</v>
      </c>
      <c r="DI73" s="60">
        <f t="shared" si="446"/>
        <v>46866.319499999983</v>
      </c>
      <c r="DJ73" s="59">
        <f t="shared" si="447"/>
        <v>154930.67900309994</v>
      </c>
      <c r="DK73" s="55">
        <f t="shared" si="448"/>
        <v>45424.278899999983</v>
      </c>
      <c r="DL73" s="59">
        <f t="shared" si="449"/>
        <v>150163.58118761994</v>
      </c>
      <c r="DM73" s="60">
        <f t="shared" si="450"/>
        <v>43982.238299999983</v>
      </c>
      <c r="DN73" s="59">
        <f t="shared" si="451"/>
        <v>145396.48337213995</v>
      </c>
      <c r="DO73" s="60">
        <f t="shared" si="452"/>
        <v>42540.197699999982</v>
      </c>
      <c r="DP73" s="59">
        <f t="shared" si="453"/>
        <v>140629.38555665995</v>
      </c>
      <c r="DQ73" s="55">
        <f t="shared" si="454"/>
        <v>41098.157099999982</v>
      </c>
      <c r="DR73" s="59">
        <f t="shared" si="455"/>
        <v>135862.28774117996</v>
      </c>
      <c r="DU73" s="55">
        <v>1</v>
      </c>
      <c r="DV73" s="55">
        <v>0.97</v>
      </c>
      <c r="DW73" s="55">
        <v>0.95</v>
      </c>
      <c r="DX73" s="55">
        <v>0.93</v>
      </c>
      <c r="DY73" s="55">
        <f t="shared" si="501"/>
        <v>0.91</v>
      </c>
      <c r="DZ73" s="55">
        <f t="shared" si="501"/>
        <v>0.89</v>
      </c>
      <c r="EA73" s="55">
        <f t="shared" si="501"/>
        <v>0.87</v>
      </c>
      <c r="EB73" s="55">
        <f t="shared" si="501"/>
        <v>0.85</v>
      </c>
      <c r="EC73" s="55">
        <f t="shared" si="501"/>
        <v>0.83</v>
      </c>
      <c r="ED73" s="55">
        <f t="shared" si="501"/>
        <v>0.80999999999999994</v>
      </c>
      <c r="EE73" s="55">
        <f t="shared" si="501"/>
        <v>0.78999999999999992</v>
      </c>
      <c r="EF73" s="55">
        <f t="shared" si="501"/>
        <v>0.76999999999999991</v>
      </c>
      <c r="EG73" s="55">
        <f t="shared" si="501"/>
        <v>0.74999999999999989</v>
      </c>
      <c r="EH73" s="55">
        <f t="shared" si="501"/>
        <v>0.72999999999999987</v>
      </c>
      <c r="EI73" s="55">
        <f t="shared" si="501"/>
        <v>0.70999999999999985</v>
      </c>
      <c r="EJ73" s="55">
        <f t="shared" si="501"/>
        <v>0.68999999999999984</v>
      </c>
      <c r="EK73" s="55">
        <f t="shared" si="501"/>
        <v>0.66999999999999982</v>
      </c>
      <c r="EL73" s="55">
        <f t="shared" si="501"/>
        <v>0.6499999999999998</v>
      </c>
      <c r="EM73" s="55">
        <f t="shared" si="501"/>
        <v>0.62999999999999978</v>
      </c>
      <c r="EN73" s="55">
        <f t="shared" si="501"/>
        <v>0.60999999999999976</v>
      </c>
      <c r="EO73" s="55">
        <f t="shared" si="501"/>
        <v>0.58999999999999975</v>
      </c>
      <c r="EP73" s="55">
        <f t="shared" si="501"/>
        <v>0.56999999999999973</v>
      </c>
      <c r="ER73" s="55">
        <f t="shared" si="142"/>
        <v>65612.847299999994</v>
      </c>
      <c r="ES73" s="55">
        <f t="shared" si="116"/>
        <v>65612.847299999994</v>
      </c>
      <c r="ET73" s="59">
        <f t="shared" si="457"/>
        <v>216902.95060433997</v>
      </c>
      <c r="EU73" s="55">
        <f t="shared" si="458"/>
        <v>63644.461880999996</v>
      </c>
      <c r="EV73" s="59">
        <f t="shared" si="459"/>
        <v>210395.86208620979</v>
      </c>
      <c r="EW73" s="55">
        <f t="shared" si="460"/>
        <v>62332.204934999994</v>
      </c>
      <c r="EX73" s="59">
        <f t="shared" si="461"/>
        <v>206057.80307412299</v>
      </c>
      <c r="EY73" s="55">
        <f t="shared" si="462"/>
        <v>61019.947989</v>
      </c>
      <c r="EZ73" s="59">
        <f t="shared" si="463"/>
        <v>201719.74406203622</v>
      </c>
      <c r="FA73" s="57">
        <f t="shared" si="464"/>
        <v>59707.691042999999</v>
      </c>
      <c r="FB73" s="59">
        <f t="shared" si="465"/>
        <v>197381.68504994939</v>
      </c>
      <c r="FC73" s="55">
        <f t="shared" si="466"/>
        <v>58395.434096999998</v>
      </c>
      <c r="FD73" s="59">
        <f t="shared" si="467"/>
        <v>193043.62603786259</v>
      </c>
      <c r="FE73" s="57">
        <f t="shared" si="468"/>
        <v>57083.177150999996</v>
      </c>
      <c r="FF73" s="59">
        <f t="shared" si="469"/>
        <v>188705.56702577579</v>
      </c>
      <c r="FG73" s="60">
        <f t="shared" si="470"/>
        <v>55770.920204999995</v>
      </c>
      <c r="FH73" s="59">
        <f t="shared" si="471"/>
        <v>184367.50801368899</v>
      </c>
      <c r="FI73" s="57">
        <f t="shared" si="472"/>
        <v>54458.663258999994</v>
      </c>
      <c r="FJ73" s="59">
        <f t="shared" si="473"/>
        <v>180029.44900160219</v>
      </c>
      <c r="FK73" s="55">
        <f t="shared" si="474"/>
        <v>53146.406312999992</v>
      </c>
      <c r="FL73" s="59">
        <f t="shared" si="475"/>
        <v>175691.38998951539</v>
      </c>
      <c r="FM73" s="60">
        <f t="shared" si="476"/>
        <v>51834.149366999991</v>
      </c>
      <c r="FN73" s="59">
        <f t="shared" si="477"/>
        <v>171353.33097742859</v>
      </c>
      <c r="FO73" s="60">
        <f t="shared" si="478"/>
        <v>50521.89242099999</v>
      </c>
      <c r="FP73" s="59">
        <f t="shared" si="479"/>
        <v>167015.27196534176</v>
      </c>
      <c r="FQ73" s="60">
        <f t="shared" si="480"/>
        <v>49209.635474999988</v>
      </c>
      <c r="FR73" s="59">
        <f t="shared" si="481"/>
        <v>162677.21295325496</v>
      </c>
      <c r="FS73" s="55">
        <f t="shared" si="482"/>
        <v>47897.378528999987</v>
      </c>
      <c r="FT73" s="59">
        <f t="shared" si="483"/>
        <v>158339.15394116816</v>
      </c>
      <c r="FU73" s="60">
        <f t="shared" si="484"/>
        <v>46585.121582999986</v>
      </c>
      <c r="FV73" s="59">
        <f t="shared" si="485"/>
        <v>154001.09492908136</v>
      </c>
      <c r="FW73" s="60">
        <f t="shared" si="486"/>
        <v>45272.864636999984</v>
      </c>
      <c r="FX73" s="59">
        <f t="shared" si="487"/>
        <v>149663.03591699456</v>
      </c>
      <c r="FY73" s="60">
        <f t="shared" si="488"/>
        <v>43960.607690999983</v>
      </c>
      <c r="FZ73" s="59">
        <f t="shared" si="489"/>
        <v>145324.97690490776</v>
      </c>
      <c r="GA73" s="60">
        <f t="shared" si="490"/>
        <v>42648.350744999982</v>
      </c>
      <c r="GB73" s="59">
        <f t="shared" si="491"/>
        <v>140986.91789282093</v>
      </c>
      <c r="GC73" s="55">
        <f t="shared" si="492"/>
        <v>41336.09379899998</v>
      </c>
      <c r="GD73" s="59">
        <f t="shared" si="493"/>
        <v>136648.85888073413</v>
      </c>
      <c r="GE73" s="60">
        <f t="shared" si="494"/>
        <v>40023.836852999979</v>
      </c>
      <c r="GF73" s="59">
        <f t="shared" si="495"/>
        <v>132310.79986864733</v>
      </c>
      <c r="GG73" s="60">
        <f t="shared" si="496"/>
        <v>38711.579906999978</v>
      </c>
      <c r="GH73" s="59">
        <f t="shared" si="497"/>
        <v>127972.74085656053</v>
      </c>
      <c r="GI73" s="55">
        <f t="shared" si="498"/>
        <v>37399.322960999976</v>
      </c>
      <c r="GJ73" s="59">
        <f t="shared" si="499"/>
        <v>123634.68184447373</v>
      </c>
      <c r="GK73" s="55"/>
      <c r="GL73" s="55"/>
      <c r="GM73" s="55">
        <v>1</v>
      </c>
      <c r="GN73" s="55">
        <v>0.97</v>
      </c>
      <c r="GO73" s="55">
        <v>0.95</v>
      </c>
      <c r="GP73" s="55">
        <v>0.93</v>
      </c>
      <c r="GQ73" s="55">
        <f t="shared" si="502"/>
        <v>0.91</v>
      </c>
      <c r="GR73" s="55">
        <f t="shared" si="502"/>
        <v>0.89</v>
      </c>
      <c r="GS73" s="55">
        <f t="shared" si="502"/>
        <v>0.87</v>
      </c>
      <c r="GT73" s="55">
        <f t="shared" si="502"/>
        <v>0.85</v>
      </c>
      <c r="GU73" s="55">
        <f t="shared" si="502"/>
        <v>0.83</v>
      </c>
      <c r="GV73" s="55">
        <f t="shared" si="502"/>
        <v>0.80999999999999994</v>
      </c>
      <c r="GW73" s="55">
        <f t="shared" si="502"/>
        <v>0.78999999999999992</v>
      </c>
      <c r="GX73" s="55">
        <f t="shared" si="502"/>
        <v>0.76999999999999991</v>
      </c>
      <c r="GY73" s="55">
        <f t="shared" si="502"/>
        <v>0.74999999999999989</v>
      </c>
      <c r="GZ73" s="55">
        <f t="shared" si="502"/>
        <v>0.72999999999999987</v>
      </c>
      <c r="HA73" s="55">
        <f t="shared" si="502"/>
        <v>0.70999999999999985</v>
      </c>
      <c r="HB73" s="55">
        <f t="shared" si="502"/>
        <v>0.68999999999999984</v>
      </c>
      <c r="HC73" s="55">
        <f t="shared" si="502"/>
        <v>0.66999999999999982</v>
      </c>
      <c r="HD73" s="55">
        <f t="shared" si="502"/>
        <v>0.6499999999999998</v>
      </c>
      <c r="HE73" s="55">
        <f t="shared" si="502"/>
        <v>0.62999999999999978</v>
      </c>
      <c r="HF73" s="55">
        <f t="shared" si="502"/>
        <v>0.60999999999999976</v>
      </c>
      <c r="HG73" s="55">
        <f t="shared" si="502"/>
        <v>0.58999999999999975</v>
      </c>
      <c r="HH73" s="55">
        <f t="shared" si="502"/>
        <v>0.56999999999999973</v>
      </c>
    </row>
    <row r="74" spans="1:216" x14ac:dyDescent="0.3">
      <c r="A74" s="2">
        <v>6</v>
      </c>
      <c r="C74" s="38" t="s">
        <v>177</v>
      </c>
      <c r="D74" s="42">
        <v>0</v>
      </c>
      <c r="E74" s="71">
        <f t="shared" si="369"/>
        <v>0</v>
      </c>
      <c r="H74" s="55">
        <f t="shared" si="61"/>
        <v>0</v>
      </c>
      <c r="I74" s="55">
        <f t="shared" si="62"/>
        <v>0</v>
      </c>
      <c r="J74" s="59">
        <f t="shared" si="63"/>
        <v>0</v>
      </c>
      <c r="K74" s="55">
        <f t="shared" si="370"/>
        <v>0</v>
      </c>
      <c r="L74" s="59">
        <f t="shared" si="371"/>
        <v>0</v>
      </c>
      <c r="M74" s="55">
        <f t="shared" si="372"/>
        <v>0</v>
      </c>
      <c r="N74" s="59">
        <f t="shared" si="373"/>
        <v>0</v>
      </c>
      <c r="O74" s="55">
        <f t="shared" si="374"/>
        <v>0</v>
      </c>
      <c r="P74" s="59">
        <f t="shared" si="375"/>
        <v>0</v>
      </c>
      <c r="Q74" s="57">
        <f t="shared" si="376"/>
        <v>0</v>
      </c>
      <c r="R74" s="59">
        <f t="shared" si="377"/>
        <v>0</v>
      </c>
      <c r="S74" s="55">
        <f t="shared" si="378"/>
        <v>0</v>
      </c>
      <c r="T74" s="59">
        <f t="shared" si="379"/>
        <v>0</v>
      </c>
      <c r="U74" s="57">
        <f t="shared" si="380"/>
        <v>0</v>
      </c>
      <c r="V74" s="59">
        <f t="shared" si="381"/>
        <v>0</v>
      </c>
      <c r="W74" s="60">
        <f t="shared" si="382"/>
        <v>0</v>
      </c>
      <c r="X74" s="59">
        <f t="shared" si="383"/>
        <v>0</v>
      </c>
      <c r="Y74" s="57">
        <f t="shared" si="384"/>
        <v>0</v>
      </c>
      <c r="Z74" s="59">
        <f t="shared" si="385"/>
        <v>0</v>
      </c>
      <c r="AA74" s="55">
        <f t="shared" si="386"/>
        <v>0</v>
      </c>
      <c r="AB74" s="59">
        <f t="shared" si="387"/>
        <v>0</v>
      </c>
      <c r="AC74" s="60">
        <f t="shared" si="388"/>
        <v>0</v>
      </c>
      <c r="AD74" s="59">
        <f t="shared" si="389"/>
        <v>0</v>
      </c>
      <c r="AE74" s="60">
        <f t="shared" si="390"/>
        <v>0</v>
      </c>
      <c r="AF74" s="59">
        <f t="shared" si="391"/>
        <v>0</v>
      </c>
      <c r="AG74" s="60">
        <f t="shared" si="392"/>
        <v>0</v>
      </c>
      <c r="AH74" s="59">
        <f t="shared" si="393"/>
        <v>0</v>
      </c>
      <c r="AI74" s="55">
        <f t="shared" si="394"/>
        <v>0</v>
      </c>
      <c r="AJ74" s="59">
        <f t="shared" si="395"/>
        <v>0</v>
      </c>
      <c r="AK74" s="60">
        <f t="shared" si="396"/>
        <v>0</v>
      </c>
      <c r="AL74" s="59">
        <f t="shared" si="397"/>
        <v>0</v>
      </c>
      <c r="AM74" s="60">
        <f t="shared" si="398"/>
        <v>0</v>
      </c>
      <c r="AN74" s="59">
        <f t="shared" si="399"/>
        <v>0</v>
      </c>
      <c r="AO74" s="60">
        <f t="shared" si="400"/>
        <v>0</v>
      </c>
      <c r="AP74" s="59">
        <f t="shared" si="401"/>
        <v>0</v>
      </c>
      <c r="AQ74" s="60">
        <f t="shared" si="402"/>
        <v>0</v>
      </c>
      <c r="AR74" s="59">
        <f t="shared" si="403"/>
        <v>0</v>
      </c>
      <c r="AS74" s="55">
        <f t="shared" si="404"/>
        <v>0</v>
      </c>
      <c r="AT74" s="59">
        <f t="shared" si="405"/>
        <v>0</v>
      </c>
      <c r="AU74" s="60">
        <f t="shared" si="406"/>
        <v>0</v>
      </c>
      <c r="AV74" s="59">
        <f t="shared" si="407"/>
        <v>0</v>
      </c>
      <c r="AW74" s="60">
        <f t="shared" si="408"/>
        <v>0</v>
      </c>
      <c r="AX74" s="59">
        <f t="shared" si="409"/>
        <v>0</v>
      </c>
      <c r="AY74" s="55">
        <f t="shared" si="410"/>
        <v>0</v>
      </c>
      <c r="AZ74" s="59">
        <f t="shared" si="411"/>
        <v>0</v>
      </c>
      <c r="BC74" s="55">
        <v>1</v>
      </c>
      <c r="BD74" s="55">
        <v>0.97</v>
      </c>
      <c r="BE74" s="55">
        <v>0.95</v>
      </c>
      <c r="BF74" s="55">
        <v>0.93</v>
      </c>
      <c r="BG74" s="55">
        <f t="shared" si="412"/>
        <v>0.91</v>
      </c>
      <c r="BH74" s="55">
        <f t="shared" si="412"/>
        <v>0.89</v>
      </c>
      <c r="BI74" s="55">
        <f t="shared" si="412"/>
        <v>0.87</v>
      </c>
      <c r="BJ74" s="55">
        <f t="shared" si="412"/>
        <v>0.85</v>
      </c>
      <c r="BK74" s="55">
        <f t="shared" si="412"/>
        <v>0.83</v>
      </c>
      <c r="BL74" s="55">
        <f t="shared" si="412"/>
        <v>0.80999999999999994</v>
      </c>
      <c r="BM74" s="55">
        <f t="shared" si="412"/>
        <v>0.78999999999999992</v>
      </c>
      <c r="BN74" s="55">
        <f t="shared" si="412"/>
        <v>0.76999999999999991</v>
      </c>
      <c r="BO74" s="55">
        <f t="shared" si="412"/>
        <v>0.74999999999999989</v>
      </c>
      <c r="BP74" s="55">
        <f t="shared" si="412"/>
        <v>0.72999999999999987</v>
      </c>
      <c r="BQ74" s="55">
        <f t="shared" si="412"/>
        <v>0.70999999999999985</v>
      </c>
      <c r="BR74" s="55">
        <f t="shared" si="412"/>
        <v>0.68999999999999984</v>
      </c>
      <c r="BS74" s="55">
        <f t="shared" si="412"/>
        <v>0.66999999999999982</v>
      </c>
      <c r="BT74" s="55">
        <f t="shared" si="412"/>
        <v>0.6499999999999998</v>
      </c>
      <c r="BU74" s="55">
        <f t="shared" si="412"/>
        <v>0.62999999999999978</v>
      </c>
      <c r="BV74" s="55">
        <f t="shared" si="412"/>
        <v>0.60999999999999976</v>
      </c>
      <c r="BW74" s="55">
        <f t="shared" si="412"/>
        <v>0.58999999999999975</v>
      </c>
      <c r="BX74" s="55">
        <f t="shared" si="412"/>
        <v>0.56999999999999973</v>
      </c>
      <c r="BZ74" s="55">
        <f t="shared" si="88"/>
        <v>0</v>
      </c>
      <c r="CA74" s="55">
        <f t="shared" si="89"/>
        <v>0</v>
      </c>
      <c r="CB74" s="59">
        <f t="shared" si="413"/>
        <v>0</v>
      </c>
      <c r="CC74" s="55">
        <f t="shared" si="414"/>
        <v>0</v>
      </c>
      <c r="CD74" s="59">
        <f t="shared" si="415"/>
        <v>0</v>
      </c>
      <c r="CE74" s="55">
        <f t="shared" si="416"/>
        <v>0</v>
      </c>
      <c r="CF74" s="59">
        <f t="shared" si="417"/>
        <v>0</v>
      </c>
      <c r="CG74" s="55">
        <f t="shared" si="418"/>
        <v>0</v>
      </c>
      <c r="CH74" s="59">
        <f t="shared" si="419"/>
        <v>0</v>
      </c>
      <c r="CI74" s="57">
        <f t="shared" si="420"/>
        <v>0</v>
      </c>
      <c r="CJ74" s="59">
        <f t="shared" si="421"/>
        <v>0</v>
      </c>
      <c r="CK74" s="55">
        <f t="shared" si="422"/>
        <v>0</v>
      </c>
      <c r="CL74" s="59">
        <f t="shared" si="423"/>
        <v>0</v>
      </c>
      <c r="CM74" s="57">
        <f t="shared" si="424"/>
        <v>0</v>
      </c>
      <c r="CN74" s="59">
        <f t="shared" si="425"/>
        <v>0</v>
      </c>
      <c r="CO74" s="60">
        <f t="shared" si="426"/>
        <v>0</v>
      </c>
      <c r="CP74" s="59">
        <f t="shared" si="427"/>
        <v>0</v>
      </c>
      <c r="CQ74" s="57">
        <f t="shared" si="428"/>
        <v>0</v>
      </c>
      <c r="CR74" s="59">
        <f t="shared" si="429"/>
        <v>0</v>
      </c>
      <c r="CS74" s="55">
        <f t="shared" si="430"/>
        <v>0</v>
      </c>
      <c r="CT74" s="59">
        <f t="shared" si="431"/>
        <v>0</v>
      </c>
      <c r="CU74" s="60">
        <f t="shared" si="432"/>
        <v>0</v>
      </c>
      <c r="CV74" s="59">
        <f t="shared" si="433"/>
        <v>0</v>
      </c>
      <c r="CW74" s="60">
        <f t="shared" si="434"/>
        <v>0</v>
      </c>
      <c r="CX74" s="59">
        <f t="shared" si="435"/>
        <v>0</v>
      </c>
      <c r="CY74" s="60">
        <f t="shared" si="436"/>
        <v>0</v>
      </c>
      <c r="CZ74" s="59">
        <f t="shared" si="437"/>
        <v>0</v>
      </c>
      <c r="DA74" s="55">
        <f t="shared" si="438"/>
        <v>0</v>
      </c>
      <c r="DB74" s="59">
        <f t="shared" si="439"/>
        <v>0</v>
      </c>
      <c r="DC74" s="60">
        <f t="shared" si="440"/>
        <v>0</v>
      </c>
      <c r="DD74" s="59">
        <f t="shared" si="441"/>
        <v>0</v>
      </c>
      <c r="DE74" s="60">
        <f t="shared" si="442"/>
        <v>0</v>
      </c>
      <c r="DF74" s="59">
        <f t="shared" si="443"/>
        <v>0</v>
      </c>
      <c r="DG74" s="60">
        <f t="shared" si="444"/>
        <v>0</v>
      </c>
      <c r="DH74" s="59">
        <f t="shared" si="445"/>
        <v>0</v>
      </c>
      <c r="DI74" s="60">
        <f t="shared" si="446"/>
        <v>0</v>
      </c>
      <c r="DJ74" s="59">
        <f t="shared" si="447"/>
        <v>0</v>
      </c>
      <c r="DK74" s="55">
        <f t="shared" si="448"/>
        <v>0</v>
      </c>
      <c r="DL74" s="59">
        <f t="shared" si="449"/>
        <v>0</v>
      </c>
      <c r="DM74" s="60">
        <f t="shared" si="450"/>
        <v>0</v>
      </c>
      <c r="DN74" s="59">
        <f t="shared" si="451"/>
        <v>0</v>
      </c>
      <c r="DO74" s="60">
        <f t="shared" si="452"/>
        <v>0</v>
      </c>
      <c r="DP74" s="59">
        <f t="shared" si="453"/>
        <v>0</v>
      </c>
      <c r="DQ74" s="55">
        <f t="shared" si="454"/>
        <v>0</v>
      </c>
      <c r="DR74" s="59">
        <f t="shared" si="455"/>
        <v>0</v>
      </c>
      <c r="DU74" s="55">
        <v>1</v>
      </c>
      <c r="DV74" s="55">
        <v>0.97</v>
      </c>
      <c r="DW74" s="55">
        <v>0.95</v>
      </c>
      <c r="DX74" s="55">
        <v>0.93</v>
      </c>
      <c r="DY74" s="55">
        <f t="shared" si="501"/>
        <v>0.91</v>
      </c>
      <c r="DZ74" s="55">
        <f t="shared" si="501"/>
        <v>0.89</v>
      </c>
      <c r="EA74" s="55">
        <f t="shared" si="501"/>
        <v>0.87</v>
      </c>
      <c r="EB74" s="55">
        <f t="shared" si="501"/>
        <v>0.85</v>
      </c>
      <c r="EC74" s="55">
        <f t="shared" si="501"/>
        <v>0.83</v>
      </c>
      <c r="ED74" s="55">
        <f t="shared" si="501"/>
        <v>0.80999999999999994</v>
      </c>
      <c r="EE74" s="55">
        <f t="shared" si="501"/>
        <v>0.78999999999999992</v>
      </c>
      <c r="EF74" s="55">
        <f t="shared" si="501"/>
        <v>0.76999999999999991</v>
      </c>
      <c r="EG74" s="55">
        <f t="shared" si="501"/>
        <v>0.74999999999999989</v>
      </c>
      <c r="EH74" s="55">
        <f t="shared" si="501"/>
        <v>0.72999999999999987</v>
      </c>
      <c r="EI74" s="55">
        <f t="shared" si="501"/>
        <v>0.70999999999999985</v>
      </c>
      <c r="EJ74" s="55">
        <f t="shared" si="501"/>
        <v>0.68999999999999984</v>
      </c>
      <c r="EK74" s="55">
        <f t="shared" si="501"/>
        <v>0.66999999999999982</v>
      </c>
      <c r="EL74" s="55">
        <f t="shared" si="501"/>
        <v>0.6499999999999998</v>
      </c>
      <c r="EM74" s="55">
        <f t="shared" si="501"/>
        <v>0.62999999999999978</v>
      </c>
      <c r="EN74" s="55">
        <f t="shared" si="501"/>
        <v>0.60999999999999976</v>
      </c>
      <c r="EO74" s="55">
        <f t="shared" si="501"/>
        <v>0.58999999999999975</v>
      </c>
      <c r="EP74" s="55">
        <f t="shared" si="501"/>
        <v>0.56999999999999973</v>
      </c>
      <c r="ER74" s="55">
        <f t="shared" si="142"/>
        <v>0</v>
      </c>
      <c r="ES74" s="55">
        <f t="shared" si="116"/>
        <v>0</v>
      </c>
      <c r="ET74" s="59">
        <f t="shared" si="457"/>
        <v>0</v>
      </c>
      <c r="EU74" s="55">
        <f t="shared" si="458"/>
        <v>0</v>
      </c>
      <c r="EV74" s="59">
        <f t="shared" si="459"/>
        <v>0</v>
      </c>
      <c r="EW74" s="55">
        <f t="shared" si="460"/>
        <v>0</v>
      </c>
      <c r="EX74" s="59">
        <f t="shared" si="461"/>
        <v>0</v>
      </c>
      <c r="EY74" s="55">
        <f t="shared" si="462"/>
        <v>0</v>
      </c>
      <c r="EZ74" s="59">
        <f t="shared" si="463"/>
        <v>0</v>
      </c>
      <c r="FA74" s="57">
        <f t="shared" si="464"/>
        <v>0</v>
      </c>
      <c r="FB74" s="59">
        <f t="shared" si="465"/>
        <v>0</v>
      </c>
      <c r="FC74" s="55">
        <f t="shared" si="466"/>
        <v>0</v>
      </c>
      <c r="FD74" s="59">
        <f t="shared" si="467"/>
        <v>0</v>
      </c>
      <c r="FE74" s="57">
        <f t="shared" si="468"/>
        <v>0</v>
      </c>
      <c r="FF74" s="59">
        <f t="shared" si="469"/>
        <v>0</v>
      </c>
      <c r="FG74" s="60">
        <f t="shared" si="470"/>
        <v>0</v>
      </c>
      <c r="FH74" s="59">
        <f t="shared" si="471"/>
        <v>0</v>
      </c>
      <c r="FI74" s="57">
        <f t="shared" si="472"/>
        <v>0</v>
      </c>
      <c r="FJ74" s="59">
        <f t="shared" si="473"/>
        <v>0</v>
      </c>
      <c r="FK74" s="55">
        <f t="shared" si="474"/>
        <v>0</v>
      </c>
      <c r="FL74" s="59">
        <f t="shared" si="475"/>
        <v>0</v>
      </c>
      <c r="FM74" s="60">
        <f t="shared" si="476"/>
        <v>0</v>
      </c>
      <c r="FN74" s="59">
        <f t="shared" si="477"/>
        <v>0</v>
      </c>
      <c r="FO74" s="60">
        <f t="shared" si="478"/>
        <v>0</v>
      </c>
      <c r="FP74" s="59">
        <f t="shared" si="479"/>
        <v>0</v>
      </c>
      <c r="FQ74" s="60">
        <f t="shared" si="480"/>
        <v>0</v>
      </c>
      <c r="FR74" s="59">
        <f t="shared" si="481"/>
        <v>0</v>
      </c>
      <c r="FS74" s="55">
        <f t="shared" si="482"/>
        <v>0</v>
      </c>
      <c r="FT74" s="59">
        <f t="shared" si="483"/>
        <v>0</v>
      </c>
      <c r="FU74" s="60">
        <f t="shared" si="484"/>
        <v>0</v>
      </c>
      <c r="FV74" s="59">
        <f t="shared" si="485"/>
        <v>0</v>
      </c>
      <c r="FW74" s="60">
        <f t="shared" si="486"/>
        <v>0</v>
      </c>
      <c r="FX74" s="59">
        <f t="shared" si="487"/>
        <v>0</v>
      </c>
      <c r="FY74" s="60">
        <f t="shared" si="488"/>
        <v>0</v>
      </c>
      <c r="FZ74" s="59">
        <f t="shared" si="489"/>
        <v>0</v>
      </c>
      <c r="GA74" s="60">
        <f t="shared" si="490"/>
        <v>0</v>
      </c>
      <c r="GB74" s="59">
        <f t="shared" si="491"/>
        <v>0</v>
      </c>
      <c r="GC74" s="55">
        <f t="shared" si="492"/>
        <v>0</v>
      </c>
      <c r="GD74" s="59">
        <f t="shared" si="493"/>
        <v>0</v>
      </c>
      <c r="GE74" s="60">
        <f t="shared" si="494"/>
        <v>0</v>
      </c>
      <c r="GF74" s="59">
        <f t="shared" si="495"/>
        <v>0</v>
      </c>
      <c r="GG74" s="60">
        <f t="shared" si="496"/>
        <v>0</v>
      </c>
      <c r="GH74" s="59">
        <f t="shared" si="497"/>
        <v>0</v>
      </c>
      <c r="GI74" s="55">
        <f t="shared" si="498"/>
        <v>0</v>
      </c>
      <c r="GJ74" s="59">
        <f t="shared" si="499"/>
        <v>0</v>
      </c>
      <c r="GK74" s="55"/>
      <c r="GL74" s="55"/>
      <c r="GM74" s="55">
        <v>1</v>
      </c>
      <c r="GN74" s="55">
        <v>0.97</v>
      </c>
      <c r="GO74" s="55">
        <v>0.95</v>
      </c>
      <c r="GP74" s="55">
        <v>0.93</v>
      </c>
      <c r="GQ74" s="55">
        <f t="shared" si="502"/>
        <v>0.91</v>
      </c>
      <c r="GR74" s="55">
        <f t="shared" si="502"/>
        <v>0.89</v>
      </c>
      <c r="GS74" s="55">
        <f t="shared" si="502"/>
        <v>0.87</v>
      </c>
      <c r="GT74" s="55">
        <f t="shared" si="502"/>
        <v>0.85</v>
      </c>
      <c r="GU74" s="55">
        <f t="shared" si="502"/>
        <v>0.83</v>
      </c>
      <c r="GV74" s="55">
        <f t="shared" si="502"/>
        <v>0.80999999999999994</v>
      </c>
      <c r="GW74" s="55">
        <f t="shared" si="502"/>
        <v>0.78999999999999992</v>
      </c>
      <c r="GX74" s="55">
        <f t="shared" si="502"/>
        <v>0.76999999999999991</v>
      </c>
      <c r="GY74" s="55">
        <f t="shared" si="502"/>
        <v>0.74999999999999989</v>
      </c>
      <c r="GZ74" s="55">
        <f t="shared" si="502"/>
        <v>0.72999999999999987</v>
      </c>
      <c r="HA74" s="55">
        <f t="shared" si="502"/>
        <v>0.70999999999999985</v>
      </c>
      <c r="HB74" s="55">
        <f t="shared" si="502"/>
        <v>0.68999999999999984</v>
      </c>
      <c r="HC74" s="55">
        <f t="shared" si="502"/>
        <v>0.66999999999999982</v>
      </c>
      <c r="HD74" s="55">
        <f t="shared" si="502"/>
        <v>0.6499999999999998</v>
      </c>
      <c r="HE74" s="55">
        <f t="shared" si="502"/>
        <v>0.62999999999999978</v>
      </c>
      <c r="HF74" s="55">
        <f t="shared" si="502"/>
        <v>0.60999999999999976</v>
      </c>
      <c r="HG74" s="55">
        <f t="shared" si="502"/>
        <v>0.58999999999999975</v>
      </c>
      <c r="HH74" s="55">
        <f t="shared" si="502"/>
        <v>0.56999999999999973</v>
      </c>
    </row>
    <row r="75" spans="1:216" x14ac:dyDescent="0.3">
      <c r="A75" s="2">
        <v>7</v>
      </c>
      <c r="C75" s="38" t="s">
        <v>140</v>
      </c>
      <c r="D75" s="42">
        <v>0</v>
      </c>
      <c r="E75" s="71">
        <f t="shared" si="369"/>
        <v>0</v>
      </c>
      <c r="H75" s="55">
        <f t="shared" si="61"/>
        <v>0</v>
      </c>
      <c r="I75" s="55">
        <f t="shared" si="62"/>
        <v>0</v>
      </c>
      <c r="J75" s="59">
        <f t="shared" si="63"/>
        <v>0</v>
      </c>
      <c r="K75" s="55">
        <f t="shared" si="370"/>
        <v>0</v>
      </c>
      <c r="L75" s="59">
        <f t="shared" si="371"/>
        <v>0</v>
      </c>
      <c r="M75" s="55">
        <f t="shared" si="372"/>
        <v>0</v>
      </c>
      <c r="N75" s="59">
        <f t="shared" si="373"/>
        <v>0</v>
      </c>
      <c r="O75" s="55">
        <f t="shared" si="374"/>
        <v>0</v>
      </c>
      <c r="P75" s="59">
        <f t="shared" si="375"/>
        <v>0</v>
      </c>
      <c r="Q75" s="57">
        <f t="shared" si="376"/>
        <v>0</v>
      </c>
      <c r="R75" s="59">
        <f t="shared" si="377"/>
        <v>0</v>
      </c>
      <c r="S75" s="55">
        <f t="shared" si="378"/>
        <v>0</v>
      </c>
      <c r="T75" s="59">
        <f t="shared" si="379"/>
        <v>0</v>
      </c>
      <c r="U75" s="57">
        <f t="shared" si="380"/>
        <v>0</v>
      </c>
      <c r="V75" s="59">
        <f t="shared" si="381"/>
        <v>0</v>
      </c>
      <c r="W75" s="60">
        <f t="shared" si="382"/>
        <v>0</v>
      </c>
      <c r="X75" s="59">
        <f t="shared" si="383"/>
        <v>0</v>
      </c>
      <c r="Y75" s="57">
        <f t="shared" si="384"/>
        <v>0</v>
      </c>
      <c r="Z75" s="59">
        <f t="shared" si="385"/>
        <v>0</v>
      </c>
      <c r="AA75" s="55">
        <f t="shared" si="386"/>
        <v>0</v>
      </c>
      <c r="AB75" s="59">
        <f t="shared" si="387"/>
        <v>0</v>
      </c>
      <c r="AC75" s="60">
        <f t="shared" si="388"/>
        <v>0</v>
      </c>
      <c r="AD75" s="59">
        <f t="shared" si="389"/>
        <v>0</v>
      </c>
      <c r="AE75" s="60">
        <f t="shared" si="390"/>
        <v>0</v>
      </c>
      <c r="AF75" s="59">
        <f t="shared" si="391"/>
        <v>0</v>
      </c>
      <c r="AG75" s="60">
        <f t="shared" si="392"/>
        <v>0</v>
      </c>
      <c r="AH75" s="59">
        <f t="shared" si="393"/>
        <v>0</v>
      </c>
      <c r="AI75" s="55">
        <f t="shared" si="394"/>
        <v>0</v>
      </c>
      <c r="AJ75" s="59">
        <f t="shared" si="395"/>
        <v>0</v>
      </c>
      <c r="AK75" s="60">
        <f t="shared" si="396"/>
        <v>0</v>
      </c>
      <c r="AL75" s="59">
        <f t="shared" si="397"/>
        <v>0</v>
      </c>
      <c r="AM75" s="60">
        <f t="shared" si="398"/>
        <v>0</v>
      </c>
      <c r="AN75" s="59">
        <f t="shared" si="399"/>
        <v>0</v>
      </c>
      <c r="AO75" s="60">
        <f t="shared" si="400"/>
        <v>0</v>
      </c>
      <c r="AP75" s="59">
        <f t="shared" si="401"/>
        <v>0</v>
      </c>
      <c r="AQ75" s="60">
        <f t="shared" si="402"/>
        <v>0</v>
      </c>
      <c r="AR75" s="59">
        <f t="shared" si="403"/>
        <v>0</v>
      </c>
      <c r="AS75" s="55">
        <f t="shared" si="404"/>
        <v>0</v>
      </c>
      <c r="AT75" s="59">
        <f t="shared" si="405"/>
        <v>0</v>
      </c>
      <c r="AU75" s="60">
        <f t="shared" si="406"/>
        <v>0</v>
      </c>
      <c r="AV75" s="59">
        <f t="shared" si="407"/>
        <v>0</v>
      </c>
      <c r="AW75" s="60">
        <f t="shared" si="408"/>
        <v>0</v>
      </c>
      <c r="AX75" s="59">
        <f t="shared" si="409"/>
        <v>0</v>
      </c>
      <c r="AY75" s="55">
        <f t="shared" si="410"/>
        <v>0</v>
      </c>
      <c r="AZ75" s="59">
        <f t="shared" si="411"/>
        <v>0</v>
      </c>
      <c r="BC75" s="55">
        <v>1</v>
      </c>
      <c r="BD75" s="55">
        <v>0.97</v>
      </c>
      <c r="BE75" s="55">
        <v>0.95</v>
      </c>
      <c r="BF75" s="55">
        <v>0.93</v>
      </c>
      <c r="BG75" s="55">
        <f t="shared" si="412"/>
        <v>0.91</v>
      </c>
      <c r="BH75" s="55">
        <f t="shared" si="412"/>
        <v>0.89</v>
      </c>
      <c r="BI75" s="55">
        <f t="shared" si="412"/>
        <v>0.87</v>
      </c>
      <c r="BJ75" s="55">
        <f t="shared" si="412"/>
        <v>0.85</v>
      </c>
      <c r="BK75" s="55">
        <f t="shared" si="412"/>
        <v>0.83</v>
      </c>
      <c r="BL75" s="55">
        <f t="shared" si="412"/>
        <v>0.80999999999999994</v>
      </c>
      <c r="BM75" s="55">
        <f t="shared" si="412"/>
        <v>0.78999999999999992</v>
      </c>
      <c r="BN75" s="55">
        <f t="shared" si="412"/>
        <v>0.76999999999999991</v>
      </c>
      <c r="BO75" s="55">
        <f t="shared" si="412"/>
        <v>0.74999999999999989</v>
      </c>
      <c r="BP75" s="55">
        <f t="shared" si="412"/>
        <v>0.72999999999999987</v>
      </c>
      <c r="BQ75" s="55">
        <f t="shared" si="412"/>
        <v>0.70999999999999985</v>
      </c>
      <c r="BR75" s="55">
        <f t="shared" si="412"/>
        <v>0.68999999999999984</v>
      </c>
      <c r="BS75" s="55">
        <f t="shared" si="412"/>
        <v>0.66999999999999982</v>
      </c>
      <c r="BT75" s="55">
        <f t="shared" si="412"/>
        <v>0.6499999999999998</v>
      </c>
      <c r="BU75" s="55">
        <f t="shared" si="412"/>
        <v>0.62999999999999978</v>
      </c>
      <c r="BV75" s="55">
        <f t="shared" si="412"/>
        <v>0.60999999999999976</v>
      </c>
      <c r="BW75" s="55">
        <f t="shared" si="412"/>
        <v>0.58999999999999975</v>
      </c>
      <c r="BX75" s="55">
        <f t="shared" si="412"/>
        <v>0.56999999999999973</v>
      </c>
      <c r="BZ75" s="55">
        <f t="shared" si="88"/>
        <v>0</v>
      </c>
      <c r="CA75" s="55">
        <f t="shared" si="89"/>
        <v>0</v>
      </c>
      <c r="CB75" s="59">
        <f t="shared" si="413"/>
        <v>0</v>
      </c>
      <c r="CC75" s="55">
        <f t="shared" si="414"/>
        <v>0</v>
      </c>
      <c r="CD75" s="59">
        <f t="shared" si="415"/>
        <v>0</v>
      </c>
      <c r="CE75" s="55">
        <f t="shared" si="416"/>
        <v>0</v>
      </c>
      <c r="CF75" s="59">
        <f t="shared" si="417"/>
        <v>0</v>
      </c>
      <c r="CG75" s="55">
        <f t="shared" si="418"/>
        <v>0</v>
      </c>
      <c r="CH75" s="59">
        <f t="shared" si="419"/>
        <v>0</v>
      </c>
      <c r="CI75" s="57">
        <f t="shared" si="420"/>
        <v>0</v>
      </c>
      <c r="CJ75" s="59">
        <f t="shared" si="421"/>
        <v>0</v>
      </c>
      <c r="CK75" s="55">
        <f t="shared" si="422"/>
        <v>0</v>
      </c>
      <c r="CL75" s="59">
        <f t="shared" si="423"/>
        <v>0</v>
      </c>
      <c r="CM75" s="57">
        <f t="shared" si="424"/>
        <v>0</v>
      </c>
      <c r="CN75" s="59">
        <f t="shared" si="425"/>
        <v>0</v>
      </c>
      <c r="CO75" s="60">
        <f t="shared" si="426"/>
        <v>0</v>
      </c>
      <c r="CP75" s="59">
        <f t="shared" si="427"/>
        <v>0</v>
      </c>
      <c r="CQ75" s="57">
        <f t="shared" si="428"/>
        <v>0</v>
      </c>
      <c r="CR75" s="59">
        <f t="shared" si="429"/>
        <v>0</v>
      </c>
      <c r="CS75" s="55">
        <f t="shared" si="430"/>
        <v>0</v>
      </c>
      <c r="CT75" s="59">
        <f t="shared" si="431"/>
        <v>0</v>
      </c>
      <c r="CU75" s="60">
        <f t="shared" si="432"/>
        <v>0</v>
      </c>
      <c r="CV75" s="59">
        <f t="shared" si="433"/>
        <v>0</v>
      </c>
      <c r="CW75" s="60">
        <f t="shared" si="434"/>
        <v>0</v>
      </c>
      <c r="CX75" s="59">
        <f t="shared" si="435"/>
        <v>0</v>
      </c>
      <c r="CY75" s="60">
        <f t="shared" si="436"/>
        <v>0</v>
      </c>
      <c r="CZ75" s="59">
        <f t="shared" si="437"/>
        <v>0</v>
      </c>
      <c r="DA75" s="55">
        <f t="shared" si="438"/>
        <v>0</v>
      </c>
      <c r="DB75" s="59">
        <f t="shared" si="439"/>
        <v>0</v>
      </c>
      <c r="DC75" s="60">
        <f t="shared" si="440"/>
        <v>0</v>
      </c>
      <c r="DD75" s="59">
        <f t="shared" si="441"/>
        <v>0</v>
      </c>
      <c r="DE75" s="60">
        <f t="shared" si="442"/>
        <v>0</v>
      </c>
      <c r="DF75" s="59">
        <f t="shared" si="443"/>
        <v>0</v>
      </c>
      <c r="DG75" s="60">
        <f t="shared" si="444"/>
        <v>0</v>
      </c>
      <c r="DH75" s="59">
        <f t="shared" si="445"/>
        <v>0</v>
      </c>
      <c r="DI75" s="60">
        <f t="shared" si="446"/>
        <v>0</v>
      </c>
      <c r="DJ75" s="59">
        <f t="shared" si="447"/>
        <v>0</v>
      </c>
      <c r="DK75" s="55">
        <f t="shared" si="448"/>
        <v>0</v>
      </c>
      <c r="DL75" s="59">
        <f t="shared" si="449"/>
        <v>0</v>
      </c>
      <c r="DM75" s="60">
        <f t="shared" si="450"/>
        <v>0</v>
      </c>
      <c r="DN75" s="59">
        <f t="shared" si="451"/>
        <v>0</v>
      </c>
      <c r="DO75" s="60">
        <f t="shared" si="452"/>
        <v>0</v>
      </c>
      <c r="DP75" s="59">
        <f t="shared" si="453"/>
        <v>0</v>
      </c>
      <c r="DQ75" s="55">
        <f t="shared" si="454"/>
        <v>0</v>
      </c>
      <c r="DR75" s="59">
        <f t="shared" si="455"/>
        <v>0</v>
      </c>
      <c r="DU75" s="55">
        <v>1</v>
      </c>
      <c r="DV75" s="55">
        <v>0.97</v>
      </c>
      <c r="DW75" s="55">
        <v>0.95</v>
      </c>
      <c r="DX75" s="55">
        <v>0.93</v>
      </c>
      <c r="DY75" s="55">
        <f t="shared" si="501"/>
        <v>0.91</v>
      </c>
      <c r="DZ75" s="55">
        <f t="shared" si="501"/>
        <v>0.89</v>
      </c>
      <c r="EA75" s="55">
        <f t="shared" si="501"/>
        <v>0.87</v>
      </c>
      <c r="EB75" s="55">
        <f t="shared" si="501"/>
        <v>0.85</v>
      </c>
      <c r="EC75" s="55">
        <f t="shared" si="501"/>
        <v>0.83</v>
      </c>
      <c r="ED75" s="55">
        <f t="shared" si="501"/>
        <v>0.80999999999999994</v>
      </c>
      <c r="EE75" s="55">
        <f t="shared" si="501"/>
        <v>0.78999999999999992</v>
      </c>
      <c r="EF75" s="55">
        <f t="shared" si="501"/>
        <v>0.76999999999999991</v>
      </c>
      <c r="EG75" s="55">
        <f t="shared" si="501"/>
        <v>0.74999999999999989</v>
      </c>
      <c r="EH75" s="55">
        <f t="shared" si="501"/>
        <v>0.72999999999999987</v>
      </c>
      <c r="EI75" s="55">
        <f t="shared" si="501"/>
        <v>0.70999999999999985</v>
      </c>
      <c r="EJ75" s="55">
        <f t="shared" si="501"/>
        <v>0.68999999999999984</v>
      </c>
      <c r="EK75" s="55">
        <f t="shared" si="501"/>
        <v>0.66999999999999982</v>
      </c>
      <c r="EL75" s="55">
        <f t="shared" si="501"/>
        <v>0.6499999999999998</v>
      </c>
      <c r="EM75" s="55">
        <f t="shared" si="501"/>
        <v>0.62999999999999978</v>
      </c>
      <c r="EN75" s="55">
        <f t="shared" si="501"/>
        <v>0.60999999999999976</v>
      </c>
      <c r="EO75" s="55">
        <f t="shared" si="501"/>
        <v>0.58999999999999975</v>
      </c>
      <c r="EP75" s="55">
        <f t="shared" si="501"/>
        <v>0.56999999999999973</v>
      </c>
      <c r="ER75" s="55">
        <f t="shared" si="142"/>
        <v>0</v>
      </c>
      <c r="ES75" s="55">
        <f t="shared" si="116"/>
        <v>0</v>
      </c>
      <c r="ET75" s="59">
        <f t="shared" si="457"/>
        <v>0</v>
      </c>
      <c r="EU75" s="55">
        <f t="shared" si="458"/>
        <v>0</v>
      </c>
      <c r="EV75" s="59">
        <f t="shared" si="459"/>
        <v>0</v>
      </c>
      <c r="EW75" s="55">
        <f t="shared" si="460"/>
        <v>0</v>
      </c>
      <c r="EX75" s="59">
        <f t="shared" si="461"/>
        <v>0</v>
      </c>
      <c r="EY75" s="55">
        <f t="shared" si="462"/>
        <v>0</v>
      </c>
      <c r="EZ75" s="59">
        <f t="shared" si="463"/>
        <v>0</v>
      </c>
      <c r="FA75" s="57">
        <f t="shared" si="464"/>
        <v>0</v>
      </c>
      <c r="FB75" s="59">
        <f t="shared" si="465"/>
        <v>0</v>
      </c>
      <c r="FC75" s="55">
        <f t="shared" si="466"/>
        <v>0</v>
      </c>
      <c r="FD75" s="59">
        <f t="shared" si="467"/>
        <v>0</v>
      </c>
      <c r="FE75" s="57">
        <f t="shared" si="468"/>
        <v>0</v>
      </c>
      <c r="FF75" s="59">
        <f t="shared" si="469"/>
        <v>0</v>
      </c>
      <c r="FG75" s="60">
        <f t="shared" si="470"/>
        <v>0</v>
      </c>
      <c r="FH75" s="59">
        <f t="shared" si="471"/>
        <v>0</v>
      </c>
      <c r="FI75" s="57">
        <f t="shared" si="472"/>
        <v>0</v>
      </c>
      <c r="FJ75" s="59">
        <f t="shared" si="473"/>
        <v>0</v>
      </c>
      <c r="FK75" s="55">
        <f t="shared" si="474"/>
        <v>0</v>
      </c>
      <c r="FL75" s="59">
        <f t="shared" si="475"/>
        <v>0</v>
      </c>
      <c r="FM75" s="60">
        <f t="shared" si="476"/>
        <v>0</v>
      </c>
      <c r="FN75" s="59">
        <f t="shared" si="477"/>
        <v>0</v>
      </c>
      <c r="FO75" s="60">
        <f t="shared" si="478"/>
        <v>0</v>
      </c>
      <c r="FP75" s="59">
        <f t="shared" si="479"/>
        <v>0</v>
      </c>
      <c r="FQ75" s="60">
        <f t="shared" si="480"/>
        <v>0</v>
      </c>
      <c r="FR75" s="59">
        <f t="shared" si="481"/>
        <v>0</v>
      </c>
      <c r="FS75" s="55">
        <f t="shared" si="482"/>
        <v>0</v>
      </c>
      <c r="FT75" s="59">
        <f t="shared" si="483"/>
        <v>0</v>
      </c>
      <c r="FU75" s="60">
        <f t="shared" si="484"/>
        <v>0</v>
      </c>
      <c r="FV75" s="59">
        <f t="shared" si="485"/>
        <v>0</v>
      </c>
      <c r="FW75" s="60">
        <f t="shared" si="486"/>
        <v>0</v>
      </c>
      <c r="FX75" s="59">
        <f t="shared" si="487"/>
        <v>0</v>
      </c>
      <c r="FY75" s="60">
        <f t="shared" si="488"/>
        <v>0</v>
      </c>
      <c r="FZ75" s="59">
        <f t="shared" si="489"/>
        <v>0</v>
      </c>
      <c r="GA75" s="60">
        <f t="shared" si="490"/>
        <v>0</v>
      </c>
      <c r="GB75" s="59">
        <f t="shared" si="491"/>
        <v>0</v>
      </c>
      <c r="GC75" s="55">
        <f t="shared" si="492"/>
        <v>0</v>
      </c>
      <c r="GD75" s="59">
        <f t="shared" si="493"/>
        <v>0</v>
      </c>
      <c r="GE75" s="60">
        <f t="shared" si="494"/>
        <v>0</v>
      </c>
      <c r="GF75" s="59">
        <f t="shared" si="495"/>
        <v>0</v>
      </c>
      <c r="GG75" s="60">
        <f t="shared" si="496"/>
        <v>0</v>
      </c>
      <c r="GH75" s="59">
        <f t="shared" si="497"/>
        <v>0</v>
      </c>
      <c r="GI75" s="55">
        <f t="shared" si="498"/>
        <v>0</v>
      </c>
      <c r="GJ75" s="59">
        <f t="shared" si="499"/>
        <v>0</v>
      </c>
      <c r="GK75" s="55"/>
      <c r="GL75" s="55"/>
      <c r="GM75" s="55">
        <v>1</v>
      </c>
      <c r="GN75" s="55">
        <v>0.97</v>
      </c>
      <c r="GO75" s="55">
        <v>0.95</v>
      </c>
      <c r="GP75" s="55">
        <v>0.93</v>
      </c>
      <c r="GQ75" s="55">
        <f t="shared" si="502"/>
        <v>0.91</v>
      </c>
      <c r="GR75" s="55">
        <f t="shared" si="502"/>
        <v>0.89</v>
      </c>
      <c r="GS75" s="55">
        <f t="shared" si="502"/>
        <v>0.87</v>
      </c>
      <c r="GT75" s="55">
        <f t="shared" si="502"/>
        <v>0.85</v>
      </c>
      <c r="GU75" s="55">
        <f t="shared" si="502"/>
        <v>0.83</v>
      </c>
      <c r="GV75" s="55">
        <f t="shared" si="502"/>
        <v>0.80999999999999994</v>
      </c>
      <c r="GW75" s="55">
        <f t="shared" si="502"/>
        <v>0.78999999999999992</v>
      </c>
      <c r="GX75" s="55">
        <f t="shared" si="502"/>
        <v>0.76999999999999991</v>
      </c>
      <c r="GY75" s="55">
        <f t="shared" si="502"/>
        <v>0.74999999999999989</v>
      </c>
      <c r="GZ75" s="55">
        <f t="shared" si="502"/>
        <v>0.72999999999999987</v>
      </c>
      <c r="HA75" s="55">
        <f t="shared" si="502"/>
        <v>0.70999999999999985</v>
      </c>
      <c r="HB75" s="55">
        <f t="shared" si="502"/>
        <v>0.68999999999999984</v>
      </c>
      <c r="HC75" s="55">
        <f t="shared" si="502"/>
        <v>0.66999999999999982</v>
      </c>
      <c r="HD75" s="55">
        <f t="shared" si="502"/>
        <v>0.6499999999999998</v>
      </c>
      <c r="HE75" s="55">
        <f t="shared" si="502"/>
        <v>0.62999999999999978</v>
      </c>
      <c r="HF75" s="55">
        <f t="shared" si="502"/>
        <v>0.60999999999999976</v>
      </c>
      <c r="HG75" s="55">
        <f t="shared" si="502"/>
        <v>0.58999999999999975</v>
      </c>
      <c r="HH75" s="55">
        <f t="shared" si="502"/>
        <v>0.56999999999999973</v>
      </c>
    </row>
    <row r="76" spans="1:216" x14ac:dyDescent="0.3">
      <c r="A76" s="2">
        <v>8</v>
      </c>
      <c r="C76" s="38" t="s">
        <v>119</v>
      </c>
      <c r="D76" s="42">
        <v>0</v>
      </c>
      <c r="E76" s="71">
        <f t="shared" si="369"/>
        <v>0</v>
      </c>
      <c r="H76" s="55">
        <f t="shared" si="61"/>
        <v>0</v>
      </c>
      <c r="I76" s="55">
        <f t="shared" si="62"/>
        <v>0</v>
      </c>
      <c r="J76" s="59">
        <f t="shared" si="63"/>
        <v>0</v>
      </c>
      <c r="K76" s="55">
        <f t="shared" si="370"/>
        <v>0</v>
      </c>
      <c r="L76" s="59">
        <f t="shared" si="371"/>
        <v>0</v>
      </c>
      <c r="M76" s="55">
        <f t="shared" si="372"/>
        <v>0</v>
      </c>
      <c r="N76" s="59">
        <f t="shared" si="373"/>
        <v>0</v>
      </c>
      <c r="O76" s="55">
        <f t="shared" si="374"/>
        <v>0</v>
      </c>
      <c r="P76" s="59">
        <f t="shared" si="375"/>
        <v>0</v>
      </c>
      <c r="Q76" s="57">
        <f t="shared" si="376"/>
        <v>0</v>
      </c>
      <c r="R76" s="59">
        <f t="shared" si="377"/>
        <v>0</v>
      </c>
      <c r="S76" s="55">
        <f t="shared" si="378"/>
        <v>0</v>
      </c>
      <c r="T76" s="59">
        <f t="shared" si="379"/>
        <v>0</v>
      </c>
      <c r="U76" s="57">
        <f t="shared" si="380"/>
        <v>0</v>
      </c>
      <c r="V76" s="59">
        <f t="shared" si="381"/>
        <v>0</v>
      </c>
      <c r="W76" s="60">
        <f t="shared" si="382"/>
        <v>0</v>
      </c>
      <c r="X76" s="59">
        <f t="shared" si="383"/>
        <v>0</v>
      </c>
      <c r="Y76" s="57">
        <f t="shared" si="384"/>
        <v>0</v>
      </c>
      <c r="Z76" s="59">
        <f t="shared" si="385"/>
        <v>0</v>
      </c>
      <c r="AA76" s="55">
        <f t="shared" si="386"/>
        <v>0</v>
      </c>
      <c r="AB76" s="59">
        <f t="shared" si="387"/>
        <v>0</v>
      </c>
      <c r="AC76" s="60">
        <f t="shared" si="388"/>
        <v>0</v>
      </c>
      <c r="AD76" s="59">
        <f t="shared" si="389"/>
        <v>0</v>
      </c>
      <c r="AE76" s="60">
        <f t="shared" si="390"/>
        <v>0</v>
      </c>
      <c r="AF76" s="59">
        <f t="shared" si="391"/>
        <v>0</v>
      </c>
      <c r="AG76" s="60">
        <f t="shared" si="392"/>
        <v>0</v>
      </c>
      <c r="AH76" s="59">
        <f t="shared" si="393"/>
        <v>0</v>
      </c>
      <c r="AI76" s="55">
        <f t="shared" si="394"/>
        <v>0</v>
      </c>
      <c r="AJ76" s="59">
        <f t="shared" si="395"/>
        <v>0</v>
      </c>
      <c r="AK76" s="60">
        <f t="shared" si="396"/>
        <v>0</v>
      </c>
      <c r="AL76" s="59">
        <f t="shared" si="397"/>
        <v>0</v>
      </c>
      <c r="AM76" s="60">
        <f t="shared" si="398"/>
        <v>0</v>
      </c>
      <c r="AN76" s="59">
        <f t="shared" si="399"/>
        <v>0</v>
      </c>
      <c r="AO76" s="60">
        <f t="shared" si="400"/>
        <v>0</v>
      </c>
      <c r="AP76" s="59">
        <f t="shared" si="401"/>
        <v>0</v>
      </c>
      <c r="AQ76" s="60">
        <f t="shared" si="402"/>
        <v>0</v>
      </c>
      <c r="AR76" s="59">
        <f t="shared" si="403"/>
        <v>0</v>
      </c>
      <c r="AS76" s="55">
        <f t="shared" si="404"/>
        <v>0</v>
      </c>
      <c r="AT76" s="59">
        <f t="shared" si="405"/>
        <v>0</v>
      </c>
      <c r="AU76" s="60">
        <f t="shared" si="406"/>
        <v>0</v>
      </c>
      <c r="AV76" s="59">
        <f t="shared" si="407"/>
        <v>0</v>
      </c>
      <c r="AW76" s="60">
        <f t="shared" si="408"/>
        <v>0</v>
      </c>
      <c r="AX76" s="59">
        <f t="shared" si="409"/>
        <v>0</v>
      </c>
      <c r="AY76" s="55">
        <f t="shared" si="410"/>
        <v>0</v>
      </c>
      <c r="AZ76" s="59">
        <f t="shared" si="411"/>
        <v>0</v>
      </c>
      <c r="BC76" s="55">
        <v>1</v>
      </c>
      <c r="BD76" s="55">
        <v>0.97</v>
      </c>
      <c r="BE76" s="55">
        <v>0.95</v>
      </c>
      <c r="BF76" s="55">
        <v>0.93</v>
      </c>
      <c r="BG76" s="55">
        <f t="shared" si="412"/>
        <v>0.91</v>
      </c>
      <c r="BH76" s="55">
        <f t="shared" si="412"/>
        <v>0.89</v>
      </c>
      <c r="BI76" s="55">
        <f t="shared" si="412"/>
        <v>0.87</v>
      </c>
      <c r="BJ76" s="55">
        <f t="shared" si="412"/>
        <v>0.85</v>
      </c>
      <c r="BK76" s="55">
        <f t="shared" si="412"/>
        <v>0.83</v>
      </c>
      <c r="BL76" s="55">
        <f t="shared" si="412"/>
        <v>0.80999999999999994</v>
      </c>
      <c r="BM76" s="55">
        <f t="shared" si="412"/>
        <v>0.78999999999999992</v>
      </c>
      <c r="BN76" s="55">
        <f t="shared" si="412"/>
        <v>0.76999999999999991</v>
      </c>
      <c r="BO76" s="55">
        <f t="shared" si="412"/>
        <v>0.74999999999999989</v>
      </c>
      <c r="BP76" s="55">
        <f t="shared" si="412"/>
        <v>0.72999999999999987</v>
      </c>
      <c r="BQ76" s="55">
        <f t="shared" si="412"/>
        <v>0.70999999999999985</v>
      </c>
      <c r="BR76" s="55">
        <f t="shared" si="412"/>
        <v>0.68999999999999984</v>
      </c>
      <c r="BS76" s="55">
        <f t="shared" si="412"/>
        <v>0.66999999999999982</v>
      </c>
      <c r="BT76" s="55">
        <f t="shared" si="412"/>
        <v>0.6499999999999998</v>
      </c>
      <c r="BU76" s="55">
        <f t="shared" si="412"/>
        <v>0.62999999999999978</v>
      </c>
      <c r="BV76" s="55">
        <f t="shared" si="412"/>
        <v>0.60999999999999976</v>
      </c>
      <c r="BW76" s="55">
        <f t="shared" si="412"/>
        <v>0.58999999999999975</v>
      </c>
      <c r="BX76" s="55">
        <f t="shared" si="412"/>
        <v>0.56999999999999973</v>
      </c>
      <c r="BZ76" s="55">
        <f t="shared" si="88"/>
        <v>0</v>
      </c>
      <c r="CA76" s="55">
        <f t="shared" si="89"/>
        <v>0</v>
      </c>
      <c r="CB76" s="59">
        <f t="shared" si="413"/>
        <v>0</v>
      </c>
      <c r="CC76" s="55">
        <f t="shared" si="414"/>
        <v>0</v>
      </c>
      <c r="CD76" s="59">
        <f t="shared" si="415"/>
        <v>0</v>
      </c>
      <c r="CE76" s="55">
        <f t="shared" si="416"/>
        <v>0</v>
      </c>
      <c r="CF76" s="59">
        <f t="shared" si="417"/>
        <v>0</v>
      </c>
      <c r="CG76" s="55">
        <f t="shared" si="418"/>
        <v>0</v>
      </c>
      <c r="CH76" s="59">
        <f t="shared" si="419"/>
        <v>0</v>
      </c>
      <c r="CI76" s="57">
        <f t="shared" si="420"/>
        <v>0</v>
      </c>
      <c r="CJ76" s="59">
        <f t="shared" si="421"/>
        <v>0</v>
      </c>
      <c r="CK76" s="55">
        <f t="shared" si="422"/>
        <v>0</v>
      </c>
      <c r="CL76" s="59">
        <f t="shared" si="423"/>
        <v>0</v>
      </c>
      <c r="CM76" s="57">
        <f t="shared" si="424"/>
        <v>0</v>
      </c>
      <c r="CN76" s="59">
        <f t="shared" si="425"/>
        <v>0</v>
      </c>
      <c r="CO76" s="60">
        <f t="shared" si="426"/>
        <v>0</v>
      </c>
      <c r="CP76" s="59">
        <f t="shared" si="427"/>
        <v>0</v>
      </c>
      <c r="CQ76" s="57">
        <f t="shared" si="428"/>
        <v>0</v>
      </c>
      <c r="CR76" s="59">
        <f t="shared" si="429"/>
        <v>0</v>
      </c>
      <c r="CS76" s="55">
        <f t="shared" si="430"/>
        <v>0</v>
      </c>
      <c r="CT76" s="59">
        <f t="shared" si="431"/>
        <v>0</v>
      </c>
      <c r="CU76" s="60">
        <f t="shared" si="432"/>
        <v>0</v>
      </c>
      <c r="CV76" s="59">
        <f t="shared" si="433"/>
        <v>0</v>
      </c>
      <c r="CW76" s="60">
        <f t="shared" si="434"/>
        <v>0</v>
      </c>
      <c r="CX76" s="59">
        <f t="shared" si="435"/>
        <v>0</v>
      </c>
      <c r="CY76" s="60">
        <f t="shared" si="436"/>
        <v>0</v>
      </c>
      <c r="CZ76" s="59">
        <f t="shared" si="437"/>
        <v>0</v>
      </c>
      <c r="DA76" s="55">
        <f t="shared" si="438"/>
        <v>0</v>
      </c>
      <c r="DB76" s="59">
        <f t="shared" si="439"/>
        <v>0</v>
      </c>
      <c r="DC76" s="60">
        <f t="shared" si="440"/>
        <v>0</v>
      </c>
      <c r="DD76" s="59">
        <f t="shared" si="441"/>
        <v>0</v>
      </c>
      <c r="DE76" s="60">
        <f t="shared" si="442"/>
        <v>0</v>
      </c>
      <c r="DF76" s="59">
        <f t="shared" si="443"/>
        <v>0</v>
      </c>
      <c r="DG76" s="60">
        <f t="shared" si="444"/>
        <v>0</v>
      </c>
      <c r="DH76" s="59">
        <f t="shared" si="445"/>
        <v>0</v>
      </c>
      <c r="DI76" s="60">
        <f t="shared" si="446"/>
        <v>0</v>
      </c>
      <c r="DJ76" s="59">
        <f t="shared" si="447"/>
        <v>0</v>
      </c>
      <c r="DK76" s="55">
        <f t="shared" si="448"/>
        <v>0</v>
      </c>
      <c r="DL76" s="59">
        <f t="shared" si="449"/>
        <v>0</v>
      </c>
      <c r="DM76" s="60">
        <f t="shared" si="450"/>
        <v>0</v>
      </c>
      <c r="DN76" s="59">
        <f t="shared" si="451"/>
        <v>0</v>
      </c>
      <c r="DO76" s="60">
        <f t="shared" si="452"/>
        <v>0</v>
      </c>
      <c r="DP76" s="59">
        <f t="shared" si="453"/>
        <v>0</v>
      </c>
      <c r="DQ76" s="55">
        <f t="shared" si="454"/>
        <v>0</v>
      </c>
      <c r="DR76" s="59">
        <f t="shared" si="455"/>
        <v>0</v>
      </c>
      <c r="DU76" s="55">
        <v>1</v>
      </c>
      <c r="DV76" s="55">
        <v>0.97</v>
      </c>
      <c r="DW76" s="55">
        <v>0.95</v>
      </c>
      <c r="DX76" s="55">
        <v>0.93</v>
      </c>
      <c r="DY76" s="55">
        <f t="shared" si="501"/>
        <v>0.91</v>
      </c>
      <c r="DZ76" s="55">
        <f t="shared" si="501"/>
        <v>0.89</v>
      </c>
      <c r="EA76" s="55">
        <f t="shared" si="501"/>
        <v>0.87</v>
      </c>
      <c r="EB76" s="55">
        <f t="shared" si="501"/>
        <v>0.85</v>
      </c>
      <c r="EC76" s="55">
        <f t="shared" si="501"/>
        <v>0.83</v>
      </c>
      <c r="ED76" s="55">
        <f t="shared" si="501"/>
        <v>0.80999999999999994</v>
      </c>
      <c r="EE76" s="55">
        <f t="shared" si="501"/>
        <v>0.78999999999999992</v>
      </c>
      <c r="EF76" s="55">
        <f t="shared" si="501"/>
        <v>0.76999999999999991</v>
      </c>
      <c r="EG76" s="55">
        <f t="shared" si="501"/>
        <v>0.74999999999999989</v>
      </c>
      <c r="EH76" s="55">
        <f t="shared" si="501"/>
        <v>0.72999999999999987</v>
      </c>
      <c r="EI76" s="55">
        <f t="shared" si="501"/>
        <v>0.70999999999999985</v>
      </c>
      <c r="EJ76" s="55">
        <f t="shared" si="501"/>
        <v>0.68999999999999984</v>
      </c>
      <c r="EK76" s="55">
        <f t="shared" si="501"/>
        <v>0.66999999999999982</v>
      </c>
      <c r="EL76" s="55">
        <f t="shared" si="501"/>
        <v>0.6499999999999998</v>
      </c>
      <c r="EM76" s="55">
        <f t="shared" si="501"/>
        <v>0.62999999999999978</v>
      </c>
      <c r="EN76" s="55">
        <f t="shared" si="501"/>
        <v>0.60999999999999976</v>
      </c>
      <c r="EO76" s="55">
        <f t="shared" si="501"/>
        <v>0.58999999999999975</v>
      </c>
      <c r="EP76" s="55">
        <f t="shared" si="501"/>
        <v>0.56999999999999973</v>
      </c>
      <c r="ER76" s="55">
        <f t="shared" si="142"/>
        <v>0</v>
      </c>
      <c r="ES76" s="55">
        <f t="shared" si="116"/>
        <v>0</v>
      </c>
      <c r="ET76" s="59">
        <f t="shared" si="457"/>
        <v>0</v>
      </c>
      <c r="EU76" s="55">
        <f t="shared" si="458"/>
        <v>0</v>
      </c>
      <c r="EV76" s="59">
        <f t="shared" si="459"/>
        <v>0</v>
      </c>
      <c r="EW76" s="55">
        <f t="shared" si="460"/>
        <v>0</v>
      </c>
      <c r="EX76" s="59">
        <f t="shared" si="461"/>
        <v>0</v>
      </c>
      <c r="EY76" s="55">
        <f t="shared" si="462"/>
        <v>0</v>
      </c>
      <c r="EZ76" s="59">
        <f t="shared" si="463"/>
        <v>0</v>
      </c>
      <c r="FA76" s="57">
        <f t="shared" si="464"/>
        <v>0</v>
      </c>
      <c r="FB76" s="59">
        <f t="shared" si="465"/>
        <v>0</v>
      </c>
      <c r="FC76" s="55">
        <f t="shared" si="466"/>
        <v>0</v>
      </c>
      <c r="FD76" s="59">
        <f t="shared" si="467"/>
        <v>0</v>
      </c>
      <c r="FE76" s="57">
        <f t="shared" si="468"/>
        <v>0</v>
      </c>
      <c r="FF76" s="59">
        <f t="shared" si="469"/>
        <v>0</v>
      </c>
      <c r="FG76" s="60">
        <f t="shared" si="470"/>
        <v>0</v>
      </c>
      <c r="FH76" s="59">
        <f t="shared" si="471"/>
        <v>0</v>
      </c>
      <c r="FI76" s="57">
        <f t="shared" si="472"/>
        <v>0</v>
      </c>
      <c r="FJ76" s="59">
        <f t="shared" si="473"/>
        <v>0</v>
      </c>
      <c r="FK76" s="55">
        <f t="shared" si="474"/>
        <v>0</v>
      </c>
      <c r="FL76" s="59">
        <f t="shared" si="475"/>
        <v>0</v>
      </c>
      <c r="FM76" s="60">
        <f t="shared" si="476"/>
        <v>0</v>
      </c>
      <c r="FN76" s="59">
        <f t="shared" si="477"/>
        <v>0</v>
      </c>
      <c r="FO76" s="60">
        <f t="shared" si="478"/>
        <v>0</v>
      </c>
      <c r="FP76" s="59">
        <f t="shared" si="479"/>
        <v>0</v>
      </c>
      <c r="FQ76" s="60">
        <f t="shared" si="480"/>
        <v>0</v>
      </c>
      <c r="FR76" s="59">
        <f t="shared" si="481"/>
        <v>0</v>
      </c>
      <c r="FS76" s="55">
        <f t="shared" si="482"/>
        <v>0</v>
      </c>
      <c r="FT76" s="59">
        <f t="shared" si="483"/>
        <v>0</v>
      </c>
      <c r="FU76" s="60">
        <f t="shared" si="484"/>
        <v>0</v>
      </c>
      <c r="FV76" s="59">
        <f t="shared" si="485"/>
        <v>0</v>
      </c>
      <c r="FW76" s="60">
        <f t="shared" si="486"/>
        <v>0</v>
      </c>
      <c r="FX76" s="59">
        <f t="shared" si="487"/>
        <v>0</v>
      </c>
      <c r="FY76" s="60">
        <f t="shared" si="488"/>
        <v>0</v>
      </c>
      <c r="FZ76" s="59">
        <f t="shared" si="489"/>
        <v>0</v>
      </c>
      <c r="GA76" s="60">
        <f t="shared" si="490"/>
        <v>0</v>
      </c>
      <c r="GB76" s="59">
        <f t="shared" si="491"/>
        <v>0</v>
      </c>
      <c r="GC76" s="55">
        <f t="shared" si="492"/>
        <v>0</v>
      </c>
      <c r="GD76" s="59">
        <f t="shared" si="493"/>
        <v>0</v>
      </c>
      <c r="GE76" s="60">
        <f t="shared" si="494"/>
        <v>0</v>
      </c>
      <c r="GF76" s="59">
        <f t="shared" si="495"/>
        <v>0</v>
      </c>
      <c r="GG76" s="60">
        <f t="shared" si="496"/>
        <v>0</v>
      </c>
      <c r="GH76" s="59">
        <f t="shared" si="497"/>
        <v>0</v>
      </c>
      <c r="GI76" s="55">
        <f t="shared" si="498"/>
        <v>0</v>
      </c>
      <c r="GJ76" s="59">
        <f t="shared" si="499"/>
        <v>0</v>
      </c>
      <c r="GK76" s="55"/>
      <c r="GL76" s="55"/>
      <c r="GM76" s="55">
        <v>1</v>
      </c>
      <c r="GN76" s="55">
        <v>0.97</v>
      </c>
      <c r="GO76" s="55">
        <v>0.95</v>
      </c>
      <c r="GP76" s="55">
        <v>0.93</v>
      </c>
      <c r="GQ76" s="55">
        <f t="shared" si="502"/>
        <v>0.91</v>
      </c>
      <c r="GR76" s="55">
        <f t="shared" si="502"/>
        <v>0.89</v>
      </c>
      <c r="GS76" s="55">
        <f t="shared" si="502"/>
        <v>0.87</v>
      </c>
      <c r="GT76" s="55">
        <f t="shared" si="502"/>
        <v>0.85</v>
      </c>
      <c r="GU76" s="55">
        <f t="shared" si="502"/>
        <v>0.83</v>
      </c>
      <c r="GV76" s="55">
        <f t="shared" si="502"/>
        <v>0.80999999999999994</v>
      </c>
      <c r="GW76" s="55">
        <f t="shared" si="502"/>
        <v>0.78999999999999992</v>
      </c>
      <c r="GX76" s="55">
        <f t="shared" si="502"/>
        <v>0.76999999999999991</v>
      </c>
      <c r="GY76" s="55">
        <f t="shared" si="502"/>
        <v>0.74999999999999989</v>
      </c>
      <c r="GZ76" s="55">
        <f t="shared" si="502"/>
        <v>0.72999999999999987</v>
      </c>
      <c r="HA76" s="55">
        <f t="shared" si="502"/>
        <v>0.70999999999999985</v>
      </c>
      <c r="HB76" s="55">
        <f t="shared" si="502"/>
        <v>0.68999999999999984</v>
      </c>
      <c r="HC76" s="55">
        <f t="shared" si="502"/>
        <v>0.66999999999999982</v>
      </c>
      <c r="HD76" s="55">
        <f t="shared" si="502"/>
        <v>0.6499999999999998</v>
      </c>
      <c r="HE76" s="55">
        <f t="shared" si="502"/>
        <v>0.62999999999999978</v>
      </c>
      <c r="HF76" s="55">
        <f t="shared" si="502"/>
        <v>0.60999999999999976</v>
      </c>
      <c r="HG76" s="55">
        <f t="shared" si="502"/>
        <v>0.58999999999999975</v>
      </c>
      <c r="HH76" s="55">
        <f t="shared" si="502"/>
        <v>0.56999999999999973</v>
      </c>
    </row>
    <row r="77" spans="1:216" x14ac:dyDescent="0.3">
      <c r="A77" s="2">
        <v>9</v>
      </c>
      <c r="C77" s="38" t="s">
        <v>153</v>
      </c>
      <c r="D77" s="42">
        <v>0</v>
      </c>
      <c r="E77" s="71">
        <f t="shared" si="369"/>
        <v>0</v>
      </c>
      <c r="H77" s="55">
        <f t="shared" si="61"/>
        <v>0</v>
      </c>
      <c r="I77" s="55">
        <f t="shared" si="62"/>
        <v>0</v>
      </c>
      <c r="J77" s="59">
        <f t="shared" si="63"/>
        <v>0</v>
      </c>
      <c r="K77" s="55">
        <f t="shared" si="370"/>
        <v>0</v>
      </c>
      <c r="L77" s="59">
        <f t="shared" si="371"/>
        <v>0</v>
      </c>
      <c r="M77" s="55">
        <f t="shared" si="372"/>
        <v>0</v>
      </c>
      <c r="N77" s="59">
        <f t="shared" si="373"/>
        <v>0</v>
      </c>
      <c r="O77" s="55">
        <f t="shared" si="374"/>
        <v>0</v>
      </c>
      <c r="P77" s="59">
        <f t="shared" si="375"/>
        <v>0</v>
      </c>
      <c r="Q77" s="57">
        <f t="shared" si="376"/>
        <v>0</v>
      </c>
      <c r="R77" s="59">
        <f t="shared" si="377"/>
        <v>0</v>
      </c>
      <c r="S77" s="55">
        <f t="shared" si="378"/>
        <v>0</v>
      </c>
      <c r="T77" s="59">
        <f t="shared" si="379"/>
        <v>0</v>
      </c>
      <c r="U77" s="57">
        <f t="shared" si="380"/>
        <v>0</v>
      </c>
      <c r="V77" s="59">
        <f t="shared" si="381"/>
        <v>0</v>
      </c>
      <c r="W77" s="60">
        <f t="shared" si="382"/>
        <v>0</v>
      </c>
      <c r="X77" s="59">
        <f t="shared" si="383"/>
        <v>0</v>
      </c>
      <c r="Y77" s="57">
        <f t="shared" si="384"/>
        <v>0</v>
      </c>
      <c r="Z77" s="59">
        <f t="shared" si="385"/>
        <v>0</v>
      </c>
      <c r="AA77" s="55">
        <f t="shared" si="386"/>
        <v>0</v>
      </c>
      <c r="AB77" s="59">
        <f t="shared" si="387"/>
        <v>0</v>
      </c>
      <c r="AC77" s="60">
        <f t="shared" si="388"/>
        <v>0</v>
      </c>
      <c r="AD77" s="59">
        <f t="shared" si="389"/>
        <v>0</v>
      </c>
      <c r="AE77" s="60">
        <f t="shared" si="390"/>
        <v>0</v>
      </c>
      <c r="AF77" s="59">
        <f t="shared" si="391"/>
        <v>0</v>
      </c>
      <c r="AG77" s="60">
        <f t="shared" si="392"/>
        <v>0</v>
      </c>
      <c r="AH77" s="59">
        <f t="shared" si="393"/>
        <v>0</v>
      </c>
      <c r="AI77" s="55">
        <f t="shared" si="394"/>
        <v>0</v>
      </c>
      <c r="AJ77" s="59">
        <f t="shared" si="395"/>
        <v>0</v>
      </c>
      <c r="AK77" s="60">
        <f t="shared" si="396"/>
        <v>0</v>
      </c>
      <c r="AL77" s="59">
        <f t="shared" si="397"/>
        <v>0</v>
      </c>
      <c r="AM77" s="60">
        <f t="shared" si="398"/>
        <v>0</v>
      </c>
      <c r="AN77" s="59">
        <f t="shared" si="399"/>
        <v>0</v>
      </c>
      <c r="AO77" s="60">
        <f t="shared" si="400"/>
        <v>0</v>
      </c>
      <c r="AP77" s="59">
        <f t="shared" si="401"/>
        <v>0</v>
      </c>
      <c r="AQ77" s="60">
        <f t="shared" si="402"/>
        <v>0</v>
      </c>
      <c r="AR77" s="59">
        <f t="shared" si="403"/>
        <v>0</v>
      </c>
      <c r="AS77" s="55">
        <f t="shared" si="404"/>
        <v>0</v>
      </c>
      <c r="AT77" s="59">
        <f t="shared" si="405"/>
        <v>0</v>
      </c>
      <c r="AU77" s="60">
        <f t="shared" si="406"/>
        <v>0</v>
      </c>
      <c r="AV77" s="59">
        <f t="shared" si="407"/>
        <v>0</v>
      </c>
      <c r="AW77" s="60">
        <f t="shared" si="408"/>
        <v>0</v>
      </c>
      <c r="AX77" s="59">
        <f t="shared" si="409"/>
        <v>0</v>
      </c>
      <c r="AY77" s="55">
        <f t="shared" si="410"/>
        <v>0</v>
      </c>
      <c r="AZ77" s="59">
        <f t="shared" si="411"/>
        <v>0</v>
      </c>
      <c r="BC77" s="55">
        <v>1</v>
      </c>
      <c r="BD77" s="55">
        <v>0.97</v>
      </c>
      <c r="BE77" s="55">
        <v>0.95</v>
      </c>
      <c r="BF77" s="55">
        <v>0.93</v>
      </c>
      <c r="BG77" s="55">
        <f t="shared" si="412"/>
        <v>0.91</v>
      </c>
      <c r="BH77" s="55">
        <f t="shared" si="412"/>
        <v>0.89</v>
      </c>
      <c r="BI77" s="55">
        <f t="shared" si="412"/>
        <v>0.87</v>
      </c>
      <c r="BJ77" s="55">
        <f t="shared" si="412"/>
        <v>0.85</v>
      </c>
      <c r="BK77" s="55">
        <f t="shared" si="412"/>
        <v>0.83</v>
      </c>
      <c r="BL77" s="55">
        <f t="shared" si="412"/>
        <v>0.80999999999999994</v>
      </c>
      <c r="BM77" s="55">
        <f t="shared" si="412"/>
        <v>0.78999999999999992</v>
      </c>
      <c r="BN77" s="55">
        <f t="shared" si="412"/>
        <v>0.76999999999999991</v>
      </c>
      <c r="BO77" s="55">
        <f t="shared" si="412"/>
        <v>0.74999999999999989</v>
      </c>
      <c r="BP77" s="55">
        <f t="shared" si="412"/>
        <v>0.72999999999999987</v>
      </c>
      <c r="BQ77" s="55">
        <f t="shared" si="412"/>
        <v>0.70999999999999985</v>
      </c>
      <c r="BR77" s="55">
        <f t="shared" si="412"/>
        <v>0.68999999999999984</v>
      </c>
      <c r="BS77" s="55">
        <f t="shared" si="412"/>
        <v>0.66999999999999982</v>
      </c>
      <c r="BT77" s="55">
        <f t="shared" si="412"/>
        <v>0.6499999999999998</v>
      </c>
      <c r="BU77" s="55">
        <f t="shared" si="412"/>
        <v>0.62999999999999978</v>
      </c>
      <c r="BV77" s="55">
        <f t="shared" si="412"/>
        <v>0.60999999999999976</v>
      </c>
      <c r="BW77" s="55">
        <f t="shared" si="412"/>
        <v>0.58999999999999975</v>
      </c>
      <c r="BX77" s="55">
        <f t="shared" si="412"/>
        <v>0.56999999999999973</v>
      </c>
      <c r="BZ77" s="55">
        <f t="shared" si="88"/>
        <v>0</v>
      </c>
      <c r="CA77" s="55">
        <f t="shared" si="89"/>
        <v>0</v>
      </c>
      <c r="CB77" s="59">
        <f t="shared" si="413"/>
        <v>0</v>
      </c>
      <c r="CC77" s="55">
        <f t="shared" si="414"/>
        <v>0</v>
      </c>
      <c r="CD77" s="59">
        <f t="shared" si="415"/>
        <v>0</v>
      </c>
      <c r="CE77" s="55">
        <f t="shared" si="416"/>
        <v>0</v>
      </c>
      <c r="CF77" s="59">
        <f t="shared" si="417"/>
        <v>0</v>
      </c>
      <c r="CG77" s="55">
        <f t="shared" si="418"/>
        <v>0</v>
      </c>
      <c r="CH77" s="59">
        <f t="shared" si="419"/>
        <v>0</v>
      </c>
      <c r="CI77" s="57">
        <f t="shared" si="420"/>
        <v>0</v>
      </c>
      <c r="CJ77" s="59">
        <f t="shared" si="421"/>
        <v>0</v>
      </c>
      <c r="CK77" s="55">
        <f t="shared" si="422"/>
        <v>0</v>
      </c>
      <c r="CL77" s="59">
        <f t="shared" si="423"/>
        <v>0</v>
      </c>
      <c r="CM77" s="57">
        <f t="shared" si="424"/>
        <v>0</v>
      </c>
      <c r="CN77" s="59">
        <f t="shared" si="425"/>
        <v>0</v>
      </c>
      <c r="CO77" s="60">
        <f t="shared" si="426"/>
        <v>0</v>
      </c>
      <c r="CP77" s="59">
        <f t="shared" si="427"/>
        <v>0</v>
      </c>
      <c r="CQ77" s="57">
        <f t="shared" si="428"/>
        <v>0</v>
      </c>
      <c r="CR77" s="59">
        <f t="shared" si="429"/>
        <v>0</v>
      </c>
      <c r="CS77" s="55">
        <f t="shared" si="430"/>
        <v>0</v>
      </c>
      <c r="CT77" s="59">
        <f t="shared" si="431"/>
        <v>0</v>
      </c>
      <c r="CU77" s="60">
        <f t="shared" si="432"/>
        <v>0</v>
      </c>
      <c r="CV77" s="59">
        <f t="shared" si="433"/>
        <v>0</v>
      </c>
      <c r="CW77" s="60">
        <f t="shared" si="434"/>
        <v>0</v>
      </c>
      <c r="CX77" s="59">
        <f t="shared" si="435"/>
        <v>0</v>
      </c>
      <c r="CY77" s="60">
        <f t="shared" si="436"/>
        <v>0</v>
      </c>
      <c r="CZ77" s="59">
        <f t="shared" si="437"/>
        <v>0</v>
      </c>
      <c r="DA77" s="55">
        <f t="shared" si="438"/>
        <v>0</v>
      </c>
      <c r="DB77" s="59">
        <f t="shared" si="439"/>
        <v>0</v>
      </c>
      <c r="DC77" s="60">
        <f t="shared" si="440"/>
        <v>0</v>
      </c>
      <c r="DD77" s="59">
        <f t="shared" si="441"/>
        <v>0</v>
      </c>
      <c r="DE77" s="60">
        <f t="shared" si="442"/>
        <v>0</v>
      </c>
      <c r="DF77" s="59">
        <f t="shared" si="443"/>
        <v>0</v>
      </c>
      <c r="DG77" s="60">
        <f t="shared" si="444"/>
        <v>0</v>
      </c>
      <c r="DH77" s="59">
        <f t="shared" si="445"/>
        <v>0</v>
      </c>
      <c r="DI77" s="60">
        <f t="shared" si="446"/>
        <v>0</v>
      </c>
      <c r="DJ77" s="59">
        <f t="shared" si="447"/>
        <v>0</v>
      </c>
      <c r="DK77" s="55">
        <f t="shared" si="448"/>
        <v>0</v>
      </c>
      <c r="DL77" s="59">
        <f t="shared" si="449"/>
        <v>0</v>
      </c>
      <c r="DM77" s="60">
        <f t="shared" si="450"/>
        <v>0</v>
      </c>
      <c r="DN77" s="59">
        <f t="shared" si="451"/>
        <v>0</v>
      </c>
      <c r="DO77" s="60">
        <f t="shared" si="452"/>
        <v>0</v>
      </c>
      <c r="DP77" s="59">
        <f t="shared" si="453"/>
        <v>0</v>
      </c>
      <c r="DQ77" s="55">
        <f t="shared" si="454"/>
        <v>0</v>
      </c>
      <c r="DR77" s="59">
        <f t="shared" si="455"/>
        <v>0</v>
      </c>
      <c r="DU77" s="55">
        <v>1</v>
      </c>
      <c r="DV77" s="55">
        <v>0.97</v>
      </c>
      <c r="DW77" s="55">
        <v>0.95</v>
      </c>
      <c r="DX77" s="55">
        <v>0.93</v>
      </c>
      <c r="DY77" s="55">
        <f t="shared" si="501"/>
        <v>0.91</v>
      </c>
      <c r="DZ77" s="55">
        <f t="shared" si="501"/>
        <v>0.89</v>
      </c>
      <c r="EA77" s="55">
        <f t="shared" si="501"/>
        <v>0.87</v>
      </c>
      <c r="EB77" s="55">
        <f t="shared" si="501"/>
        <v>0.85</v>
      </c>
      <c r="EC77" s="55">
        <f t="shared" si="501"/>
        <v>0.83</v>
      </c>
      <c r="ED77" s="55">
        <f t="shared" si="501"/>
        <v>0.80999999999999994</v>
      </c>
      <c r="EE77" s="55">
        <f t="shared" si="501"/>
        <v>0.78999999999999992</v>
      </c>
      <c r="EF77" s="55">
        <f t="shared" si="501"/>
        <v>0.76999999999999991</v>
      </c>
      <c r="EG77" s="55">
        <f t="shared" si="501"/>
        <v>0.74999999999999989</v>
      </c>
      <c r="EH77" s="55">
        <f t="shared" si="501"/>
        <v>0.72999999999999987</v>
      </c>
      <c r="EI77" s="55">
        <f t="shared" si="501"/>
        <v>0.70999999999999985</v>
      </c>
      <c r="EJ77" s="55">
        <f t="shared" si="501"/>
        <v>0.68999999999999984</v>
      </c>
      <c r="EK77" s="55">
        <f t="shared" si="501"/>
        <v>0.66999999999999982</v>
      </c>
      <c r="EL77" s="55">
        <f t="shared" si="501"/>
        <v>0.6499999999999998</v>
      </c>
      <c r="EM77" s="55">
        <f t="shared" si="501"/>
        <v>0.62999999999999978</v>
      </c>
      <c r="EN77" s="55">
        <f t="shared" si="501"/>
        <v>0.60999999999999976</v>
      </c>
      <c r="EO77" s="55">
        <f t="shared" si="501"/>
        <v>0.58999999999999975</v>
      </c>
      <c r="EP77" s="55">
        <f t="shared" si="501"/>
        <v>0.56999999999999973</v>
      </c>
      <c r="ER77" s="55">
        <f t="shared" si="142"/>
        <v>0</v>
      </c>
      <c r="ES77" s="55">
        <f t="shared" si="116"/>
        <v>0</v>
      </c>
      <c r="ET77" s="59">
        <f t="shared" si="457"/>
        <v>0</v>
      </c>
      <c r="EU77" s="55">
        <f t="shared" si="458"/>
        <v>0</v>
      </c>
      <c r="EV77" s="59">
        <f t="shared" si="459"/>
        <v>0</v>
      </c>
      <c r="EW77" s="55">
        <f t="shared" si="460"/>
        <v>0</v>
      </c>
      <c r="EX77" s="59">
        <f t="shared" si="461"/>
        <v>0</v>
      </c>
      <c r="EY77" s="55">
        <f t="shared" si="462"/>
        <v>0</v>
      </c>
      <c r="EZ77" s="59">
        <f t="shared" si="463"/>
        <v>0</v>
      </c>
      <c r="FA77" s="57">
        <f t="shared" si="464"/>
        <v>0</v>
      </c>
      <c r="FB77" s="59">
        <f t="shared" si="465"/>
        <v>0</v>
      </c>
      <c r="FC77" s="55">
        <f t="shared" si="466"/>
        <v>0</v>
      </c>
      <c r="FD77" s="59">
        <f t="shared" si="467"/>
        <v>0</v>
      </c>
      <c r="FE77" s="57">
        <f t="shared" si="468"/>
        <v>0</v>
      </c>
      <c r="FF77" s="59">
        <f t="shared" si="469"/>
        <v>0</v>
      </c>
      <c r="FG77" s="60">
        <f t="shared" si="470"/>
        <v>0</v>
      </c>
      <c r="FH77" s="59">
        <f t="shared" si="471"/>
        <v>0</v>
      </c>
      <c r="FI77" s="57">
        <f t="shared" si="472"/>
        <v>0</v>
      </c>
      <c r="FJ77" s="59">
        <f t="shared" si="473"/>
        <v>0</v>
      </c>
      <c r="FK77" s="55">
        <f t="shared" si="474"/>
        <v>0</v>
      </c>
      <c r="FL77" s="59">
        <f t="shared" si="475"/>
        <v>0</v>
      </c>
      <c r="FM77" s="60">
        <f t="shared" si="476"/>
        <v>0</v>
      </c>
      <c r="FN77" s="59">
        <f t="shared" si="477"/>
        <v>0</v>
      </c>
      <c r="FO77" s="60">
        <f t="shared" si="478"/>
        <v>0</v>
      </c>
      <c r="FP77" s="59">
        <f t="shared" si="479"/>
        <v>0</v>
      </c>
      <c r="FQ77" s="60">
        <f t="shared" si="480"/>
        <v>0</v>
      </c>
      <c r="FR77" s="59">
        <f t="shared" si="481"/>
        <v>0</v>
      </c>
      <c r="FS77" s="55">
        <f t="shared" si="482"/>
        <v>0</v>
      </c>
      <c r="FT77" s="59">
        <f t="shared" si="483"/>
        <v>0</v>
      </c>
      <c r="FU77" s="60">
        <f t="shared" si="484"/>
        <v>0</v>
      </c>
      <c r="FV77" s="59">
        <f t="shared" si="485"/>
        <v>0</v>
      </c>
      <c r="FW77" s="60">
        <f t="shared" si="486"/>
        <v>0</v>
      </c>
      <c r="FX77" s="59">
        <f t="shared" si="487"/>
        <v>0</v>
      </c>
      <c r="FY77" s="60">
        <f t="shared" si="488"/>
        <v>0</v>
      </c>
      <c r="FZ77" s="59">
        <f t="shared" si="489"/>
        <v>0</v>
      </c>
      <c r="GA77" s="60">
        <f t="shared" si="490"/>
        <v>0</v>
      </c>
      <c r="GB77" s="59">
        <f t="shared" si="491"/>
        <v>0</v>
      </c>
      <c r="GC77" s="55">
        <f t="shared" si="492"/>
        <v>0</v>
      </c>
      <c r="GD77" s="59">
        <f t="shared" si="493"/>
        <v>0</v>
      </c>
      <c r="GE77" s="60">
        <f t="shared" si="494"/>
        <v>0</v>
      </c>
      <c r="GF77" s="59">
        <f t="shared" si="495"/>
        <v>0</v>
      </c>
      <c r="GG77" s="60">
        <f t="shared" si="496"/>
        <v>0</v>
      </c>
      <c r="GH77" s="59">
        <f t="shared" si="497"/>
        <v>0</v>
      </c>
      <c r="GI77" s="55">
        <f t="shared" si="498"/>
        <v>0</v>
      </c>
      <c r="GJ77" s="59">
        <f t="shared" si="499"/>
        <v>0</v>
      </c>
      <c r="GK77" s="55"/>
      <c r="GL77" s="55"/>
      <c r="GM77" s="55">
        <v>1</v>
      </c>
      <c r="GN77" s="55">
        <v>0.97</v>
      </c>
      <c r="GO77" s="55">
        <v>0.95</v>
      </c>
      <c r="GP77" s="55">
        <v>0.93</v>
      </c>
      <c r="GQ77" s="55">
        <f t="shared" si="502"/>
        <v>0.91</v>
      </c>
      <c r="GR77" s="55">
        <f t="shared" si="502"/>
        <v>0.89</v>
      </c>
      <c r="GS77" s="55">
        <f t="shared" si="502"/>
        <v>0.87</v>
      </c>
      <c r="GT77" s="55">
        <f t="shared" si="502"/>
        <v>0.85</v>
      </c>
      <c r="GU77" s="55">
        <f t="shared" si="502"/>
        <v>0.83</v>
      </c>
      <c r="GV77" s="55">
        <f t="shared" si="502"/>
        <v>0.80999999999999994</v>
      </c>
      <c r="GW77" s="55">
        <f t="shared" si="502"/>
        <v>0.78999999999999992</v>
      </c>
      <c r="GX77" s="55">
        <f t="shared" si="502"/>
        <v>0.76999999999999991</v>
      </c>
      <c r="GY77" s="55">
        <f t="shared" si="502"/>
        <v>0.74999999999999989</v>
      </c>
      <c r="GZ77" s="55">
        <f t="shared" si="502"/>
        <v>0.72999999999999987</v>
      </c>
      <c r="HA77" s="55">
        <f t="shared" si="502"/>
        <v>0.70999999999999985</v>
      </c>
      <c r="HB77" s="55">
        <f t="shared" si="502"/>
        <v>0.68999999999999984</v>
      </c>
      <c r="HC77" s="55">
        <f t="shared" si="502"/>
        <v>0.66999999999999982</v>
      </c>
      <c r="HD77" s="55">
        <f t="shared" si="502"/>
        <v>0.6499999999999998</v>
      </c>
      <c r="HE77" s="55">
        <f t="shared" si="502"/>
        <v>0.62999999999999978</v>
      </c>
      <c r="HF77" s="55">
        <f t="shared" si="502"/>
        <v>0.60999999999999976</v>
      </c>
      <c r="HG77" s="55">
        <f t="shared" si="502"/>
        <v>0.58999999999999975</v>
      </c>
      <c r="HH77" s="55">
        <f t="shared" si="502"/>
        <v>0.56999999999999973</v>
      </c>
    </row>
    <row r="78" spans="1:216" x14ac:dyDescent="0.3">
      <c r="A78" s="2">
        <v>10</v>
      </c>
      <c r="C78" s="38" t="s">
        <v>137</v>
      </c>
      <c r="D78" s="42">
        <v>0</v>
      </c>
      <c r="E78" s="71">
        <f t="shared" si="369"/>
        <v>0</v>
      </c>
      <c r="H78" s="55">
        <f t="shared" si="61"/>
        <v>0</v>
      </c>
      <c r="I78" s="55">
        <f t="shared" si="62"/>
        <v>0</v>
      </c>
      <c r="J78" s="59">
        <f t="shared" si="63"/>
        <v>0</v>
      </c>
      <c r="K78" s="55">
        <f t="shared" si="370"/>
        <v>0</v>
      </c>
      <c r="L78" s="59">
        <f t="shared" si="371"/>
        <v>0</v>
      </c>
      <c r="M78" s="55">
        <f t="shared" si="372"/>
        <v>0</v>
      </c>
      <c r="N78" s="59">
        <f t="shared" si="373"/>
        <v>0</v>
      </c>
      <c r="O78" s="55">
        <f t="shared" si="374"/>
        <v>0</v>
      </c>
      <c r="P78" s="59">
        <f t="shared" si="375"/>
        <v>0</v>
      </c>
      <c r="Q78" s="57">
        <f t="shared" si="376"/>
        <v>0</v>
      </c>
      <c r="R78" s="59">
        <f t="shared" si="377"/>
        <v>0</v>
      </c>
      <c r="S78" s="55">
        <f t="shared" si="378"/>
        <v>0</v>
      </c>
      <c r="T78" s="59">
        <f t="shared" si="379"/>
        <v>0</v>
      </c>
      <c r="U78" s="57">
        <f t="shared" si="380"/>
        <v>0</v>
      </c>
      <c r="V78" s="59">
        <f t="shared" si="381"/>
        <v>0</v>
      </c>
      <c r="W78" s="60">
        <f t="shared" si="382"/>
        <v>0</v>
      </c>
      <c r="X78" s="59">
        <f t="shared" si="383"/>
        <v>0</v>
      </c>
      <c r="Y78" s="57">
        <f t="shared" si="384"/>
        <v>0</v>
      </c>
      <c r="Z78" s="59">
        <f t="shared" si="385"/>
        <v>0</v>
      </c>
      <c r="AA78" s="55">
        <f t="shared" si="386"/>
        <v>0</v>
      </c>
      <c r="AB78" s="59">
        <f t="shared" si="387"/>
        <v>0</v>
      </c>
      <c r="AC78" s="60">
        <f t="shared" si="388"/>
        <v>0</v>
      </c>
      <c r="AD78" s="59">
        <f t="shared" si="389"/>
        <v>0</v>
      </c>
      <c r="AE78" s="60">
        <f t="shared" si="390"/>
        <v>0</v>
      </c>
      <c r="AF78" s="59">
        <f t="shared" si="391"/>
        <v>0</v>
      </c>
      <c r="AG78" s="60">
        <f t="shared" si="392"/>
        <v>0</v>
      </c>
      <c r="AH78" s="59">
        <f t="shared" si="393"/>
        <v>0</v>
      </c>
      <c r="AI78" s="55">
        <f t="shared" si="394"/>
        <v>0</v>
      </c>
      <c r="AJ78" s="59">
        <f t="shared" si="395"/>
        <v>0</v>
      </c>
      <c r="AK78" s="60">
        <f t="shared" si="396"/>
        <v>0</v>
      </c>
      <c r="AL78" s="59">
        <f t="shared" si="397"/>
        <v>0</v>
      </c>
      <c r="AM78" s="60">
        <f t="shared" si="398"/>
        <v>0</v>
      </c>
      <c r="AN78" s="59">
        <f t="shared" si="399"/>
        <v>0</v>
      </c>
      <c r="AO78" s="60">
        <f t="shared" si="400"/>
        <v>0</v>
      </c>
      <c r="AP78" s="59">
        <f t="shared" si="401"/>
        <v>0</v>
      </c>
      <c r="AQ78" s="60">
        <f t="shared" si="402"/>
        <v>0</v>
      </c>
      <c r="AR78" s="59">
        <f t="shared" si="403"/>
        <v>0</v>
      </c>
      <c r="AS78" s="55">
        <f t="shared" si="404"/>
        <v>0</v>
      </c>
      <c r="AT78" s="59">
        <f t="shared" si="405"/>
        <v>0</v>
      </c>
      <c r="AU78" s="60">
        <f t="shared" si="406"/>
        <v>0</v>
      </c>
      <c r="AV78" s="59">
        <f t="shared" si="407"/>
        <v>0</v>
      </c>
      <c r="AW78" s="60">
        <f t="shared" si="408"/>
        <v>0</v>
      </c>
      <c r="AX78" s="59">
        <f t="shared" si="409"/>
        <v>0</v>
      </c>
      <c r="AY78" s="55">
        <f t="shared" si="410"/>
        <v>0</v>
      </c>
      <c r="AZ78" s="59">
        <f t="shared" si="411"/>
        <v>0</v>
      </c>
      <c r="BC78" s="55">
        <v>1</v>
      </c>
      <c r="BD78" s="55">
        <v>0.97</v>
      </c>
      <c r="BE78" s="55">
        <v>0.95</v>
      </c>
      <c r="BF78" s="55">
        <v>0.93</v>
      </c>
      <c r="BG78" s="55">
        <f t="shared" si="412"/>
        <v>0.91</v>
      </c>
      <c r="BH78" s="55">
        <f t="shared" si="412"/>
        <v>0.89</v>
      </c>
      <c r="BI78" s="55">
        <f t="shared" si="412"/>
        <v>0.87</v>
      </c>
      <c r="BJ78" s="55">
        <f t="shared" si="412"/>
        <v>0.85</v>
      </c>
      <c r="BK78" s="55">
        <f t="shared" si="412"/>
        <v>0.83</v>
      </c>
      <c r="BL78" s="55">
        <f t="shared" si="412"/>
        <v>0.80999999999999994</v>
      </c>
      <c r="BM78" s="55">
        <f t="shared" si="412"/>
        <v>0.78999999999999992</v>
      </c>
      <c r="BN78" s="55">
        <f t="shared" si="412"/>
        <v>0.76999999999999991</v>
      </c>
      <c r="BO78" s="55">
        <f t="shared" si="412"/>
        <v>0.74999999999999989</v>
      </c>
      <c r="BP78" s="55">
        <f t="shared" si="412"/>
        <v>0.72999999999999987</v>
      </c>
      <c r="BQ78" s="55">
        <f t="shared" si="412"/>
        <v>0.70999999999999985</v>
      </c>
      <c r="BR78" s="55">
        <f t="shared" si="412"/>
        <v>0.68999999999999984</v>
      </c>
      <c r="BS78" s="55">
        <f t="shared" si="412"/>
        <v>0.66999999999999982</v>
      </c>
      <c r="BT78" s="55">
        <f t="shared" si="412"/>
        <v>0.6499999999999998</v>
      </c>
      <c r="BU78" s="55">
        <f t="shared" si="412"/>
        <v>0.62999999999999978</v>
      </c>
      <c r="BV78" s="55">
        <f t="shared" si="412"/>
        <v>0.60999999999999976</v>
      </c>
      <c r="BW78" s="55">
        <f t="shared" si="412"/>
        <v>0.58999999999999975</v>
      </c>
      <c r="BX78" s="55">
        <f t="shared" si="412"/>
        <v>0.56999999999999973</v>
      </c>
      <c r="BZ78" s="55">
        <f t="shared" si="88"/>
        <v>0</v>
      </c>
      <c r="CA78" s="55">
        <f t="shared" si="89"/>
        <v>0</v>
      </c>
      <c r="CB78" s="59">
        <f t="shared" si="413"/>
        <v>0</v>
      </c>
      <c r="CC78" s="55">
        <f t="shared" si="414"/>
        <v>0</v>
      </c>
      <c r="CD78" s="59">
        <f t="shared" si="415"/>
        <v>0</v>
      </c>
      <c r="CE78" s="55">
        <f t="shared" si="416"/>
        <v>0</v>
      </c>
      <c r="CF78" s="59">
        <f t="shared" si="417"/>
        <v>0</v>
      </c>
      <c r="CG78" s="55">
        <f t="shared" si="418"/>
        <v>0</v>
      </c>
      <c r="CH78" s="59">
        <f t="shared" si="419"/>
        <v>0</v>
      </c>
      <c r="CI78" s="57">
        <f t="shared" si="420"/>
        <v>0</v>
      </c>
      <c r="CJ78" s="59">
        <f t="shared" si="421"/>
        <v>0</v>
      </c>
      <c r="CK78" s="55">
        <f t="shared" si="422"/>
        <v>0</v>
      </c>
      <c r="CL78" s="59">
        <f t="shared" si="423"/>
        <v>0</v>
      </c>
      <c r="CM78" s="57">
        <f t="shared" si="424"/>
        <v>0</v>
      </c>
      <c r="CN78" s="59">
        <f t="shared" si="425"/>
        <v>0</v>
      </c>
      <c r="CO78" s="60">
        <f t="shared" si="426"/>
        <v>0</v>
      </c>
      <c r="CP78" s="59">
        <f t="shared" si="427"/>
        <v>0</v>
      </c>
      <c r="CQ78" s="57">
        <f t="shared" si="428"/>
        <v>0</v>
      </c>
      <c r="CR78" s="59">
        <f t="shared" si="429"/>
        <v>0</v>
      </c>
      <c r="CS78" s="55">
        <f t="shared" si="430"/>
        <v>0</v>
      </c>
      <c r="CT78" s="59">
        <f t="shared" si="431"/>
        <v>0</v>
      </c>
      <c r="CU78" s="60">
        <f t="shared" si="432"/>
        <v>0</v>
      </c>
      <c r="CV78" s="59">
        <f t="shared" si="433"/>
        <v>0</v>
      </c>
      <c r="CW78" s="60">
        <f t="shared" si="434"/>
        <v>0</v>
      </c>
      <c r="CX78" s="59">
        <f t="shared" si="435"/>
        <v>0</v>
      </c>
      <c r="CY78" s="60">
        <f t="shared" si="436"/>
        <v>0</v>
      </c>
      <c r="CZ78" s="59">
        <f t="shared" si="437"/>
        <v>0</v>
      </c>
      <c r="DA78" s="55">
        <f t="shared" si="438"/>
        <v>0</v>
      </c>
      <c r="DB78" s="59">
        <f t="shared" si="439"/>
        <v>0</v>
      </c>
      <c r="DC78" s="60">
        <f t="shared" si="440"/>
        <v>0</v>
      </c>
      <c r="DD78" s="59">
        <f t="shared" si="441"/>
        <v>0</v>
      </c>
      <c r="DE78" s="60">
        <f t="shared" si="442"/>
        <v>0</v>
      </c>
      <c r="DF78" s="59">
        <f t="shared" si="443"/>
        <v>0</v>
      </c>
      <c r="DG78" s="60">
        <f t="shared" si="444"/>
        <v>0</v>
      </c>
      <c r="DH78" s="59">
        <f t="shared" si="445"/>
        <v>0</v>
      </c>
      <c r="DI78" s="60">
        <f t="shared" si="446"/>
        <v>0</v>
      </c>
      <c r="DJ78" s="59">
        <f t="shared" si="447"/>
        <v>0</v>
      </c>
      <c r="DK78" s="55">
        <f t="shared" si="448"/>
        <v>0</v>
      </c>
      <c r="DL78" s="59">
        <f t="shared" si="449"/>
        <v>0</v>
      </c>
      <c r="DM78" s="60">
        <f t="shared" si="450"/>
        <v>0</v>
      </c>
      <c r="DN78" s="59">
        <f t="shared" si="451"/>
        <v>0</v>
      </c>
      <c r="DO78" s="60">
        <f t="shared" si="452"/>
        <v>0</v>
      </c>
      <c r="DP78" s="59">
        <f t="shared" si="453"/>
        <v>0</v>
      </c>
      <c r="DQ78" s="55">
        <f t="shared" si="454"/>
        <v>0</v>
      </c>
      <c r="DR78" s="59">
        <f t="shared" si="455"/>
        <v>0</v>
      </c>
      <c r="DU78" s="55">
        <v>1</v>
      </c>
      <c r="DV78" s="55">
        <v>0.97</v>
      </c>
      <c r="DW78" s="55">
        <v>0.95</v>
      </c>
      <c r="DX78" s="55">
        <v>0.93</v>
      </c>
      <c r="DY78" s="55">
        <f t="shared" si="501"/>
        <v>0.91</v>
      </c>
      <c r="DZ78" s="55">
        <f t="shared" si="501"/>
        <v>0.89</v>
      </c>
      <c r="EA78" s="55">
        <f t="shared" si="501"/>
        <v>0.87</v>
      </c>
      <c r="EB78" s="55">
        <f t="shared" si="501"/>
        <v>0.85</v>
      </c>
      <c r="EC78" s="55">
        <f t="shared" si="501"/>
        <v>0.83</v>
      </c>
      <c r="ED78" s="55">
        <f t="shared" si="501"/>
        <v>0.80999999999999994</v>
      </c>
      <c r="EE78" s="55">
        <f t="shared" si="501"/>
        <v>0.78999999999999992</v>
      </c>
      <c r="EF78" s="55">
        <f t="shared" si="501"/>
        <v>0.76999999999999991</v>
      </c>
      <c r="EG78" s="55">
        <f t="shared" si="501"/>
        <v>0.74999999999999989</v>
      </c>
      <c r="EH78" s="55">
        <f t="shared" si="501"/>
        <v>0.72999999999999987</v>
      </c>
      <c r="EI78" s="55">
        <f t="shared" si="501"/>
        <v>0.70999999999999985</v>
      </c>
      <c r="EJ78" s="55">
        <f t="shared" si="501"/>
        <v>0.68999999999999984</v>
      </c>
      <c r="EK78" s="55">
        <f t="shared" si="501"/>
        <v>0.66999999999999982</v>
      </c>
      <c r="EL78" s="55">
        <f t="shared" si="501"/>
        <v>0.6499999999999998</v>
      </c>
      <c r="EM78" s="55">
        <f t="shared" si="501"/>
        <v>0.62999999999999978</v>
      </c>
      <c r="EN78" s="55">
        <f t="shared" si="501"/>
        <v>0.60999999999999976</v>
      </c>
      <c r="EO78" s="55">
        <f t="shared" si="501"/>
        <v>0.58999999999999975</v>
      </c>
      <c r="EP78" s="55">
        <f t="shared" si="501"/>
        <v>0.56999999999999973</v>
      </c>
      <c r="ER78" s="55">
        <f t="shared" si="142"/>
        <v>0</v>
      </c>
      <c r="ES78" s="55">
        <f t="shared" si="116"/>
        <v>0</v>
      </c>
      <c r="ET78" s="59">
        <f t="shared" si="457"/>
        <v>0</v>
      </c>
      <c r="EU78" s="55">
        <f t="shared" si="458"/>
        <v>0</v>
      </c>
      <c r="EV78" s="59">
        <f t="shared" si="459"/>
        <v>0</v>
      </c>
      <c r="EW78" s="55">
        <f t="shared" si="460"/>
        <v>0</v>
      </c>
      <c r="EX78" s="59">
        <f t="shared" si="461"/>
        <v>0</v>
      </c>
      <c r="EY78" s="55">
        <f t="shared" si="462"/>
        <v>0</v>
      </c>
      <c r="EZ78" s="59">
        <f t="shared" si="463"/>
        <v>0</v>
      </c>
      <c r="FA78" s="57">
        <f t="shared" si="464"/>
        <v>0</v>
      </c>
      <c r="FB78" s="59">
        <f t="shared" si="465"/>
        <v>0</v>
      </c>
      <c r="FC78" s="55">
        <f t="shared" si="466"/>
        <v>0</v>
      </c>
      <c r="FD78" s="59">
        <f t="shared" si="467"/>
        <v>0</v>
      </c>
      <c r="FE78" s="57">
        <f t="shared" si="468"/>
        <v>0</v>
      </c>
      <c r="FF78" s="59">
        <f t="shared" si="469"/>
        <v>0</v>
      </c>
      <c r="FG78" s="60">
        <f t="shared" si="470"/>
        <v>0</v>
      </c>
      <c r="FH78" s="59">
        <f t="shared" si="471"/>
        <v>0</v>
      </c>
      <c r="FI78" s="57">
        <f t="shared" si="472"/>
        <v>0</v>
      </c>
      <c r="FJ78" s="59">
        <f t="shared" si="473"/>
        <v>0</v>
      </c>
      <c r="FK78" s="55">
        <f t="shared" si="474"/>
        <v>0</v>
      </c>
      <c r="FL78" s="59">
        <f t="shared" si="475"/>
        <v>0</v>
      </c>
      <c r="FM78" s="60">
        <f t="shared" si="476"/>
        <v>0</v>
      </c>
      <c r="FN78" s="59">
        <f t="shared" si="477"/>
        <v>0</v>
      </c>
      <c r="FO78" s="60">
        <f t="shared" si="478"/>
        <v>0</v>
      </c>
      <c r="FP78" s="59">
        <f t="shared" si="479"/>
        <v>0</v>
      </c>
      <c r="FQ78" s="60">
        <f t="shared" si="480"/>
        <v>0</v>
      </c>
      <c r="FR78" s="59">
        <f t="shared" si="481"/>
        <v>0</v>
      </c>
      <c r="FS78" s="55">
        <f t="shared" si="482"/>
        <v>0</v>
      </c>
      <c r="FT78" s="59">
        <f t="shared" si="483"/>
        <v>0</v>
      </c>
      <c r="FU78" s="60">
        <f t="shared" si="484"/>
        <v>0</v>
      </c>
      <c r="FV78" s="59">
        <f t="shared" si="485"/>
        <v>0</v>
      </c>
      <c r="FW78" s="60">
        <f t="shared" si="486"/>
        <v>0</v>
      </c>
      <c r="FX78" s="59">
        <f t="shared" si="487"/>
        <v>0</v>
      </c>
      <c r="FY78" s="60">
        <f t="shared" si="488"/>
        <v>0</v>
      </c>
      <c r="FZ78" s="59">
        <f t="shared" si="489"/>
        <v>0</v>
      </c>
      <c r="GA78" s="60">
        <f t="shared" si="490"/>
        <v>0</v>
      </c>
      <c r="GB78" s="59">
        <f t="shared" si="491"/>
        <v>0</v>
      </c>
      <c r="GC78" s="55">
        <f t="shared" si="492"/>
        <v>0</v>
      </c>
      <c r="GD78" s="59">
        <f t="shared" si="493"/>
        <v>0</v>
      </c>
      <c r="GE78" s="60">
        <f t="shared" si="494"/>
        <v>0</v>
      </c>
      <c r="GF78" s="59">
        <f t="shared" si="495"/>
        <v>0</v>
      </c>
      <c r="GG78" s="60">
        <f t="shared" si="496"/>
        <v>0</v>
      </c>
      <c r="GH78" s="59">
        <f t="shared" si="497"/>
        <v>0</v>
      </c>
      <c r="GI78" s="55">
        <f t="shared" si="498"/>
        <v>0</v>
      </c>
      <c r="GJ78" s="59">
        <f t="shared" si="499"/>
        <v>0</v>
      </c>
      <c r="GK78" s="55"/>
      <c r="GL78" s="55"/>
      <c r="GM78" s="55">
        <v>1</v>
      </c>
      <c r="GN78" s="55">
        <v>0.97</v>
      </c>
      <c r="GO78" s="55">
        <v>0.95</v>
      </c>
      <c r="GP78" s="55">
        <v>0.93</v>
      </c>
      <c r="GQ78" s="55">
        <f t="shared" si="502"/>
        <v>0.91</v>
      </c>
      <c r="GR78" s="55">
        <f t="shared" si="502"/>
        <v>0.89</v>
      </c>
      <c r="GS78" s="55">
        <f t="shared" si="502"/>
        <v>0.87</v>
      </c>
      <c r="GT78" s="55">
        <f t="shared" si="502"/>
        <v>0.85</v>
      </c>
      <c r="GU78" s="55">
        <f t="shared" si="502"/>
        <v>0.83</v>
      </c>
      <c r="GV78" s="55">
        <f t="shared" si="502"/>
        <v>0.80999999999999994</v>
      </c>
      <c r="GW78" s="55">
        <f t="shared" si="502"/>
        <v>0.78999999999999992</v>
      </c>
      <c r="GX78" s="55">
        <f t="shared" si="502"/>
        <v>0.76999999999999991</v>
      </c>
      <c r="GY78" s="55">
        <f t="shared" si="502"/>
        <v>0.74999999999999989</v>
      </c>
      <c r="GZ78" s="55">
        <f t="shared" si="502"/>
        <v>0.72999999999999987</v>
      </c>
      <c r="HA78" s="55">
        <f t="shared" si="502"/>
        <v>0.70999999999999985</v>
      </c>
      <c r="HB78" s="55">
        <f t="shared" si="502"/>
        <v>0.68999999999999984</v>
      </c>
      <c r="HC78" s="55">
        <f t="shared" si="502"/>
        <v>0.66999999999999982</v>
      </c>
      <c r="HD78" s="55">
        <f t="shared" si="502"/>
        <v>0.6499999999999998</v>
      </c>
      <c r="HE78" s="55">
        <f t="shared" si="502"/>
        <v>0.62999999999999978</v>
      </c>
      <c r="HF78" s="55">
        <f t="shared" si="502"/>
        <v>0.60999999999999976</v>
      </c>
      <c r="HG78" s="55">
        <f t="shared" si="502"/>
        <v>0.58999999999999975</v>
      </c>
      <c r="HH78" s="55">
        <f t="shared" si="502"/>
        <v>0.56999999999999973</v>
      </c>
    </row>
    <row r="79" spans="1:216" x14ac:dyDescent="0.3">
      <c r="A79" s="2">
        <v>11</v>
      </c>
      <c r="C79" s="38" t="s">
        <v>133</v>
      </c>
      <c r="D79" s="42">
        <v>0</v>
      </c>
      <c r="E79" s="71">
        <f t="shared" si="369"/>
        <v>0</v>
      </c>
      <c r="H79" s="55">
        <f t="shared" si="61"/>
        <v>0</v>
      </c>
      <c r="I79" s="55">
        <f t="shared" si="62"/>
        <v>0</v>
      </c>
      <c r="J79" s="59">
        <f t="shared" si="63"/>
        <v>0</v>
      </c>
      <c r="K79" s="55">
        <f t="shared" si="370"/>
        <v>0</v>
      </c>
      <c r="L79" s="59">
        <f t="shared" si="371"/>
        <v>0</v>
      </c>
      <c r="M79" s="55">
        <f t="shared" si="372"/>
        <v>0</v>
      </c>
      <c r="N79" s="59">
        <f t="shared" si="373"/>
        <v>0</v>
      </c>
      <c r="O79" s="55">
        <f t="shared" si="374"/>
        <v>0</v>
      </c>
      <c r="P79" s="59">
        <f t="shared" si="375"/>
        <v>0</v>
      </c>
      <c r="Q79" s="57">
        <f t="shared" si="376"/>
        <v>0</v>
      </c>
      <c r="R79" s="59">
        <f t="shared" si="377"/>
        <v>0</v>
      </c>
      <c r="S79" s="55">
        <f t="shared" si="378"/>
        <v>0</v>
      </c>
      <c r="T79" s="59">
        <f t="shared" si="379"/>
        <v>0</v>
      </c>
      <c r="U79" s="57">
        <f t="shared" si="380"/>
        <v>0</v>
      </c>
      <c r="V79" s="59">
        <f t="shared" si="381"/>
        <v>0</v>
      </c>
      <c r="W79" s="60">
        <f t="shared" si="382"/>
        <v>0</v>
      </c>
      <c r="X79" s="59">
        <f t="shared" si="383"/>
        <v>0</v>
      </c>
      <c r="Y79" s="57">
        <f t="shared" si="384"/>
        <v>0</v>
      </c>
      <c r="Z79" s="59">
        <f t="shared" si="385"/>
        <v>0</v>
      </c>
      <c r="AA79" s="55">
        <f t="shared" si="386"/>
        <v>0</v>
      </c>
      <c r="AB79" s="59">
        <f t="shared" si="387"/>
        <v>0</v>
      </c>
      <c r="AC79" s="60">
        <f t="shared" si="388"/>
        <v>0</v>
      </c>
      <c r="AD79" s="59">
        <f t="shared" si="389"/>
        <v>0</v>
      </c>
      <c r="AE79" s="60">
        <f t="shared" si="390"/>
        <v>0</v>
      </c>
      <c r="AF79" s="59">
        <f t="shared" si="391"/>
        <v>0</v>
      </c>
      <c r="AG79" s="60">
        <f t="shared" si="392"/>
        <v>0</v>
      </c>
      <c r="AH79" s="59">
        <f t="shared" si="393"/>
        <v>0</v>
      </c>
      <c r="AI79" s="55">
        <f t="shared" si="394"/>
        <v>0</v>
      </c>
      <c r="AJ79" s="59">
        <f t="shared" si="395"/>
        <v>0</v>
      </c>
      <c r="AK79" s="60">
        <f t="shared" si="396"/>
        <v>0</v>
      </c>
      <c r="AL79" s="59">
        <f t="shared" si="397"/>
        <v>0</v>
      </c>
      <c r="AM79" s="60">
        <f t="shared" si="398"/>
        <v>0</v>
      </c>
      <c r="AN79" s="59">
        <f t="shared" si="399"/>
        <v>0</v>
      </c>
      <c r="AO79" s="60">
        <f t="shared" si="400"/>
        <v>0</v>
      </c>
      <c r="AP79" s="59">
        <f t="shared" si="401"/>
        <v>0</v>
      </c>
      <c r="AQ79" s="60">
        <f t="shared" si="402"/>
        <v>0</v>
      </c>
      <c r="AR79" s="59">
        <f t="shared" si="403"/>
        <v>0</v>
      </c>
      <c r="AS79" s="55">
        <f t="shared" si="404"/>
        <v>0</v>
      </c>
      <c r="AT79" s="59">
        <f t="shared" si="405"/>
        <v>0</v>
      </c>
      <c r="AU79" s="60">
        <f t="shared" si="406"/>
        <v>0</v>
      </c>
      <c r="AV79" s="59">
        <f t="shared" si="407"/>
        <v>0</v>
      </c>
      <c r="AW79" s="60">
        <f t="shared" si="408"/>
        <v>0</v>
      </c>
      <c r="AX79" s="59">
        <f t="shared" si="409"/>
        <v>0</v>
      </c>
      <c r="AY79" s="55">
        <f t="shared" si="410"/>
        <v>0</v>
      </c>
      <c r="AZ79" s="59">
        <f t="shared" si="411"/>
        <v>0</v>
      </c>
      <c r="BC79" s="55">
        <v>1</v>
      </c>
      <c r="BD79" s="55">
        <v>0.97</v>
      </c>
      <c r="BE79" s="55">
        <v>0.95</v>
      </c>
      <c r="BF79" s="55">
        <v>0.93</v>
      </c>
      <c r="BG79" s="55">
        <f t="shared" si="412"/>
        <v>0.91</v>
      </c>
      <c r="BH79" s="55">
        <f t="shared" si="412"/>
        <v>0.89</v>
      </c>
      <c r="BI79" s="55">
        <f t="shared" si="412"/>
        <v>0.87</v>
      </c>
      <c r="BJ79" s="55">
        <f t="shared" si="412"/>
        <v>0.85</v>
      </c>
      <c r="BK79" s="55">
        <f t="shared" si="412"/>
        <v>0.83</v>
      </c>
      <c r="BL79" s="55">
        <f t="shared" si="412"/>
        <v>0.80999999999999994</v>
      </c>
      <c r="BM79" s="55">
        <f t="shared" si="412"/>
        <v>0.78999999999999992</v>
      </c>
      <c r="BN79" s="55">
        <f t="shared" si="412"/>
        <v>0.76999999999999991</v>
      </c>
      <c r="BO79" s="55">
        <f t="shared" si="412"/>
        <v>0.74999999999999989</v>
      </c>
      <c r="BP79" s="55">
        <f t="shared" si="412"/>
        <v>0.72999999999999987</v>
      </c>
      <c r="BQ79" s="55">
        <f t="shared" si="412"/>
        <v>0.70999999999999985</v>
      </c>
      <c r="BR79" s="55">
        <f t="shared" si="412"/>
        <v>0.68999999999999984</v>
      </c>
      <c r="BS79" s="55">
        <f t="shared" si="412"/>
        <v>0.66999999999999982</v>
      </c>
      <c r="BT79" s="55">
        <f t="shared" si="412"/>
        <v>0.6499999999999998</v>
      </c>
      <c r="BU79" s="55">
        <f t="shared" si="412"/>
        <v>0.62999999999999978</v>
      </c>
      <c r="BV79" s="55">
        <f t="shared" si="412"/>
        <v>0.60999999999999976</v>
      </c>
      <c r="BW79" s="55">
        <f t="shared" si="412"/>
        <v>0.58999999999999975</v>
      </c>
      <c r="BX79" s="55">
        <f t="shared" si="412"/>
        <v>0.56999999999999973</v>
      </c>
      <c r="BZ79" s="55">
        <f t="shared" si="88"/>
        <v>0</v>
      </c>
      <c r="CA79" s="55">
        <f t="shared" si="89"/>
        <v>0</v>
      </c>
      <c r="CB79" s="59">
        <f t="shared" si="413"/>
        <v>0</v>
      </c>
      <c r="CC79" s="55">
        <f t="shared" si="414"/>
        <v>0</v>
      </c>
      <c r="CD79" s="59">
        <f t="shared" si="415"/>
        <v>0</v>
      </c>
      <c r="CE79" s="55">
        <f t="shared" si="416"/>
        <v>0</v>
      </c>
      <c r="CF79" s="59">
        <f t="shared" si="417"/>
        <v>0</v>
      </c>
      <c r="CG79" s="55">
        <f t="shared" si="418"/>
        <v>0</v>
      </c>
      <c r="CH79" s="59">
        <f t="shared" si="419"/>
        <v>0</v>
      </c>
      <c r="CI79" s="57">
        <f t="shared" si="420"/>
        <v>0</v>
      </c>
      <c r="CJ79" s="59">
        <f t="shared" si="421"/>
        <v>0</v>
      </c>
      <c r="CK79" s="55">
        <f t="shared" si="422"/>
        <v>0</v>
      </c>
      <c r="CL79" s="59">
        <f t="shared" si="423"/>
        <v>0</v>
      </c>
      <c r="CM79" s="57">
        <f t="shared" si="424"/>
        <v>0</v>
      </c>
      <c r="CN79" s="59">
        <f t="shared" si="425"/>
        <v>0</v>
      </c>
      <c r="CO79" s="60">
        <f t="shared" si="426"/>
        <v>0</v>
      </c>
      <c r="CP79" s="59">
        <f t="shared" si="427"/>
        <v>0</v>
      </c>
      <c r="CQ79" s="57">
        <f t="shared" si="428"/>
        <v>0</v>
      </c>
      <c r="CR79" s="59">
        <f t="shared" si="429"/>
        <v>0</v>
      </c>
      <c r="CS79" s="55">
        <f t="shared" si="430"/>
        <v>0</v>
      </c>
      <c r="CT79" s="59">
        <f t="shared" si="431"/>
        <v>0</v>
      </c>
      <c r="CU79" s="60">
        <f t="shared" si="432"/>
        <v>0</v>
      </c>
      <c r="CV79" s="59">
        <f t="shared" si="433"/>
        <v>0</v>
      </c>
      <c r="CW79" s="60">
        <f t="shared" si="434"/>
        <v>0</v>
      </c>
      <c r="CX79" s="59">
        <f t="shared" si="435"/>
        <v>0</v>
      </c>
      <c r="CY79" s="60">
        <f t="shared" si="436"/>
        <v>0</v>
      </c>
      <c r="CZ79" s="59">
        <f t="shared" si="437"/>
        <v>0</v>
      </c>
      <c r="DA79" s="55">
        <f t="shared" si="438"/>
        <v>0</v>
      </c>
      <c r="DB79" s="59">
        <f t="shared" si="439"/>
        <v>0</v>
      </c>
      <c r="DC79" s="60">
        <f t="shared" si="440"/>
        <v>0</v>
      </c>
      <c r="DD79" s="59">
        <f t="shared" si="441"/>
        <v>0</v>
      </c>
      <c r="DE79" s="60">
        <f t="shared" si="442"/>
        <v>0</v>
      </c>
      <c r="DF79" s="59">
        <f t="shared" si="443"/>
        <v>0</v>
      </c>
      <c r="DG79" s="60">
        <f t="shared" si="444"/>
        <v>0</v>
      </c>
      <c r="DH79" s="59">
        <f t="shared" si="445"/>
        <v>0</v>
      </c>
      <c r="DI79" s="60">
        <f t="shared" si="446"/>
        <v>0</v>
      </c>
      <c r="DJ79" s="59">
        <f t="shared" si="447"/>
        <v>0</v>
      </c>
      <c r="DK79" s="55">
        <f t="shared" si="448"/>
        <v>0</v>
      </c>
      <c r="DL79" s="59">
        <f t="shared" si="449"/>
        <v>0</v>
      </c>
      <c r="DM79" s="60">
        <f t="shared" si="450"/>
        <v>0</v>
      </c>
      <c r="DN79" s="59">
        <f t="shared" si="451"/>
        <v>0</v>
      </c>
      <c r="DO79" s="60">
        <f t="shared" si="452"/>
        <v>0</v>
      </c>
      <c r="DP79" s="59">
        <f t="shared" si="453"/>
        <v>0</v>
      </c>
      <c r="DQ79" s="55">
        <f t="shared" si="454"/>
        <v>0</v>
      </c>
      <c r="DR79" s="59">
        <f t="shared" si="455"/>
        <v>0</v>
      </c>
      <c r="DU79" s="55">
        <v>1</v>
      </c>
      <c r="DV79" s="55">
        <v>0.97</v>
      </c>
      <c r="DW79" s="55">
        <v>0.95</v>
      </c>
      <c r="DX79" s="55">
        <v>0.93</v>
      </c>
      <c r="DY79" s="55">
        <f t="shared" si="501"/>
        <v>0.91</v>
      </c>
      <c r="DZ79" s="55">
        <f t="shared" si="501"/>
        <v>0.89</v>
      </c>
      <c r="EA79" s="55">
        <f t="shared" si="501"/>
        <v>0.87</v>
      </c>
      <c r="EB79" s="55">
        <f t="shared" si="501"/>
        <v>0.85</v>
      </c>
      <c r="EC79" s="55">
        <f t="shared" si="501"/>
        <v>0.83</v>
      </c>
      <c r="ED79" s="55">
        <f t="shared" si="501"/>
        <v>0.80999999999999994</v>
      </c>
      <c r="EE79" s="55">
        <f t="shared" si="501"/>
        <v>0.78999999999999992</v>
      </c>
      <c r="EF79" s="55">
        <f t="shared" si="501"/>
        <v>0.76999999999999991</v>
      </c>
      <c r="EG79" s="55">
        <f t="shared" si="501"/>
        <v>0.74999999999999989</v>
      </c>
      <c r="EH79" s="55">
        <f t="shared" si="501"/>
        <v>0.72999999999999987</v>
      </c>
      <c r="EI79" s="55">
        <f t="shared" si="501"/>
        <v>0.70999999999999985</v>
      </c>
      <c r="EJ79" s="55">
        <f t="shared" si="501"/>
        <v>0.68999999999999984</v>
      </c>
      <c r="EK79" s="55">
        <f t="shared" si="501"/>
        <v>0.66999999999999982</v>
      </c>
      <c r="EL79" s="55">
        <f t="shared" si="501"/>
        <v>0.6499999999999998</v>
      </c>
      <c r="EM79" s="55">
        <f t="shared" si="501"/>
        <v>0.62999999999999978</v>
      </c>
      <c r="EN79" s="55">
        <f t="shared" si="501"/>
        <v>0.60999999999999976</v>
      </c>
      <c r="EO79" s="55">
        <f t="shared" si="501"/>
        <v>0.58999999999999975</v>
      </c>
      <c r="EP79" s="55">
        <f t="shared" si="501"/>
        <v>0.56999999999999973</v>
      </c>
      <c r="ER79" s="55">
        <f t="shared" si="142"/>
        <v>0</v>
      </c>
      <c r="ES79" s="55">
        <f t="shared" si="116"/>
        <v>0</v>
      </c>
      <c r="ET79" s="59">
        <f t="shared" si="457"/>
        <v>0</v>
      </c>
      <c r="EU79" s="55">
        <f t="shared" si="458"/>
        <v>0</v>
      </c>
      <c r="EV79" s="59">
        <f t="shared" si="459"/>
        <v>0</v>
      </c>
      <c r="EW79" s="55">
        <f t="shared" si="460"/>
        <v>0</v>
      </c>
      <c r="EX79" s="59">
        <f t="shared" si="461"/>
        <v>0</v>
      </c>
      <c r="EY79" s="55">
        <f t="shared" si="462"/>
        <v>0</v>
      </c>
      <c r="EZ79" s="59">
        <f t="shared" si="463"/>
        <v>0</v>
      </c>
      <c r="FA79" s="57">
        <f t="shared" si="464"/>
        <v>0</v>
      </c>
      <c r="FB79" s="59">
        <f t="shared" si="465"/>
        <v>0</v>
      </c>
      <c r="FC79" s="55">
        <f t="shared" si="466"/>
        <v>0</v>
      </c>
      <c r="FD79" s="59">
        <f t="shared" si="467"/>
        <v>0</v>
      </c>
      <c r="FE79" s="57">
        <f t="shared" si="468"/>
        <v>0</v>
      </c>
      <c r="FF79" s="59">
        <f t="shared" si="469"/>
        <v>0</v>
      </c>
      <c r="FG79" s="60">
        <f t="shared" si="470"/>
        <v>0</v>
      </c>
      <c r="FH79" s="59">
        <f t="shared" si="471"/>
        <v>0</v>
      </c>
      <c r="FI79" s="57">
        <f t="shared" si="472"/>
        <v>0</v>
      </c>
      <c r="FJ79" s="59">
        <f t="shared" si="473"/>
        <v>0</v>
      </c>
      <c r="FK79" s="55">
        <f t="shared" si="474"/>
        <v>0</v>
      </c>
      <c r="FL79" s="59">
        <f t="shared" si="475"/>
        <v>0</v>
      </c>
      <c r="FM79" s="60">
        <f t="shared" si="476"/>
        <v>0</v>
      </c>
      <c r="FN79" s="59">
        <f t="shared" si="477"/>
        <v>0</v>
      </c>
      <c r="FO79" s="60">
        <f t="shared" si="478"/>
        <v>0</v>
      </c>
      <c r="FP79" s="59">
        <f t="shared" si="479"/>
        <v>0</v>
      </c>
      <c r="FQ79" s="60">
        <f t="shared" si="480"/>
        <v>0</v>
      </c>
      <c r="FR79" s="59">
        <f t="shared" si="481"/>
        <v>0</v>
      </c>
      <c r="FS79" s="55">
        <f t="shared" si="482"/>
        <v>0</v>
      </c>
      <c r="FT79" s="59">
        <f t="shared" si="483"/>
        <v>0</v>
      </c>
      <c r="FU79" s="60">
        <f t="shared" si="484"/>
        <v>0</v>
      </c>
      <c r="FV79" s="59">
        <f t="shared" si="485"/>
        <v>0</v>
      </c>
      <c r="FW79" s="60">
        <f t="shared" si="486"/>
        <v>0</v>
      </c>
      <c r="FX79" s="59">
        <f t="shared" si="487"/>
        <v>0</v>
      </c>
      <c r="FY79" s="60">
        <f t="shared" si="488"/>
        <v>0</v>
      </c>
      <c r="FZ79" s="59">
        <f t="shared" si="489"/>
        <v>0</v>
      </c>
      <c r="GA79" s="60">
        <f t="shared" si="490"/>
        <v>0</v>
      </c>
      <c r="GB79" s="59">
        <f t="shared" si="491"/>
        <v>0</v>
      </c>
      <c r="GC79" s="55">
        <f t="shared" si="492"/>
        <v>0</v>
      </c>
      <c r="GD79" s="59">
        <f t="shared" si="493"/>
        <v>0</v>
      </c>
      <c r="GE79" s="60">
        <f t="shared" si="494"/>
        <v>0</v>
      </c>
      <c r="GF79" s="59">
        <f t="shared" si="495"/>
        <v>0</v>
      </c>
      <c r="GG79" s="60">
        <f t="shared" si="496"/>
        <v>0</v>
      </c>
      <c r="GH79" s="59">
        <f t="shared" si="497"/>
        <v>0</v>
      </c>
      <c r="GI79" s="55">
        <f t="shared" si="498"/>
        <v>0</v>
      </c>
      <c r="GJ79" s="59">
        <f t="shared" si="499"/>
        <v>0</v>
      </c>
      <c r="GK79" s="55"/>
      <c r="GL79" s="55"/>
      <c r="GM79" s="55">
        <v>1</v>
      </c>
      <c r="GN79" s="55">
        <v>0.97</v>
      </c>
      <c r="GO79" s="55">
        <v>0.95</v>
      </c>
      <c r="GP79" s="55">
        <v>0.93</v>
      </c>
      <c r="GQ79" s="55">
        <f t="shared" si="502"/>
        <v>0.91</v>
      </c>
      <c r="GR79" s="55">
        <f t="shared" si="502"/>
        <v>0.89</v>
      </c>
      <c r="GS79" s="55">
        <f t="shared" si="502"/>
        <v>0.87</v>
      </c>
      <c r="GT79" s="55">
        <f t="shared" si="502"/>
        <v>0.85</v>
      </c>
      <c r="GU79" s="55">
        <f t="shared" si="502"/>
        <v>0.83</v>
      </c>
      <c r="GV79" s="55">
        <f t="shared" si="502"/>
        <v>0.80999999999999994</v>
      </c>
      <c r="GW79" s="55">
        <f t="shared" si="502"/>
        <v>0.78999999999999992</v>
      </c>
      <c r="GX79" s="55">
        <f t="shared" si="502"/>
        <v>0.76999999999999991</v>
      </c>
      <c r="GY79" s="55">
        <f t="shared" si="502"/>
        <v>0.74999999999999989</v>
      </c>
      <c r="GZ79" s="55">
        <f t="shared" si="502"/>
        <v>0.72999999999999987</v>
      </c>
      <c r="HA79" s="55">
        <f t="shared" si="502"/>
        <v>0.70999999999999985</v>
      </c>
      <c r="HB79" s="55">
        <f t="shared" si="502"/>
        <v>0.68999999999999984</v>
      </c>
      <c r="HC79" s="55">
        <f t="shared" si="502"/>
        <v>0.66999999999999982</v>
      </c>
      <c r="HD79" s="55">
        <f t="shared" si="502"/>
        <v>0.6499999999999998</v>
      </c>
      <c r="HE79" s="55">
        <f t="shared" si="502"/>
        <v>0.62999999999999978</v>
      </c>
      <c r="HF79" s="55">
        <f t="shared" si="502"/>
        <v>0.60999999999999976</v>
      </c>
      <c r="HG79" s="55">
        <f t="shared" si="502"/>
        <v>0.58999999999999975</v>
      </c>
      <c r="HH79" s="55">
        <f t="shared" si="502"/>
        <v>0.56999999999999973</v>
      </c>
    </row>
    <row r="80" spans="1:216" x14ac:dyDescent="0.3">
      <c r="A80" s="2">
        <v>12</v>
      </c>
      <c r="C80" s="38" t="s">
        <v>128</v>
      </c>
      <c r="D80" s="42">
        <v>0</v>
      </c>
      <c r="E80" s="71">
        <f t="shared" si="369"/>
        <v>0</v>
      </c>
      <c r="H80" s="55">
        <f t="shared" si="61"/>
        <v>0</v>
      </c>
      <c r="I80" s="55">
        <f t="shared" si="62"/>
        <v>0</v>
      </c>
      <c r="J80" s="59">
        <f t="shared" si="63"/>
        <v>0</v>
      </c>
      <c r="K80" s="55">
        <f t="shared" si="370"/>
        <v>0</v>
      </c>
      <c r="L80" s="59">
        <f t="shared" si="371"/>
        <v>0</v>
      </c>
      <c r="M80" s="55">
        <f t="shared" si="372"/>
        <v>0</v>
      </c>
      <c r="N80" s="59">
        <f t="shared" si="373"/>
        <v>0</v>
      </c>
      <c r="O80" s="55">
        <f t="shared" si="374"/>
        <v>0</v>
      </c>
      <c r="P80" s="59">
        <f t="shared" si="375"/>
        <v>0</v>
      </c>
      <c r="Q80" s="57">
        <f t="shared" si="376"/>
        <v>0</v>
      </c>
      <c r="R80" s="59">
        <f t="shared" si="377"/>
        <v>0</v>
      </c>
      <c r="S80" s="55">
        <f t="shared" si="378"/>
        <v>0</v>
      </c>
      <c r="T80" s="59">
        <f t="shared" si="379"/>
        <v>0</v>
      </c>
      <c r="U80" s="57">
        <f t="shared" si="380"/>
        <v>0</v>
      </c>
      <c r="V80" s="59">
        <f t="shared" si="381"/>
        <v>0</v>
      </c>
      <c r="W80" s="60">
        <f t="shared" si="382"/>
        <v>0</v>
      </c>
      <c r="X80" s="59">
        <f t="shared" si="383"/>
        <v>0</v>
      </c>
      <c r="Y80" s="57">
        <f t="shared" si="384"/>
        <v>0</v>
      </c>
      <c r="Z80" s="59">
        <f t="shared" si="385"/>
        <v>0</v>
      </c>
      <c r="AA80" s="55">
        <f t="shared" si="386"/>
        <v>0</v>
      </c>
      <c r="AB80" s="59">
        <f t="shared" si="387"/>
        <v>0</v>
      </c>
      <c r="AC80" s="60">
        <f t="shared" si="388"/>
        <v>0</v>
      </c>
      <c r="AD80" s="59">
        <f t="shared" si="389"/>
        <v>0</v>
      </c>
      <c r="AE80" s="60">
        <f t="shared" si="390"/>
        <v>0</v>
      </c>
      <c r="AF80" s="59">
        <f t="shared" si="391"/>
        <v>0</v>
      </c>
      <c r="AG80" s="60">
        <f t="shared" si="392"/>
        <v>0</v>
      </c>
      <c r="AH80" s="59">
        <f t="shared" si="393"/>
        <v>0</v>
      </c>
      <c r="AI80" s="55">
        <f t="shared" si="394"/>
        <v>0</v>
      </c>
      <c r="AJ80" s="59">
        <f t="shared" si="395"/>
        <v>0</v>
      </c>
      <c r="AK80" s="60">
        <f t="shared" si="396"/>
        <v>0</v>
      </c>
      <c r="AL80" s="59">
        <f t="shared" si="397"/>
        <v>0</v>
      </c>
      <c r="AM80" s="60">
        <f t="shared" si="398"/>
        <v>0</v>
      </c>
      <c r="AN80" s="59">
        <f t="shared" si="399"/>
        <v>0</v>
      </c>
      <c r="AO80" s="60">
        <f t="shared" si="400"/>
        <v>0</v>
      </c>
      <c r="AP80" s="59">
        <f t="shared" si="401"/>
        <v>0</v>
      </c>
      <c r="AQ80" s="60">
        <f t="shared" si="402"/>
        <v>0</v>
      </c>
      <c r="AR80" s="59">
        <f t="shared" si="403"/>
        <v>0</v>
      </c>
      <c r="AS80" s="55">
        <f t="shared" si="404"/>
        <v>0</v>
      </c>
      <c r="AT80" s="59">
        <f t="shared" si="405"/>
        <v>0</v>
      </c>
      <c r="AU80" s="60">
        <f t="shared" si="406"/>
        <v>0</v>
      </c>
      <c r="AV80" s="59">
        <f t="shared" si="407"/>
        <v>0</v>
      </c>
      <c r="AW80" s="60">
        <f t="shared" si="408"/>
        <v>0</v>
      </c>
      <c r="AX80" s="59">
        <f t="shared" si="409"/>
        <v>0</v>
      </c>
      <c r="AY80" s="55">
        <f t="shared" si="410"/>
        <v>0</v>
      </c>
      <c r="AZ80" s="59">
        <f t="shared" si="411"/>
        <v>0</v>
      </c>
      <c r="BC80" s="55">
        <v>1</v>
      </c>
      <c r="BD80" s="55">
        <v>0.97</v>
      </c>
      <c r="BE80" s="55">
        <v>0.95</v>
      </c>
      <c r="BF80" s="55">
        <v>0.93</v>
      </c>
      <c r="BG80" s="55">
        <f t="shared" si="412"/>
        <v>0.91</v>
      </c>
      <c r="BH80" s="55">
        <f t="shared" si="412"/>
        <v>0.89</v>
      </c>
      <c r="BI80" s="55">
        <f t="shared" si="412"/>
        <v>0.87</v>
      </c>
      <c r="BJ80" s="55">
        <f t="shared" si="412"/>
        <v>0.85</v>
      </c>
      <c r="BK80" s="55">
        <f t="shared" si="412"/>
        <v>0.83</v>
      </c>
      <c r="BL80" s="55">
        <f t="shared" si="412"/>
        <v>0.80999999999999994</v>
      </c>
      <c r="BM80" s="55">
        <f t="shared" si="412"/>
        <v>0.78999999999999992</v>
      </c>
      <c r="BN80" s="55">
        <f t="shared" si="412"/>
        <v>0.76999999999999991</v>
      </c>
      <c r="BO80" s="55">
        <f t="shared" si="412"/>
        <v>0.74999999999999989</v>
      </c>
      <c r="BP80" s="55">
        <f t="shared" si="412"/>
        <v>0.72999999999999987</v>
      </c>
      <c r="BQ80" s="55">
        <f t="shared" si="412"/>
        <v>0.70999999999999985</v>
      </c>
      <c r="BR80" s="55">
        <f t="shared" si="412"/>
        <v>0.68999999999999984</v>
      </c>
      <c r="BS80" s="55">
        <f t="shared" si="412"/>
        <v>0.66999999999999982</v>
      </c>
      <c r="BT80" s="55">
        <f t="shared" si="412"/>
        <v>0.6499999999999998</v>
      </c>
      <c r="BU80" s="55">
        <f t="shared" si="412"/>
        <v>0.62999999999999978</v>
      </c>
      <c r="BV80" s="55">
        <f t="shared" si="412"/>
        <v>0.60999999999999976</v>
      </c>
      <c r="BW80" s="55">
        <f t="shared" si="412"/>
        <v>0.58999999999999975</v>
      </c>
      <c r="BX80" s="55">
        <f t="shared" si="412"/>
        <v>0.56999999999999973</v>
      </c>
      <c r="BZ80" s="55">
        <f t="shared" si="88"/>
        <v>0</v>
      </c>
      <c r="CA80" s="55">
        <f t="shared" si="89"/>
        <v>0</v>
      </c>
      <c r="CB80" s="59">
        <f t="shared" si="413"/>
        <v>0</v>
      </c>
      <c r="CC80" s="55">
        <f t="shared" si="414"/>
        <v>0</v>
      </c>
      <c r="CD80" s="59">
        <f t="shared" si="415"/>
        <v>0</v>
      </c>
      <c r="CE80" s="55">
        <f t="shared" si="416"/>
        <v>0</v>
      </c>
      <c r="CF80" s="59">
        <f t="shared" si="417"/>
        <v>0</v>
      </c>
      <c r="CG80" s="55">
        <f t="shared" si="418"/>
        <v>0</v>
      </c>
      <c r="CH80" s="59">
        <f t="shared" si="419"/>
        <v>0</v>
      </c>
      <c r="CI80" s="57">
        <f t="shared" si="420"/>
        <v>0</v>
      </c>
      <c r="CJ80" s="59">
        <f t="shared" si="421"/>
        <v>0</v>
      </c>
      <c r="CK80" s="55">
        <f t="shared" si="422"/>
        <v>0</v>
      </c>
      <c r="CL80" s="59">
        <f t="shared" si="423"/>
        <v>0</v>
      </c>
      <c r="CM80" s="57">
        <f t="shared" si="424"/>
        <v>0</v>
      </c>
      <c r="CN80" s="59">
        <f t="shared" si="425"/>
        <v>0</v>
      </c>
      <c r="CO80" s="60">
        <f t="shared" si="426"/>
        <v>0</v>
      </c>
      <c r="CP80" s="59">
        <f t="shared" si="427"/>
        <v>0</v>
      </c>
      <c r="CQ80" s="57">
        <f t="shared" si="428"/>
        <v>0</v>
      </c>
      <c r="CR80" s="59">
        <f t="shared" si="429"/>
        <v>0</v>
      </c>
      <c r="CS80" s="55">
        <f t="shared" si="430"/>
        <v>0</v>
      </c>
      <c r="CT80" s="59">
        <f t="shared" si="431"/>
        <v>0</v>
      </c>
      <c r="CU80" s="60">
        <f t="shared" si="432"/>
        <v>0</v>
      </c>
      <c r="CV80" s="59">
        <f t="shared" si="433"/>
        <v>0</v>
      </c>
      <c r="CW80" s="60">
        <f t="shared" si="434"/>
        <v>0</v>
      </c>
      <c r="CX80" s="59">
        <f t="shared" si="435"/>
        <v>0</v>
      </c>
      <c r="CY80" s="60">
        <f t="shared" si="436"/>
        <v>0</v>
      </c>
      <c r="CZ80" s="59">
        <f t="shared" si="437"/>
        <v>0</v>
      </c>
      <c r="DA80" s="55">
        <f t="shared" si="438"/>
        <v>0</v>
      </c>
      <c r="DB80" s="59">
        <f t="shared" si="439"/>
        <v>0</v>
      </c>
      <c r="DC80" s="60">
        <f t="shared" si="440"/>
        <v>0</v>
      </c>
      <c r="DD80" s="59">
        <f t="shared" si="441"/>
        <v>0</v>
      </c>
      <c r="DE80" s="60">
        <f t="shared" si="442"/>
        <v>0</v>
      </c>
      <c r="DF80" s="59">
        <f t="shared" si="443"/>
        <v>0</v>
      </c>
      <c r="DG80" s="60">
        <f t="shared" si="444"/>
        <v>0</v>
      </c>
      <c r="DH80" s="59">
        <f t="shared" si="445"/>
        <v>0</v>
      </c>
      <c r="DI80" s="60">
        <f t="shared" si="446"/>
        <v>0</v>
      </c>
      <c r="DJ80" s="59">
        <f t="shared" si="447"/>
        <v>0</v>
      </c>
      <c r="DK80" s="55">
        <f t="shared" si="448"/>
        <v>0</v>
      </c>
      <c r="DL80" s="59">
        <f t="shared" si="449"/>
        <v>0</v>
      </c>
      <c r="DM80" s="60">
        <f t="shared" si="450"/>
        <v>0</v>
      </c>
      <c r="DN80" s="59">
        <f t="shared" si="451"/>
        <v>0</v>
      </c>
      <c r="DO80" s="60">
        <f t="shared" si="452"/>
        <v>0</v>
      </c>
      <c r="DP80" s="59">
        <f t="shared" si="453"/>
        <v>0</v>
      </c>
      <c r="DQ80" s="55">
        <f t="shared" si="454"/>
        <v>0</v>
      </c>
      <c r="DR80" s="59">
        <f t="shared" si="455"/>
        <v>0</v>
      </c>
      <c r="DU80" s="55">
        <v>1</v>
      </c>
      <c r="DV80" s="55">
        <v>0.97</v>
      </c>
      <c r="DW80" s="55">
        <v>0.95</v>
      </c>
      <c r="DX80" s="55">
        <v>0.93</v>
      </c>
      <c r="DY80" s="55">
        <f t="shared" si="501"/>
        <v>0.91</v>
      </c>
      <c r="DZ80" s="55">
        <f t="shared" si="501"/>
        <v>0.89</v>
      </c>
      <c r="EA80" s="55">
        <f t="shared" si="501"/>
        <v>0.87</v>
      </c>
      <c r="EB80" s="55">
        <f t="shared" si="501"/>
        <v>0.85</v>
      </c>
      <c r="EC80" s="55">
        <f t="shared" si="501"/>
        <v>0.83</v>
      </c>
      <c r="ED80" s="55">
        <f t="shared" si="501"/>
        <v>0.80999999999999994</v>
      </c>
      <c r="EE80" s="55">
        <f t="shared" si="501"/>
        <v>0.78999999999999992</v>
      </c>
      <c r="EF80" s="55">
        <f t="shared" si="501"/>
        <v>0.76999999999999991</v>
      </c>
      <c r="EG80" s="55">
        <f t="shared" si="501"/>
        <v>0.74999999999999989</v>
      </c>
      <c r="EH80" s="55">
        <f t="shared" si="501"/>
        <v>0.72999999999999987</v>
      </c>
      <c r="EI80" s="55">
        <f t="shared" si="501"/>
        <v>0.70999999999999985</v>
      </c>
      <c r="EJ80" s="55">
        <f t="shared" si="501"/>
        <v>0.68999999999999984</v>
      </c>
      <c r="EK80" s="55">
        <f t="shared" si="501"/>
        <v>0.66999999999999982</v>
      </c>
      <c r="EL80" s="55">
        <f t="shared" si="501"/>
        <v>0.6499999999999998</v>
      </c>
      <c r="EM80" s="55">
        <f t="shared" si="501"/>
        <v>0.62999999999999978</v>
      </c>
      <c r="EN80" s="55">
        <f t="shared" si="501"/>
        <v>0.60999999999999976</v>
      </c>
      <c r="EO80" s="55">
        <f t="shared" si="501"/>
        <v>0.58999999999999975</v>
      </c>
      <c r="EP80" s="55">
        <f t="shared" si="501"/>
        <v>0.56999999999999973</v>
      </c>
      <c r="ER80" s="55">
        <f t="shared" si="142"/>
        <v>0</v>
      </c>
      <c r="ES80" s="55">
        <f t="shared" si="116"/>
        <v>0</v>
      </c>
      <c r="ET80" s="59">
        <f t="shared" si="457"/>
        <v>0</v>
      </c>
      <c r="EU80" s="55">
        <f t="shared" si="458"/>
        <v>0</v>
      </c>
      <c r="EV80" s="59">
        <f t="shared" si="459"/>
        <v>0</v>
      </c>
      <c r="EW80" s="55">
        <f t="shared" si="460"/>
        <v>0</v>
      </c>
      <c r="EX80" s="59">
        <f t="shared" si="461"/>
        <v>0</v>
      </c>
      <c r="EY80" s="55">
        <f t="shared" si="462"/>
        <v>0</v>
      </c>
      <c r="EZ80" s="59">
        <f t="shared" si="463"/>
        <v>0</v>
      </c>
      <c r="FA80" s="57">
        <f t="shared" si="464"/>
        <v>0</v>
      </c>
      <c r="FB80" s="59">
        <f t="shared" si="465"/>
        <v>0</v>
      </c>
      <c r="FC80" s="55">
        <f t="shared" si="466"/>
        <v>0</v>
      </c>
      <c r="FD80" s="59">
        <f t="shared" si="467"/>
        <v>0</v>
      </c>
      <c r="FE80" s="57">
        <f t="shared" si="468"/>
        <v>0</v>
      </c>
      <c r="FF80" s="59">
        <f t="shared" si="469"/>
        <v>0</v>
      </c>
      <c r="FG80" s="60">
        <f t="shared" si="470"/>
        <v>0</v>
      </c>
      <c r="FH80" s="59">
        <f t="shared" si="471"/>
        <v>0</v>
      </c>
      <c r="FI80" s="57">
        <f t="shared" si="472"/>
        <v>0</v>
      </c>
      <c r="FJ80" s="59">
        <f t="shared" si="473"/>
        <v>0</v>
      </c>
      <c r="FK80" s="55">
        <f t="shared" si="474"/>
        <v>0</v>
      </c>
      <c r="FL80" s="59">
        <f t="shared" si="475"/>
        <v>0</v>
      </c>
      <c r="FM80" s="60">
        <f t="shared" si="476"/>
        <v>0</v>
      </c>
      <c r="FN80" s="59">
        <f t="shared" si="477"/>
        <v>0</v>
      </c>
      <c r="FO80" s="60">
        <f t="shared" si="478"/>
        <v>0</v>
      </c>
      <c r="FP80" s="59">
        <f t="shared" si="479"/>
        <v>0</v>
      </c>
      <c r="FQ80" s="60">
        <f t="shared" si="480"/>
        <v>0</v>
      </c>
      <c r="FR80" s="59">
        <f t="shared" si="481"/>
        <v>0</v>
      </c>
      <c r="FS80" s="55">
        <f t="shared" si="482"/>
        <v>0</v>
      </c>
      <c r="FT80" s="59">
        <f t="shared" si="483"/>
        <v>0</v>
      </c>
      <c r="FU80" s="60">
        <f t="shared" si="484"/>
        <v>0</v>
      </c>
      <c r="FV80" s="59">
        <f t="shared" si="485"/>
        <v>0</v>
      </c>
      <c r="FW80" s="60">
        <f t="shared" si="486"/>
        <v>0</v>
      </c>
      <c r="FX80" s="59">
        <f t="shared" si="487"/>
        <v>0</v>
      </c>
      <c r="FY80" s="60">
        <f t="shared" si="488"/>
        <v>0</v>
      </c>
      <c r="FZ80" s="59">
        <f t="shared" si="489"/>
        <v>0</v>
      </c>
      <c r="GA80" s="60">
        <f t="shared" si="490"/>
        <v>0</v>
      </c>
      <c r="GB80" s="59">
        <f t="shared" si="491"/>
        <v>0</v>
      </c>
      <c r="GC80" s="55">
        <f t="shared" si="492"/>
        <v>0</v>
      </c>
      <c r="GD80" s="59">
        <f t="shared" si="493"/>
        <v>0</v>
      </c>
      <c r="GE80" s="60">
        <f t="shared" si="494"/>
        <v>0</v>
      </c>
      <c r="GF80" s="59">
        <f t="shared" si="495"/>
        <v>0</v>
      </c>
      <c r="GG80" s="60">
        <f t="shared" si="496"/>
        <v>0</v>
      </c>
      <c r="GH80" s="59">
        <f t="shared" si="497"/>
        <v>0</v>
      </c>
      <c r="GI80" s="55">
        <f t="shared" si="498"/>
        <v>0</v>
      </c>
      <c r="GJ80" s="59">
        <f t="shared" si="499"/>
        <v>0</v>
      </c>
      <c r="GK80" s="55"/>
      <c r="GL80" s="55"/>
      <c r="GM80" s="55">
        <v>1</v>
      </c>
      <c r="GN80" s="55">
        <v>0.97</v>
      </c>
      <c r="GO80" s="55">
        <v>0.95</v>
      </c>
      <c r="GP80" s="55">
        <v>0.93</v>
      </c>
      <c r="GQ80" s="55">
        <f t="shared" si="502"/>
        <v>0.91</v>
      </c>
      <c r="GR80" s="55">
        <f t="shared" si="502"/>
        <v>0.89</v>
      </c>
      <c r="GS80" s="55">
        <f t="shared" si="502"/>
        <v>0.87</v>
      </c>
      <c r="GT80" s="55">
        <f t="shared" si="502"/>
        <v>0.85</v>
      </c>
      <c r="GU80" s="55">
        <f t="shared" si="502"/>
        <v>0.83</v>
      </c>
      <c r="GV80" s="55">
        <f t="shared" si="502"/>
        <v>0.80999999999999994</v>
      </c>
      <c r="GW80" s="55">
        <f t="shared" si="502"/>
        <v>0.78999999999999992</v>
      </c>
      <c r="GX80" s="55">
        <f t="shared" si="502"/>
        <v>0.76999999999999991</v>
      </c>
      <c r="GY80" s="55">
        <f t="shared" si="502"/>
        <v>0.74999999999999989</v>
      </c>
      <c r="GZ80" s="55">
        <f t="shared" si="502"/>
        <v>0.72999999999999987</v>
      </c>
      <c r="HA80" s="55">
        <f t="shared" si="502"/>
        <v>0.70999999999999985</v>
      </c>
      <c r="HB80" s="55">
        <f t="shared" si="502"/>
        <v>0.68999999999999984</v>
      </c>
      <c r="HC80" s="55">
        <f t="shared" si="502"/>
        <v>0.66999999999999982</v>
      </c>
      <c r="HD80" s="55">
        <f t="shared" si="502"/>
        <v>0.6499999999999998</v>
      </c>
      <c r="HE80" s="55">
        <f t="shared" si="502"/>
        <v>0.62999999999999978</v>
      </c>
      <c r="HF80" s="55">
        <f t="shared" si="502"/>
        <v>0.60999999999999976</v>
      </c>
      <c r="HG80" s="55">
        <f t="shared" si="502"/>
        <v>0.58999999999999975</v>
      </c>
      <c r="HH80" s="55">
        <f t="shared" si="502"/>
        <v>0.56999999999999973</v>
      </c>
    </row>
    <row r="81" spans="1:216" x14ac:dyDescent="0.3">
      <c r="A81" s="2">
        <v>13</v>
      </c>
      <c r="C81" s="38" t="s">
        <v>121</v>
      </c>
      <c r="D81" s="42">
        <v>0</v>
      </c>
      <c r="E81" s="71">
        <f t="shared" si="369"/>
        <v>0</v>
      </c>
      <c r="H81" s="55">
        <f t="shared" si="61"/>
        <v>0</v>
      </c>
      <c r="I81" s="55">
        <f t="shared" si="62"/>
        <v>0</v>
      </c>
      <c r="J81" s="59">
        <f t="shared" si="63"/>
        <v>0</v>
      </c>
      <c r="K81" s="55">
        <f t="shared" si="370"/>
        <v>0</v>
      </c>
      <c r="L81" s="59">
        <f t="shared" si="371"/>
        <v>0</v>
      </c>
      <c r="M81" s="55">
        <f t="shared" si="372"/>
        <v>0</v>
      </c>
      <c r="N81" s="59">
        <f t="shared" si="373"/>
        <v>0</v>
      </c>
      <c r="O81" s="55">
        <f t="shared" si="374"/>
        <v>0</v>
      </c>
      <c r="P81" s="59">
        <f t="shared" si="375"/>
        <v>0</v>
      </c>
      <c r="Q81" s="57">
        <f t="shared" si="376"/>
        <v>0</v>
      </c>
      <c r="R81" s="59">
        <f t="shared" si="377"/>
        <v>0</v>
      </c>
      <c r="S81" s="55">
        <f t="shared" si="378"/>
        <v>0</v>
      </c>
      <c r="T81" s="59">
        <f t="shared" si="379"/>
        <v>0</v>
      </c>
      <c r="U81" s="57">
        <f t="shared" si="380"/>
        <v>0</v>
      </c>
      <c r="V81" s="59">
        <f t="shared" si="381"/>
        <v>0</v>
      </c>
      <c r="W81" s="60">
        <f t="shared" si="382"/>
        <v>0</v>
      </c>
      <c r="X81" s="59">
        <f t="shared" si="383"/>
        <v>0</v>
      </c>
      <c r="Y81" s="57">
        <f t="shared" si="384"/>
        <v>0</v>
      </c>
      <c r="Z81" s="59">
        <f t="shared" si="385"/>
        <v>0</v>
      </c>
      <c r="AA81" s="55">
        <f t="shared" si="386"/>
        <v>0</v>
      </c>
      <c r="AB81" s="59">
        <f t="shared" si="387"/>
        <v>0</v>
      </c>
      <c r="AC81" s="60">
        <f t="shared" si="388"/>
        <v>0</v>
      </c>
      <c r="AD81" s="59">
        <f t="shared" si="389"/>
        <v>0</v>
      </c>
      <c r="AE81" s="60">
        <f t="shared" si="390"/>
        <v>0</v>
      </c>
      <c r="AF81" s="59">
        <f t="shared" si="391"/>
        <v>0</v>
      </c>
      <c r="AG81" s="60">
        <f t="shared" si="392"/>
        <v>0</v>
      </c>
      <c r="AH81" s="59">
        <f t="shared" si="393"/>
        <v>0</v>
      </c>
      <c r="AI81" s="55">
        <f t="shared" si="394"/>
        <v>0</v>
      </c>
      <c r="AJ81" s="59">
        <f t="shared" si="395"/>
        <v>0</v>
      </c>
      <c r="AK81" s="60">
        <f t="shared" si="396"/>
        <v>0</v>
      </c>
      <c r="AL81" s="59">
        <f t="shared" si="397"/>
        <v>0</v>
      </c>
      <c r="AM81" s="60">
        <f t="shared" si="398"/>
        <v>0</v>
      </c>
      <c r="AN81" s="59">
        <f t="shared" si="399"/>
        <v>0</v>
      </c>
      <c r="AO81" s="60">
        <f t="shared" si="400"/>
        <v>0</v>
      </c>
      <c r="AP81" s="59">
        <f t="shared" si="401"/>
        <v>0</v>
      </c>
      <c r="AQ81" s="60">
        <f t="shared" si="402"/>
        <v>0</v>
      </c>
      <c r="AR81" s="59">
        <f t="shared" si="403"/>
        <v>0</v>
      </c>
      <c r="AS81" s="55">
        <f t="shared" si="404"/>
        <v>0</v>
      </c>
      <c r="AT81" s="59">
        <f t="shared" si="405"/>
        <v>0</v>
      </c>
      <c r="AU81" s="60">
        <f t="shared" si="406"/>
        <v>0</v>
      </c>
      <c r="AV81" s="59">
        <f t="shared" si="407"/>
        <v>0</v>
      </c>
      <c r="AW81" s="60">
        <f t="shared" si="408"/>
        <v>0</v>
      </c>
      <c r="AX81" s="59">
        <f t="shared" si="409"/>
        <v>0</v>
      </c>
      <c r="AY81" s="55">
        <f t="shared" si="410"/>
        <v>0</v>
      </c>
      <c r="AZ81" s="59">
        <f t="shared" si="411"/>
        <v>0</v>
      </c>
      <c r="BC81" s="55">
        <v>1</v>
      </c>
      <c r="BD81" s="55">
        <v>0.97</v>
      </c>
      <c r="BE81" s="55">
        <v>0.95</v>
      </c>
      <c r="BF81" s="55">
        <v>0.93</v>
      </c>
      <c r="BG81" s="55">
        <f t="shared" si="412"/>
        <v>0.91</v>
      </c>
      <c r="BH81" s="55">
        <f t="shared" si="412"/>
        <v>0.89</v>
      </c>
      <c r="BI81" s="55">
        <f t="shared" si="412"/>
        <v>0.87</v>
      </c>
      <c r="BJ81" s="55">
        <f t="shared" si="412"/>
        <v>0.85</v>
      </c>
      <c r="BK81" s="55">
        <f t="shared" si="412"/>
        <v>0.83</v>
      </c>
      <c r="BL81" s="55">
        <f t="shared" si="412"/>
        <v>0.80999999999999994</v>
      </c>
      <c r="BM81" s="55">
        <f t="shared" si="412"/>
        <v>0.78999999999999992</v>
      </c>
      <c r="BN81" s="55">
        <f t="shared" si="412"/>
        <v>0.76999999999999991</v>
      </c>
      <c r="BO81" s="55">
        <f t="shared" si="412"/>
        <v>0.74999999999999989</v>
      </c>
      <c r="BP81" s="55">
        <f t="shared" si="412"/>
        <v>0.72999999999999987</v>
      </c>
      <c r="BQ81" s="55">
        <f t="shared" si="412"/>
        <v>0.70999999999999985</v>
      </c>
      <c r="BR81" s="55">
        <f t="shared" si="412"/>
        <v>0.68999999999999984</v>
      </c>
      <c r="BS81" s="55">
        <f t="shared" si="412"/>
        <v>0.66999999999999982</v>
      </c>
      <c r="BT81" s="55">
        <f t="shared" si="412"/>
        <v>0.6499999999999998</v>
      </c>
      <c r="BU81" s="55">
        <f t="shared" si="412"/>
        <v>0.62999999999999978</v>
      </c>
      <c r="BV81" s="55">
        <f t="shared" si="412"/>
        <v>0.60999999999999976</v>
      </c>
      <c r="BW81" s="55">
        <f t="shared" si="412"/>
        <v>0.58999999999999975</v>
      </c>
      <c r="BX81" s="55">
        <f t="shared" si="412"/>
        <v>0.56999999999999973</v>
      </c>
      <c r="BZ81" s="55">
        <f t="shared" si="88"/>
        <v>0</v>
      </c>
      <c r="CA81" s="55">
        <f t="shared" si="89"/>
        <v>0</v>
      </c>
      <c r="CB81" s="59">
        <f t="shared" si="413"/>
        <v>0</v>
      </c>
      <c r="CC81" s="55">
        <f t="shared" si="414"/>
        <v>0</v>
      </c>
      <c r="CD81" s="59">
        <f t="shared" si="415"/>
        <v>0</v>
      </c>
      <c r="CE81" s="55">
        <f t="shared" si="416"/>
        <v>0</v>
      </c>
      <c r="CF81" s="59">
        <f t="shared" si="417"/>
        <v>0</v>
      </c>
      <c r="CG81" s="55">
        <f t="shared" si="418"/>
        <v>0</v>
      </c>
      <c r="CH81" s="59">
        <f t="shared" si="419"/>
        <v>0</v>
      </c>
      <c r="CI81" s="57">
        <f t="shared" si="420"/>
        <v>0</v>
      </c>
      <c r="CJ81" s="59">
        <f t="shared" si="421"/>
        <v>0</v>
      </c>
      <c r="CK81" s="55">
        <f t="shared" si="422"/>
        <v>0</v>
      </c>
      <c r="CL81" s="59">
        <f t="shared" si="423"/>
        <v>0</v>
      </c>
      <c r="CM81" s="57">
        <f t="shared" si="424"/>
        <v>0</v>
      </c>
      <c r="CN81" s="59">
        <f t="shared" si="425"/>
        <v>0</v>
      </c>
      <c r="CO81" s="60">
        <f t="shared" si="426"/>
        <v>0</v>
      </c>
      <c r="CP81" s="59">
        <f t="shared" si="427"/>
        <v>0</v>
      </c>
      <c r="CQ81" s="57">
        <f t="shared" si="428"/>
        <v>0</v>
      </c>
      <c r="CR81" s="59">
        <f t="shared" si="429"/>
        <v>0</v>
      </c>
      <c r="CS81" s="55">
        <f t="shared" si="430"/>
        <v>0</v>
      </c>
      <c r="CT81" s="59">
        <f t="shared" si="431"/>
        <v>0</v>
      </c>
      <c r="CU81" s="60">
        <f t="shared" si="432"/>
        <v>0</v>
      </c>
      <c r="CV81" s="59">
        <f t="shared" si="433"/>
        <v>0</v>
      </c>
      <c r="CW81" s="60">
        <f t="shared" si="434"/>
        <v>0</v>
      </c>
      <c r="CX81" s="59">
        <f t="shared" si="435"/>
        <v>0</v>
      </c>
      <c r="CY81" s="60">
        <f t="shared" si="436"/>
        <v>0</v>
      </c>
      <c r="CZ81" s="59">
        <f t="shared" si="437"/>
        <v>0</v>
      </c>
      <c r="DA81" s="55">
        <f t="shared" si="438"/>
        <v>0</v>
      </c>
      <c r="DB81" s="59">
        <f t="shared" si="439"/>
        <v>0</v>
      </c>
      <c r="DC81" s="60">
        <f t="shared" si="440"/>
        <v>0</v>
      </c>
      <c r="DD81" s="59">
        <f t="shared" si="441"/>
        <v>0</v>
      </c>
      <c r="DE81" s="60">
        <f t="shared" si="442"/>
        <v>0</v>
      </c>
      <c r="DF81" s="59">
        <f t="shared" si="443"/>
        <v>0</v>
      </c>
      <c r="DG81" s="60">
        <f t="shared" si="444"/>
        <v>0</v>
      </c>
      <c r="DH81" s="59">
        <f t="shared" si="445"/>
        <v>0</v>
      </c>
      <c r="DI81" s="60">
        <f t="shared" si="446"/>
        <v>0</v>
      </c>
      <c r="DJ81" s="59">
        <f t="shared" si="447"/>
        <v>0</v>
      </c>
      <c r="DK81" s="55">
        <f t="shared" si="448"/>
        <v>0</v>
      </c>
      <c r="DL81" s="59">
        <f t="shared" si="449"/>
        <v>0</v>
      </c>
      <c r="DM81" s="60">
        <f t="shared" si="450"/>
        <v>0</v>
      </c>
      <c r="DN81" s="59">
        <f t="shared" si="451"/>
        <v>0</v>
      </c>
      <c r="DO81" s="60">
        <f t="shared" si="452"/>
        <v>0</v>
      </c>
      <c r="DP81" s="59">
        <f t="shared" si="453"/>
        <v>0</v>
      </c>
      <c r="DQ81" s="55">
        <f t="shared" si="454"/>
        <v>0</v>
      </c>
      <c r="DR81" s="59">
        <f t="shared" si="455"/>
        <v>0</v>
      </c>
      <c r="DU81" s="55">
        <v>1</v>
      </c>
      <c r="DV81" s="55">
        <v>0.97</v>
      </c>
      <c r="DW81" s="55">
        <v>0.95</v>
      </c>
      <c r="DX81" s="55">
        <v>0.93</v>
      </c>
      <c r="DY81" s="55">
        <f t="shared" si="501"/>
        <v>0.91</v>
      </c>
      <c r="DZ81" s="55">
        <f t="shared" si="501"/>
        <v>0.89</v>
      </c>
      <c r="EA81" s="55">
        <f t="shared" si="501"/>
        <v>0.87</v>
      </c>
      <c r="EB81" s="55">
        <f t="shared" si="501"/>
        <v>0.85</v>
      </c>
      <c r="EC81" s="55">
        <f t="shared" si="501"/>
        <v>0.83</v>
      </c>
      <c r="ED81" s="55">
        <f t="shared" si="501"/>
        <v>0.80999999999999994</v>
      </c>
      <c r="EE81" s="55">
        <f t="shared" si="501"/>
        <v>0.78999999999999992</v>
      </c>
      <c r="EF81" s="55">
        <f t="shared" si="501"/>
        <v>0.76999999999999991</v>
      </c>
      <c r="EG81" s="55">
        <f t="shared" si="501"/>
        <v>0.74999999999999989</v>
      </c>
      <c r="EH81" s="55">
        <f t="shared" si="501"/>
        <v>0.72999999999999987</v>
      </c>
      <c r="EI81" s="55">
        <f t="shared" si="501"/>
        <v>0.70999999999999985</v>
      </c>
      <c r="EJ81" s="55">
        <f t="shared" si="501"/>
        <v>0.68999999999999984</v>
      </c>
      <c r="EK81" s="55">
        <f t="shared" si="501"/>
        <v>0.66999999999999982</v>
      </c>
      <c r="EL81" s="55">
        <f t="shared" si="501"/>
        <v>0.6499999999999998</v>
      </c>
      <c r="EM81" s="55">
        <f t="shared" si="501"/>
        <v>0.62999999999999978</v>
      </c>
      <c r="EN81" s="55">
        <f t="shared" si="501"/>
        <v>0.60999999999999976</v>
      </c>
      <c r="EO81" s="55">
        <f t="shared" si="501"/>
        <v>0.58999999999999975</v>
      </c>
      <c r="EP81" s="55">
        <f t="shared" si="501"/>
        <v>0.56999999999999973</v>
      </c>
      <c r="ER81" s="55">
        <f t="shared" si="142"/>
        <v>0</v>
      </c>
      <c r="ES81" s="55">
        <f t="shared" si="116"/>
        <v>0</v>
      </c>
      <c r="ET81" s="59">
        <f t="shared" si="457"/>
        <v>0</v>
      </c>
      <c r="EU81" s="55">
        <f t="shared" si="458"/>
        <v>0</v>
      </c>
      <c r="EV81" s="59">
        <f t="shared" si="459"/>
        <v>0</v>
      </c>
      <c r="EW81" s="55">
        <f t="shared" si="460"/>
        <v>0</v>
      </c>
      <c r="EX81" s="59">
        <f t="shared" si="461"/>
        <v>0</v>
      </c>
      <c r="EY81" s="55">
        <f t="shared" si="462"/>
        <v>0</v>
      </c>
      <c r="EZ81" s="59">
        <f t="shared" si="463"/>
        <v>0</v>
      </c>
      <c r="FA81" s="57">
        <f t="shared" si="464"/>
        <v>0</v>
      </c>
      <c r="FB81" s="59">
        <f t="shared" si="465"/>
        <v>0</v>
      </c>
      <c r="FC81" s="55">
        <f t="shared" si="466"/>
        <v>0</v>
      </c>
      <c r="FD81" s="59">
        <f t="shared" si="467"/>
        <v>0</v>
      </c>
      <c r="FE81" s="57">
        <f t="shared" si="468"/>
        <v>0</v>
      </c>
      <c r="FF81" s="59">
        <f t="shared" si="469"/>
        <v>0</v>
      </c>
      <c r="FG81" s="60">
        <f t="shared" si="470"/>
        <v>0</v>
      </c>
      <c r="FH81" s="59">
        <f t="shared" si="471"/>
        <v>0</v>
      </c>
      <c r="FI81" s="57">
        <f t="shared" si="472"/>
        <v>0</v>
      </c>
      <c r="FJ81" s="59">
        <f t="shared" si="473"/>
        <v>0</v>
      </c>
      <c r="FK81" s="55">
        <f t="shared" si="474"/>
        <v>0</v>
      </c>
      <c r="FL81" s="59">
        <f t="shared" si="475"/>
        <v>0</v>
      </c>
      <c r="FM81" s="60">
        <f t="shared" si="476"/>
        <v>0</v>
      </c>
      <c r="FN81" s="59">
        <f t="shared" si="477"/>
        <v>0</v>
      </c>
      <c r="FO81" s="60">
        <f t="shared" si="478"/>
        <v>0</v>
      </c>
      <c r="FP81" s="59">
        <f t="shared" si="479"/>
        <v>0</v>
      </c>
      <c r="FQ81" s="60">
        <f t="shared" si="480"/>
        <v>0</v>
      </c>
      <c r="FR81" s="59">
        <f t="shared" si="481"/>
        <v>0</v>
      </c>
      <c r="FS81" s="55">
        <f t="shared" si="482"/>
        <v>0</v>
      </c>
      <c r="FT81" s="59">
        <f t="shared" si="483"/>
        <v>0</v>
      </c>
      <c r="FU81" s="60">
        <f t="shared" si="484"/>
        <v>0</v>
      </c>
      <c r="FV81" s="59">
        <f t="shared" si="485"/>
        <v>0</v>
      </c>
      <c r="FW81" s="60">
        <f t="shared" si="486"/>
        <v>0</v>
      </c>
      <c r="FX81" s="59">
        <f t="shared" si="487"/>
        <v>0</v>
      </c>
      <c r="FY81" s="60">
        <f t="shared" si="488"/>
        <v>0</v>
      </c>
      <c r="FZ81" s="59">
        <f t="shared" si="489"/>
        <v>0</v>
      </c>
      <c r="GA81" s="60">
        <f t="shared" si="490"/>
        <v>0</v>
      </c>
      <c r="GB81" s="59">
        <f t="shared" si="491"/>
        <v>0</v>
      </c>
      <c r="GC81" s="55">
        <f t="shared" si="492"/>
        <v>0</v>
      </c>
      <c r="GD81" s="59">
        <f t="shared" si="493"/>
        <v>0</v>
      </c>
      <c r="GE81" s="60">
        <f t="shared" si="494"/>
        <v>0</v>
      </c>
      <c r="GF81" s="59">
        <f t="shared" si="495"/>
        <v>0</v>
      </c>
      <c r="GG81" s="60">
        <f t="shared" si="496"/>
        <v>0</v>
      </c>
      <c r="GH81" s="59">
        <f t="shared" si="497"/>
        <v>0</v>
      </c>
      <c r="GI81" s="55">
        <f t="shared" si="498"/>
        <v>0</v>
      </c>
      <c r="GJ81" s="59">
        <f t="shared" si="499"/>
        <v>0</v>
      </c>
      <c r="GK81" s="55"/>
      <c r="GL81" s="55"/>
      <c r="GM81" s="55">
        <v>1</v>
      </c>
      <c r="GN81" s="55">
        <v>0.97</v>
      </c>
      <c r="GO81" s="55">
        <v>0.95</v>
      </c>
      <c r="GP81" s="55">
        <v>0.93</v>
      </c>
      <c r="GQ81" s="55">
        <f t="shared" si="502"/>
        <v>0.91</v>
      </c>
      <c r="GR81" s="55">
        <f t="shared" si="502"/>
        <v>0.89</v>
      </c>
      <c r="GS81" s="55">
        <f t="shared" si="502"/>
        <v>0.87</v>
      </c>
      <c r="GT81" s="55">
        <f t="shared" si="502"/>
        <v>0.85</v>
      </c>
      <c r="GU81" s="55">
        <f t="shared" si="502"/>
        <v>0.83</v>
      </c>
      <c r="GV81" s="55">
        <f t="shared" si="502"/>
        <v>0.80999999999999994</v>
      </c>
      <c r="GW81" s="55">
        <f t="shared" si="502"/>
        <v>0.78999999999999992</v>
      </c>
      <c r="GX81" s="55">
        <f t="shared" si="502"/>
        <v>0.76999999999999991</v>
      </c>
      <c r="GY81" s="55">
        <f t="shared" si="502"/>
        <v>0.74999999999999989</v>
      </c>
      <c r="GZ81" s="55">
        <f t="shared" si="502"/>
        <v>0.72999999999999987</v>
      </c>
      <c r="HA81" s="55">
        <f t="shared" si="502"/>
        <v>0.70999999999999985</v>
      </c>
      <c r="HB81" s="55">
        <f t="shared" si="502"/>
        <v>0.68999999999999984</v>
      </c>
      <c r="HC81" s="55">
        <f t="shared" si="502"/>
        <v>0.66999999999999982</v>
      </c>
      <c r="HD81" s="55">
        <f t="shared" si="502"/>
        <v>0.6499999999999998</v>
      </c>
      <c r="HE81" s="55">
        <f t="shared" si="502"/>
        <v>0.62999999999999978</v>
      </c>
      <c r="HF81" s="55">
        <f t="shared" si="502"/>
        <v>0.60999999999999976</v>
      </c>
      <c r="HG81" s="55">
        <f t="shared" si="502"/>
        <v>0.58999999999999975</v>
      </c>
      <c r="HH81" s="55">
        <f t="shared" si="502"/>
        <v>0.56999999999999973</v>
      </c>
    </row>
    <row r="82" spans="1:216" x14ac:dyDescent="0.3">
      <c r="A82" s="2">
        <v>14</v>
      </c>
      <c r="C82" s="38" t="s">
        <v>134</v>
      </c>
      <c r="D82" s="42">
        <v>0</v>
      </c>
      <c r="E82" s="71">
        <f t="shared" si="369"/>
        <v>0</v>
      </c>
      <c r="H82" s="55">
        <f t="shared" si="61"/>
        <v>0</v>
      </c>
      <c r="I82" s="55">
        <f t="shared" si="62"/>
        <v>0</v>
      </c>
      <c r="J82" s="59">
        <f t="shared" si="63"/>
        <v>0</v>
      </c>
      <c r="K82" s="55">
        <f t="shared" si="370"/>
        <v>0</v>
      </c>
      <c r="L82" s="59">
        <f t="shared" si="371"/>
        <v>0</v>
      </c>
      <c r="M82" s="55">
        <f t="shared" si="372"/>
        <v>0</v>
      </c>
      <c r="N82" s="59">
        <f t="shared" si="373"/>
        <v>0</v>
      </c>
      <c r="O82" s="55">
        <f t="shared" si="374"/>
        <v>0</v>
      </c>
      <c r="P82" s="59">
        <f t="shared" si="375"/>
        <v>0</v>
      </c>
      <c r="Q82" s="57">
        <f t="shared" si="376"/>
        <v>0</v>
      </c>
      <c r="R82" s="59">
        <f t="shared" si="377"/>
        <v>0</v>
      </c>
      <c r="S82" s="55">
        <f t="shared" si="378"/>
        <v>0</v>
      </c>
      <c r="T82" s="59">
        <f t="shared" si="379"/>
        <v>0</v>
      </c>
      <c r="U82" s="57">
        <f t="shared" si="380"/>
        <v>0</v>
      </c>
      <c r="V82" s="59">
        <f t="shared" si="381"/>
        <v>0</v>
      </c>
      <c r="W82" s="60">
        <f t="shared" si="382"/>
        <v>0</v>
      </c>
      <c r="X82" s="59">
        <f t="shared" si="383"/>
        <v>0</v>
      </c>
      <c r="Y82" s="57">
        <f t="shared" si="384"/>
        <v>0</v>
      </c>
      <c r="Z82" s="59">
        <f t="shared" si="385"/>
        <v>0</v>
      </c>
      <c r="AA82" s="55">
        <f t="shared" si="386"/>
        <v>0</v>
      </c>
      <c r="AB82" s="59">
        <f t="shared" si="387"/>
        <v>0</v>
      </c>
      <c r="AC82" s="60">
        <f t="shared" si="388"/>
        <v>0</v>
      </c>
      <c r="AD82" s="59">
        <f t="shared" si="389"/>
        <v>0</v>
      </c>
      <c r="AE82" s="60">
        <f t="shared" si="390"/>
        <v>0</v>
      </c>
      <c r="AF82" s="59">
        <f t="shared" si="391"/>
        <v>0</v>
      </c>
      <c r="AG82" s="60">
        <f t="shared" si="392"/>
        <v>0</v>
      </c>
      <c r="AH82" s="59">
        <f t="shared" si="393"/>
        <v>0</v>
      </c>
      <c r="AI82" s="55">
        <f t="shared" si="394"/>
        <v>0</v>
      </c>
      <c r="AJ82" s="59">
        <f t="shared" si="395"/>
        <v>0</v>
      </c>
      <c r="AK82" s="60">
        <f t="shared" si="396"/>
        <v>0</v>
      </c>
      <c r="AL82" s="59">
        <f t="shared" si="397"/>
        <v>0</v>
      </c>
      <c r="AM82" s="60">
        <f t="shared" si="398"/>
        <v>0</v>
      </c>
      <c r="AN82" s="59">
        <f t="shared" si="399"/>
        <v>0</v>
      </c>
      <c r="AO82" s="60">
        <f t="shared" si="400"/>
        <v>0</v>
      </c>
      <c r="AP82" s="59">
        <f t="shared" si="401"/>
        <v>0</v>
      </c>
      <c r="AQ82" s="60">
        <f t="shared" si="402"/>
        <v>0</v>
      </c>
      <c r="AR82" s="59">
        <f t="shared" si="403"/>
        <v>0</v>
      </c>
      <c r="AS82" s="55">
        <f t="shared" si="404"/>
        <v>0</v>
      </c>
      <c r="AT82" s="59">
        <f t="shared" si="405"/>
        <v>0</v>
      </c>
      <c r="AU82" s="60">
        <f t="shared" si="406"/>
        <v>0</v>
      </c>
      <c r="AV82" s="59">
        <f t="shared" si="407"/>
        <v>0</v>
      </c>
      <c r="AW82" s="60">
        <f t="shared" si="408"/>
        <v>0</v>
      </c>
      <c r="AX82" s="59">
        <f t="shared" si="409"/>
        <v>0</v>
      </c>
      <c r="AY82" s="55">
        <f t="shared" si="410"/>
        <v>0</v>
      </c>
      <c r="AZ82" s="59">
        <f t="shared" si="411"/>
        <v>0</v>
      </c>
      <c r="BC82" s="55">
        <v>1</v>
      </c>
      <c r="BD82" s="55">
        <v>0.97</v>
      </c>
      <c r="BE82" s="55">
        <v>0.95</v>
      </c>
      <c r="BF82" s="55">
        <v>0.93</v>
      </c>
      <c r="BG82" s="55">
        <f t="shared" si="412"/>
        <v>0.91</v>
      </c>
      <c r="BH82" s="55">
        <f t="shared" si="412"/>
        <v>0.89</v>
      </c>
      <c r="BI82" s="55">
        <f t="shared" si="412"/>
        <v>0.87</v>
      </c>
      <c r="BJ82" s="55">
        <f t="shared" si="412"/>
        <v>0.85</v>
      </c>
      <c r="BK82" s="55">
        <f t="shared" si="412"/>
        <v>0.83</v>
      </c>
      <c r="BL82" s="55">
        <f t="shared" si="412"/>
        <v>0.80999999999999994</v>
      </c>
      <c r="BM82" s="55">
        <f t="shared" si="412"/>
        <v>0.78999999999999992</v>
      </c>
      <c r="BN82" s="55">
        <f t="shared" si="412"/>
        <v>0.76999999999999991</v>
      </c>
      <c r="BO82" s="55">
        <f t="shared" si="412"/>
        <v>0.74999999999999989</v>
      </c>
      <c r="BP82" s="55">
        <f t="shared" si="412"/>
        <v>0.72999999999999987</v>
      </c>
      <c r="BQ82" s="55">
        <f t="shared" si="412"/>
        <v>0.70999999999999985</v>
      </c>
      <c r="BR82" s="55">
        <f t="shared" si="412"/>
        <v>0.68999999999999984</v>
      </c>
      <c r="BS82" s="55">
        <f t="shared" si="412"/>
        <v>0.66999999999999982</v>
      </c>
      <c r="BT82" s="55">
        <f t="shared" si="412"/>
        <v>0.6499999999999998</v>
      </c>
      <c r="BU82" s="55">
        <f t="shared" si="412"/>
        <v>0.62999999999999978</v>
      </c>
      <c r="BV82" s="55">
        <f t="shared" si="412"/>
        <v>0.60999999999999976</v>
      </c>
      <c r="BW82" s="55">
        <f t="shared" si="412"/>
        <v>0.58999999999999975</v>
      </c>
      <c r="BX82" s="55">
        <f t="shared" si="412"/>
        <v>0.56999999999999973</v>
      </c>
      <c r="BZ82" s="55">
        <f t="shared" si="88"/>
        <v>0</v>
      </c>
      <c r="CA82" s="55">
        <f t="shared" si="89"/>
        <v>0</v>
      </c>
      <c r="CB82" s="59">
        <f t="shared" si="413"/>
        <v>0</v>
      </c>
      <c r="CC82" s="55">
        <f t="shared" si="414"/>
        <v>0</v>
      </c>
      <c r="CD82" s="59">
        <f t="shared" si="415"/>
        <v>0</v>
      </c>
      <c r="CE82" s="55">
        <f t="shared" si="416"/>
        <v>0</v>
      </c>
      <c r="CF82" s="59">
        <f t="shared" si="417"/>
        <v>0</v>
      </c>
      <c r="CG82" s="55">
        <f t="shared" si="418"/>
        <v>0</v>
      </c>
      <c r="CH82" s="59">
        <f t="shared" si="419"/>
        <v>0</v>
      </c>
      <c r="CI82" s="57">
        <f t="shared" si="420"/>
        <v>0</v>
      </c>
      <c r="CJ82" s="59">
        <f t="shared" si="421"/>
        <v>0</v>
      </c>
      <c r="CK82" s="55">
        <f t="shared" si="422"/>
        <v>0</v>
      </c>
      <c r="CL82" s="59">
        <f t="shared" si="423"/>
        <v>0</v>
      </c>
      <c r="CM82" s="57">
        <f t="shared" si="424"/>
        <v>0</v>
      </c>
      <c r="CN82" s="59">
        <f t="shared" si="425"/>
        <v>0</v>
      </c>
      <c r="CO82" s="60">
        <f t="shared" si="426"/>
        <v>0</v>
      </c>
      <c r="CP82" s="59">
        <f t="shared" si="427"/>
        <v>0</v>
      </c>
      <c r="CQ82" s="57">
        <f t="shared" si="428"/>
        <v>0</v>
      </c>
      <c r="CR82" s="59">
        <f t="shared" si="429"/>
        <v>0</v>
      </c>
      <c r="CS82" s="55">
        <f t="shared" si="430"/>
        <v>0</v>
      </c>
      <c r="CT82" s="59">
        <f t="shared" si="431"/>
        <v>0</v>
      </c>
      <c r="CU82" s="60">
        <f t="shared" si="432"/>
        <v>0</v>
      </c>
      <c r="CV82" s="59">
        <f t="shared" si="433"/>
        <v>0</v>
      </c>
      <c r="CW82" s="60">
        <f t="shared" si="434"/>
        <v>0</v>
      </c>
      <c r="CX82" s="59">
        <f t="shared" si="435"/>
        <v>0</v>
      </c>
      <c r="CY82" s="60">
        <f t="shared" si="436"/>
        <v>0</v>
      </c>
      <c r="CZ82" s="59">
        <f t="shared" si="437"/>
        <v>0</v>
      </c>
      <c r="DA82" s="55">
        <f t="shared" si="438"/>
        <v>0</v>
      </c>
      <c r="DB82" s="59">
        <f t="shared" si="439"/>
        <v>0</v>
      </c>
      <c r="DC82" s="60">
        <f t="shared" si="440"/>
        <v>0</v>
      </c>
      <c r="DD82" s="59">
        <f t="shared" si="441"/>
        <v>0</v>
      </c>
      <c r="DE82" s="60">
        <f t="shared" si="442"/>
        <v>0</v>
      </c>
      <c r="DF82" s="59">
        <f t="shared" si="443"/>
        <v>0</v>
      </c>
      <c r="DG82" s="60">
        <f t="shared" si="444"/>
        <v>0</v>
      </c>
      <c r="DH82" s="59">
        <f t="shared" si="445"/>
        <v>0</v>
      </c>
      <c r="DI82" s="60">
        <f t="shared" si="446"/>
        <v>0</v>
      </c>
      <c r="DJ82" s="59">
        <f t="shared" si="447"/>
        <v>0</v>
      </c>
      <c r="DK82" s="55">
        <f t="shared" si="448"/>
        <v>0</v>
      </c>
      <c r="DL82" s="59">
        <f t="shared" si="449"/>
        <v>0</v>
      </c>
      <c r="DM82" s="60">
        <f t="shared" si="450"/>
        <v>0</v>
      </c>
      <c r="DN82" s="59">
        <f t="shared" si="451"/>
        <v>0</v>
      </c>
      <c r="DO82" s="60">
        <f t="shared" si="452"/>
        <v>0</v>
      </c>
      <c r="DP82" s="59">
        <f t="shared" si="453"/>
        <v>0</v>
      </c>
      <c r="DQ82" s="55">
        <f t="shared" si="454"/>
        <v>0</v>
      </c>
      <c r="DR82" s="59">
        <f t="shared" si="455"/>
        <v>0</v>
      </c>
      <c r="DU82" s="55">
        <v>1</v>
      </c>
      <c r="DV82" s="55">
        <v>0.97</v>
      </c>
      <c r="DW82" s="55">
        <v>0.95</v>
      </c>
      <c r="DX82" s="55">
        <v>0.93</v>
      </c>
      <c r="DY82" s="55">
        <f t="shared" si="501"/>
        <v>0.91</v>
      </c>
      <c r="DZ82" s="55">
        <f t="shared" si="501"/>
        <v>0.89</v>
      </c>
      <c r="EA82" s="55">
        <f t="shared" si="501"/>
        <v>0.87</v>
      </c>
      <c r="EB82" s="55">
        <f t="shared" si="501"/>
        <v>0.85</v>
      </c>
      <c r="EC82" s="55">
        <f t="shared" si="501"/>
        <v>0.83</v>
      </c>
      <c r="ED82" s="55">
        <f t="shared" si="501"/>
        <v>0.80999999999999994</v>
      </c>
      <c r="EE82" s="55">
        <f t="shared" si="501"/>
        <v>0.78999999999999992</v>
      </c>
      <c r="EF82" s="55">
        <f t="shared" si="501"/>
        <v>0.76999999999999991</v>
      </c>
      <c r="EG82" s="55">
        <f t="shared" si="501"/>
        <v>0.74999999999999989</v>
      </c>
      <c r="EH82" s="55">
        <f t="shared" si="501"/>
        <v>0.72999999999999987</v>
      </c>
      <c r="EI82" s="55">
        <f t="shared" si="501"/>
        <v>0.70999999999999985</v>
      </c>
      <c r="EJ82" s="55">
        <f t="shared" si="501"/>
        <v>0.68999999999999984</v>
      </c>
      <c r="EK82" s="55">
        <f t="shared" si="501"/>
        <v>0.66999999999999982</v>
      </c>
      <c r="EL82" s="55">
        <f t="shared" si="501"/>
        <v>0.6499999999999998</v>
      </c>
      <c r="EM82" s="55">
        <f t="shared" si="501"/>
        <v>0.62999999999999978</v>
      </c>
      <c r="EN82" s="55">
        <f t="shared" si="501"/>
        <v>0.60999999999999976</v>
      </c>
      <c r="EO82" s="55">
        <f t="shared" si="501"/>
        <v>0.58999999999999975</v>
      </c>
      <c r="EP82" s="55">
        <f t="shared" si="501"/>
        <v>0.56999999999999973</v>
      </c>
      <c r="ER82" s="55">
        <f t="shared" si="142"/>
        <v>0</v>
      </c>
      <c r="ES82" s="55">
        <f t="shared" si="116"/>
        <v>0</v>
      </c>
      <c r="ET82" s="59">
        <f t="shared" si="457"/>
        <v>0</v>
      </c>
      <c r="EU82" s="55">
        <f t="shared" si="458"/>
        <v>0</v>
      </c>
      <c r="EV82" s="59">
        <f t="shared" si="459"/>
        <v>0</v>
      </c>
      <c r="EW82" s="55">
        <f t="shared" si="460"/>
        <v>0</v>
      </c>
      <c r="EX82" s="59">
        <f t="shared" si="461"/>
        <v>0</v>
      </c>
      <c r="EY82" s="55">
        <f t="shared" si="462"/>
        <v>0</v>
      </c>
      <c r="EZ82" s="59">
        <f t="shared" si="463"/>
        <v>0</v>
      </c>
      <c r="FA82" s="57">
        <f t="shared" si="464"/>
        <v>0</v>
      </c>
      <c r="FB82" s="59">
        <f t="shared" si="465"/>
        <v>0</v>
      </c>
      <c r="FC82" s="55">
        <f t="shared" si="466"/>
        <v>0</v>
      </c>
      <c r="FD82" s="59">
        <f t="shared" si="467"/>
        <v>0</v>
      </c>
      <c r="FE82" s="57">
        <f t="shared" si="468"/>
        <v>0</v>
      </c>
      <c r="FF82" s="59">
        <f t="shared" si="469"/>
        <v>0</v>
      </c>
      <c r="FG82" s="60">
        <f t="shared" si="470"/>
        <v>0</v>
      </c>
      <c r="FH82" s="59">
        <f t="shared" si="471"/>
        <v>0</v>
      </c>
      <c r="FI82" s="57">
        <f t="shared" si="472"/>
        <v>0</v>
      </c>
      <c r="FJ82" s="59">
        <f t="shared" si="473"/>
        <v>0</v>
      </c>
      <c r="FK82" s="55">
        <f t="shared" si="474"/>
        <v>0</v>
      </c>
      <c r="FL82" s="59">
        <f t="shared" si="475"/>
        <v>0</v>
      </c>
      <c r="FM82" s="60">
        <f t="shared" si="476"/>
        <v>0</v>
      </c>
      <c r="FN82" s="59">
        <f t="shared" si="477"/>
        <v>0</v>
      </c>
      <c r="FO82" s="60">
        <f t="shared" si="478"/>
        <v>0</v>
      </c>
      <c r="FP82" s="59">
        <f t="shared" si="479"/>
        <v>0</v>
      </c>
      <c r="FQ82" s="60">
        <f t="shared" si="480"/>
        <v>0</v>
      </c>
      <c r="FR82" s="59">
        <f t="shared" si="481"/>
        <v>0</v>
      </c>
      <c r="FS82" s="55">
        <f t="shared" si="482"/>
        <v>0</v>
      </c>
      <c r="FT82" s="59">
        <f t="shared" si="483"/>
        <v>0</v>
      </c>
      <c r="FU82" s="60">
        <f t="shared" si="484"/>
        <v>0</v>
      </c>
      <c r="FV82" s="59">
        <f t="shared" si="485"/>
        <v>0</v>
      </c>
      <c r="FW82" s="60">
        <f t="shared" si="486"/>
        <v>0</v>
      </c>
      <c r="FX82" s="59">
        <f t="shared" si="487"/>
        <v>0</v>
      </c>
      <c r="FY82" s="60">
        <f t="shared" si="488"/>
        <v>0</v>
      </c>
      <c r="FZ82" s="59">
        <f t="shared" si="489"/>
        <v>0</v>
      </c>
      <c r="GA82" s="60">
        <f t="shared" si="490"/>
        <v>0</v>
      </c>
      <c r="GB82" s="59">
        <f t="shared" si="491"/>
        <v>0</v>
      </c>
      <c r="GC82" s="55">
        <f t="shared" si="492"/>
        <v>0</v>
      </c>
      <c r="GD82" s="59">
        <f t="shared" si="493"/>
        <v>0</v>
      </c>
      <c r="GE82" s="60">
        <f t="shared" si="494"/>
        <v>0</v>
      </c>
      <c r="GF82" s="59">
        <f t="shared" si="495"/>
        <v>0</v>
      </c>
      <c r="GG82" s="60">
        <f t="shared" si="496"/>
        <v>0</v>
      </c>
      <c r="GH82" s="59">
        <f t="shared" si="497"/>
        <v>0</v>
      </c>
      <c r="GI82" s="55">
        <f t="shared" si="498"/>
        <v>0</v>
      </c>
      <c r="GJ82" s="59">
        <f t="shared" si="499"/>
        <v>0</v>
      </c>
      <c r="GK82" s="55"/>
      <c r="GL82" s="55"/>
      <c r="GM82" s="55">
        <v>1</v>
      </c>
      <c r="GN82" s="55">
        <v>0.97</v>
      </c>
      <c r="GO82" s="55">
        <v>0.95</v>
      </c>
      <c r="GP82" s="55">
        <v>0.93</v>
      </c>
      <c r="GQ82" s="55">
        <f t="shared" si="502"/>
        <v>0.91</v>
      </c>
      <c r="GR82" s="55">
        <f t="shared" si="502"/>
        <v>0.89</v>
      </c>
      <c r="GS82" s="55">
        <f t="shared" si="502"/>
        <v>0.87</v>
      </c>
      <c r="GT82" s="55">
        <f t="shared" si="502"/>
        <v>0.85</v>
      </c>
      <c r="GU82" s="55">
        <f t="shared" si="502"/>
        <v>0.83</v>
      </c>
      <c r="GV82" s="55">
        <f t="shared" si="502"/>
        <v>0.80999999999999994</v>
      </c>
      <c r="GW82" s="55">
        <f t="shared" si="502"/>
        <v>0.78999999999999992</v>
      </c>
      <c r="GX82" s="55">
        <f t="shared" si="502"/>
        <v>0.76999999999999991</v>
      </c>
      <c r="GY82" s="55">
        <f t="shared" si="502"/>
        <v>0.74999999999999989</v>
      </c>
      <c r="GZ82" s="55">
        <f t="shared" si="502"/>
        <v>0.72999999999999987</v>
      </c>
      <c r="HA82" s="55">
        <f t="shared" si="502"/>
        <v>0.70999999999999985</v>
      </c>
      <c r="HB82" s="55">
        <f t="shared" si="502"/>
        <v>0.68999999999999984</v>
      </c>
      <c r="HC82" s="55">
        <f t="shared" si="502"/>
        <v>0.66999999999999982</v>
      </c>
      <c r="HD82" s="55">
        <f t="shared" si="502"/>
        <v>0.6499999999999998</v>
      </c>
      <c r="HE82" s="55">
        <f t="shared" si="502"/>
        <v>0.62999999999999978</v>
      </c>
      <c r="HF82" s="55">
        <f t="shared" si="502"/>
        <v>0.60999999999999976</v>
      </c>
      <c r="HG82" s="55">
        <f t="shared" si="502"/>
        <v>0.58999999999999975</v>
      </c>
      <c r="HH82" s="55">
        <f t="shared" si="502"/>
        <v>0.56999999999999973</v>
      </c>
    </row>
    <row r="83" spans="1:216" x14ac:dyDescent="0.3">
      <c r="A83" s="2">
        <v>15</v>
      </c>
      <c r="C83" s="38" t="s">
        <v>136</v>
      </c>
      <c r="D83" s="42">
        <v>0</v>
      </c>
      <c r="E83" s="71">
        <f t="shared" si="369"/>
        <v>0</v>
      </c>
      <c r="H83" s="55">
        <f t="shared" si="61"/>
        <v>0</v>
      </c>
      <c r="I83" s="55">
        <f t="shared" si="62"/>
        <v>0</v>
      </c>
      <c r="J83" s="59">
        <f t="shared" si="63"/>
        <v>0</v>
      </c>
      <c r="K83" s="55">
        <f t="shared" si="370"/>
        <v>0</v>
      </c>
      <c r="L83" s="59">
        <f t="shared" si="371"/>
        <v>0</v>
      </c>
      <c r="M83" s="55">
        <f t="shared" si="372"/>
        <v>0</v>
      </c>
      <c r="N83" s="59">
        <f t="shared" si="373"/>
        <v>0</v>
      </c>
      <c r="O83" s="55">
        <f t="shared" si="374"/>
        <v>0</v>
      </c>
      <c r="P83" s="59">
        <f t="shared" si="375"/>
        <v>0</v>
      </c>
      <c r="Q83" s="57">
        <f t="shared" si="376"/>
        <v>0</v>
      </c>
      <c r="R83" s="59">
        <f t="shared" si="377"/>
        <v>0</v>
      </c>
      <c r="S83" s="55">
        <f t="shared" si="378"/>
        <v>0</v>
      </c>
      <c r="T83" s="59">
        <f t="shared" si="379"/>
        <v>0</v>
      </c>
      <c r="U83" s="57">
        <f t="shared" si="380"/>
        <v>0</v>
      </c>
      <c r="V83" s="59">
        <f t="shared" si="381"/>
        <v>0</v>
      </c>
      <c r="W83" s="60">
        <f t="shared" si="382"/>
        <v>0</v>
      </c>
      <c r="X83" s="59">
        <f t="shared" si="383"/>
        <v>0</v>
      </c>
      <c r="Y83" s="57">
        <f t="shared" si="384"/>
        <v>0</v>
      </c>
      <c r="Z83" s="59">
        <f t="shared" si="385"/>
        <v>0</v>
      </c>
      <c r="AA83" s="55">
        <f t="shared" si="386"/>
        <v>0</v>
      </c>
      <c r="AB83" s="59">
        <f t="shared" si="387"/>
        <v>0</v>
      </c>
      <c r="AC83" s="60">
        <f t="shared" si="388"/>
        <v>0</v>
      </c>
      <c r="AD83" s="59">
        <f t="shared" si="389"/>
        <v>0</v>
      </c>
      <c r="AE83" s="60">
        <f t="shared" si="390"/>
        <v>0</v>
      </c>
      <c r="AF83" s="59">
        <f t="shared" si="391"/>
        <v>0</v>
      </c>
      <c r="AG83" s="60">
        <f t="shared" si="392"/>
        <v>0</v>
      </c>
      <c r="AH83" s="59">
        <f t="shared" si="393"/>
        <v>0</v>
      </c>
      <c r="AI83" s="55">
        <f t="shared" si="394"/>
        <v>0</v>
      </c>
      <c r="AJ83" s="59">
        <f t="shared" si="395"/>
        <v>0</v>
      </c>
      <c r="AK83" s="60">
        <f t="shared" si="396"/>
        <v>0</v>
      </c>
      <c r="AL83" s="59">
        <f t="shared" si="397"/>
        <v>0</v>
      </c>
      <c r="AM83" s="60">
        <f t="shared" si="398"/>
        <v>0</v>
      </c>
      <c r="AN83" s="59">
        <f t="shared" si="399"/>
        <v>0</v>
      </c>
      <c r="AO83" s="60">
        <f t="shared" si="400"/>
        <v>0</v>
      </c>
      <c r="AP83" s="59">
        <f t="shared" si="401"/>
        <v>0</v>
      </c>
      <c r="AQ83" s="60">
        <f t="shared" si="402"/>
        <v>0</v>
      </c>
      <c r="AR83" s="59">
        <f t="shared" si="403"/>
        <v>0</v>
      </c>
      <c r="AS83" s="55">
        <f t="shared" si="404"/>
        <v>0</v>
      </c>
      <c r="AT83" s="59">
        <f t="shared" si="405"/>
        <v>0</v>
      </c>
      <c r="AU83" s="60">
        <f t="shared" si="406"/>
        <v>0</v>
      </c>
      <c r="AV83" s="59">
        <f t="shared" si="407"/>
        <v>0</v>
      </c>
      <c r="AW83" s="60">
        <f t="shared" si="408"/>
        <v>0</v>
      </c>
      <c r="AX83" s="59">
        <f t="shared" si="409"/>
        <v>0</v>
      </c>
      <c r="AY83" s="55">
        <f t="shared" si="410"/>
        <v>0</v>
      </c>
      <c r="AZ83" s="59">
        <f t="shared" si="411"/>
        <v>0</v>
      </c>
      <c r="BC83" s="55">
        <v>1</v>
      </c>
      <c r="BD83" s="55">
        <v>0.97</v>
      </c>
      <c r="BE83" s="55">
        <v>0.95</v>
      </c>
      <c r="BF83" s="55">
        <v>0.93</v>
      </c>
      <c r="BG83" s="55">
        <f t="shared" si="412"/>
        <v>0.91</v>
      </c>
      <c r="BH83" s="55">
        <f t="shared" si="412"/>
        <v>0.89</v>
      </c>
      <c r="BI83" s="55">
        <f t="shared" si="412"/>
        <v>0.87</v>
      </c>
      <c r="BJ83" s="55">
        <f t="shared" ref="BJ83:BX83" si="503">+BI83-0.02</f>
        <v>0.85</v>
      </c>
      <c r="BK83" s="55">
        <f t="shared" si="503"/>
        <v>0.83</v>
      </c>
      <c r="BL83" s="55">
        <f t="shared" si="503"/>
        <v>0.80999999999999994</v>
      </c>
      <c r="BM83" s="55">
        <f t="shared" si="503"/>
        <v>0.78999999999999992</v>
      </c>
      <c r="BN83" s="55">
        <f t="shared" si="503"/>
        <v>0.76999999999999991</v>
      </c>
      <c r="BO83" s="55">
        <f t="shared" si="503"/>
        <v>0.74999999999999989</v>
      </c>
      <c r="BP83" s="55">
        <f t="shared" si="503"/>
        <v>0.72999999999999987</v>
      </c>
      <c r="BQ83" s="55">
        <f t="shared" si="503"/>
        <v>0.70999999999999985</v>
      </c>
      <c r="BR83" s="55">
        <f t="shared" si="503"/>
        <v>0.68999999999999984</v>
      </c>
      <c r="BS83" s="55">
        <f t="shared" si="503"/>
        <v>0.66999999999999982</v>
      </c>
      <c r="BT83" s="55">
        <f t="shared" si="503"/>
        <v>0.6499999999999998</v>
      </c>
      <c r="BU83" s="55">
        <f t="shared" si="503"/>
        <v>0.62999999999999978</v>
      </c>
      <c r="BV83" s="55">
        <f t="shared" si="503"/>
        <v>0.60999999999999976</v>
      </c>
      <c r="BW83" s="55">
        <f t="shared" si="503"/>
        <v>0.58999999999999975</v>
      </c>
      <c r="BX83" s="55">
        <f t="shared" si="503"/>
        <v>0.56999999999999973</v>
      </c>
      <c r="BZ83" s="55">
        <f t="shared" si="88"/>
        <v>0</v>
      </c>
      <c r="CA83" s="55">
        <f t="shared" si="89"/>
        <v>0</v>
      </c>
      <c r="CB83" s="59">
        <f t="shared" si="413"/>
        <v>0</v>
      </c>
      <c r="CC83" s="55">
        <f t="shared" si="414"/>
        <v>0</v>
      </c>
      <c r="CD83" s="59">
        <f t="shared" si="415"/>
        <v>0</v>
      </c>
      <c r="CE83" s="55">
        <f t="shared" si="416"/>
        <v>0</v>
      </c>
      <c r="CF83" s="59">
        <f t="shared" si="417"/>
        <v>0</v>
      </c>
      <c r="CG83" s="55">
        <f t="shared" si="418"/>
        <v>0</v>
      </c>
      <c r="CH83" s="59">
        <f t="shared" si="419"/>
        <v>0</v>
      </c>
      <c r="CI83" s="57">
        <f t="shared" si="420"/>
        <v>0</v>
      </c>
      <c r="CJ83" s="59">
        <f t="shared" si="421"/>
        <v>0</v>
      </c>
      <c r="CK83" s="55">
        <f t="shared" si="422"/>
        <v>0</v>
      </c>
      <c r="CL83" s="59">
        <f t="shared" si="423"/>
        <v>0</v>
      </c>
      <c r="CM83" s="57">
        <f t="shared" si="424"/>
        <v>0</v>
      </c>
      <c r="CN83" s="59">
        <f t="shared" si="425"/>
        <v>0</v>
      </c>
      <c r="CO83" s="60">
        <f t="shared" si="426"/>
        <v>0</v>
      </c>
      <c r="CP83" s="59">
        <f t="shared" si="427"/>
        <v>0</v>
      </c>
      <c r="CQ83" s="57">
        <f t="shared" si="428"/>
        <v>0</v>
      </c>
      <c r="CR83" s="59">
        <f t="shared" si="429"/>
        <v>0</v>
      </c>
      <c r="CS83" s="55">
        <f t="shared" si="430"/>
        <v>0</v>
      </c>
      <c r="CT83" s="59">
        <f t="shared" si="431"/>
        <v>0</v>
      </c>
      <c r="CU83" s="60">
        <f t="shared" si="432"/>
        <v>0</v>
      </c>
      <c r="CV83" s="59">
        <f t="shared" si="433"/>
        <v>0</v>
      </c>
      <c r="CW83" s="60">
        <f t="shared" si="434"/>
        <v>0</v>
      </c>
      <c r="CX83" s="59">
        <f t="shared" si="435"/>
        <v>0</v>
      </c>
      <c r="CY83" s="60">
        <f t="shared" si="436"/>
        <v>0</v>
      </c>
      <c r="CZ83" s="59">
        <f t="shared" si="437"/>
        <v>0</v>
      </c>
      <c r="DA83" s="55">
        <f t="shared" si="438"/>
        <v>0</v>
      </c>
      <c r="DB83" s="59">
        <f t="shared" si="439"/>
        <v>0</v>
      </c>
      <c r="DC83" s="60">
        <f t="shared" si="440"/>
        <v>0</v>
      </c>
      <c r="DD83" s="59">
        <f t="shared" si="441"/>
        <v>0</v>
      </c>
      <c r="DE83" s="60">
        <f t="shared" si="442"/>
        <v>0</v>
      </c>
      <c r="DF83" s="59">
        <f t="shared" si="443"/>
        <v>0</v>
      </c>
      <c r="DG83" s="60">
        <f t="shared" si="444"/>
        <v>0</v>
      </c>
      <c r="DH83" s="59">
        <f t="shared" si="445"/>
        <v>0</v>
      </c>
      <c r="DI83" s="60">
        <f t="shared" si="446"/>
        <v>0</v>
      </c>
      <c r="DJ83" s="59">
        <f t="shared" si="447"/>
        <v>0</v>
      </c>
      <c r="DK83" s="55">
        <f t="shared" si="448"/>
        <v>0</v>
      </c>
      <c r="DL83" s="59">
        <f t="shared" si="449"/>
        <v>0</v>
      </c>
      <c r="DM83" s="60">
        <f t="shared" si="450"/>
        <v>0</v>
      </c>
      <c r="DN83" s="59">
        <f t="shared" si="451"/>
        <v>0</v>
      </c>
      <c r="DO83" s="60">
        <f t="shared" si="452"/>
        <v>0</v>
      </c>
      <c r="DP83" s="59">
        <f t="shared" si="453"/>
        <v>0</v>
      </c>
      <c r="DQ83" s="55">
        <f t="shared" si="454"/>
        <v>0</v>
      </c>
      <c r="DR83" s="59">
        <f t="shared" si="455"/>
        <v>0</v>
      </c>
      <c r="DU83" s="55">
        <v>1</v>
      </c>
      <c r="DV83" s="55">
        <v>0.97</v>
      </c>
      <c r="DW83" s="55">
        <v>0.95</v>
      </c>
      <c r="DX83" s="55">
        <v>0.93</v>
      </c>
      <c r="DY83" s="55">
        <f t="shared" si="501"/>
        <v>0.91</v>
      </c>
      <c r="DZ83" s="55">
        <f t="shared" si="501"/>
        <v>0.89</v>
      </c>
      <c r="EA83" s="55">
        <f t="shared" si="501"/>
        <v>0.87</v>
      </c>
      <c r="EB83" s="55">
        <f t="shared" si="501"/>
        <v>0.85</v>
      </c>
      <c r="EC83" s="55">
        <f t="shared" si="501"/>
        <v>0.83</v>
      </c>
      <c r="ED83" s="55">
        <f t="shared" si="501"/>
        <v>0.80999999999999994</v>
      </c>
      <c r="EE83" s="55">
        <f t="shared" si="501"/>
        <v>0.78999999999999992</v>
      </c>
      <c r="EF83" s="55">
        <f t="shared" si="501"/>
        <v>0.76999999999999991</v>
      </c>
      <c r="EG83" s="55">
        <f t="shared" si="501"/>
        <v>0.74999999999999989</v>
      </c>
      <c r="EH83" s="55">
        <f t="shared" si="501"/>
        <v>0.72999999999999987</v>
      </c>
      <c r="EI83" s="55">
        <f t="shared" si="501"/>
        <v>0.70999999999999985</v>
      </c>
      <c r="EJ83" s="55">
        <f t="shared" si="501"/>
        <v>0.68999999999999984</v>
      </c>
      <c r="EK83" s="55">
        <f t="shared" si="501"/>
        <v>0.66999999999999982</v>
      </c>
      <c r="EL83" s="55">
        <f t="shared" si="501"/>
        <v>0.6499999999999998</v>
      </c>
      <c r="EM83" s="55">
        <f t="shared" si="501"/>
        <v>0.62999999999999978</v>
      </c>
      <c r="EN83" s="55">
        <f t="shared" si="501"/>
        <v>0.60999999999999976</v>
      </c>
      <c r="EO83" s="55">
        <f t="shared" si="501"/>
        <v>0.58999999999999975</v>
      </c>
      <c r="EP83" s="55">
        <f t="shared" si="501"/>
        <v>0.56999999999999973</v>
      </c>
      <c r="ER83" s="55">
        <f t="shared" si="142"/>
        <v>0</v>
      </c>
      <c r="ES83" s="55">
        <f t="shared" si="116"/>
        <v>0</v>
      </c>
      <c r="ET83" s="59">
        <f t="shared" si="457"/>
        <v>0</v>
      </c>
      <c r="EU83" s="55">
        <f t="shared" si="458"/>
        <v>0</v>
      </c>
      <c r="EV83" s="59">
        <f t="shared" si="459"/>
        <v>0</v>
      </c>
      <c r="EW83" s="55">
        <f t="shared" si="460"/>
        <v>0</v>
      </c>
      <c r="EX83" s="59">
        <f t="shared" si="461"/>
        <v>0</v>
      </c>
      <c r="EY83" s="55">
        <f t="shared" si="462"/>
        <v>0</v>
      </c>
      <c r="EZ83" s="59">
        <f t="shared" si="463"/>
        <v>0</v>
      </c>
      <c r="FA83" s="57">
        <f t="shared" si="464"/>
        <v>0</v>
      </c>
      <c r="FB83" s="59">
        <f t="shared" si="465"/>
        <v>0</v>
      </c>
      <c r="FC83" s="55">
        <f t="shared" si="466"/>
        <v>0</v>
      </c>
      <c r="FD83" s="59">
        <f t="shared" si="467"/>
        <v>0</v>
      </c>
      <c r="FE83" s="57">
        <f t="shared" si="468"/>
        <v>0</v>
      </c>
      <c r="FF83" s="59">
        <f t="shared" si="469"/>
        <v>0</v>
      </c>
      <c r="FG83" s="60">
        <f t="shared" si="470"/>
        <v>0</v>
      </c>
      <c r="FH83" s="59">
        <f t="shared" si="471"/>
        <v>0</v>
      </c>
      <c r="FI83" s="57">
        <f t="shared" si="472"/>
        <v>0</v>
      </c>
      <c r="FJ83" s="59">
        <f t="shared" si="473"/>
        <v>0</v>
      </c>
      <c r="FK83" s="55">
        <f t="shared" si="474"/>
        <v>0</v>
      </c>
      <c r="FL83" s="59">
        <f t="shared" si="475"/>
        <v>0</v>
      </c>
      <c r="FM83" s="60">
        <f t="shared" si="476"/>
        <v>0</v>
      </c>
      <c r="FN83" s="59">
        <f t="shared" si="477"/>
        <v>0</v>
      </c>
      <c r="FO83" s="60">
        <f t="shared" si="478"/>
        <v>0</v>
      </c>
      <c r="FP83" s="59">
        <f t="shared" si="479"/>
        <v>0</v>
      </c>
      <c r="FQ83" s="60">
        <f t="shared" si="480"/>
        <v>0</v>
      </c>
      <c r="FR83" s="59">
        <f t="shared" si="481"/>
        <v>0</v>
      </c>
      <c r="FS83" s="55">
        <f t="shared" si="482"/>
        <v>0</v>
      </c>
      <c r="FT83" s="59">
        <f t="shared" si="483"/>
        <v>0</v>
      </c>
      <c r="FU83" s="60">
        <f t="shared" si="484"/>
        <v>0</v>
      </c>
      <c r="FV83" s="59">
        <f t="shared" si="485"/>
        <v>0</v>
      </c>
      <c r="FW83" s="60">
        <f t="shared" si="486"/>
        <v>0</v>
      </c>
      <c r="FX83" s="59">
        <f t="shared" si="487"/>
        <v>0</v>
      </c>
      <c r="FY83" s="60">
        <f t="shared" si="488"/>
        <v>0</v>
      </c>
      <c r="FZ83" s="59">
        <f t="shared" si="489"/>
        <v>0</v>
      </c>
      <c r="GA83" s="60">
        <f t="shared" si="490"/>
        <v>0</v>
      </c>
      <c r="GB83" s="59">
        <f t="shared" si="491"/>
        <v>0</v>
      </c>
      <c r="GC83" s="55">
        <f t="shared" si="492"/>
        <v>0</v>
      </c>
      <c r="GD83" s="59">
        <f t="shared" si="493"/>
        <v>0</v>
      </c>
      <c r="GE83" s="60">
        <f t="shared" si="494"/>
        <v>0</v>
      </c>
      <c r="GF83" s="59">
        <f t="shared" si="495"/>
        <v>0</v>
      </c>
      <c r="GG83" s="60">
        <f t="shared" si="496"/>
        <v>0</v>
      </c>
      <c r="GH83" s="59">
        <f t="shared" si="497"/>
        <v>0</v>
      </c>
      <c r="GI83" s="55">
        <f t="shared" si="498"/>
        <v>0</v>
      </c>
      <c r="GJ83" s="59">
        <f t="shared" si="499"/>
        <v>0</v>
      </c>
      <c r="GK83" s="55"/>
      <c r="GL83" s="55"/>
      <c r="GM83" s="55">
        <v>1</v>
      </c>
      <c r="GN83" s="55">
        <v>0.97</v>
      </c>
      <c r="GO83" s="55">
        <v>0.95</v>
      </c>
      <c r="GP83" s="55">
        <v>0.93</v>
      </c>
      <c r="GQ83" s="55">
        <f t="shared" si="502"/>
        <v>0.91</v>
      </c>
      <c r="GR83" s="55">
        <f t="shared" si="502"/>
        <v>0.89</v>
      </c>
      <c r="GS83" s="55">
        <f t="shared" si="502"/>
        <v>0.87</v>
      </c>
      <c r="GT83" s="55">
        <f t="shared" si="502"/>
        <v>0.85</v>
      </c>
      <c r="GU83" s="55">
        <f t="shared" si="502"/>
        <v>0.83</v>
      </c>
      <c r="GV83" s="55">
        <f t="shared" si="502"/>
        <v>0.80999999999999994</v>
      </c>
      <c r="GW83" s="55">
        <f t="shared" si="502"/>
        <v>0.78999999999999992</v>
      </c>
      <c r="GX83" s="55">
        <f t="shared" si="502"/>
        <v>0.76999999999999991</v>
      </c>
      <c r="GY83" s="55">
        <f t="shared" si="502"/>
        <v>0.74999999999999989</v>
      </c>
      <c r="GZ83" s="55">
        <f t="shared" si="502"/>
        <v>0.72999999999999987</v>
      </c>
      <c r="HA83" s="55">
        <f t="shared" si="502"/>
        <v>0.70999999999999985</v>
      </c>
      <c r="HB83" s="55">
        <f t="shared" si="502"/>
        <v>0.68999999999999984</v>
      </c>
      <c r="HC83" s="55">
        <f t="shared" si="502"/>
        <v>0.66999999999999982</v>
      </c>
      <c r="HD83" s="55">
        <f t="shared" si="502"/>
        <v>0.6499999999999998</v>
      </c>
      <c r="HE83" s="55">
        <f t="shared" si="502"/>
        <v>0.62999999999999978</v>
      </c>
      <c r="HF83" s="55">
        <f t="shared" si="502"/>
        <v>0.60999999999999976</v>
      </c>
      <c r="HG83" s="55">
        <f t="shared" si="502"/>
        <v>0.58999999999999975</v>
      </c>
      <c r="HH83" s="55">
        <f t="shared" si="502"/>
        <v>0.56999999999999973</v>
      </c>
    </row>
    <row r="84" spans="1:216" x14ac:dyDescent="0.3">
      <c r="A84" s="2">
        <v>16</v>
      </c>
      <c r="C84" s="38" t="s">
        <v>122</v>
      </c>
      <c r="D84" s="42">
        <v>0</v>
      </c>
      <c r="E84" s="71">
        <f t="shared" si="369"/>
        <v>0</v>
      </c>
      <c r="H84" s="55">
        <f t="shared" si="61"/>
        <v>0</v>
      </c>
      <c r="I84" s="55">
        <f t="shared" si="62"/>
        <v>0</v>
      </c>
      <c r="J84" s="59">
        <f t="shared" si="63"/>
        <v>0</v>
      </c>
      <c r="K84" s="55">
        <f t="shared" si="370"/>
        <v>0</v>
      </c>
      <c r="L84" s="59">
        <f t="shared" si="371"/>
        <v>0</v>
      </c>
      <c r="M84" s="55">
        <f t="shared" si="372"/>
        <v>0</v>
      </c>
      <c r="N84" s="59">
        <f t="shared" si="373"/>
        <v>0</v>
      </c>
      <c r="O84" s="55">
        <f t="shared" si="374"/>
        <v>0</v>
      </c>
      <c r="P84" s="59">
        <f t="shared" si="375"/>
        <v>0</v>
      </c>
      <c r="Q84" s="57">
        <f t="shared" si="376"/>
        <v>0</v>
      </c>
      <c r="R84" s="59">
        <f t="shared" si="377"/>
        <v>0</v>
      </c>
      <c r="S84" s="55">
        <f t="shared" si="378"/>
        <v>0</v>
      </c>
      <c r="T84" s="59">
        <f t="shared" si="379"/>
        <v>0</v>
      </c>
      <c r="U84" s="57">
        <f t="shared" si="380"/>
        <v>0</v>
      </c>
      <c r="V84" s="59">
        <f t="shared" si="381"/>
        <v>0</v>
      </c>
      <c r="W84" s="60">
        <f t="shared" si="382"/>
        <v>0</v>
      </c>
      <c r="X84" s="59">
        <f t="shared" si="383"/>
        <v>0</v>
      </c>
      <c r="Y84" s="57">
        <f t="shared" si="384"/>
        <v>0</v>
      </c>
      <c r="Z84" s="59">
        <f t="shared" si="385"/>
        <v>0</v>
      </c>
      <c r="AA84" s="55">
        <f t="shared" si="386"/>
        <v>0</v>
      </c>
      <c r="AB84" s="59">
        <f t="shared" si="387"/>
        <v>0</v>
      </c>
      <c r="AC84" s="60">
        <f t="shared" si="388"/>
        <v>0</v>
      </c>
      <c r="AD84" s="59">
        <f t="shared" si="389"/>
        <v>0</v>
      </c>
      <c r="AE84" s="60">
        <f t="shared" si="390"/>
        <v>0</v>
      </c>
      <c r="AF84" s="59">
        <f t="shared" si="391"/>
        <v>0</v>
      </c>
      <c r="AG84" s="60">
        <f t="shared" si="392"/>
        <v>0</v>
      </c>
      <c r="AH84" s="59">
        <f t="shared" si="393"/>
        <v>0</v>
      </c>
      <c r="AI84" s="55">
        <f t="shared" si="394"/>
        <v>0</v>
      </c>
      <c r="AJ84" s="59">
        <f t="shared" si="395"/>
        <v>0</v>
      </c>
      <c r="AK84" s="60">
        <f t="shared" si="396"/>
        <v>0</v>
      </c>
      <c r="AL84" s="59">
        <f t="shared" si="397"/>
        <v>0</v>
      </c>
      <c r="AM84" s="60">
        <f t="shared" si="398"/>
        <v>0</v>
      </c>
      <c r="AN84" s="59">
        <f t="shared" si="399"/>
        <v>0</v>
      </c>
      <c r="AO84" s="60">
        <f t="shared" si="400"/>
        <v>0</v>
      </c>
      <c r="AP84" s="59">
        <f t="shared" si="401"/>
        <v>0</v>
      </c>
      <c r="AQ84" s="60">
        <f t="shared" si="402"/>
        <v>0</v>
      </c>
      <c r="AR84" s="59">
        <f t="shared" si="403"/>
        <v>0</v>
      </c>
      <c r="AS84" s="55">
        <f t="shared" si="404"/>
        <v>0</v>
      </c>
      <c r="AT84" s="59">
        <f t="shared" si="405"/>
        <v>0</v>
      </c>
      <c r="AU84" s="60">
        <f t="shared" si="406"/>
        <v>0</v>
      </c>
      <c r="AV84" s="59">
        <f t="shared" si="407"/>
        <v>0</v>
      </c>
      <c r="AW84" s="60">
        <f t="shared" si="408"/>
        <v>0</v>
      </c>
      <c r="AX84" s="59">
        <f t="shared" si="409"/>
        <v>0</v>
      </c>
      <c r="AY84" s="55">
        <f t="shared" si="410"/>
        <v>0</v>
      </c>
      <c r="AZ84" s="59">
        <f t="shared" si="411"/>
        <v>0</v>
      </c>
      <c r="BC84" s="55">
        <v>1</v>
      </c>
      <c r="BD84" s="55">
        <v>0.97</v>
      </c>
      <c r="BE84" s="55">
        <v>0.95</v>
      </c>
      <c r="BF84" s="55">
        <v>0.93</v>
      </c>
      <c r="BG84" s="55">
        <f t="shared" ref="BG84:BX95" si="504">+BF84-0.02</f>
        <v>0.91</v>
      </c>
      <c r="BH84" s="55">
        <f t="shared" si="504"/>
        <v>0.89</v>
      </c>
      <c r="BI84" s="55">
        <f t="shared" si="504"/>
        <v>0.87</v>
      </c>
      <c r="BJ84" s="55">
        <f t="shared" si="504"/>
        <v>0.85</v>
      </c>
      <c r="BK84" s="55">
        <f t="shared" si="504"/>
        <v>0.83</v>
      </c>
      <c r="BL84" s="55">
        <f t="shared" si="504"/>
        <v>0.80999999999999994</v>
      </c>
      <c r="BM84" s="55">
        <f t="shared" si="504"/>
        <v>0.78999999999999992</v>
      </c>
      <c r="BN84" s="55">
        <f t="shared" si="504"/>
        <v>0.76999999999999991</v>
      </c>
      <c r="BO84" s="55">
        <f t="shared" si="504"/>
        <v>0.74999999999999989</v>
      </c>
      <c r="BP84" s="55">
        <f t="shared" si="504"/>
        <v>0.72999999999999987</v>
      </c>
      <c r="BQ84" s="55">
        <f t="shared" si="504"/>
        <v>0.70999999999999985</v>
      </c>
      <c r="BR84" s="55">
        <f t="shared" si="504"/>
        <v>0.68999999999999984</v>
      </c>
      <c r="BS84" s="55">
        <f t="shared" si="504"/>
        <v>0.66999999999999982</v>
      </c>
      <c r="BT84" s="55">
        <f t="shared" si="504"/>
        <v>0.6499999999999998</v>
      </c>
      <c r="BU84" s="55">
        <f t="shared" si="504"/>
        <v>0.62999999999999978</v>
      </c>
      <c r="BV84" s="55">
        <f t="shared" si="504"/>
        <v>0.60999999999999976</v>
      </c>
      <c r="BW84" s="55">
        <f t="shared" si="504"/>
        <v>0.58999999999999975</v>
      </c>
      <c r="BX84" s="55">
        <f t="shared" si="504"/>
        <v>0.56999999999999973</v>
      </c>
      <c r="BZ84" s="55">
        <f t="shared" si="88"/>
        <v>0</v>
      </c>
      <c r="CA84" s="55">
        <f t="shared" si="89"/>
        <v>0</v>
      </c>
      <c r="CB84" s="59">
        <f t="shared" si="413"/>
        <v>0</v>
      </c>
      <c r="CC84" s="55">
        <f t="shared" si="414"/>
        <v>0</v>
      </c>
      <c r="CD84" s="59">
        <f t="shared" si="415"/>
        <v>0</v>
      </c>
      <c r="CE84" s="55">
        <f t="shared" si="416"/>
        <v>0</v>
      </c>
      <c r="CF84" s="59">
        <f t="shared" si="417"/>
        <v>0</v>
      </c>
      <c r="CG84" s="55">
        <f t="shared" si="418"/>
        <v>0</v>
      </c>
      <c r="CH84" s="59">
        <f t="shared" si="419"/>
        <v>0</v>
      </c>
      <c r="CI84" s="57">
        <f t="shared" si="420"/>
        <v>0</v>
      </c>
      <c r="CJ84" s="59">
        <f t="shared" si="421"/>
        <v>0</v>
      </c>
      <c r="CK84" s="55">
        <f t="shared" si="422"/>
        <v>0</v>
      </c>
      <c r="CL84" s="59">
        <f t="shared" si="423"/>
        <v>0</v>
      </c>
      <c r="CM84" s="57">
        <f t="shared" si="424"/>
        <v>0</v>
      </c>
      <c r="CN84" s="59">
        <f t="shared" si="425"/>
        <v>0</v>
      </c>
      <c r="CO84" s="60">
        <f t="shared" si="426"/>
        <v>0</v>
      </c>
      <c r="CP84" s="59">
        <f t="shared" si="427"/>
        <v>0</v>
      </c>
      <c r="CQ84" s="57">
        <f t="shared" si="428"/>
        <v>0</v>
      </c>
      <c r="CR84" s="59">
        <f t="shared" si="429"/>
        <v>0</v>
      </c>
      <c r="CS84" s="55">
        <f t="shared" si="430"/>
        <v>0</v>
      </c>
      <c r="CT84" s="59">
        <f t="shared" si="431"/>
        <v>0</v>
      </c>
      <c r="CU84" s="60">
        <f t="shared" si="432"/>
        <v>0</v>
      </c>
      <c r="CV84" s="59">
        <f t="shared" si="433"/>
        <v>0</v>
      </c>
      <c r="CW84" s="60">
        <f t="shared" si="434"/>
        <v>0</v>
      </c>
      <c r="CX84" s="59">
        <f t="shared" si="435"/>
        <v>0</v>
      </c>
      <c r="CY84" s="60">
        <f t="shared" si="436"/>
        <v>0</v>
      </c>
      <c r="CZ84" s="59">
        <f t="shared" si="437"/>
        <v>0</v>
      </c>
      <c r="DA84" s="55">
        <f t="shared" si="438"/>
        <v>0</v>
      </c>
      <c r="DB84" s="59">
        <f t="shared" si="439"/>
        <v>0</v>
      </c>
      <c r="DC84" s="60">
        <f t="shared" si="440"/>
        <v>0</v>
      </c>
      <c r="DD84" s="59">
        <f t="shared" si="441"/>
        <v>0</v>
      </c>
      <c r="DE84" s="60">
        <f t="shared" si="442"/>
        <v>0</v>
      </c>
      <c r="DF84" s="59">
        <f t="shared" si="443"/>
        <v>0</v>
      </c>
      <c r="DG84" s="60">
        <f t="shared" si="444"/>
        <v>0</v>
      </c>
      <c r="DH84" s="59">
        <f t="shared" si="445"/>
        <v>0</v>
      </c>
      <c r="DI84" s="60">
        <f t="shared" si="446"/>
        <v>0</v>
      </c>
      <c r="DJ84" s="59">
        <f t="shared" si="447"/>
        <v>0</v>
      </c>
      <c r="DK84" s="55">
        <f t="shared" si="448"/>
        <v>0</v>
      </c>
      <c r="DL84" s="59">
        <f t="shared" si="449"/>
        <v>0</v>
      </c>
      <c r="DM84" s="60">
        <f t="shared" si="450"/>
        <v>0</v>
      </c>
      <c r="DN84" s="59">
        <f t="shared" si="451"/>
        <v>0</v>
      </c>
      <c r="DO84" s="60">
        <f t="shared" si="452"/>
        <v>0</v>
      </c>
      <c r="DP84" s="59">
        <f t="shared" si="453"/>
        <v>0</v>
      </c>
      <c r="DQ84" s="55">
        <f t="shared" si="454"/>
        <v>0</v>
      </c>
      <c r="DR84" s="59">
        <f t="shared" si="455"/>
        <v>0</v>
      </c>
      <c r="DU84" s="55">
        <v>1</v>
      </c>
      <c r="DV84" s="55">
        <v>0.97</v>
      </c>
      <c r="DW84" s="55">
        <v>0.95</v>
      </c>
      <c r="DX84" s="55">
        <v>0.93</v>
      </c>
      <c r="DY84" s="55">
        <f t="shared" si="501"/>
        <v>0.91</v>
      </c>
      <c r="DZ84" s="55">
        <f t="shared" si="501"/>
        <v>0.89</v>
      </c>
      <c r="EA84" s="55">
        <f t="shared" si="501"/>
        <v>0.87</v>
      </c>
      <c r="EB84" s="55">
        <f t="shared" ref="EB84:EP84" si="505">+EA84-0.02</f>
        <v>0.85</v>
      </c>
      <c r="EC84" s="55">
        <f t="shared" si="505"/>
        <v>0.83</v>
      </c>
      <c r="ED84" s="55">
        <f t="shared" si="505"/>
        <v>0.80999999999999994</v>
      </c>
      <c r="EE84" s="55">
        <f t="shared" si="505"/>
        <v>0.78999999999999992</v>
      </c>
      <c r="EF84" s="55">
        <f t="shared" si="505"/>
        <v>0.76999999999999991</v>
      </c>
      <c r="EG84" s="55">
        <f t="shared" si="505"/>
        <v>0.74999999999999989</v>
      </c>
      <c r="EH84" s="55">
        <f t="shared" si="505"/>
        <v>0.72999999999999987</v>
      </c>
      <c r="EI84" s="55">
        <f t="shared" si="505"/>
        <v>0.70999999999999985</v>
      </c>
      <c r="EJ84" s="55">
        <f t="shared" si="505"/>
        <v>0.68999999999999984</v>
      </c>
      <c r="EK84" s="55">
        <f t="shared" si="505"/>
        <v>0.66999999999999982</v>
      </c>
      <c r="EL84" s="55">
        <f t="shared" si="505"/>
        <v>0.6499999999999998</v>
      </c>
      <c r="EM84" s="55">
        <f t="shared" si="505"/>
        <v>0.62999999999999978</v>
      </c>
      <c r="EN84" s="55">
        <f t="shared" si="505"/>
        <v>0.60999999999999976</v>
      </c>
      <c r="EO84" s="55">
        <f t="shared" si="505"/>
        <v>0.58999999999999975</v>
      </c>
      <c r="EP84" s="55">
        <f t="shared" si="505"/>
        <v>0.56999999999999973</v>
      </c>
      <c r="ER84" s="55">
        <f t="shared" si="142"/>
        <v>0</v>
      </c>
      <c r="ES84" s="55">
        <f t="shared" si="116"/>
        <v>0</v>
      </c>
      <c r="ET84" s="59">
        <f t="shared" si="457"/>
        <v>0</v>
      </c>
      <c r="EU84" s="55">
        <f t="shared" si="458"/>
        <v>0</v>
      </c>
      <c r="EV84" s="59">
        <f t="shared" si="459"/>
        <v>0</v>
      </c>
      <c r="EW84" s="55">
        <f t="shared" si="460"/>
        <v>0</v>
      </c>
      <c r="EX84" s="59">
        <f t="shared" si="461"/>
        <v>0</v>
      </c>
      <c r="EY84" s="55">
        <f t="shared" si="462"/>
        <v>0</v>
      </c>
      <c r="EZ84" s="59">
        <f t="shared" si="463"/>
        <v>0</v>
      </c>
      <c r="FA84" s="57">
        <f t="shared" si="464"/>
        <v>0</v>
      </c>
      <c r="FB84" s="59">
        <f t="shared" si="465"/>
        <v>0</v>
      </c>
      <c r="FC84" s="55">
        <f t="shared" si="466"/>
        <v>0</v>
      </c>
      <c r="FD84" s="59">
        <f t="shared" si="467"/>
        <v>0</v>
      </c>
      <c r="FE84" s="57">
        <f t="shared" si="468"/>
        <v>0</v>
      </c>
      <c r="FF84" s="59">
        <f t="shared" si="469"/>
        <v>0</v>
      </c>
      <c r="FG84" s="60">
        <f t="shared" si="470"/>
        <v>0</v>
      </c>
      <c r="FH84" s="59">
        <f t="shared" si="471"/>
        <v>0</v>
      </c>
      <c r="FI84" s="57">
        <f t="shared" si="472"/>
        <v>0</v>
      </c>
      <c r="FJ84" s="59">
        <f t="shared" si="473"/>
        <v>0</v>
      </c>
      <c r="FK84" s="55">
        <f t="shared" si="474"/>
        <v>0</v>
      </c>
      <c r="FL84" s="59">
        <f t="shared" si="475"/>
        <v>0</v>
      </c>
      <c r="FM84" s="60">
        <f t="shared" si="476"/>
        <v>0</v>
      </c>
      <c r="FN84" s="59">
        <f t="shared" si="477"/>
        <v>0</v>
      </c>
      <c r="FO84" s="60">
        <f t="shared" si="478"/>
        <v>0</v>
      </c>
      <c r="FP84" s="59">
        <f t="shared" si="479"/>
        <v>0</v>
      </c>
      <c r="FQ84" s="60">
        <f t="shared" si="480"/>
        <v>0</v>
      </c>
      <c r="FR84" s="59">
        <f t="shared" si="481"/>
        <v>0</v>
      </c>
      <c r="FS84" s="55">
        <f t="shared" si="482"/>
        <v>0</v>
      </c>
      <c r="FT84" s="59">
        <f t="shared" si="483"/>
        <v>0</v>
      </c>
      <c r="FU84" s="60">
        <f t="shared" si="484"/>
        <v>0</v>
      </c>
      <c r="FV84" s="59">
        <f t="shared" si="485"/>
        <v>0</v>
      </c>
      <c r="FW84" s="60">
        <f t="shared" si="486"/>
        <v>0</v>
      </c>
      <c r="FX84" s="59">
        <f t="shared" si="487"/>
        <v>0</v>
      </c>
      <c r="FY84" s="60">
        <f t="shared" si="488"/>
        <v>0</v>
      </c>
      <c r="FZ84" s="59">
        <f t="shared" si="489"/>
        <v>0</v>
      </c>
      <c r="GA84" s="60">
        <f t="shared" si="490"/>
        <v>0</v>
      </c>
      <c r="GB84" s="59">
        <f t="shared" si="491"/>
        <v>0</v>
      </c>
      <c r="GC84" s="55">
        <f t="shared" si="492"/>
        <v>0</v>
      </c>
      <c r="GD84" s="59">
        <f t="shared" si="493"/>
        <v>0</v>
      </c>
      <c r="GE84" s="60">
        <f t="shared" si="494"/>
        <v>0</v>
      </c>
      <c r="GF84" s="59">
        <f t="shared" si="495"/>
        <v>0</v>
      </c>
      <c r="GG84" s="60">
        <f t="shared" si="496"/>
        <v>0</v>
      </c>
      <c r="GH84" s="59">
        <f t="shared" si="497"/>
        <v>0</v>
      </c>
      <c r="GI84" s="55">
        <f t="shared" si="498"/>
        <v>0</v>
      </c>
      <c r="GJ84" s="59">
        <f t="shared" si="499"/>
        <v>0</v>
      </c>
      <c r="GK84" s="55"/>
      <c r="GL84" s="55"/>
      <c r="GM84" s="55">
        <v>1</v>
      </c>
      <c r="GN84" s="55">
        <v>0.97</v>
      </c>
      <c r="GO84" s="55">
        <v>0.95</v>
      </c>
      <c r="GP84" s="55">
        <v>0.93</v>
      </c>
      <c r="GQ84" s="55">
        <f t="shared" si="502"/>
        <v>0.91</v>
      </c>
      <c r="GR84" s="55">
        <f t="shared" si="502"/>
        <v>0.89</v>
      </c>
      <c r="GS84" s="55">
        <f t="shared" si="502"/>
        <v>0.87</v>
      </c>
      <c r="GT84" s="55">
        <f t="shared" ref="GT84:HH84" si="506">+GS84-0.02</f>
        <v>0.85</v>
      </c>
      <c r="GU84" s="55">
        <f t="shared" si="506"/>
        <v>0.83</v>
      </c>
      <c r="GV84" s="55">
        <f t="shared" si="506"/>
        <v>0.80999999999999994</v>
      </c>
      <c r="GW84" s="55">
        <f t="shared" si="506"/>
        <v>0.78999999999999992</v>
      </c>
      <c r="GX84" s="55">
        <f t="shared" si="506"/>
        <v>0.76999999999999991</v>
      </c>
      <c r="GY84" s="55">
        <f t="shared" si="506"/>
        <v>0.74999999999999989</v>
      </c>
      <c r="GZ84" s="55">
        <f t="shared" si="506"/>
        <v>0.72999999999999987</v>
      </c>
      <c r="HA84" s="55">
        <f t="shared" si="506"/>
        <v>0.70999999999999985</v>
      </c>
      <c r="HB84" s="55">
        <f t="shared" si="506"/>
        <v>0.68999999999999984</v>
      </c>
      <c r="HC84" s="55">
        <f t="shared" si="506"/>
        <v>0.66999999999999982</v>
      </c>
      <c r="HD84" s="55">
        <f t="shared" si="506"/>
        <v>0.6499999999999998</v>
      </c>
      <c r="HE84" s="55">
        <f t="shared" si="506"/>
        <v>0.62999999999999978</v>
      </c>
      <c r="HF84" s="55">
        <f t="shared" si="506"/>
        <v>0.60999999999999976</v>
      </c>
      <c r="HG84" s="55">
        <f t="shared" si="506"/>
        <v>0.58999999999999975</v>
      </c>
      <c r="HH84" s="55">
        <f t="shared" si="506"/>
        <v>0.56999999999999973</v>
      </c>
    </row>
    <row r="85" spans="1:216" x14ac:dyDescent="0.3">
      <c r="A85" s="2">
        <v>17</v>
      </c>
      <c r="C85" s="38" t="s">
        <v>123</v>
      </c>
      <c r="D85" s="42">
        <v>0</v>
      </c>
      <c r="E85" s="71">
        <f t="shared" si="369"/>
        <v>0</v>
      </c>
      <c r="H85" s="55">
        <f t="shared" si="61"/>
        <v>0</v>
      </c>
      <c r="I85" s="55">
        <f t="shared" si="62"/>
        <v>0</v>
      </c>
      <c r="J85" s="59">
        <f t="shared" si="63"/>
        <v>0</v>
      </c>
      <c r="K85" s="55">
        <f t="shared" si="370"/>
        <v>0</v>
      </c>
      <c r="L85" s="59">
        <f t="shared" si="371"/>
        <v>0</v>
      </c>
      <c r="M85" s="55">
        <f t="shared" si="372"/>
        <v>0</v>
      </c>
      <c r="N85" s="59">
        <f t="shared" si="373"/>
        <v>0</v>
      </c>
      <c r="O85" s="55">
        <f t="shared" si="374"/>
        <v>0</v>
      </c>
      <c r="P85" s="59">
        <f t="shared" si="375"/>
        <v>0</v>
      </c>
      <c r="Q85" s="57">
        <f t="shared" si="376"/>
        <v>0</v>
      </c>
      <c r="R85" s="59">
        <f t="shared" si="377"/>
        <v>0</v>
      </c>
      <c r="S85" s="55">
        <f t="shared" si="378"/>
        <v>0</v>
      </c>
      <c r="T85" s="59">
        <f t="shared" si="379"/>
        <v>0</v>
      </c>
      <c r="U85" s="57">
        <f t="shared" si="380"/>
        <v>0</v>
      </c>
      <c r="V85" s="59">
        <f t="shared" si="381"/>
        <v>0</v>
      </c>
      <c r="W85" s="60">
        <f t="shared" si="382"/>
        <v>0</v>
      </c>
      <c r="X85" s="59">
        <f t="shared" si="383"/>
        <v>0</v>
      </c>
      <c r="Y85" s="57">
        <f t="shared" si="384"/>
        <v>0</v>
      </c>
      <c r="Z85" s="59">
        <f t="shared" si="385"/>
        <v>0</v>
      </c>
      <c r="AA85" s="55">
        <f t="shared" si="386"/>
        <v>0</v>
      </c>
      <c r="AB85" s="59">
        <f t="shared" si="387"/>
        <v>0</v>
      </c>
      <c r="AC85" s="60">
        <f t="shared" si="388"/>
        <v>0</v>
      </c>
      <c r="AD85" s="59">
        <f t="shared" si="389"/>
        <v>0</v>
      </c>
      <c r="AE85" s="60">
        <f t="shared" si="390"/>
        <v>0</v>
      </c>
      <c r="AF85" s="59">
        <f t="shared" si="391"/>
        <v>0</v>
      </c>
      <c r="AG85" s="60">
        <f t="shared" si="392"/>
        <v>0</v>
      </c>
      <c r="AH85" s="59">
        <f t="shared" si="393"/>
        <v>0</v>
      </c>
      <c r="AI85" s="55">
        <f t="shared" si="394"/>
        <v>0</v>
      </c>
      <c r="AJ85" s="59">
        <f t="shared" si="395"/>
        <v>0</v>
      </c>
      <c r="AK85" s="60">
        <f t="shared" si="396"/>
        <v>0</v>
      </c>
      <c r="AL85" s="59">
        <f t="shared" si="397"/>
        <v>0</v>
      </c>
      <c r="AM85" s="60">
        <f t="shared" si="398"/>
        <v>0</v>
      </c>
      <c r="AN85" s="59">
        <f t="shared" si="399"/>
        <v>0</v>
      </c>
      <c r="AO85" s="60">
        <f t="shared" si="400"/>
        <v>0</v>
      </c>
      <c r="AP85" s="59">
        <f t="shared" si="401"/>
        <v>0</v>
      </c>
      <c r="AQ85" s="60">
        <f t="shared" si="402"/>
        <v>0</v>
      </c>
      <c r="AR85" s="59">
        <f t="shared" si="403"/>
        <v>0</v>
      </c>
      <c r="AS85" s="55">
        <f t="shared" si="404"/>
        <v>0</v>
      </c>
      <c r="AT85" s="59">
        <f t="shared" si="405"/>
        <v>0</v>
      </c>
      <c r="AU85" s="60">
        <f t="shared" si="406"/>
        <v>0</v>
      </c>
      <c r="AV85" s="59">
        <f t="shared" si="407"/>
        <v>0</v>
      </c>
      <c r="AW85" s="60">
        <f t="shared" si="408"/>
        <v>0</v>
      </c>
      <c r="AX85" s="59">
        <f t="shared" si="409"/>
        <v>0</v>
      </c>
      <c r="AY85" s="55">
        <f t="shared" si="410"/>
        <v>0</v>
      </c>
      <c r="AZ85" s="59">
        <f t="shared" si="411"/>
        <v>0</v>
      </c>
      <c r="BC85" s="55">
        <v>1</v>
      </c>
      <c r="BD85" s="55">
        <v>0.97</v>
      </c>
      <c r="BE85" s="55">
        <v>0.95</v>
      </c>
      <c r="BF85" s="55">
        <v>0.93</v>
      </c>
      <c r="BG85" s="55">
        <f t="shared" si="504"/>
        <v>0.91</v>
      </c>
      <c r="BH85" s="55">
        <f t="shared" si="504"/>
        <v>0.89</v>
      </c>
      <c r="BI85" s="55">
        <f t="shared" si="504"/>
        <v>0.87</v>
      </c>
      <c r="BJ85" s="55">
        <f t="shared" si="504"/>
        <v>0.85</v>
      </c>
      <c r="BK85" s="55">
        <f t="shared" si="504"/>
        <v>0.83</v>
      </c>
      <c r="BL85" s="55">
        <f t="shared" si="504"/>
        <v>0.80999999999999994</v>
      </c>
      <c r="BM85" s="55">
        <f t="shared" si="504"/>
        <v>0.78999999999999992</v>
      </c>
      <c r="BN85" s="55">
        <f t="shared" si="504"/>
        <v>0.76999999999999991</v>
      </c>
      <c r="BO85" s="55">
        <f t="shared" si="504"/>
        <v>0.74999999999999989</v>
      </c>
      <c r="BP85" s="55">
        <f t="shared" si="504"/>
        <v>0.72999999999999987</v>
      </c>
      <c r="BQ85" s="55">
        <f t="shared" si="504"/>
        <v>0.70999999999999985</v>
      </c>
      <c r="BR85" s="55">
        <f t="shared" si="504"/>
        <v>0.68999999999999984</v>
      </c>
      <c r="BS85" s="55">
        <f t="shared" si="504"/>
        <v>0.66999999999999982</v>
      </c>
      <c r="BT85" s="55">
        <f t="shared" si="504"/>
        <v>0.6499999999999998</v>
      </c>
      <c r="BU85" s="55">
        <f t="shared" si="504"/>
        <v>0.62999999999999978</v>
      </c>
      <c r="BV85" s="55">
        <f t="shared" si="504"/>
        <v>0.60999999999999976</v>
      </c>
      <c r="BW85" s="55">
        <f t="shared" si="504"/>
        <v>0.58999999999999975</v>
      </c>
      <c r="BX85" s="55">
        <f t="shared" si="504"/>
        <v>0.56999999999999973</v>
      </c>
      <c r="BZ85" s="55">
        <f t="shared" si="88"/>
        <v>0</v>
      </c>
      <c r="CA85" s="55">
        <f t="shared" si="89"/>
        <v>0</v>
      </c>
      <c r="CB85" s="59">
        <f t="shared" si="413"/>
        <v>0</v>
      </c>
      <c r="CC85" s="55">
        <f t="shared" si="414"/>
        <v>0</v>
      </c>
      <c r="CD85" s="59">
        <f t="shared" si="415"/>
        <v>0</v>
      </c>
      <c r="CE85" s="55">
        <f t="shared" si="416"/>
        <v>0</v>
      </c>
      <c r="CF85" s="59">
        <f t="shared" si="417"/>
        <v>0</v>
      </c>
      <c r="CG85" s="55">
        <f t="shared" si="418"/>
        <v>0</v>
      </c>
      <c r="CH85" s="59">
        <f t="shared" si="419"/>
        <v>0</v>
      </c>
      <c r="CI85" s="57">
        <f t="shared" si="420"/>
        <v>0</v>
      </c>
      <c r="CJ85" s="59">
        <f t="shared" si="421"/>
        <v>0</v>
      </c>
      <c r="CK85" s="55">
        <f t="shared" si="422"/>
        <v>0</v>
      </c>
      <c r="CL85" s="59">
        <f t="shared" si="423"/>
        <v>0</v>
      </c>
      <c r="CM85" s="57">
        <f t="shared" si="424"/>
        <v>0</v>
      </c>
      <c r="CN85" s="59">
        <f t="shared" si="425"/>
        <v>0</v>
      </c>
      <c r="CO85" s="60">
        <f t="shared" si="426"/>
        <v>0</v>
      </c>
      <c r="CP85" s="59">
        <f t="shared" si="427"/>
        <v>0</v>
      </c>
      <c r="CQ85" s="57">
        <f t="shared" si="428"/>
        <v>0</v>
      </c>
      <c r="CR85" s="59">
        <f t="shared" si="429"/>
        <v>0</v>
      </c>
      <c r="CS85" s="55">
        <f t="shared" si="430"/>
        <v>0</v>
      </c>
      <c r="CT85" s="59">
        <f t="shared" si="431"/>
        <v>0</v>
      </c>
      <c r="CU85" s="60">
        <f t="shared" si="432"/>
        <v>0</v>
      </c>
      <c r="CV85" s="59">
        <f t="shared" si="433"/>
        <v>0</v>
      </c>
      <c r="CW85" s="60">
        <f t="shared" si="434"/>
        <v>0</v>
      </c>
      <c r="CX85" s="59">
        <f t="shared" si="435"/>
        <v>0</v>
      </c>
      <c r="CY85" s="60">
        <f t="shared" si="436"/>
        <v>0</v>
      </c>
      <c r="CZ85" s="59">
        <f t="shared" si="437"/>
        <v>0</v>
      </c>
      <c r="DA85" s="55">
        <f t="shared" si="438"/>
        <v>0</v>
      </c>
      <c r="DB85" s="59">
        <f t="shared" si="439"/>
        <v>0</v>
      </c>
      <c r="DC85" s="60">
        <f t="shared" si="440"/>
        <v>0</v>
      </c>
      <c r="DD85" s="59">
        <f t="shared" si="441"/>
        <v>0</v>
      </c>
      <c r="DE85" s="60">
        <f t="shared" si="442"/>
        <v>0</v>
      </c>
      <c r="DF85" s="59">
        <f t="shared" si="443"/>
        <v>0</v>
      </c>
      <c r="DG85" s="60">
        <f t="shared" si="444"/>
        <v>0</v>
      </c>
      <c r="DH85" s="59">
        <f t="shared" si="445"/>
        <v>0</v>
      </c>
      <c r="DI85" s="60">
        <f t="shared" si="446"/>
        <v>0</v>
      </c>
      <c r="DJ85" s="59">
        <f t="shared" si="447"/>
        <v>0</v>
      </c>
      <c r="DK85" s="55">
        <f t="shared" si="448"/>
        <v>0</v>
      </c>
      <c r="DL85" s="59">
        <f t="shared" si="449"/>
        <v>0</v>
      </c>
      <c r="DM85" s="60">
        <f t="shared" si="450"/>
        <v>0</v>
      </c>
      <c r="DN85" s="59">
        <f t="shared" si="451"/>
        <v>0</v>
      </c>
      <c r="DO85" s="60">
        <f t="shared" si="452"/>
        <v>0</v>
      </c>
      <c r="DP85" s="59">
        <f t="shared" si="453"/>
        <v>0</v>
      </c>
      <c r="DQ85" s="55">
        <f t="shared" si="454"/>
        <v>0</v>
      </c>
      <c r="DR85" s="59">
        <f t="shared" si="455"/>
        <v>0</v>
      </c>
      <c r="DU85" s="55">
        <v>1</v>
      </c>
      <c r="DV85" s="55">
        <v>0.97</v>
      </c>
      <c r="DW85" s="55">
        <v>0.95</v>
      </c>
      <c r="DX85" s="55">
        <v>0.93</v>
      </c>
      <c r="DY85" s="55">
        <f t="shared" ref="DY85:EP99" si="507">+DX85-0.02</f>
        <v>0.91</v>
      </c>
      <c r="DZ85" s="55">
        <f t="shared" si="507"/>
        <v>0.89</v>
      </c>
      <c r="EA85" s="55">
        <f t="shared" si="507"/>
        <v>0.87</v>
      </c>
      <c r="EB85" s="55">
        <f t="shared" si="507"/>
        <v>0.85</v>
      </c>
      <c r="EC85" s="55">
        <f t="shared" si="507"/>
        <v>0.83</v>
      </c>
      <c r="ED85" s="55">
        <f t="shared" si="507"/>
        <v>0.80999999999999994</v>
      </c>
      <c r="EE85" s="55">
        <f t="shared" si="507"/>
        <v>0.78999999999999992</v>
      </c>
      <c r="EF85" s="55">
        <f t="shared" si="507"/>
        <v>0.76999999999999991</v>
      </c>
      <c r="EG85" s="55">
        <f t="shared" si="507"/>
        <v>0.74999999999999989</v>
      </c>
      <c r="EH85" s="55">
        <f t="shared" si="507"/>
        <v>0.72999999999999987</v>
      </c>
      <c r="EI85" s="55">
        <f t="shared" si="507"/>
        <v>0.70999999999999985</v>
      </c>
      <c r="EJ85" s="55">
        <f t="shared" si="507"/>
        <v>0.68999999999999984</v>
      </c>
      <c r="EK85" s="55">
        <f t="shared" si="507"/>
        <v>0.66999999999999982</v>
      </c>
      <c r="EL85" s="55">
        <f t="shared" si="507"/>
        <v>0.6499999999999998</v>
      </c>
      <c r="EM85" s="55">
        <f t="shared" si="507"/>
        <v>0.62999999999999978</v>
      </c>
      <c r="EN85" s="55">
        <f t="shared" si="507"/>
        <v>0.60999999999999976</v>
      </c>
      <c r="EO85" s="55">
        <f t="shared" si="507"/>
        <v>0.58999999999999975</v>
      </c>
      <c r="EP85" s="55">
        <f t="shared" si="507"/>
        <v>0.56999999999999973</v>
      </c>
      <c r="ER85" s="55">
        <f t="shared" si="142"/>
        <v>0</v>
      </c>
      <c r="ES85" s="55">
        <f t="shared" si="116"/>
        <v>0</v>
      </c>
      <c r="ET85" s="59">
        <f t="shared" si="457"/>
        <v>0</v>
      </c>
      <c r="EU85" s="55">
        <f t="shared" si="458"/>
        <v>0</v>
      </c>
      <c r="EV85" s="59">
        <f t="shared" si="459"/>
        <v>0</v>
      </c>
      <c r="EW85" s="55">
        <f t="shared" si="460"/>
        <v>0</v>
      </c>
      <c r="EX85" s="59">
        <f t="shared" si="461"/>
        <v>0</v>
      </c>
      <c r="EY85" s="55">
        <f t="shared" si="462"/>
        <v>0</v>
      </c>
      <c r="EZ85" s="59">
        <f t="shared" si="463"/>
        <v>0</v>
      </c>
      <c r="FA85" s="57">
        <f t="shared" si="464"/>
        <v>0</v>
      </c>
      <c r="FB85" s="59">
        <f t="shared" si="465"/>
        <v>0</v>
      </c>
      <c r="FC85" s="55">
        <f t="shared" si="466"/>
        <v>0</v>
      </c>
      <c r="FD85" s="59">
        <f t="shared" si="467"/>
        <v>0</v>
      </c>
      <c r="FE85" s="57">
        <f t="shared" si="468"/>
        <v>0</v>
      </c>
      <c r="FF85" s="59">
        <f t="shared" si="469"/>
        <v>0</v>
      </c>
      <c r="FG85" s="60">
        <f t="shared" si="470"/>
        <v>0</v>
      </c>
      <c r="FH85" s="59">
        <f t="shared" si="471"/>
        <v>0</v>
      </c>
      <c r="FI85" s="57">
        <f t="shared" si="472"/>
        <v>0</v>
      </c>
      <c r="FJ85" s="59">
        <f t="shared" si="473"/>
        <v>0</v>
      </c>
      <c r="FK85" s="55">
        <f t="shared" si="474"/>
        <v>0</v>
      </c>
      <c r="FL85" s="59">
        <f t="shared" si="475"/>
        <v>0</v>
      </c>
      <c r="FM85" s="60">
        <f t="shared" si="476"/>
        <v>0</v>
      </c>
      <c r="FN85" s="59">
        <f t="shared" si="477"/>
        <v>0</v>
      </c>
      <c r="FO85" s="60">
        <f t="shared" si="478"/>
        <v>0</v>
      </c>
      <c r="FP85" s="59">
        <f t="shared" si="479"/>
        <v>0</v>
      </c>
      <c r="FQ85" s="60">
        <f t="shared" si="480"/>
        <v>0</v>
      </c>
      <c r="FR85" s="59">
        <f t="shared" si="481"/>
        <v>0</v>
      </c>
      <c r="FS85" s="55">
        <f t="shared" si="482"/>
        <v>0</v>
      </c>
      <c r="FT85" s="59">
        <f t="shared" si="483"/>
        <v>0</v>
      </c>
      <c r="FU85" s="60">
        <f t="shared" si="484"/>
        <v>0</v>
      </c>
      <c r="FV85" s="59">
        <f t="shared" si="485"/>
        <v>0</v>
      </c>
      <c r="FW85" s="60">
        <f t="shared" si="486"/>
        <v>0</v>
      </c>
      <c r="FX85" s="59">
        <f t="shared" si="487"/>
        <v>0</v>
      </c>
      <c r="FY85" s="60">
        <f t="shared" si="488"/>
        <v>0</v>
      </c>
      <c r="FZ85" s="59">
        <f t="shared" si="489"/>
        <v>0</v>
      </c>
      <c r="GA85" s="60">
        <f t="shared" si="490"/>
        <v>0</v>
      </c>
      <c r="GB85" s="59">
        <f t="shared" si="491"/>
        <v>0</v>
      </c>
      <c r="GC85" s="55">
        <f t="shared" si="492"/>
        <v>0</v>
      </c>
      <c r="GD85" s="59">
        <f t="shared" si="493"/>
        <v>0</v>
      </c>
      <c r="GE85" s="60">
        <f t="shared" si="494"/>
        <v>0</v>
      </c>
      <c r="GF85" s="59">
        <f t="shared" si="495"/>
        <v>0</v>
      </c>
      <c r="GG85" s="60">
        <f t="shared" si="496"/>
        <v>0</v>
      </c>
      <c r="GH85" s="59">
        <f t="shared" si="497"/>
        <v>0</v>
      </c>
      <c r="GI85" s="55">
        <f t="shared" si="498"/>
        <v>0</v>
      </c>
      <c r="GJ85" s="59">
        <f t="shared" si="499"/>
        <v>0</v>
      </c>
      <c r="GK85" s="55"/>
      <c r="GL85" s="55"/>
      <c r="GM85" s="55">
        <v>1</v>
      </c>
      <c r="GN85" s="55">
        <v>0.97</v>
      </c>
      <c r="GO85" s="55">
        <v>0.95</v>
      </c>
      <c r="GP85" s="55">
        <v>0.93</v>
      </c>
      <c r="GQ85" s="55">
        <f t="shared" ref="GQ85:HH99" si="508">+GP85-0.02</f>
        <v>0.91</v>
      </c>
      <c r="GR85" s="55">
        <f t="shared" si="508"/>
        <v>0.89</v>
      </c>
      <c r="GS85" s="55">
        <f t="shared" si="508"/>
        <v>0.87</v>
      </c>
      <c r="GT85" s="55">
        <f t="shared" si="508"/>
        <v>0.85</v>
      </c>
      <c r="GU85" s="55">
        <f t="shared" si="508"/>
        <v>0.83</v>
      </c>
      <c r="GV85" s="55">
        <f t="shared" si="508"/>
        <v>0.80999999999999994</v>
      </c>
      <c r="GW85" s="55">
        <f t="shared" si="508"/>
        <v>0.78999999999999992</v>
      </c>
      <c r="GX85" s="55">
        <f t="shared" si="508"/>
        <v>0.76999999999999991</v>
      </c>
      <c r="GY85" s="55">
        <f t="shared" si="508"/>
        <v>0.74999999999999989</v>
      </c>
      <c r="GZ85" s="55">
        <f t="shared" si="508"/>
        <v>0.72999999999999987</v>
      </c>
      <c r="HA85" s="55">
        <f t="shared" si="508"/>
        <v>0.70999999999999985</v>
      </c>
      <c r="HB85" s="55">
        <f t="shared" si="508"/>
        <v>0.68999999999999984</v>
      </c>
      <c r="HC85" s="55">
        <f t="shared" si="508"/>
        <v>0.66999999999999982</v>
      </c>
      <c r="HD85" s="55">
        <f t="shared" si="508"/>
        <v>0.6499999999999998</v>
      </c>
      <c r="HE85" s="55">
        <f t="shared" si="508"/>
        <v>0.62999999999999978</v>
      </c>
      <c r="HF85" s="55">
        <f t="shared" si="508"/>
        <v>0.60999999999999976</v>
      </c>
      <c r="HG85" s="55">
        <f t="shared" si="508"/>
        <v>0.58999999999999975</v>
      </c>
      <c r="HH85" s="55">
        <f t="shared" si="508"/>
        <v>0.56999999999999973</v>
      </c>
    </row>
    <row r="86" spans="1:216" x14ac:dyDescent="0.3">
      <c r="A86" s="2">
        <v>18</v>
      </c>
      <c r="C86" s="38" t="s">
        <v>141</v>
      </c>
      <c r="D86" s="42">
        <v>0</v>
      </c>
      <c r="E86" s="71">
        <f t="shared" si="369"/>
        <v>0</v>
      </c>
      <c r="H86" s="55">
        <f t="shared" si="61"/>
        <v>0</v>
      </c>
      <c r="I86" s="55">
        <f t="shared" si="62"/>
        <v>0</v>
      </c>
      <c r="J86" s="59">
        <f t="shared" si="63"/>
        <v>0</v>
      </c>
      <c r="K86" s="55">
        <f t="shared" si="370"/>
        <v>0</v>
      </c>
      <c r="L86" s="59">
        <f t="shared" si="371"/>
        <v>0</v>
      </c>
      <c r="M86" s="55">
        <f t="shared" si="372"/>
        <v>0</v>
      </c>
      <c r="N86" s="59">
        <f t="shared" si="373"/>
        <v>0</v>
      </c>
      <c r="O86" s="55">
        <f t="shared" si="374"/>
        <v>0</v>
      </c>
      <c r="P86" s="59">
        <f t="shared" si="375"/>
        <v>0</v>
      </c>
      <c r="Q86" s="57">
        <f t="shared" si="376"/>
        <v>0</v>
      </c>
      <c r="R86" s="59">
        <f t="shared" si="377"/>
        <v>0</v>
      </c>
      <c r="S86" s="55">
        <f t="shared" si="378"/>
        <v>0</v>
      </c>
      <c r="T86" s="59">
        <f t="shared" si="379"/>
        <v>0</v>
      </c>
      <c r="U86" s="57">
        <f t="shared" si="380"/>
        <v>0</v>
      </c>
      <c r="V86" s="59">
        <f t="shared" si="381"/>
        <v>0</v>
      </c>
      <c r="W86" s="60">
        <f t="shared" si="382"/>
        <v>0</v>
      </c>
      <c r="X86" s="59">
        <f t="shared" si="383"/>
        <v>0</v>
      </c>
      <c r="Y86" s="57">
        <f t="shared" si="384"/>
        <v>0</v>
      </c>
      <c r="Z86" s="59">
        <f t="shared" si="385"/>
        <v>0</v>
      </c>
      <c r="AA86" s="55">
        <f t="shared" si="386"/>
        <v>0</v>
      </c>
      <c r="AB86" s="59">
        <f t="shared" si="387"/>
        <v>0</v>
      </c>
      <c r="AC86" s="60">
        <f t="shared" si="388"/>
        <v>0</v>
      </c>
      <c r="AD86" s="59">
        <f t="shared" si="389"/>
        <v>0</v>
      </c>
      <c r="AE86" s="60">
        <f t="shared" si="390"/>
        <v>0</v>
      </c>
      <c r="AF86" s="59">
        <f t="shared" si="391"/>
        <v>0</v>
      </c>
      <c r="AG86" s="60">
        <f t="shared" si="392"/>
        <v>0</v>
      </c>
      <c r="AH86" s="59">
        <f t="shared" si="393"/>
        <v>0</v>
      </c>
      <c r="AI86" s="55">
        <f t="shared" si="394"/>
        <v>0</v>
      </c>
      <c r="AJ86" s="59">
        <f t="shared" si="395"/>
        <v>0</v>
      </c>
      <c r="AK86" s="60">
        <f t="shared" si="396"/>
        <v>0</v>
      </c>
      <c r="AL86" s="59">
        <f t="shared" si="397"/>
        <v>0</v>
      </c>
      <c r="AM86" s="60">
        <f t="shared" si="398"/>
        <v>0</v>
      </c>
      <c r="AN86" s="59">
        <f t="shared" si="399"/>
        <v>0</v>
      </c>
      <c r="AO86" s="60">
        <f t="shared" si="400"/>
        <v>0</v>
      </c>
      <c r="AP86" s="59">
        <f t="shared" si="401"/>
        <v>0</v>
      </c>
      <c r="AQ86" s="60">
        <f t="shared" si="402"/>
        <v>0</v>
      </c>
      <c r="AR86" s="59">
        <f t="shared" si="403"/>
        <v>0</v>
      </c>
      <c r="AS86" s="55">
        <f t="shared" si="404"/>
        <v>0</v>
      </c>
      <c r="AT86" s="59">
        <f t="shared" si="405"/>
        <v>0</v>
      </c>
      <c r="AU86" s="60">
        <f t="shared" si="406"/>
        <v>0</v>
      </c>
      <c r="AV86" s="59">
        <f t="shared" si="407"/>
        <v>0</v>
      </c>
      <c r="AW86" s="60">
        <f t="shared" si="408"/>
        <v>0</v>
      </c>
      <c r="AX86" s="59">
        <f t="shared" si="409"/>
        <v>0</v>
      </c>
      <c r="AY86" s="55">
        <f t="shared" si="410"/>
        <v>0</v>
      </c>
      <c r="AZ86" s="59">
        <f t="shared" si="411"/>
        <v>0</v>
      </c>
      <c r="BC86" s="55">
        <v>1</v>
      </c>
      <c r="BD86" s="55">
        <v>0.97</v>
      </c>
      <c r="BE86" s="55">
        <v>0.95</v>
      </c>
      <c r="BF86" s="55">
        <v>0.93</v>
      </c>
      <c r="BG86" s="55">
        <f t="shared" si="504"/>
        <v>0.91</v>
      </c>
      <c r="BH86" s="55">
        <f t="shared" si="504"/>
        <v>0.89</v>
      </c>
      <c r="BI86" s="55">
        <f t="shared" si="504"/>
        <v>0.87</v>
      </c>
      <c r="BJ86" s="55">
        <f t="shared" si="504"/>
        <v>0.85</v>
      </c>
      <c r="BK86" s="55">
        <f t="shared" si="504"/>
        <v>0.83</v>
      </c>
      <c r="BL86" s="55">
        <f t="shared" si="504"/>
        <v>0.80999999999999994</v>
      </c>
      <c r="BM86" s="55">
        <f t="shared" si="504"/>
        <v>0.78999999999999992</v>
      </c>
      <c r="BN86" s="55">
        <f t="shared" si="504"/>
        <v>0.76999999999999991</v>
      </c>
      <c r="BO86" s="55">
        <f t="shared" si="504"/>
        <v>0.74999999999999989</v>
      </c>
      <c r="BP86" s="55">
        <f t="shared" si="504"/>
        <v>0.72999999999999987</v>
      </c>
      <c r="BQ86" s="55">
        <f t="shared" si="504"/>
        <v>0.70999999999999985</v>
      </c>
      <c r="BR86" s="55">
        <f t="shared" si="504"/>
        <v>0.68999999999999984</v>
      </c>
      <c r="BS86" s="55">
        <f t="shared" si="504"/>
        <v>0.66999999999999982</v>
      </c>
      <c r="BT86" s="55">
        <f t="shared" si="504"/>
        <v>0.6499999999999998</v>
      </c>
      <c r="BU86" s="55">
        <f t="shared" si="504"/>
        <v>0.62999999999999978</v>
      </c>
      <c r="BV86" s="55">
        <f t="shared" si="504"/>
        <v>0.60999999999999976</v>
      </c>
      <c r="BW86" s="55">
        <f t="shared" si="504"/>
        <v>0.58999999999999975</v>
      </c>
      <c r="BX86" s="55">
        <f t="shared" si="504"/>
        <v>0.56999999999999973</v>
      </c>
      <c r="BZ86" s="55">
        <f t="shared" si="88"/>
        <v>0</v>
      </c>
      <c r="CA86" s="55">
        <f t="shared" si="89"/>
        <v>0</v>
      </c>
      <c r="CB86" s="59">
        <f t="shared" si="413"/>
        <v>0</v>
      </c>
      <c r="CC86" s="55">
        <f t="shared" si="414"/>
        <v>0</v>
      </c>
      <c r="CD86" s="59">
        <f t="shared" si="415"/>
        <v>0</v>
      </c>
      <c r="CE86" s="55">
        <f t="shared" si="416"/>
        <v>0</v>
      </c>
      <c r="CF86" s="59">
        <f t="shared" si="417"/>
        <v>0</v>
      </c>
      <c r="CG86" s="55">
        <f t="shared" si="418"/>
        <v>0</v>
      </c>
      <c r="CH86" s="59">
        <f t="shared" si="419"/>
        <v>0</v>
      </c>
      <c r="CI86" s="57">
        <f t="shared" si="420"/>
        <v>0</v>
      </c>
      <c r="CJ86" s="59">
        <f t="shared" si="421"/>
        <v>0</v>
      </c>
      <c r="CK86" s="55">
        <f t="shared" si="422"/>
        <v>0</v>
      </c>
      <c r="CL86" s="59">
        <f t="shared" si="423"/>
        <v>0</v>
      </c>
      <c r="CM86" s="57">
        <f t="shared" si="424"/>
        <v>0</v>
      </c>
      <c r="CN86" s="59">
        <f t="shared" si="425"/>
        <v>0</v>
      </c>
      <c r="CO86" s="60">
        <f t="shared" si="426"/>
        <v>0</v>
      </c>
      <c r="CP86" s="59">
        <f t="shared" si="427"/>
        <v>0</v>
      </c>
      <c r="CQ86" s="57">
        <f t="shared" si="428"/>
        <v>0</v>
      </c>
      <c r="CR86" s="59">
        <f t="shared" si="429"/>
        <v>0</v>
      </c>
      <c r="CS86" s="55">
        <f t="shared" si="430"/>
        <v>0</v>
      </c>
      <c r="CT86" s="59">
        <f t="shared" si="431"/>
        <v>0</v>
      </c>
      <c r="CU86" s="60">
        <f t="shared" si="432"/>
        <v>0</v>
      </c>
      <c r="CV86" s="59">
        <f t="shared" si="433"/>
        <v>0</v>
      </c>
      <c r="CW86" s="60">
        <f t="shared" si="434"/>
        <v>0</v>
      </c>
      <c r="CX86" s="59">
        <f t="shared" si="435"/>
        <v>0</v>
      </c>
      <c r="CY86" s="60">
        <f t="shared" si="436"/>
        <v>0</v>
      </c>
      <c r="CZ86" s="59">
        <f t="shared" si="437"/>
        <v>0</v>
      </c>
      <c r="DA86" s="55">
        <f t="shared" si="438"/>
        <v>0</v>
      </c>
      <c r="DB86" s="59">
        <f t="shared" si="439"/>
        <v>0</v>
      </c>
      <c r="DC86" s="60">
        <f t="shared" si="440"/>
        <v>0</v>
      </c>
      <c r="DD86" s="59">
        <f t="shared" si="441"/>
        <v>0</v>
      </c>
      <c r="DE86" s="60">
        <f t="shared" si="442"/>
        <v>0</v>
      </c>
      <c r="DF86" s="59">
        <f t="shared" si="443"/>
        <v>0</v>
      </c>
      <c r="DG86" s="60">
        <f t="shared" si="444"/>
        <v>0</v>
      </c>
      <c r="DH86" s="59">
        <f t="shared" si="445"/>
        <v>0</v>
      </c>
      <c r="DI86" s="60">
        <f t="shared" si="446"/>
        <v>0</v>
      </c>
      <c r="DJ86" s="59">
        <f t="shared" si="447"/>
        <v>0</v>
      </c>
      <c r="DK86" s="55">
        <f t="shared" si="448"/>
        <v>0</v>
      </c>
      <c r="DL86" s="59">
        <f t="shared" si="449"/>
        <v>0</v>
      </c>
      <c r="DM86" s="60">
        <f t="shared" si="450"/>
        <v>0</v>
      </c>
      <c r="DN86" s="59">
        <f t="shared" si="451"/>
        <v>0</v>
      </c>
      <c r="DO86" s="60">
        <f t="shared" si="452"/>
        <v>0</v>
      </c>
      <c r="DP86" s="59">
        <f t="shared" si="453"/>
        <v>0</v>
      </c>
      <c r="DQ86" s="55">
        <f t="shared" si="454"/>
        <v>0</v>
      </c>
      <c r="DR86" s="59">
        <f t="shared" si="455"/>
        <v>0</v>
      </c>
      <c r="DU86" s="55">
        <v>1</v>
      </c>
      <c r="DV86" s="55">
        <v>0.97</v>
      </c>
      <c r="DW86" s="55">
        <v>0.95</v>
      </c>
      <c r="DX86" s="55">
        <v>0.93</v>
      </c>
      <c r="DY86" s="55">
        <f t="shared" si="507"/>
        <v>0.91</v>
      </c>
      <c r="DZ86" s="55">
        <f t="shared" si="507"/>
        <v>0.89</v>
      </c>
      <c r="EA86" s="55">
        <f t="shared" si="507"/>
        <v>0.87</v>
      </c>
      <c r="EB86" s="55">
        <f t="shared" si="507"/>
        <v>0.85</v>
      </c>
      <c r="EC86" s="55">
        <f t="shared" si="507"/>
        <v>0.83</v>
      </c>
      <c r="ED86" s="55">
        <f t="shared" si="507"/>
        <v>0.80999999999999994</v>
      </c>
      <c r="EE86" s="55">
        <f t="shared" si="507"/>
        <v>0.78999999999999992</v>
      </c>
      <c r="EF86" s="55">
        <f t="shared" si="507"/>
        <v>0.76999999999999991</v>
      </c>
      <c r="EG86" s="55">
        <f t="shared" si="507"/>
        <v>0.74999999999999989</v>
      </c>
      <c r="EH86" s="55">
        <f t="shared" si="507"/>
        <v>0.72999999999999987</v>
      </c>
      <c r="EI86" s="55">
        <f t="shared" si="507"/>
        <v>0.70999999999999985</v>
      </c>
      <c r="EJ86" s="55">
        <f t="shared" si="507"/>
        <v>0.68999999999999984</v>
      </c>
      <c r="EK86" s="55">
        <f t="shared" si="507"/>
        <v>0.66999999999999982</v>
      </c>
      <c r="EL86" s="55">
        <f t="shared" si="507"/>
        <v>0.6499999999999998</v>
      </c>
      <c r="EM86" s="55">
        <f t="shared" si="507"/>
        <v>0.62999999999999978</v>
      </c>
      <c r="EN86" s="55">
        <f t="shared" si="507"/>
        <v>0.60999999999999976</v>
      </c>
      <c r="EO86" s="55">
        <f t="shared" si="507"/>
        <v>0.58999999999999975</v>
      </c>
      <c r="EP86" s="55">
        <f t="shared" si="507"/>
        <v>0.56999999999999973</v>
      </c>
      <c r="ER86" s="55">
        <f t="shared" si="142"/>
        <v>0</v>
      </c>
      <c r="ES86" s="55">
        <f t="shared" si="116"/>
        <v>0</v>
      </c>
      <c r="ET86" s="59">
        <f t="shared" si="457"/>
        <v>0</v>
      </c>
      <c r="EU86" s="55">
        <f t="shared" si="458"/>
        <v>0</v>
      </c>
      <c r="EV86" s="59">
        <f t="shared" si="459"/>
        <v>0</v>
      </c>
      <c r="EW86" s="55">
        <f t="shared" si="460"/>
        <v>0</v>
      </c>
      <c r="EX86" s="59">
        <f t="shared" si="461"/>
        <v>0</v>
      </c>
      <c r="EY86" s="55">
        <f t="shared" si="462"/>
        <v>0</v>
      </c>
      <c r="EZ86" s="59">
        <f t="shared" si="463"/>
        <v>0</v>
      </c>
      <c r="FA86" s="57">
        <f t="shared" si="464"/>
        <v>0</v>
      </c>
      <c r="FB86" s="59">
        <f t="shared" si="465"/>
        <v>0</v>
      </c>
      <c r="FC86" s="55">
        <f t="shared" si="466"/>
        <v>0</v>
      </c>
      <c r="FD86" s="59">
        <f t="shared" si="467"/>
        <v>0</v>
      </c>
      <c r="FE86" s="57">
        <f t="shared" si="468"/>
        <v>0</v>
      </c>
      <c r="FF86" s="59">
        <f t="shared" si="469"/>
        <v>0</v>
      </c>
      <c r="FG86" s="60">
        <f t="shared" si="470"/>
        <v>0</v>
      </c>
      <c r="FH86" s="59">
        <f t="shared" si="471"/>
        <v>0</v>
      </c>
      <c r="FI86" s="57">
        <f t="shared" si="472"/>
        <v>0</v>
      </c>
      <c r="FJ86" s="59">
        <f t="shared" si="473"/>
        <v>0</v>
      </c>
      <c r="FK86" s="55">
        <f t="shared" si="474"/>
        <v>0</v>
      </c>
      <c r="FL86" s="59">
        <f t="shared" si="475"/>
        <v>0</v>
      </c>
      <c r="FM86" s="60">
        <f t="shared" si="476"/>
        <v>0</v>
      </c>
      <c r="FN86" s="59">
        <f t="shared" si="477"/>
        <v>0</v>
      </c>
      <c r="FO86" s="60">
        <f t="shared" si="478"/>
        <v>0</v>
      </c>
      <c r="FP86" s="59">
        <f t="shared" si="479"/>
        <v>0</v>
      </c>
      <c r="FQ86" s="60">
        <f t="shared" si="480"/>
        <v>0</v>
      </c>
      <c r="FR86" s="59">
        <f t="shared" si="481"/>
        <v>0</v>
      </c>
      <c r="FS86" s="55">
        <f t="shared" si="482"/>
        <v>0</v>
      </c>
      <c r="FT86" s="59">
        <f t="shared" si="483"/>
        <v>0</v>
      </c>
      <c r="FU86" s="60">
        <f t="shared" si="484"/>
        <v>0</v>
      </c>
      <c r="FV86" s="59">
        <f t="shared" si="485"/>
        <v>0</v>
      </c>
      <c r="FW86" s="60">
        <f t="shared" si="486"/>
        <v>0</v>
      </c>
      <c r="FX86" s="59">
        <f t="shared" si="487"/>
        <v>0</v>
      </c>
      <c r="FY86" s="60">
        <f t="shared" si="488"/>
        <v>0</v>
      </c>
      <c r="FZ86" s="59">
        <f t="shared" si="489"/>
        <v>0</v>
      </c>
      <c r="GA86" s="60">
        <f t="shared" si="490"/>
        <v>0</v>
      </c>
      <c r="GB86" s="59">
        <f t="shared" si="491"/>
        <v>0</v>
      </c>
      <c r="GC86" s="55">
        <f t="shared" si="492"/>
        <v>0</v>
      </c>
      <c r="GD86" s="59">
        <f t="shared" si="493"/>
        <v>0</v>
      </c>
      <c r="GE86" s="60">
        <f t="shared" si="494"/>
        <v>0</v>
      </c>
      <c r="GF86" s="59">
        <f t="shared" si="495"/>
        <v>0</v>
      </c>
      <c r="GG86" s="60">
        <f t="shared" si="496"/>
        <v>0</v>
      </c>
      <c r="GH86" s="59">
        <f t="shared" si="497"/>
        <v>0</v>
      </c>
      <c r="GI86" s="55">
        <f t="shared" si="498"/>
        <v>0</v>
      </c>
      <c r="GJ86" s="59">
        <f t="shared" si="499"/>
        <v>0</v>
      </c>
      <c r="GK86" s="55"/>
      <c r="GL86" s="55"/>
      <c r="GM86" s="55">
        <v>1</v>
      </c>
      <c r="GN86" s="55">
        <v>0.97</v>
      </c>
      <c r="GO86" s="55">
        <v>0.95</v>
      </c>
      <c r="GP86" s="55">
        <v>0.93</v>
      </c>
      <c r="GQ86" s="55">
        <f t="shared" si="508"/>
        <v>0.91</v>
      </c>
      <c r="GR86" s="55">
        <f t="shared" si="508"/>
        <v>0.89</v>
      </c>
      <c r="GS86" s="55">
        <f t="shared" si="508"/>
        <v>0.87</v>
      </c>
      <c r="GT86" s="55">
        <f t="shared" si="508"/>
        <v>0.85</v>
      </c>
      <c r="GU86" s="55">
        <f t="shared" si="508"/>
        <v>0.83</v>
      </c>
      <c r="GV86" s="55">
        <f t="shared" si="508"/>
        <v>0.80999999999999994</v>
      </c>
      <c r="GW86" s="55">
        <f t="shared" si="508"/>
        <v>0.78999999999999992</v>
      </c>
      <c r="GX86" s="55">
        <f t="shared" si="508"/>
        <v>0.76999999999999991</v>
      </c>
      <c r="GY86" s="55">
        <f t="shared" si="508"/>
        <v>0.74999999999999989</v>
      </c>
      <c r="GZ86" s="55">
        <f t="shared" si="508"/>
        <v>0.72999999999999987</v>
      </c>
      <c r="HA86" s="55">
        <f t="shared" si="508"/>
        <v>0.70999999999999985</v>
      </c>
      <c r="HB86" s="55">
        <f t="shared" si="508"/>
        <v>0.68999999999999984</v>
      </c>
      <c r="HC86" s="55">
        <f t="shared" si="508"/>
        <v>0.66999999999999982</v>
      </c>
      <c r="HD86" s="55">
        <f t="shared" si="508"/>
        <v>0.6499999999999998</v>
      </c>
      <c r="HE86" s="55">
        <f t="shared" si="508"/>
        <v>0.62999999999999978</v>
      </c>
      <c r="HF86" s="55">
        <f t="shared" si="508"/>
        <v>0.60999999999999976</v>
      </c>
      <c r="HG86" s="55">
        <f t="shared" si="508"/>
        <v>0.58999999999999975</v>
      </c>
      <c r="HH86" s="55">
        <f t="shared" si="508"/>
        <v>0.56999999999999973</v>
      </c>
    </row>
    <row r="87" spans="1:216" x14ac:dyDescent="0.3">
      <c r="A87" s="2">
        <v>19</v>
      </c>
      <c r="C87" s="38" t="s">
        <v>139</v>
      </c>
      <c r="D87" s="42">
        <v>0</v>
      </c>
      <c r="E87" s="71">
        <f t="shared" si="369"/>
        <v>0</v>
      </c>
      <c r="H87" s="55">
        <f t="shared" si="61"/>
        <v>0</v>
      </c>
      <c r="I87" s="55">
        <f t="shared" si="62"/>
        <v>0</v>
      </c>
      <c r="J87" s="59">
        <f t="shared" si="63"/>
        <v>0</v>
      </c>
      <c r="K87" s="55">
        <f t="shared" si="370"/>
        <v>0</v>
      </c>
      <c r="L87" s="59">
        <f t="shared" si="371"/>
        <v>0</v>
      </c>
      <c r="M87" s="55">
        <f t="shared" si="372"/>
        <v>0</v>
      </c>
      <c r="N87" s="59">
        <f t="shared" si="373"/>
        <v>0</v>
      </c>
      <c r="O87" s="55">
        <f t="shared" si="374"/>
        <v>0</v>
      </c>
      <c r="P87" s="59">
        <f t="shared" si="375"/>
        <v>0</v>
      </c>
      <c r="Q87" s="57">
        <f t="shared" si="376"/>
        <v>0</v>
      </c>
      <c r="R87" s="59">
        <f t="shared" si="377"/>
        <v>0</v>
      </c>
      <c r="S87" s="55">
        <f t="shared" si="378"/>
        <v>0</v>
      </c>
      <c r="T87" s="59">
        <f t="shared" si="379"/>
        <v>0</v>
      </c>
      <c r="U87" s="57">
        <f t="shared" si="380"/>
        <v>0</v>
      </c>
      <c r="V87" s="59">
        <f t="shared" si="381"/>
        <v>0</v>
      </c>
      <c r="W87" s="60">
        <f t="shared" si="382"/>
        <v>0</v>
      </c>
      <c r="X87" s="59">
        <f t="shared" si="383"/>
        <v>0</v>
      </c>
      <c r="Y87" s="57">
        <f t="shared" si="384"/>
        <v>0</v>
      </c>
      <c r="Z87" s="59">
        <f t="shared" si="385"/>
        <v>0</v>
      </c>
      <c r="AA87" s="55">
        <f t="shared" si="386"/>
        <v>0</v>
      </c>
      <c r="AB87" s="59">
        <f t="shared" si="387"/>
        <v>0</v>
      </c>
      <c r="AC87" s="60">
        <f t="shared" si="388"/>
        <v>0</v>
      </c>
      <c r="AD87" s="59">
        <f t="shared" si="389"/>
        <v>0</v>
      </c>
      <c r="AE87" s="60">
        <f t="shared" si="390"/>
        <v>0</v>
      </c>
      <c r="AF87" s="59">
        <f t="shared" si="391"/>
        <v>0</v>
      </c>
      <c r="AG87" s="60">
        <f t="shared" si="392"/>
        <v>0</v>
      </c>
      <c r="AH87" s="59">
        <f t="shared" si="393"/>
        <v>0</v>
      </c>
      <c r="AI87" s="55">
        <f t="shared" si="394"/>
        <v>0</v>
      </c>
      <c r="AJ87" s="59">
        <f t="shared" si="395"/>
        <v>0</v>
      </c>
      <c r="AK87" s="60">
        <f t="shared" si="396"/>
        <v>0</v>
      </c>
      <c r="AL87" s="59">
        <f t="shared" si="397"/>
        <v>0</v>
      </c>
      <c r="AM87" s="60">
        <f t="shared" si="398"/>
        <v>0</v>
      </c>
      <c r="AN87" s="59">
        <f t="shared" si="399"/>
        <v>0</v>
      </c>
      <c r="AO87" s="60">
        <f t="shared" si="400"/>
        <v>0</v>
      </c>
      <c r="AP87" s="59">
        <f t="shared" si="401"/>
        <v>0</v>
      </c>
      <c r="AQ87" s="60">
        <f t="shared" si="402"/>
        <v>0</v>
      </c>
      <c r="AR87" s="59">
        <f t="shared" si="403"/>
        <v>0</v>
      </c>
      <c r="AS87" s="55">
        <f t="shared" si="404"/>
        <v>0</v>
      </c>
      <c r="AT87" s="59">
        <f t="shared" si="405"/>
        <v>0</v>
      </c>
      <c r="AU87" s="60">
        <f t="shared" si="406"/>
        <v>0</v>
      </c>
      <c r="AV87" s="59">
        <f t="shared" si="407"/>
        <v>0</v>
      </c>
      <c r="AW87" s="60">
        <f t="shared" si="408"/>
        <v>0</v>
      </c>
      <c r="AX87" s="59">
        <f t="shared" si="409"/>
        <v>0</v>
      </c>
      <c r="AY87" s="55">
        <f t="shared" si="410"/>
        <v>0</v>
      </c>
      <c r="AZ87" s="59">
        <f t="shared" si="411"/>
        <v>0</v>
      </c>
      <c r="BC87" s="55">
        <v>1</v>
      </c>
      <c r="BD87" s="55">
        <v>0.97</v>
      </c>
      <c r="BE87" s="55">
        <v>0.95</v>
      </c>
      <c r="BF87" s="55">
        <v>0.93</v>
      </c>
      <c r="BG87" s="55">
        <f t="shared" si="504"/>
        <v>0.91</v>
      </c>
      <c r="BH87" s="55">
        <f t="shared" si="504"/>
        <v>0.89</v>
      </c>
      <c r="BI87" s="55">
        <f t="shared" si="504"/>
        <v>0.87</v>
      </c>
      <c r="BJ87" s="55">
        <f t="shared" si="504"/>
        <v>0.85</v>
      </c>
      <c r="BK87" s="55">
        <f t="shared" si="504"/>
        <v>0.83</v>
      </c>
      <c r="BL87" s="55">
        <f t="shared" si="504"/>
        <v>0.80999999999999994</v>
      </c>
      <c r="BM87" s="55">
        <f t="shared" si="504"/>
        <v>0.78999999999999992</v>
      </c>
      <c r="BN87" s="55">
        <f t="shared" si="504"/>
        <v>0.76999999999999991</v>
      </c>
      <c r="BO87" s="55">
        <f t="shared" si="504"/>
        <v>0.74999999999999989</v>
      </c>
      <c r="BP87" s="55">
        <f t="shared" si="504"/>
        <v>0.72999999999999987</v>
      </c>
      <c r="BQ87" s="55">
        <f t="shared" si="504"/>
        <v>0.70999999999999985</v>
      </c>
      <c r="BR87" s="55">
        <f t="shared" si="504"/>
        <v>0.68999999999999984</v>
      </c>
      <c r="BS87" s="55">
        <f t="shared" si="504"/>
        <v>0.66999999999999982</v>
      </c>
      <c r="BT87" s="55">
        <f t="shared" si="504"/>
        <v>0.6499999999999998</v>
      </c>
      <c r="BU87" s="55">
        <f t="shared" si="504"/>
        <v>0.62999999999999978</v>
      </c>
      <c r="BV87" s="55">
        <f t="shared" si="504"/>
        <v>0.60999999999999976</v>
      </c>
      <c r="BW87" s="55">
        <f t="shared" si="504"/>
        <v>0.58999999999999975</v>
      </c>
      <c r="BX87" s="55">
        <f t="shared" si="504"/>
        <v>0.56999999999999973</v>
      </c>
      <c r="BZ87" s="55">
        <f t="shared" si="88"/>
        <v>0</v>
      </c>
      <c r="CA87" s="55">
        <f t="shared" si="89"/>
        <v>0</v>
      </c>
      <c r="CB87" s="59">
        <f t="shared" si="413"/>
        <v>0</v>
      </c>
      <c r="CC87" s="55">
        <f t="shared" si="414"/>
        <v>0</v>
      </c>
      <c r="CD87" s="59">
        <f t="shared" si="415"/>
        <v>0</v>
      </c>
      <c r="CE87" s="55">
        <f t="shared" si="416"/>
        <v>0</v>
      </c>
      <c r="CF87" s="59">
        <f t="shared" si="417"/>
        <v>0</v>
      </c>
      <c r="CG87" s="55">
        <f t="shared" si="418"/>
        <v>0</v>
      </c>
      <c r="CH87" s="59">
        <f t="shared" si="419"/>
        <v>0</v>
      </c>
      <c r="CI87" s="57">
        <f t="shared" si="420"/>
        <v>0</v>
      </c>
      <c r="CJ87" s="59">
        <f t="shared" si="421"/>
        <v>0</v>
      </c>
      <c r="CK87" s="55">
        <f t="shared" si="422"/>
        <v>0</v>
      </c>
      <c r="CL87" s="59">
        <f t="shared" si="423"/>
        <v>0</v>
      </c>
      <c r="CM87" s="57">
        <f t="shared" si="424"/>
        <v>0</v>
      </c>
      <c r="CN87" s="59">
        <f t="shared" si="425"/>
        <v>0</v>
      </c>
      <c r="CO87" s="60">
        <f t="shared" si="426"/>
        <v>0</v>
      </c>
      <c r="CP87" s="59">
        <f t="shared" si="427"/>
        <v>0</v>
      </c>
      <c r="CQ87" s="57">
        <f t="shared" si="428"/>
        <v>0</v>
      </c>
      <c r="CR87" s="59">
        <f t="shared" si="429"/>
        <v>0</v>
      </c>
      <c r="CS87" s="55">
        <f t="shared" si="430"/>
        <v>0</v>
      </c>
      <c r="CT87" s="59">
        <f t="shared" si="431"/>
        <v>0</v>
      </c>
      <c r="CU87" s="60">
        <f t="shared" si="432"/>
        <v>0</v>
      </c>
      <c r="CV87" s="59">
        <f t="shared" si="433"/>
        <v>0</v>
      </c>
      <c r="CW87" s="60">
        <f t="shared" si="434"/>
        <v>0</v>
      </c>
      <c r="CX87" s="59">
        <f t="shared" si="435"/>
        <v>0</v>
      </c>
      <c r="CY87" s="60">
        <f t="shared" si="436"/>
        <v>0</v>
      </c>
      <c r="CZ87" s="59">
        <f t="shared" si="437"/>
        <v>0</v>
      </c>
      <c r="DA87" s="55">
        <f t="shared" si="438"/>
        <v>0</v>
      </c>
      <c r="DB87" s="59">
        <f t="shared" si="439"/>
        <v>0</v>
      </c>
      <c r="DC87" s="60">
        <f t="shared" si="440"/>
        <v>0</v>
      </c>
      <c r="DD87" s="59">
        <f t="shared" si="441"/>
        <v>0</v>
      </c>
      <c r="DE87" s="60">
        <f t="shared" si="442"/>
        <v>0</v>
      </c>
      <c r="DF87" s="59">
        <f t="shared" si="443"/>
        <v>0</v>
      </c>
      <c r="DG87" s="60">
        <f t="shared" si="444"/>
        <v>0</v>
      </c>
      <c r="DH87" s="59">
        <f t="shared" si="445"/>
        <v>0</v>
      </c>
      <c r="DI87" s="60">
        <f t="shared" si="446"/>
        <v>0</v>
      </c>
      <c r="DJ87" s="59">
        <f t="shared" si="447"/>
        <v>0</v>
      </c>
      <c r="DK87" s="55">
        <f t="shared" si="448"/>
        <v>0</v>
      </c>
      <c r="DL87" s="59">
        <f t="shared" si="449"/>
        <v>0</v>
      </c>
      <c r="DM87" s="60">
        <f t="shared" si="450"/>
        <v>0</v>
      </c>
      <c r="DN87" s="59">
        <f t="shared" si="451"/>
        <v>0</v>
      </c>
      <c r="DO87" s="60">
        <f t="shared" si="452"/>
        <v>0</v>
      </c>
      <c r="DP87" s="59">
        <f t="shared" si="453"/>
        <v>0</v>
      </c>
      <c r="DQ87" s="55">
        <f t="shared" si="454"/>
        <v>0</v>
      </c>
      <c r="DR87" s="59">
        <f t="shared" si="455"/>
        <v>0</v>
      </c>
      <c r="DU87" s="55">
        <v>1</v>
      </c>
      <c r="DV87" s="55">
        <v>0.97</v>
      </c>
      <c r="DW87" s="55">
        <v>0.95</v>
      </c>
      <c r="DX87" s="55">
        <v>0.93</v>
      </c>
      <c r="DY87" s="55">
        <f t="shared" si="507"/>
        <v>0.91</v>
      </c>
      <c r="DZ87" s="55">
        <f t="shared" si="507"/>
        <v>0.89</v>
      </c>
      <c r="EA87" s="55">
        <f t="shared" si="507"/>
        <v>0.87</v>
      </c>
      <c r="EB87" s="55">
        <f t="shared" si="507"/>
        <v>0.85</v>
      </c>
      <c r="EC87" s="55">
        <f t="shared" si="507"/>
        <v>0.83</v>
      </c>
      <c r="ED87" s="55">
        <f t="shared" si="507"/>
        <v>0.80999999999999994</v>
      </c>
      <c r="EE87" s="55">
        <f t="shared" si="507"/>
        <v>0.78999999999999992</v>
      </c>
      <c r="EF87" s="55">
        <f t="shared" si="507"/>
        <v>0.76999999999999991</v>
      </c>
      <c r="EG87" s="55">
        <f t="shared" si="507"/>
        <v>0.74999999999999989</v>
      </c>
      <c r="EH87" s="55">
        <f t="shared" si="507"/>
        <v>0.72999999999999987</v>
      </c>
      <c r="EI87" s="55">
        <f t="shared" si="507"/>
        <v>0.70999999999999985</v>
      </c>
      <c r="EJ87" s="55">
        <f t="shared" si="507"/>
        <v>0.68999999999999984</v>
      </c>
      <c r="EK87" s="55">
        <f t="shared" si="507"/>
        <v>0.66999999999999982</v>
      </c>
      <c r="EL87" s="55">
        <f t="shared" si="507"/>
        <v>0.6499999999999998</v>
      </c>
      <c r="EM87" s="55">
        <f t="shared" si="507"/>
        <v>0.62999999999999978</v>
      </c>
      <c r="EN87" s="55">
        <f t="shared" si="507"/>
        <v>0.60999999999999976</v>
      </c>
      <c r="EO87" s="55">
        <f t="shared" si="507"/>
        <v>0.58999999999999975</v>
      </c>
      <c r="EP87" s="55">
        <f t="shared" si="507"/>
        <v>0.56999999999999973</v>
      </c>
      <c r="ER87" s="55">
        <f t="shared" si="142"/>
        <v>0</v>
      </c>
      <c r="ES87" s="55">
        <f t="shared" si="116"/>
        <v>0</v>
      </c>
      <c r="ET87" s="59">
        <f t="shared" si="457"/>
        <v>0</v>
      </c>
      <c r="EU87" s="55">
        <f t="shared" si="458"/>
        <v>0</v>
      </c>
      <c r="EV87" s="59">
        <f t="shared" si="459"/>
        <v>0</v>
      </c>
      <c r="EW87" s="55">
        <f t="shared" si="460"/>
        <v>0</v>
      </c>
      <c r="EX87" s="59">
        <f t="shared" si="461"/>
        <v>0</v>
      </c>
      <c r="EY87" s="55">
        <f t="shared" si="462"/>
        <v>0</v>
      </c>
      <c r="EZ87" s="59">
        <f t="shared" si="463"/>
        <v>0</v>
      </c>
      <c r="FA87" s="57">
        <f t="shared" si="464"/>
        <v>0</v>
      </c>
      <c r="FB87" s="59">
        <f t="shared" si="465"/>
        <v>0</v>
      </c>
      <c r="FC87" s="55">
        <f t="shared" si="466"/>
        <v>0</v>
      </c>
      <c r="FD87" s="59">
        <f t="shared" si="467"/>
        <v>0</v>
      </c>
      <c r="FE87" s="57">
        <f t="shared" si="468"/>
        <v>0</v>
      </c>
      <c r="FF87" s="59">
        <f t="shared" si="469"/>
        <v>0</v>
      </c>
      <c r="FG87" s="60">
        <f t="shared" si="470"/>
        <v>0</v>
      </c>
      <c r="FH87" s="59">
        <f t="shared" si="471"/>
        <v>0</v>
      </c>
      <c r="FI87" s="57">
        <f t="shared" si="472"/>
        <v>0</v>
      </c>
      <c r="FJ87" s="59">
        <f t="shared" si="473"/>
        <v>0</v>
      </c>
      <c r="FK87" s="55">
        <f t="shared" si="474"/>
        <v>0</v>
      </c>
      <c r="FL87" s="59">
        <f t="shared" si="475"/>
        <v>0</v>
      </c>
      <c r="FM87" s="60">
        <f t="shared" si="476"/>
        <v>0</v>
      </c>
      <c r="FN87" s="59">
        <f t="shared" si="477"/>
        <v>0</v>
      </c>
      <c r="FO87" s="60">
        <f t="shared" si="478"/>
        <v>0</v>
      </c>
      <c r="FP87" s="59">
        <f t="shared" si="479"/>
        <v>0</v>
      </c>
      <c r="FQ87" s="60">
        <f t="shared" si="480"/>
        <v>0</v>
      </c>
      <c r="FR87" s="59">
        <f t="shared" si="481"/>
        <v>0</v>
      </c>
      <c r="FS87" s="55">
        <f t="shared" si="482"/>
        <v>0</v>
      </c>
      <c r="FT87" s="59">
        <f t="shared" si="483"/>
        <v>0</v>
      </c>
      <c r="FU87" s="60">
        <f t="shared" si="484"/>
        <v>0</v>
      </c>
      <c r="FV87" s="59">
        <f t="shared" si="485"/>
        <v>0</v>
      </c>
      <c r="FW87" s="60">
        <f t="shared" si="486"/>
        <v>0</v>
      </c>
      <c r="FX87" s="59">
        <f t="shared" si="487"/>
        <v>0</v>
      </c>
      <c r="FY87" s="60">
        <f t="shared" si="488"/>
        <v>0</v>
      </c>
      <c r="FZ87" s="59">
        <f t="shared" si="489"/>
        <v>0</v>
      </c>
      <c r="GA87" s="60">
        <f t="shared" si="490"/>
        <v>0</v>
      </c>
      <c r="GB87" s="59">
        <f t="shared" si="491"/>
        <v>0</v>
      </c>
      <c r="GC87" s="55">
        <f t="shared" si="492"/>
        <v>0</v>
      </c>
      <c r="GD87" s="59">
        <f t="shared" si="493"/>
        <v>0</v>
      </c>
      <c r="GE87" s="60">
        <f t="shared" si="494"/>
        <v>0</v>
      </c>
      <c r="GF87" s="59">
        <f t="shared" si="495"/>
        <v>0</v>
      </c>
      <c r="GG87" s="60">
        <f t="shared" si="496"/>
        <v>0</v>
      </c>
      <c r="GH87" s="59">
        <f t="shared" si="497"/>
        <v>0</v>
      </c>
      <c r="GI87" s="55">
        <f t="shared" si="498"/>
        <v>0</v>
      </c>
      <c r="GJ87" s="59">
        <f t="shared" si="499"/>
        <v>0</v>
      </c>
      <c r="GK87" s="55"/>
      <c r="GL87" s="55"/>
      <c r="GM87" s="55">
        <v>1</v>
      </c>
      <c r="GN87" s="55">
        <v>0.97</v>
      </c>
      <c r="GO87" s="55">
        <v>0.95</v>
      </c>
      <c r="GP87" s="55">
        <v>0.93</v>
      </c>
      <c r="GQ87" s="55">
        <f t="shared" si="508"/>
        <v>0.91</v>
      </c>
      <c r="GR87" s="55">
        <f t="shared" si="508"/>
        <v>0.89</v>
      </c>
      <c r="GS87" s="55">
        <f t="shared" si="508"/>
        <v>0.87</v>
      </c>
      <c r="GT87" s="55">
        <f t="shared" si="508"/>
        <v>0.85</v>
      </c>
      <c r="GU87" s="55">
        <f t="shared" si="508"/>
        <v>0.83</v>
      </c>
      <c r="GV87" s="55">
        <f t="shared" si="508"/>
        <v>0.80999999999999994</v>
      </c>
      <c r="GW87" s="55">
        <f t="shared" si="508"/>
        <v>0.78999999999999992</v>
      </c>
      <c r="GX87" s="55">
        <f t="shared" si="508"/>
        <v>0.76999999999999991</v>
      </c>
      <c r="GY87" s="55">
        <f t="shared" si="508"/>
        <v>0.74999999999999989</v>
      </c>
      <c r="GZ87" s="55">
        <f t="shared" si="508"/>
        <v>0.72999999999999987</v>
      </c>
      <c r="HA87" s="55">
        <f t="shared" si="508"/>
        <v>0.70999999999999985</v>
      </c>
      <c r="HB87" s="55">
        <f t="shared" si="508"/>
        <v>0.68999999999999984</v>
      </c>
      <c r="HC87" s="55">
        <f t="shared" si="508"/>
        <v>0.66999999999999982</v>
      </c>
      <c r="HD87" s="55">
        <f t="shared" si="508"/>
        <v>0.6499999999999998</v>
      </c>
      <c r="HE87" s="55">
        <f t="shared" si="508"/>
        <v>0.62999999999999978</v>
      </c>
      <c r="HF87" s="55">
        <f t="shared" si="508"/>
        <v>0.60999999999999976</v>
      </c>
      <c r="HG87" s="55">
        <f t="shared" si="508"/>
        <v>0.58999999999999975</v>
      </c>
      <c r="HH87" s="55">
        <f t="shared" si="508"/>
        <v>0.56999999999999973</v>
      </c>
    </row>
    <row r="88" spans="1:216" x14ac:dyDescent="0.3">
      <c r="A88" s="2">
        <v>20</v>
      </c>
      <c r="C88" s="38" t="s">
        <v>142</v>
      </c>
      <c r="D88" s="42">
        <v>0</v>
      </c>
      <c r="E88" s="71">
        <f t="shared" si="369"/>
        <v>0</v>
      </c>
      <c r="H88" s="55">
        <f t="shared" si="61"/>
        <v>0</v>
      </c>
      <c r="I88" s="55">
        <f t="shared" si="62"/>
        <v>0</v>
      </c>
      <c r="J88" s="59">
        <f t="shared" si="63"/>
        <v>0</v>
      </c>
      <c r="K88" s="55">
        <f t="shared" si="370"/>
        <v>0</v>
      </c>
      <c r="L88" s="59">
        <f t="shared" si="371"/>
        <v>0</v>
      </c>
      <c r="M88" s="55">
        <f t="shared" si="372"/>
        <v>0</v>
      </c>
      <c r="N88" s="59">
        <f t="shared" si="373"/>
        <v>0</v>
      </c>
      <c r="O88" s="55">
        <f t="shared" si="374"/>
        <v>0</v>
      </c>
      <c r="P88" s="59">
        <f t="shared" si="375"/>
        <v>0</v>
      </c>
      <c r="Q88" s="57">
        <f t="shared" si="376"/>
        <v>0</v>
      </c>
      <c r="R88" s="59">
        <f t="shared" si="377"/>
        <v>0</v>
      </c>
      <c r="S88" s="55">
        <f t="shared" si="378"/>
        <v>0</v>
      </c>
      <c r="T88" s="59">
        <f t="shared" si="379"/>
        <v>0</v>
      </c>
      <c r="U88" s="57">
        <f t="shared" si="380"/>
        <v>0</v>
      </c>
      <c r="V88" s="59">
        <f t="shared" si="381"/>
        <v>0</v>
      </c>
      <c r="W88" s="60">
        <f t="shared" si="382"/>
        <v>0</v>
      </c>
      <c r="X88" s="59">
        <f t="shared" si="383"/>
        <v>0</v>
      </c>
      <c r="Y88" s="57">
        <f t="shared" si="384"/>
        <v>0</v>
      </c>
      <c r="Z88" s="59">
        <f t="shared" si="385"/>
        <v>0</v>
      </c>
      <c r="AA88" s="55">
        <f t="shared" si="386"/>
        <v>0</v>
      </c>
      <c r="AB88" s="59">
        <f t="shared" si="387"/>
        <v>0</v>
      </c>
      <c r="AC88" s="60">
        <f t="shared" si="388"/>
        <v>0</v>
      </c>
      <c r="AD88" s="59">
        <f t="shared" si="389"/>
        <v>0</v>
      </c>
      <c r="AE88" s="60">
        <f t="shared" si="390"/>
        <v>0</v>
      </c>
      <c r="AF88" s="59">
        <f t="shared" si="391"/>
        <v>0</v>
      </c>
      <c r="AG88" s="60">
        <f t="shared" si="392"/>
        <v>0</v>
      </c>
      <c r="AH88" s="59">
        <f t="shared" si="393"/>
        <v>0</v>
      </c>
      <c r="AI88" s="55">
        <f t="shared" si="394"/>
        <v>0</v>
      </c>
      <c r="AJ88" s="59">
        <f t="shared" si="395"/>
        <v>0</v>
      </c>
      <c r="AK88" s="60">
        <f t="shared" si="396"/>
        <v>0</v>
      </c>
      <c r="AL88" s="59">
        <f t="shared" si="397"/>
        <v>0</v>
      </c>
      <c r="AM88" s="60">
        <f t="shared" si="398"/>
        <v>0</v>
      </c>
      <c r="AN88" s="59">
        <f t="shared" si="399"/>
        <v>0</v>
      </c>
      <c r="AO88" s="60">
        <f t="shared" si="400"/>
        <v>0</v>
      </c>
      <c r="AP88" s="59">
        <f t="shared" si="401"/>
        <v>0</v>
      </c>
      <c r="AQ88" s="60">
        <f t="shared" si="402"/>
        <v>0</v>
      </c>
      <c r="AR88" s="59">
        <f t="shared" si="403"/>
        <v>0</v>
      </c>
      <c r="AS88" s="55">
        <f t="shared" si="404"/>
        <v>0</v>
      </c>
      <c r="AT88" s="59">
        <f t="shared" si="405"/>
        <v>0</v>
      </c>
      <c r="AU88" s="60">
        <f t="shared" si="406"/>
        <v>0</v>
      </c>
      <c r="AV88" s="59">
        <f t="shared" si="407"/>
        <v>0</v>
      </c>
      <c r="AW88" s="60">
        <f t="shared" si="408"/>
        <v>0</v>
      </c>
      <c r="AX88" s="59">
        <f t="shared" si="409"/>
        <v>0</v>
      </c>
      <c r="AY88" s="55">
        <f t="shared" si="410"/>
        <v>0</v>
      </c>
      <c r="AZ88" s="59">
        <f t="shared" si="411"/>
        <v>0</v>
      </c>
      <c r="BC88" s="55">
        <v>1</v>
      </c>
      <c r="BD88" s="55">
        <v>0.97</v>
      </c>
      <c r="BE88" s="55">
        <v>0.95</v>
      </c>
      <c r="BF88" s="55">
        <v>0.93</v>
      </c>
      <c r="BG88" s="55">
        <f t="shared" si="504"/>
        <v>0.91</v>
      </c>
      <c r="BH88" s="55">
        <f t="shared" si="504"/>
        <v>0.89</v>
      </c>
      <c r="BI88" s="55">
        <f t="shared" si="504"/>
        <v>0.87</v>
      </c>
      <c r="BJ88" s="55">
        <f t="shared" si="504"/>
        <v>0.85</v>
      </c>
      <c r="BK88" s="55">
        <f t="shared" si="504"/>
        <v>0.83</v>
      </c>
      <c r="BL88" s="55">
        <f t="shared" si="504"/>
        <v>0.80999999999999994</v>
      </c>
      <c r="BM88" s="55">
        <f t="shared" si="504"/>
        <v>0.78999999999999992</v>
      </c>
      <c r="BN88" s="55">
        <f t="shared" si="504"/>
        <v>0.76999999999999991</v>
      </c>
      <c r="BO88" s="55">
        <f t="shared" si="504"/>
        <v>0.74999999999999989</v>
      </c>
      <c r="BP88" s="55">
        <f t="shared" si="504"/>
        <v>0.72999999999999987</v>
      </c>
      <c r="BQ88" s="55">
        <f t="shared" si="504"/>
        <v>0.70999999999999985</v>
      </c>
      <c r="BR88" s="55">
        <f t="shared" si="504"/>
        <v>0.68999999999999984</v>
      </c>
      <c r="BS88" s="55">
        <f t="shared" si="504"/>
        <v>0.66999999999999982</v>
      </c>
      <c r="BT88" s="55">
        <f t="shared" si="504"/>
        <v>0.6499999999999998</v>
      </c>
      <c r="BU88" s="55">
        <f t="shared" si="504"/>
        <v>0.62999999999999978</v>
      </c>
      <c r="BV88" s="55">
        <f t="shared" si="504"/>
        <v>0.60999999999999976</v>
      </c>
      <c r="BW88" s="55">
        <f t="shared" si="504"/>
        <v>0.58999999999999975</v>
      </c>
      <c r="BX88" s="55">
        <f t="shared" si="504"/>
        <v>0.56999999999999973</v>
      </c>
      <c r="BZ88" s="55">
        <f t="shared" si="88"/>
        <v>0</v>
      </c>
      <c r="CA88" s="55">
        <f t="shared" si="89"/>
        <v>0</v>
      </c>
      <c r="CB88" s="59">
        <f t="shared" si="413"/>
        <v>0</v>
      </c>
      <c r="CC88" s="55">
        <f t="shared" si="414"/>
        <v>0</v>
      </c>
      <c r="CD88" s="59">
        <f t="shared" si="415"/>
        <v>0</v>
      </c>
      <c r="CE88" s="55">
        <f t="shared" si="416"/>
        <v>0</v>
      </c>
      <c r="CF88" s="59">
        <f t="shared" si="417"/>
        <v>0</v>
      </c>
      <c r="CG88" s="55">
        <f t="shared" si="418"/>
        <v>0</v>
      </c>
      <c r="CH88" s="59">
        <f t="shared" si="419"/>
        <v>0</v>
      </c>
      <c r="CI88" s="57">
        <f t="shared" si="420"/>
        <v>0</v>
      </c>
      <c r="CJ88" s="59">
        <f t="shared" si="421"/>
        <v>0</v>
      </c>
      <c r="CK88" s="55">
        <f t="shared" si="422"/>
        <v>0</v>
      </c>
      <c r="CL88" s="59">
        <f t="shared" si="423"/>
        <v>0</v>
      </c>
      <c r="CM88" s="57">
        <f t="shared" si="424"/>
        <v>0</v>
      </c>
      <c r="CN88" s="59">
        <f t="shared" si="425"/>
        <v>0</v>
      </c>
      <c r="CO88" s="60">
        <f t="shared" si="426"/>
        <v>0</v>
      </c>
      <c r="CP88" s="59">
        <f t="shared" si="427"/>
        <v>0</v>
      </c>
      <c r="CQ88" s="57">
        <f t="shared" si="428"/>
        <v>0</v>
      </c>
      <c r="CR88" s="59">
        <f t="shared" si="429"/>
        <v>0</v>
      </c>
      <c r="CS88" s="55">
        <f t="shared" si="430"/>
        <v>0</v>
      </c>
      <c r="CT88" s="59">
        <f t="shared" si="431"/>
        <v>0</v>
      </c>
      <c r="CU88" s="60">
        <f t="shared" si="432"/>
        <v>0</v>
      </c>
      <c r="CV88" s="59">
        <f t="shared" si="433"/>
        <v>0</v>
      </c>
      <c r="CW88" s="60">
        <f t="shared" si="434"/>
        <v>0</v>
      </c>
      <c r="CX88" s="59">
        <f t="shared" si="435"/>
        <v>0</v>
      </c>
      <c r="CY88" s="60">
        <f t="shared" si="436"/>
        <v>0</v>
      </c>
      <c r="CZ88" s="59">
        <f t="shared" si="437"/>
        <v>0</v>
      </c>
      <c r="DA88" s="55">
        <f t="shared" si="438"/>
        <v>0</v>
      </c>
      <c r="DB88" s="59">
        <f t="shared" si="439"/>
        <v>0</v>
      </c>
      <c r="DC88" s="60">
        <f t="shared" si="440"/>
        <v>0</v>
      </c>
      <c r="DD88" s="59">
        <f t="shared" si="441"/>
        <v>0</v>
      </c>
      <c r="DE88" s="60">
        <f t="shared" si="442"/>
        <v>0</v>
      </c>
      <c r="DF88" s="59">
        <f t="shared" si="443"/>
        <v>0</v>
      </c>
      <c r="DG88" s="60">
        <f t="shared" si="444"/>
        <v>0</v>
      </c>
      <c r="DH88" s="59">
        <f t="shared" si="445"/>
        <v>0</v>
      </c>
      <c r="DI88" s="60">
        <f t="shared" si="446"/>
        <v>0</v>
      </c>
      <c r="DJ88" s="59">
        <f t="shared" si="447"/>
        <v>0</v>
      </c>
      <c r="DK88" s="55">
        <f t="shared" si="448"/>
        <v>0</v>
      </c>
      <c r="DL88" s="59">
        <f t="shared" si="449"/>
        <v>0</v>
      </c>
      <c r="DM88" s="60">
        <f t="shared" si="450"/>
        <v>0</v>
      </c>
      <c r="DN88" s="59">
        <f t="shared" si="451"/>
        <v>0</v>
      </c>
      <c r="DO88" s="60">
        <f t="shared" si="452"/>
        <v>0</v>
      </c>
      <c r="DP88" s="59">
        <f t="shared" si="453"/>
        <v>0</v>
      </c>
      <c r="DQ88" s="55">
        <f t="shared" si="454"/>
        <v>0</v>
      </c>
      <c r="DR88" s="59">
        <f t="shared" si="455"/>
        <v>0</v>
      </c>
      <c r="DU88" s="55">
        <v>1</v>
      </c>
      <c r="DV88" s="55">
        <v>0.97</v>
      </c>
      <c r="DW88" s="55">
        <v>0.95</v>
      </c>
      <c r="DX88" s="55">
        <v>0.93</v>
      </c>
      <c r="DY88" s="55">
        <f t="shared" si="507"/>
        <v>0.91</v>
      </c>
      <c r="DZ88" s="55">
        <f t="shared" si="507"/>
        <v>0.89</v>
      </c>
      <c r="EA88" s="55">
        <f t="shared" si="507"/>
        <v>0.87</v>
      </c>
      <c r="EB88" s="55">
        <f t="shared" si="507"/>
        <v>0.85</v>
      </c>
      <c r="EC88" s="55">
        <f t="shared" si="507"/>
        <v>0.83</v>
      </c>
      <c r="ED88" s="55">
        <f t="shared" si="507"/>
        <v>0.80999999999999994</v>
      </c>
      <c r="EE88" s="55">
        <f t="shared" si="507"/>
        <v>0.78999999999999992</v>
      </c>
      <c r="EF88" s="55">
        <f t="shared" si="507"/>
        <v>0.76999999999999991</v>
      </c>
      <c r="EG88" s="55">
        <f t="shared" si="507"/>
        <v>0.74999999999999989</v>
      </c>
      <c r="EH88" s="55">
        <f t="shared" si="507"/>
        <v>0.72999999999999987</v>
      </c>
      <c r="EI88" s="55">
        <f t="shared" si="507"/>
        <v>0.70999999999999985</v>
      </c>
      <c r="EJ88" s="55">
        <f t="shared" si="507"/>
        <v>0.68999999999999984</v>
      </c>
      <c r="EK88" s="55">
        <f t="shared" si="507"/>
        <v>0.66999999999999982</v>
      </c>
      <c r="EL88" s="55">
        <f t="shared" si="507"/>
        <v>0.6499999999999998</v>
      </c>
      <c r="EM88" s="55">
        <f t="shared" si="507"/>
        <v>0.62999999999999978</v>
      </c>
      <c r="EN88" s="55">
        <f t="shared" si="507"/>
        <v>0.60999999999999976</v>
      </c>
      <c r="EO88" s="55">
        <f t="shared" si="507"/>
        <v>0.58999999999999975</v>
      </c>
      <c r="EP88" s="55">
        <f t="shared" si="507"/>
        <v>0.56999999999999973</v>
      </c>
      <c r="ER88" s="55">
        <f t="shared" si="142"/>
        <v>0</v>
      </c>
      <c r="ES88" s="55">
        <f t="shared" si="116"/>
        <v>0</v>
      </c>
      <c r="ET88" s="59">
        <f t="shared" si="457"/>
        <v>0</v>
      </c>
      <c r="EU88" s="55">
        <f t="shared" si="458"/>
        <v>0</v>
      </c>
      <c r="EV88" s="59">
        <f t="shared" si="459"/>
        <v>0</v>
      </c>
      <c r="EW88" s="55">
        <f t="shared" si="460"/>
        <v>0</v>
      </c>
      <c r="EX88" s="59">
        <f t="shared" si="461"/>
        <v>0</v>
      </c>
      <c r="EY88" s="55">
        <f t="shared" si="462"/>
        <v>0</v>
      </c>
      <c r="EZ88" s="59">
        <f t="shared" si="463"/>
        <v>0</v>
      </c>
      <c r="FA88" s="57">
        <f t="shared" si="464"/>
        <v>0</v>
      </c>
      <c r="FB88" s="59">
        <f t="shared" si="465"/>
        <v>0</v>
      </c>
      <c r="FC88" s="55">
        <f t="shared" si="466"/>
        <v>0</v>
      </c>
      <c r="FD88" s="59">
        <f t="shared" si="467"/>
        <v>0</v>
      </c>
      <c r="FE88" s="57">
        <f t="shared" si="468"/>
        <v>0</v>
      </c>
      <c r="FF88" s="59">
        <f t="shared" si="469"/>
        <v>0</v>
      </c>
      <c r="FG88" s="60">
        <f t="shared" si="470"/>
        <v>0</v>
      </c>
      <c r="FH88" s="59">
        <f t="shared" si="471"/>
        <v>0</v>
      </c>
      <c r="FI88" s="57">
        <f t="shared" si="472"/>
        <v>0</v>
      </c>
      <c r="FJ88" s="59">
        <f t="shared" si="473"/>
        <v>0</v>
      </c>
      <c r="FK88" s="55">
        <f t="shared" si="474"/>
        <v>0</v>
      </c>
      <c r="FL88" s="59">
        <f t="shared" si="475"/>
        <v>0</v>
      </c>
      <c r="FM88" s="60">
        <f t="shared" si="476"/>
        <v>0</v>
      </c>
      <c r="FN88" s="59">
        <f t="shared" si="477"/>
        <v>0</v>
      </c>
      <c r="FO88" s="60">
        <f t="shared" si="478"/>
        <v>0</v>
      </c>
      <c r="FP88" s="59">
        <f t="shared" si="479"/>
        <v>0</v>
      </c>
      <c r="FQ88" s="60">
        <f t="shared" si="480"/>
        <v>0</v>
      </c>
      <c r="FR88" s="59">
        <f t="shared" si="481"/>
        <v>0</v>
      </c>
      <c r="FS88" s="55">
        <f t="shared" si="482"/>
        <v>0</v>
      </c>
      <c r="FT88" s="59">
        <f t="shared" si="483"/>
        <v>0</v>
      </c>
      <c r="FU88" s="60">
        <f t="shared" si="484"/>
        <v>0</v>
      </c>
      <c r="FV88" s="59">
        <f t="shared" si="485"/>
        <v>0</v>
      </c>
      <c r="FW88" s="60">
        <f t="shared" si="486"/>
        <v>0</v>
      </c>
      <c r="FX88" s="59">
        <f t="shared" si="487"/>
        <v>0</v>
      </c>
      <c r="FY88" s="60">
        <f t="shared" si="488"/>
        <v>0</v>
      </c>
      <c r="FZ88" s="59">
        <f t="shared" si="489"/>
        <v>0</v>
      </c>
      <c r="GA88" s="60">
        <f t="shared" si="490"/>
        <v>0</v>
      </c>
      <c r="GB88" s="59">
        <f t="shared" si="491"/>
        <v>0</v>
      </c>
      <c r="GC88" s="55">
        <f t="shared" si="492"/>
        <v>0</v>
      </c>
      <c r="GD88" s="59">
        <f t="shared" si="493"/>
        <v>0</v>
      </c>
      <c r="GE88" s="60">
        <f t="shared" si="494"/>
        <v>0</v>
      </c>
      <c r="GF88" s="59">
        <f t="shared" si="495"/>
        <v>0</v>
      </c>
      <c r="GG88" s="60">
        <f t="shared" si="496"/>
        <v>0</v>
      </c>
      <c r="GH88" s="59">
        <f t="shared" si="497"/>
        <v>0</v>
      </c>
      <c r="GI88" s="55">
        <f t="shared" si="498"/>
        <v>0</v>
      </c>
      <c r="GJ88" s="59">
        <f t="shared" si="499"/>
        <v>0</v>
      </c>
      <c r="GK88" s="55"/>
      <c r="GL88" s="55"/>
      <c r="GM88" s="55">
        <v>1</v>
      </c>
      <c r="GN88" s="55">
        <v>0.97</v>
      </c>
      <c r="GO88" s="55">
        <v>0.95</v>
      </c>
      <c r="GP88" s="55">
        <v>0.93</v>
      </c>
      <c r="GQ88" s="55">
        <f t="shared" si="508"/>
        <v>0.91</v>
      </c>
      <c r="GR88" s="55">
        <f t="shared" si="508"/>
        <v>0.89</v>
      </c>
      <c r="GS88" s="55">
        <f t="shared" si="508"/>
        <v>0.87</v>
      </c>
      <c r="GT88" s="55">
        <f t="shared" si="508"/>
        <v>0.85</v>
      </c>
      <c r="GU88" s="55">
        <f t="shared" si="508"/>
        <v>0.83</v>
      </c>
      <c r="GV88" s="55">
        <f t="shared" si="508"/>
        <v>0.80999999999999994</v>
      </c>
      <c r="GW88" s="55">
        <f t="shared" si="508"/>
        <v>0.78999999999999992</v>
      </c>
      <c r="GX88" s="55">
        <f t="shared" si="508"/>
        <v>0.76999999999999991</v>
      </c>
      <c r="GY88" s="55">
        <f t="shared" si="508"/>
        <v>0.74999999999999989</v>
      </c>
      <c r="GZ88" s="55">
        <f t="shared" si="508"/>
        <v>0.72999999999999987</v>
      </c>
      <c r="HA88" s="55">
        <f t="shared" si="508"/>
        <v>0.70999999999999985</v>
      </c>
      <c r="HB88" s="55">
        <f t="shared" si="508"/>
        <v>0.68999999999999984</v>
      </c>
      <c r="HC88" s="55">
        <f t="shared" si="508"/>
        <v>0.66999999999999982</v>
      </c>
      <c r="HD88" s="55">
        <f t="shared" si="508"/>
        <v>0.6499999999999998</v>
      </c>
      <c r="HE88" s="55">
        <f t="shared" si="508"/>
        <v>0.62999999999999978</v>
      </c>
      <c r="HF88" s="55">
        <f t="shared" si="508"/>
        <v>0.60999999999999976</v>
      </c>
      <c r="HG88" s="55">
        <f t="shared" si="508"/>
        <v>0.58999999999999975</v>
      </c>
      <c r="HH88" s="55">
        <f t="shared" si="508"/>
        <v>0.56999999999999973</v>
      </c>
    </row>
    <row r="89" spans="1:216" x14ac:dyDescent="0.3">
      <c r="A89" s="2">
        <v>21</v>
      </c>
      <c r="C89" s="38" t="s">
        <v>35</v>
      </c>
      <c r="D89" s="42">
        <f>TRUNC(6327,-1)</f>
        <v>6320</v>
      </c>
      <c r="E89" s="71">
        <f t="shared" si="369"/>
        <v>20890</v>
      </c>
      <c r="H89" s="55">
        <f t="shared" si="61"/>
        <v>22979.000000000004</v>
      </c>
      <c r="I89" s="55">
        <f t="shared" si="62"/>
        <v>22979.000000000004</v>
      </c>
      <c r="J89" s="59">
        <f t="shared" si="63"/>
        <v>75963.978200000012</v>
      </c>
      <c r="K89" s="55">
        <f t="shared" si="370"/>
        <v>22289.630000000005</v>
      </c>
      <c r="L89" s="59">
        <f t="shared" si="371"/>
        <v>73685.058854000017</v>
      </c>
      <c r="M89" s="55">
        <f t="shared" si="372"/>
        <v>21830.050000000003</v>
      </c>
      <c r="N89" s="59">
        <f t="shared" si="373"/>
        <v>72165.779290000006</v>
      </c>
      <c r="O89" s="55">
        <f t="shared" si="374"/>
        <v>21370.470000000005</v>
      </c>
      <c r="P89" s="59">
        <f t="shared" si="375"/>
        <v>70646.499726000024</v>
      </c>
      <c r="Q89" s="57">
        <f t="shared" si="376"/>
        <v>20910.890000000003</v>
      </c>
      <c r="R89" s="59">
        <f t="shared" si="377"/>
        <v>69127.220162000012</v>
      </c>
      <c r="S89" s="55">
        <f t="shared" si="378"/>
        <v>20451.310000000005</v>
      </c>
      <c r="T89" s="59">
        <f t="shared" si="379"/>
        <v>67607.940598000016</v>
      </c>
      <c r="U89" s="57">
        <f t="shared" si="380"/>
        <v>19991.730000000003</v>
      </c>
      <c r="V89" s="59">
        <f t="shared" si="381"/>
        <v>66088.661034000019</v>
      </c>
      <c r="W89" s="60">
        <f t="shared" si="382"/>
        <v>19532.150000000001</v>
      </c>
      <c r="X89" s="59">
        <f t="shared" si="383"/>
        <v>64569.381470000008</v>
      </c>
      <c r="Y89" s="57">
        <f t="shared" si="384"/>
        <v>19072.570000000003</v>
      </c>
      <c r="Z89" s="59">
        <f t="shared" si="385"/>
        <v>63050.101906000011</v>
      </c>
      <c r="AA89" s="55">
        <f t="shared" si="386"/>
        <v>18612.990000000002</v>
      </c>
      <c r="AB89" s="59">
        <f t="shared" si="387"/>
        <v>61530.822342000007</v>
      </c>
      <c r="AC89" s="60">
        <f t="shared" si="388"/>
        <v>18153.41</v>
      </c>
      <c r="AD89" s="59">
        <f t="shared" si="389"/>
        <v>60011.542778000003</v>
      </c>
      <c r="AE89" s="60">
        <f t="shared" si="390"/>
        <v>17693.830000000002</v>
      </c>
      <c r="AF89" s="59">
        <f t="shared" si="391"/>
        <v>58492.263214000006</v>
      </c>
      <c r="AG89" s="60">
        <f t="shared" si="392"/>
        <v>17234.25</v>
      </c>
      <c r="AH89" s="59">
        <f t="shared" si="393"/>
        <v>56972.983650000002</v>
      </c>
      <c r="AI89" s="55">
        <f t="shared" si="394"/>
        <v>16774.669999999998</v>
      </c>
      <c r="AJ89" s="59">
        <f t="shared" si="395"/>
        <v>55453.704085999998</v>
      </c>
      <c r="AK89" s="60">
        <f t="shared" si="396"/>
        <v>16315.089999999998</v>
      </c>
      <c r="AL89" s="59">
        <f t="shared" si="397"/>
        <v>53934.424521999994</v>
      </c>
      <c r="AM89" s="60">
        <f t="shared" si="398"/>
        <v>15855.509999999998</v>
      </c>
      <c r="AN89" s="59">
        <f t="shared" si="399"/>
        <v>52415.144957999997</v>
      </c>
      <c r="AO89" s="60">
        <f t="shared" si="400"/>
        <v>15395.929999999998</v>
      </c>
      <c r="AP89" s="59">
        <f t="shared" si="401"/>
        <v>50895.865393999993</v>
      </c>
      <c r="AQ89" s="60">
        <f t="shared" si="402"/>
        <v>14936.349999999999</v>
      </c>
      <c r="AR89" s="59">
        <f t="shared" si="403"/>
        <v>49376.585829999996</v>
      </c>
      <c r="AS89" s="55">
        <f t="shared" si="404"/>
        <v>14476.769999999997</v>
      </c>
      <c r="AT89" s="59">
        <f t="shared" si="405"/>
        <v>47857.306265999992</v>
      </c>
      <c r="AU89" s="60">
        <f t="shared" si="406"/>
        <v>14017.189999999997</v>
      </c>
      <c r="AV89" s="59">
        <f t="shared" si="407"/>
        <v>46338.026701999988</v>
      </c>
      <c r="AW89" s="60">
        <f t="shared" si="408"/>
        <v>13557.609999999997</v>
      </c>
      <c r="AX89" s="59">
        <f t="shared" si="409"/>
        <v>44818.747137999992</v>
      </c>
      <c r="AY89" s="55">
        <f t="shared" si="410"/>
        <v>13098.029999999995</v>
      </c>
      <c r="AZ89" s="59">
        <f t="shared" si="411"/>
        <v>43299.467573999988</v>
      </c>
      <c r="BC89" s="55">
        <v>1</v>
      </c>
      <c r="BD89" s="55">
        <v>0.97</v>
      </c>
      <c r="BE89" s="55">
        <v>0.95</v>
      </c>
      <c r="BF89" s="55">
        <v>0.93</v>
      </c>
      <c r="BG89" s="55">
        <f t="shared" si="504"/>
        <v>0.91</v>
      </c>
      <c r="BH89" s="55">
        <f t="shared" si="504"/>
        <v>0.89</v>
      </c>
      <c r="BI89" s="55">
        <f t="shared" si="504"/>
        <v>0.87</v>
      </c>
      <c r="BJ89" s="55">
        <f t="shared" si="504"/>
        <v>0.85</v>
      </c>
      <c r="BK89" s="55">
        <f t="shared" si="504"/>
        <v>0.83</v>
      </c>
      <c r="BL89" s="55">
        <f t="shared" si="504"/>
        <v>0.80999999999999994</v>
      </c>
      <c r="BM89" s="55">
        <f t="shared" si="504"/>
        <v>0.78999999999999992</v>
      </c>
      <c r="BN89" s="55">
        <f t="shared" si="504"/>
        <v>0.76999999999999991</v>
      </c>
      <c r="BO89" s="55">
        <f t="shared" si="504"/>
        <v>0.74999999999999989</v>
      </c>
      <c r="BP89" s="55">
        <f t="shared" si="504"/>
        <v>0.72999999999999987</v>
      </c>
      <c r="BQ89" s="55">
        <f t="shared" si="504"/>
        <v>0.70999999999999985</v>
      </c>
      <c r="BR89" s="55">
        <f t="shared" si="504"/>
        <v>0.68999999999999984</v>
      </c>
      <c r="BS89" s="55">
        <f t="shared" si="504"/>
        <v>0.66999999999999982</v>
      </c>
      <c r="BT89" s="55">
        <f t="shared" si="504"/>
        <v>0.6499999999999998</v>
      </c>
      <c r="BU89" s="55">
        <f t="shared" si="504"/>
        <v>0.62999999999999978</v>
      </c>
      <c r="BV89" s="55">
        <f t="shared" si="504"/>
        <v>0.60999999999999976</v>
      </c>
      <c r="BW89" s="55">
        <f t="shared" si="504"/>
        <v>0.58999999999999975</v>
      </c>
      <c r="BX89" s="55">
        <f t="shared" si="504"/>
        <v>0.56999999999999973</v>
      </c>
      <c r="BZ89" s="55">
        <f t="shared" si="88"/>
        <v>20910.890000000003</v>
      </c>
      <c r="CA89" s="55">
        <f t="shared" si="89"/>
        <v>20910.890000000003</v>
      </c>
      <c r="CB89" s="59">
        <f t="shared" si="413"/>
        <v>69127.220162000012</v>
      </c>
      <c r="CC89" s="55">
        <f t="shared" si="414"/>
        <v>20283.563300000002</v>
      </c>
      <c r="CD89" s="59">
        <f t="shared" si="415"/>
        <v>67053.403557140002</v>
      </c>
      <c r="CE89" s="55">
        <f t="shared" si="416"/>
        <v>19865.345500000003</v>
      </c>
      <c r="CF89" s="59">
        <f t="shared" si="417"/>
        <v>65670.859153900004</v>
      </c>
      <c r="CG89" s="55">
        <f t="shared" si="418"/>
        <v>19447.127700000005</v>
      </c>
      <c r="CH89" s="59">
        <f t="shared" si="419"/>
        <v>64288.314750660014</v>
      </c>
      <c r="CI89" s="57">
        <f t="shared" si="420"/>
        <v>19028.909900000002</v>
      </c>
      <c r="CJ89" s="59">
        <f t="shared" si="421"/>
        <v>62905.77034742001</v>
      </c>
      <c r="CK89" s="55">
        <f t="shared" si="422"/>
        <v>18610.692100000004</v>
      </c>
      <c r="CL89" s="59">
        <f t="shared" si="423"/>
        <v>61523.225944180012</v>
      </c>
      <c r="CM89" s="57">
        <f t="shared" si="424"/>
        <v>18192.474300000002</v>
      </c>
      <c r="CN89" s="59">
        <f t="shared" si="425"/>
        <v>60140.681540940008</v>
      </c>
      <c r="CO89" s="60">
        <f t="shared" si="426"/>
        <v>17774.256500000003</v>
      </c>
      <c r="CP89" s="59">
        <f t="shared" si="427"/>
        <v>58758.13713770001</v>
      </c>
      <c r="CQ89" s="57">
        <f t="shared" si="428"/>
        <v>17356.038700000001</v>
      </c>
      <c r="CR89" s="59">
        <f t="shared" si="429"/>
        <v>57375.592734460006</v>
      </c>
      <c r="CS89" s="55">
        <f t="shared" si="430"/>
        <v>16937.820900000002</v>
      </c>
      <c r="CT89" s="59">
        <f t="shared" si="431"/>
        <v>55993.048331220009</v>
      </c>
      <c r="CU89" s="60">
        <f t="shared" si="432"/>
        <v>16519.6031</v>
      </c>
      <c r="CV89" s="59">
        <f t="shared" si="433"/>
        <v>54610.503927980004</v>
      </c>
      <c r="CW89" s="60">
        <f t="shared" si="434"/>
        <v>16101.3853</v>
      </c>
      <c r="CX89" s="59">
        <f t="shared" si="435"/>
        <v>53227.959524739999</v>
      </c>
      <c r="CY89" s="60">
        <f t="shared" si="436"/>
        <v>15683.1675</v>
      </c>
      <c r="CZ89" s="59">
        <f t="shared" si="437"/>
        <v>51845.415121500002</v>
      </c>
      <c r="DA89" s="55">
        <f t="shared" si="438"/>
        <v>15264.949699999999</v>
      </c>
      <c r="DB89" s="59">
        <f t="shared" si="439"/>
        <v>50462.870718259997</v>
      </c>
      <c r="DC89" s="60">
        <f t="shared" si="440"/>
        <v>14846.731899999999</v>
      </c>
      <c r="DD89" s="59">
        <f t="shared" si="441"/>
        <v>49080.32631502</v>
      </c>
      <c r="DE89" s="60">
        <f t="shared" si="442"/>
        <v>14428.514099999999</v>
      </c>
      <c r="DF89" s="59">
        <f t="shared" si="443"/>
        <v>47697.781911779995</v>
      </c>
      <c r="DG89" s="60">
        <f t="shared" si="444"/>
        <v>14010.296299999998</v>
      </c>
      <c r="DH89" s="59">
        <f t="shared" si="445"/>
        <v>46315.237508539998</v>
      </c>
      <c r="DI89" s="60">
        <f t="shared" si="446"/>
        <v>13592.078499999998</v>
      </c>
      <c r="DJ89" s="59">
        <f t="shared" si="447"/>
        <v>44932.693105299993</v>
      </c>
      <c r="DK89" s="55">
        <f t="shared" si="448"/>
        <v>13173.860699999997</v>
      </c>
      <c r="DL89" s="59">
        <f t="shared" si="449"/>
        <v>43550.148702059996</v>
      </c>
      <c r="DM89" s="60">
        <f t="shared" si="450"/>
        <v>12755.642899999997</v>
      </c>
      <c r="DN89" s="59">
        <f t="shared" si="451"/>
        <v>42167.604298819992</v>
      </c>
      <c r="DO89" s="60">
        <f t="shared" si="452"/>
        <v>12337.425099999997</v>
      </c>
      <c r="DP89" s="59">
        <f t="shared" si="453"/>
        <v>40785.059895579987</v>
      </c>
      <c r="DQ89" s="55">
        <f t="shared" si="454"/>
        <v>11919.207299999996</v>
      </c>
      <c r="DR89" s="59">
        <f t="shared" si="455"/>
        <v>39402.51549233999</v>
      </c>
      <c r="DU89" s="55">
        <v>1</v>
      </c>
      <c r="DV89" s="55">
        <v>0.97</v>
      </c>
      <c r="DW89" s="55">
        <v>0.95</v>
      </c>
      <c r="DX89" s="55">
        <v>0.93</v>
      </c>
      <c r="DY89" s="55">
        <f t="shared" si="507"/>
        <v>0.91</v>
      </c>
      <c r="DZ89" s="55">
        <f t="shared" si="507"/>
        <v>0.89</v>
      </c>
      <c r="EA89" s="55">
        <f t="shared" si="507"/>
        <v>0.87</v>
      </c>
      <c r="EB89" s="55">
        <f t="shared" si="507"/>
        <v>0.85</v>
      </c>
      <c r="EC89" s="55">
        <f t="shared" si="507"/>
        <v>0.83</v>
      </c>
      <c r="ED89" s="55">
        <f t="shared" si="507"/>
        <v>0.80999999999999994</v>
      </c>
      <c r="EE89" s="55">
        <f t="shared" si="507"/>
        <v>0.78999999999999992</v>
      </c>
      <c r="EF89" s="55">
        <f t="shared" si="507"/>
        <v>0.76999999999999991</v>
      </c>
      <c r="EG89" s="55">
        <f t="shared" si="507"/>
        <v>0.74999999999999989</v>
      </c>
      <c r="EH89" s="55">
        <f t="shared" si="507"/>
        <v>0.72999999999999987</v>
      </c>
      <c r="EI89" s="55">
        <f t="shared" si="507"/>
        <v>0.70999999999999985</v>
      </c>
      <c r="EJ89" s="55">
        <f t="shared" si="507"/>
        <v>0.68999999999999984</v>
      </c>
      <c r="EK89" s="55">
        <f t="shared" si="507"/>
        <v>0.66999999999999982</v>
      </c>
      <c r="EL89" s="55">
        <f t="shared" si="507"/>
        <v>0.6499999999999998</v>
      </c>
      <c r="EM89" s="55">
        <f t="shared" si="507"/>
        <v>0.62999999999999978</v>
      </c>
      <c r="EN89" s="55">
        <f t="shared" si="507"/>
        <v>0.60999999999999976</v>
      </c>
      <c r="EO89" s="55">
        <f t="shared" si="507"/>
        <v>0.58999999999999975</v>
      </c>
      <c r="EP89" s="55">
        <f t="shared" si="507"/>
        <v>0.56999999999999973</v>
      </c>
      <c r="ER89" s="55">
        <f t="shared" si="142"/>
        <v>19028.909900000002</v>
      </c>
      <c r="ES89" s="55">
        <f t="shared" si="116"/>
        <v>19028.909900000002</v>
      </c>
      <c r="ET89" s="59">
        <f t="shared" si="457"/>
        <v>62905.77034742001</v>
      </c>
      <c r="EU89" s="55">
        <f t="shared" si="458"/>
        <v>18458.042603000002</v>
      </c>
      <c r="EV89" s="59">
        <f t="shared" si="459"/>
        <v>61018.597236997404</v>
      </c>
      <c r="EW89" s="55">
        <f t="shared" si="460"/>
        <v>18077.464405000002</v>
      </c>
      <c r="EX89" s="59">
        <f t="shared" si="461"/>
        <v>59760.481830049008</v>
      </c>
      <c r="EY89" s="55">
        <f t="shared" si="462"/>
        <v>17696.886207000003</v>
      </c>
      <c r="EZ89" s="59">
        <f t="shared" si="463"/>
        <v>58502.366423100611</v>
      </c>
      <c r="FA89" s="57">
        <f t="shared" si="464"/>
        <v>17316.308009000004</v>
      </c>
      <c r="FB89" s="59">
        <f t="shared" si="465"/>
        <v>57244.251016152215</v>
      </c>
      <c r="FC89" s="55">
        <f t="shared" si="466"/>
        <v>16935.729811000001</v>
      </c>
      <c r="FD89" s="59">
        <f t="shared" si="467"/>
        <v>55986.135609203804</v>
      </c>
      <c r="FE89" s="57">
        <f t="shared" si="468"/>
        <v>16555.151613000002</v>
      </c>
      <c r="FF89" s="59">
        <f t="shared" si="469"/>
        <v>54728.020202255408</v>
      </c>
      <c r="FG89" s="60">
        <f t="shared" si="470"/>
        <v>16174.573415000001</v>
      </c>
      <c r="FH89" s="59">
        <f t="shared" si="471"/>
        <v>53469.904795307004</v>
      </c>
      <c r="FI89" s="57">
        <f t="shared" si="472"/>
        <v>15793.995217000002</v>
      </c>
      <c r="FJ89" s="59">
        <f t="shared" si="473"/>
        <v>52211.789388358608</v>
      </c>
      <c r="FK89" s="55">
        <f t="shared" si="474"/>
        <v>15413.417019</v>
      </c>
      <c r="FL89" s="59">
        <f t="shared" si="475"/>
        <v>50953.673981410204</v>
      </c>
      <c r="FM89" s="60">
        <f t="shared" si="476"/>
        <v>15032.838821000001</v>
      </c>
      <c r="FN89" s="59">
        <f t="shared" si="477"/>
        <v>49695.558574461807</v>
      </c>
      <c r="FO89" s="60">
        <f t="shared" si="478"/>
        <v>14652.260623</v>
      </c>
      <c r="FP89" s="59">
        <f t="shared" si="479"/>
        <v>48437.443167513404</v>
      </c>
      <c r="FQ89" s="60">
        <f t="shared" si="480"/>
        <v>14271.682424999999</v>
      </c>
      <c r="FR89" s="59">
        <f t="shared" si="481"/>
        <v>47179.327760565</v>
      </c>
      <c r="FS89" s="55">
        <f t="shared" si="482"/>
        <v>13891.104227</v>
      </c>
      <c r="FT89" s="59">
        <f t="shared" si="483"/>
        <v>45921.212353616604</v>
      </c>
      <c r="FU89" s="60">
        <f t="shared" si="484"/>
        <v>13510.526028999999</v>
      </c>
      <c r="FV89" s="59">
        <f t="shared" si="485"/>
        <v>44663.0969466682</v>
      </c>
      <c r="FW89" s="60">
        <f t="shared" si="486"/>
        <v>13129.947830999998</v>
      </c>
      <c r="FX89" s="59">
        <f t="shared" si="487"/>
        <v>43404.981539719796</v>
      </c>
      <c r="FY89" s="60">
        <f t="shared" si="488"/>
        <v>12749.369632999998</v>
      </c>
      <c r="FZ89" s="59">
        <f t="shared" si="489"/>
        <v>42146.866132771393</v>
      </c>
      <c r="GA89" s="60">
        <f t="shared" si="490"/>
        <v>12368.791434999997</v>
      </c>
      <c r="GB89" s="59">
        <f t="shared" si="491"/>
        <v>40888.750725822989</v>
      </c>
      <c r="GC89" s="55">
        <f t="shared" si="492"/>
        <v>11988.213236999998</v>
      </c>
      <c r="GD89" s="59">
        <f t="shared" si="493"/>
        <v>39630.635318874592</v>
      </c>
      <c r="GE89" s="60">
        <f t="shared" si="494"/>
        <v>11607.635038999997</v>
      </c>
      <c r="GF89" s="59">
        <f t="shared" si="495"/>
        <v>38372.519911926189</v>
      </c>
      <c r="GG89" s="60">
        <f t="shared" si="496"/>
        <v>11227.056840999996</v>
      </c>
      <c r="GH89" s="59">
        <f t="shared" si="497"/>
        <v>37114.404504977785</v>
      </c>
      <c r="GI89" s="55">
        <f t="shared" si="498"/>
        <v>10846.478642999997</v>
      </c>
      <c r="GJ89" s="59">
        <f t="shared" si="499"/>
        <v>35856.289098029389</v>
      </c>
      <c r="GK89" s="55"/>
      <c r="GL89" s="55"/>
      <c r="GM89" s="55">
        <v>1</v>
      </c>
      <c r="GN89" s="55">
        <v>0.97</v>
      </c>
      <c r="GO89" s="55">
        <v>0.95</v>
      </c>
      <c r="GP89" s="55">
        <v>0.93</v>
      </c>
      <c r="GQ89" s="55">
        <f t="shared" si="508"/>
        <v>0.91</v>
      </c>
      <c r="GR89" s="55">
        <f t="shared" si="508"/>
        <v>0.89</v>
      </c>
      <c r="GS89" s="55">
        <f t="shared" si="508"/>
        <v>0.87</v>
      </c>
      <c r="GT89" s="55">
        <f t="shared" si="508"/>
        <v>0.85</v>
      </c>
      <c r="GU89" s="55">
        <f t="shared" si="508"/>
        <v>0.83</v>
      </c>
      <c r="GV89" s="55">
        <f t="shared" si="508"/>
        <v>0.80999999999999994</v>
      </c>
      <c r="GW89" s="55">
        <f t="shared" si="508"/>
        <v>0.78999999999999992</v>
      </c>
      <c r="GX89" s="55">
        <f t="shared" si="508"/>
        <v>0.76999999999999991</v>
      </c>
      <c r="GY89" s="55">
        <f t="shared" si="508"/>
        <v>0.74999999999999989</v>
      </c>
      <c r="GZ89" s="55">
        <f t="shared" si="508"/>
        <v>0.72999999999999987</v>
      </c>
      <c r="HA89" s="55">
        <f t="shared" si="508"/>
        <v>0.70999999999999985</v>
      </c>
      <c r="HB89" s="55">
        <f t="shared" si="508"/>
        <v>0.68999999999999984</v>
      </c>
      <c r="HC89" s="55">
        <f t="shared" si="508"/>
        <v>0.66999999999999982</v>
      </c>
      <c r="HD89" s="55">
        <f t="shared" si="508"/>
        <v>0.6499999999999998</v>
      </c>
      <c r="HE89" s="55">
        <f t="shared" si="508"/>
        <v>0.62999999999999978</v>
      </c>
      <c r="HF89" s="55">
        <f t="shared" si="508"/>
        <v>0.60999999999999976</v>
      </c>
      <c r="HG89" s="55">
        <f t="shared" si="508"/>
        <v>0.58999999999999975</v>
      </c>
      <c r="HH89" s="55">
        <f t="shared" si="508"/>
        <v>0.56999999999999973</v>
      </c>
    </row>
    <row r="90" spans="1:216" x14ac:dyDescent="0.3">
      <c r="A90" s="2">
        <v>22</v>
      </c>
      <c r="C90" s="38" t="s">
        <v>36</v>
      </c>
      <c r="D90" s="42">
        <v>0</v>
      </c>
      <c r="E90" s="71">
        <f t="shared" si="369"/>
        <v>0</v>
      </c>
      <c r="H90" s="55">
        <f t="shared" ref="H90:H153" si="509">+E90*1.1</f>
        <v>0</v>
      </c>
      <c r="I90" s="55">
        <f t="shared" ref="I90:I153" si="510">+H90</f>
        <v>0</v>
      </c>
      <c r="J90" s="59">
        <f t="shared" ref="J90:J153" si="511">+I90*3.3058</f>
        <v>0</v>
      </c>
      <c r="K90" s="55">
        <f t="shared" si="370"/>
        <v>0</v>
      </c>
      <c r="L90" s="59">
        <f t="shared" si="371"/>
        <v>0</v>
      </c>
      <c r="M90" s="55">
        <f t="shared" si="372"/>
        <v>0</v>
      </c>
      <c r="N90" s="59">
        <f t="shared" si="373"/>
        <v>0</v>
      </c>
      <c r="O90" s="55">
        <f t="shared" si="374"/>
        <v>0</v>
      </c>
      <c r="P90" s="59">
        <f t="shared" si="375"/>
        <v>0</v>
      </c>
      <c r="Q90" s="57">
        <f t="shared" si="376"/>
        <v>0</v>
      </c>
      <c r="R90" s="59">
        <f t="shared" si="377"/>
        <v>0</v>
      </c>
      <c r="S90" s="55">
        <f t="shared" si="378"/>
        <v>0</v>
      </c>
      <c r="T90" s="59">
        <f t="shared" si="379"/>
        <v>0</v>
      </c>
      <c r="U90" s="57">
        <f t="shared" si="380"/>
        <v>0</v>
      </c>
      <c r="V90" s="59">
        <f t="shared" si="381"/>
        <v>0</v>
      </c>
      <c r="W90" s="60">
        <f t="shared" si="382"/>
        <v>0</v>
      </c>
      <c r="X90" s="59">
        <f t="shared" si="383"/>
        <v>0</v>
      </c>
      <c r="Y90" s="57">
        <f t="shared" si="384"/>
        <v>0</v>
      </c>
      <c r="Z90" s="59">
        <f t="shared" si="385"/>
        <v>0</v>
      </c>
      <c r="AA90" s="55">
        <f t="shared" si="386"/>
        <v>0</v>
      </c>
      <c r="AB90" s="59">
        <f t="shared" si="387"/>
        <v>0</v>
      </c>
      <c r="AC90" s="60">
        <f t="shared" si="388"/>
        <v>0</v>
      </c>
      <c r="AD90" s="59">
        <f t="shared" si="389"/>
        <v>0</v>
      </c>
      <c r="AE90" s="60">
        <f t="shared" si="390"/>
        <v>0</v>
      </c>
      <c r="AF90" s="59">
        <f t="shared" si="391"/>
        <v>0</v>
      </c>
      <c r="AG90" s="60">
        <f t="shared" si="392"/>
        <v>0</v>
      </c>
      <c r="AH90" s="59">
        <f t="shared" si="393"/>
        <v>0</v>
      </c>
      <c r="AI90" s="55">
        <f t="shared" si="394"/>
        <v>0</v>
      </c>
      <c r="AJ90" s="59">
        <f t="shared" si="395"/>
        <v>0</v>
      </c>
      <c r="AK90" s="60">
        <f t="shared" si="396"/>
        <v>0</v>
      </c>
      <c r="AL90" s="59">
        <f t="shared" si="397"/>
        <v>0</v>
      </c>
      <c r="AM90" s="60">
        <f t="shared" si="398"/>
        <v>0</v>
      </c>
      <c r="AN90" s="59">
        <f t="shared" si="399"/>
        <v>0</v>
      </c>
      <c r="AO90" s="60">
        <f t="shared" si="400"/>
        <v>0</v>
      </c>
      <c r="AP90" s="59">
        <f t="shared" si="401"/>
        <v>0</v>
      </c>
      <c r="AQ90" s="60">
        <f t="shared" si="402"/>
        <v>0</v>
      </c>
      <c r="AR90" s="59">
        <f t="shared" si="403"/>
        <v>0</v>
      </c>
      <c r="AS90" s="55">
        <f t="shared" si="404"/>
        <v>0</v>
      </c>
      <c r="AT90" s="59">
        <f t="shared" si="405"/>
        <v>0</v>
      </c>
      <c r="AU90" s="60">
        <f t="shared" si="406"/>
        <v>0</v>
      </c>
      <c r="AV90" s="59">
        <f t="shared" si="407"/>
        <v>0</v>
      </c>
      <c r="AW90" s="60">
        <f t="shared" si="408"/>
        <v>0</v>
      </c>
      <c r="AX90" s="59">
        <f t="shared" si="409"/>
        <v>0</v>
      </c>
      <c r="AY90" s="55">
        <f t="shared" si="410"/>
        <v>0</v>
      </c>
      <c r="AZ90" s="59">
        <f t="shared" si="411"/>
        <v>0</v>
      </c>
      <c r="BC90" s="55">
        <v>1</v>
      </c>
      <c r="BD90" s="55">
        <v>0.97</v>
      </c>
      <c r="BE90" s="55">
        <v>0.95</v>
      </c>
      <c r="BF90" s="55">
        <v>0.93</v>
      </c>
      <c r="BG90" s="55">
        <f t="shared" si="504"/>
        <v>0.91</v>
      </c>
      <c r="BH90" s="55">
        <f t="shared" si="504"/>
        <v>0.89</v>
      </c>
      <c r="BI90" s="55">
        <f t="shared" si="504"/>
        <v>0.87</v>
      </c>
      <c r="BJ90" s="55">
        <f t="shared" si="504"/>
        <v>0.85</v>
      </c>
      <c r="BK90" s="55">
        <f t="shared" si="504"/>
        <v>0.83</v>
      </c>
      <c r="BL90" s="55">
        <f t="shared" si="504"/>
        <v>0.80999999999999994</v>
      </c>
      <c r="BM90" s="55">
        <f t="shared" si="504"/>
        <v>0.78999999999999992</v>
      </c>
      <c r="BN90" s="55">
        <f t="shared" si="504"/>
        <v>0.76999999999999991</v>
      </c>
      <c r="BO90" s="55">
        <f t="shared" si="504"/>
        <v>0.74999999999999989</v>
      </c>
      <c r="BP90" s="55">
        <f t="shared" si="504"/>
        <v>0.72999999999999987</v>
      </c>
      <c r="BQ90" s="55">
        <f t="shared" si="504"/>
        <v>0.70999999999999985</v>
      </c>
      <c r="BR90" s="55">
        <f t="shared" si="504"/>
        <v>0.68999999999999984</v>
      </c>
      <c r="BS90" s="55">
        <f t="shared" si="504"/>
        <v>0.66999999999999982</v>
      </c>
      <c r="BT90" s="55">
        <f t="shared" si="504"/>
        <v>0.6499999999999998</v>
      </c>
      <c r="BU90" s="55">
        <f t="shared" si="504"/>
        <v>0.62999999999999978</v>
      </c>
      <c r="BV90" s="55">
        <f t="shared" si="504"/>
        <v>0.60999999999999976</v>
      </c>
      <c r="BW90" s="55">
        <f t="shared" si="504"/>
        <v>0.58999999999999975</v>
      </c>
      <c r="BX90" s="55">
        <f t="shared" si="504"/>
        <v>0.56999999999999973</v>
      </c>
      <c r="BZ90" s="55">
        <f t="shared" ref="BZ90:BZ153" si="512">+H90*0.91</f>
        <v>0</v>
      </c>
      <c r="CA90" s="55">
        <f t="shared" ref="CA90:CA153" si="513">+BZ90</f>
        <v>0</v>
      </c>
      <c r="CB90" s="59">
        <f t="shared" si="413"/>
        <v>0</v>
      </c>
      <c r="CC90" s="55">
        <f t="shared" si="414"/>
        <v>0</v>
      </c>
      <c r="CD90" s="59">
        <f t="shared" si="415"/>
        <v>0</v>
      </c>
      <c r="CE90" s="55">
        <f t="shared" si="416"/>
        <v>0</v>
      </c>
      <c r="CF90" s="59">
        <f t="shared" si="417"/>
        <v>0</v>
      </c>
      <c r="CG90" s="55">
        <f t="shared" si="418"/>
        <v>0</v>
      </c>
      <c r="CH90" s="59">
        <f t="shared" si="419"/>
        <v>0</v>
      </c>
      <c r="CI90" s="57">
        <f t="shared" si="420"/>
        <v>0</v>
      </c>
      <c r="CJ90" s="59">
        <f t="shared" si="421"/>
        <v>0</v>
      </c>
      <c r="CK90" s="55">
        <f t="shared" si="422"/>
        <v>0</v>
      </c>
      <c r="CL90" s="59">
        <f t="shared" si="423"/>
        <v>0</v>
      </c>
      <c r="CM90" s="57">
        <f t="shared" si="424"/>
        <v>0</v>
      </c>
      <c r="CN90" s="59">
        <f t="shared" si="425"/>
        <v>0</v>
      </c>
      <c r="CO90" s="60">
        <f t="shared" si="426"/>
        <v>0</v>
      </c>
      <c r="CP90" s="59">
        <f t="shared" si="427"/>
        <v>0</v>
      </c>
      <c r="CQ90" s="57">
        <f t="shared" si="428"/>
        <v>0</v>
      </c>
      <c r="CR90" s="59">
        <f t="shared" si="429"/>
        <v>0</v>
      </c>
      <c r="CS90" s="55">
        <f t="shared" si="430"/>
        <v>0</v>
      </c>
      <c r="CT90" s="59">
        <f t="shared" si="431"/>
        <v>0</v>
      </c>
      <c r="CU90" s="60">
        <f t="shared" si="432"/>
        <v>0</v>
      </c>
      <c r="CV90" s="59">
        <f t="shared" si="433"/>
        <v>0</v>
      </c>
      <c r="CW90" s="60">
        <f t="shared" si="434"/>
        <v>0</v>
      </c>
      <c r="CX90" s="59">
        <f t="shared" si="435"/>
        <v>0</v>
      </c>
      <c r="CY90" s="60">
        <f t="shared" si="436"/>
        <v>0</v>
      </c>
      <c r="CZ90" s="59">
        <f t="shared" si="437"/>
        <v>0</v>
      </c>
      <c r="DA90" s="55">
        <f t="shared" si="438"/>
        <v>0</v>
      </c>
      <c r="DB90" s="59">
        <f t="shared" si="439"/>
        <v>0</v>
      </c>
      <c r="DC90" s="60">
        <f t="shared" si="440"/>
        <v>0</v>
      </c>
      <c r="DD90" s="59">
        <f t="shared" si="441"/>
        <v>0</v>
      </c>
      <c r="DE90" s="60">
        <f t="shared" si="442"/>
        <v>0</v>
      </c>
      <c r="DF90" s="59">
        <f t="shared" si="443"/>
        <v>0</v>
      </c>
      <c r="DG90" s="60">
        <f t="shared" si="444"/>
        <v>0</v>
      </c>
      <c r="DH90" s="59">
        <f t="shared" si="445"/>
        <v>0</v>
      </c>
      <c r="DI90" s="60">
        <f t="shared" si="446"/>
        <v>0</v>
      </c>
      <c r="DJ90" s="59">
        <f t="shared" si="447"/>
        <v>0</v>
      </c>
      <c r="DK90" s="55">
        <f t="shared" si="448"/>
        <v>0</v>
      </c>
      <c r="DL90" s="59">
        <f t="shared" si="449"/>
        <v>0</v>
      </c>
      <c r="DM90" s="60">
        <f t="shared" si="450"/>
        <v>0</v>
      </c>
      <c r="DN90" s="59">
        <f t="shared" si="451"/>
        <v>0</v>
      </c>
      <c r="DO90" s="60">
        <f t="shared" si="452"/>
        <v>0</v>
      </c>
      <c r="DP90" s="59">
        <f t="shared" si="453"/>
        <v>0</v>
      </c>
      <c r="DQ90" s="55">
        <f t="shared" si="454"/>
        <v>0</v>
      </c>
      <c r="DR90" s="59">
        <f t="shared" si="455"/>
        <v>0</v>
      </c>
      <c r="DU90" s="55">
        <v>1</v>
      </c>
      <c r="DV90" s="55">
        <v>0.97</v>
      </c>
      <c r="DW90" s="55">
        <v>0.95</v>
      </c>
      <c r="DX90" s="55">
        <v>0.93</v>
      </c>
      <c r="DY90" s="55">
        <f t="shared" si="507"/>
        <v>0.91</v>
      </c>
      <c r="DZ90" s="55">
        <f t="shared" si="507"/>
        <v>0.89</v>
      </c>
      <c r="EA90" s="55">
        <f t="shared" si="507"/>
        <v>0.87</v>
      </c>
      <c r="EB90" s="55">
        <f t="shared" si="507"/>
        <v>0.85</v>
      </c>
      <c r="EC90" s="55">
        <f t="shared" si="507"/>
        <v>0.83</v>
      </c>
      <c r="ED90" s="55">
        <f t="shared" si="507"/>
        <v>0.80999999999999994</v>
      </c>
      <c r="EE90" s="55">
        <f t="shared" si="507"/>
        <v>0.78999999999999992</v>
      </c>
      <c r="EF90" s="55">
        <f t="shared" si="507"/>
        <v>0.76999999999999991</v>
      </c>
      <c r="EG90" s="55">
        <f t="shared" si="507"/>
        <v>0.74999999999999989</v>
      </c>
      <c r="EH90" s="55">
        <f t="shared" si="507"/>
        <v>0.72999999999999987</v>
      </c>
      <c r="EI90" s="55">
        <f t="shared" si="507"/>
        <v>0.70999999999999985</v>
      </c>
      <c r="EJ90" s="55">
        <f t="shared" si="507"/>
        <v>0.68999999999999984</v>
      </c>
      <c r="EK90" s="55">
        <f t="shared" si="507"/>
        <v>0.66999999999999982</v>
      </c>
      <c r="EL90" s="55">
        <f t="shared" si="507"/>
        <v>0.6499999999999998</v>
      </c>
      <c r="EM90" s="55">
        <f t="shared" si="507"/>
        <v>0.62999999999999978</v>
      </c>
      <c r="EN90" s="55">
        <f t="shared" si="507"/>
        <v>0.60999999999999976</v>
      </c>
      <c r="EO90" s="55">
        <f t="shared" si="507"/>
        <v>0.58999999999999975</v>
      </c>
      <c r="EP90" s="55">
        <f t="shared" si="507"/>
        <v>0.56999999999999973</v>
      </c>
      <c r="ER90" s="55">
        <f t="shared" si="142"/>
        <v>0</v>
      </c>
      <c r="ES90" s="55">
        <f t="shared" ref="ES90:ES153" si="514">+ER90</f>
        <v>0</v>
      </c>
      <c r="ET90" s="59">
        <f t="shared" si="457"/>
        <v>0</v>
      </c>
      <c r="EU90" s="55">
        <f t="shared" si="458"/>
        <v>0</v>
      </c>
      <c r="EV90" s="59">
        <f t="shared" si="459"/>
        <v>0</v>
      </c>
      <c r="EW90" s="55">
        <f t="shared" si="460"/>
        <v>0</v>
      </c>
      <c r="EX90" s="59">
        <f t="shared" si="461"/>
        <v>0</v>
      </c>
      <c r="EY90" s="55">
        <f t="shared" si="462"/>
        <v>0</v>
      </c>
      <c r="EZ90" s="59">
        <f t="shared" si="463"/>
        <v>0</v>
      </c>
      <c r="FA90" s="57">
        <f t="shared" si="464"/>
        <v>0</v>
      </c>
      <c r="FB90" s="59">
        <f t="shared" si="465"/>
        <v>0</v>
      </c>
      <c r="FC90" s="55">
        <f t="shared" si="466"/>
        <v>0</v>
      </c>
      <c r="FD90" s="59">
        <f t="shared" si="467"/>
        <v>0</v>
      </c>
      <c r="FE90" s="57">
        <f t="shared" si="468"/>
        <v>0</v>
      </c>
      <c r="FF90" s="59">
        <f t="shared" si="469"/>
        <v>0</v>
      </c>
      <c r="FG90" s="60">
        <f t="shared" si="470"/>
        <v>0</v>
      </c>
      <c r="FH90" s="59">
        <f t="shared" si="471"/>
        <v>0</v>
      </c>
      <c r="FI90" s="57">
        <f t="shared" si="472"/>
        <v>0</v>
      </c>
      <c r="FJ90" s="59">
        <f t="shared" si="473"/>
        <v>0</v>
      </c>
      <c r="FK90" s="55">
        <f t="shared" si="474"/>
        <v>0</v>
      </c>
      <c r="FL90" s="59">
        <f t="shared" si="475"/>
        <v>0</v>
      </c>
      <c r="FM90" s="60">
        <f t="shared" si="476"/>
        <v>0</v>
      </c>
      <c r="FN90" s="59">
        <f t="shared" si="477"/>
        <v>0</v>
      </c>
      <c r="FO90" s="60">
        <f t="shared" si="478"/>
        <v>0</v>
      </c>
      <c r="FP90" s="59">
        <f t="shared" si="479"/>
        <v>0</v>
      </c>
      <c r="FQ90" s="60">
        <f t="shared" si="480"/>
        <v>0</v>
      </c>
      <c r="FR90" s="59">
        <f t="shared" si="481"/>
        <v>0</v>
      </c>
      <c r="FS90" s="55">
        <f t="shared" si="482"/>
        <v>0</v>
      </c>
      <c r="FT90" s="59">
        <f t="shared" si="483"/>
        <v>0</v>
      </c>
      <c r="FU90" s="60">
        <f t="shared" si="484"/>
        <v>0</v>
      </c>
      <c r="FV90" s="59">
        <f t="shared" si="485"/>
        <v>0</v>
      </c>
      <c r="FW90" s="60">
        <f t="shared" si="486"/>
        <v>0</v>
      </c>
      <c r="FX90" s="59">
        <f t="shared" si="487"/>
        <v>0</v>
      </c>
      <c r="FY90" s="60">
        <f t="shared" si="488"/>
        <v>0</v>
      </c>
      <c r="FZ90" s="59">
        <f t="shared" si="489"/>
        <v>0</v>
      </c>
      <c r="GA90" s="60">
        <f t="shared" si="490"/>
        <v>0</v>
      </c>
      <c r="GB90" s="59">
        <f t="shared" si="491"/>
        <v>0</v>
      </c>
      <c r="GC90" s="55">
        <f t="shared" si="492"/>
        <v>0</v>
      </c>
      <c r="GD90" s="59">
        <f t="shared" si="493"/>
        <v>0</v>
      </c>
      <c r="GE90" s="60">
        <f t="shared" si="494"/>
        <v>0</v>
      </c>
      <c r="GF90" s="59">
        <f t="shared" si="495"/>
        <v>0</v>
      </c>
      <c r="GG90" s="60">
        <f t="shared" si="496"/>
        <v>0</v>
      </c>
      <c r="GH90" s="59">
        <f t="shared" si="497"/>
        <v>0</v>
      </c>
      <c r="GI90" s="55">
        <f t="shared" si="498"/>
        <v>0</v>
      </c>
      <c r="GJ90" s="59">
        <f t="shared" si="499"/>
        <v>0</v>
      </c>
      <c r="GK90" s="55"/>
      <c r="GL90" s="55"/>
      <c r="GM90" s="55">
        <v>1</v>
      </c>
      <c r="GN90" s="55">
        <v>0.97</v>
      </c>
      <c r="GO90" s="55">
        <v>0.95</v>
      </c>
      <c r="GP90" s="55">
        <v>0.93</v>
      </c>
      <c r="GQ90" s="55">
        <f t="shared" si="508"/>
        <v>0.91</v>
      </c>
      <c r="GR90" s="55">
        <f t="shared" si="508"/>
        <v>0.89</v>
      </c>
      <c r="GS90" s="55">
        <f t="shared" si="508"/>
        <v>0.87</v>
      </c>
      <c r="GT90" s="55">
        <f t="shared" si="508"/>
        <v>0.85</v>
      </c>
      <c r="GU90" s="55">
        <f t="shared" si="508"/>
        <v>0.83</v>
      </c>
      <c r="GV90" s="55">
        <f t="shared" si="508"/>
        <v>0.80999999999999994</v>
      </c>
      <c r="GW90" s="55">
        <f t="shared" si="508"/>
        <v>0.78999999999999992</v>
      </c>
      <c r="GX90" s="55">
        <f t="shared" si="508"/>
        <v>0.76999999999999991</v>
      </c>
      <c r="GY90" s="55">
        <f t="shared" si="508"/>
        <v>0.74999999999999989</v>
      </c>
      <c r="GZ90" s="55">
        <f t="shared" si="508"/>
        <v>0.72999999999999987</v>
      </c>
      <c r="HA90" s="55">
        <f t="shared" si="508"/>
        <v>0.70999999999999985</v>
      </c>
      <c r="HB90" s="55">
        <f t="shared" si="508"/>
        <v>0.68999999999999984</v>
      </c>
      <c r="HC90" s="55">
        <f t="shared" si="508"/>
        <v>0.66999999999999982</v>
      </c>
      <c r="HD90" s="55">
        <f t="shared" si="508"/>
        <v>0.6499999999999998</v>
      </c>
      <c r="HE90" s="55">
        <f t="shared" si="508"/>
        <v>0.62999999999999978</v>
      </c>
      <c r="HF90" s="55">
        <f t="shared" si="508"/>
        <v>0.60999999999999976</v>
      </c>
      <c r="HG90" s="55">
        <f t="shared" si="508"/>
        <v>0.58999999999999975</v>
      </c>
      <c r="HH90" s="55">
        <f t="shared" si="508"/>
        <v>0.56999999999999973</v>
      </c>
    </row>
    <row r="91" spans="1:216" x14ac:dyDescent="0.3">
      <c r="A91" s="2">
        <v>23</v>
      </c>
      <c r="C91" s="38" t="s">
        <v>37</v>
      </c>
      <c r="D91" s="42">
        <v>0</v>
      </c>
      <c r="E91" s="71">
        <f t="shared" si="369"/>
        <v>0</v>
      </c>
      <c r="H91" s="55">
        <f t="shared" si="509"/>
        <v>0</v>
      </c>
      <c r="I91" s="55">
        <f t="shared" si="510"/>
        <v>0</v>
      </c>
      <c r="J91" s="59">
        <f t="shared" si="511"/>
        <v>0</v>
      </c>
      <c r="K91" s="55">
        <f t="shared" si="370"/>
        <v>0</v>
      </c>
      <c r="L91" s="59">
        <f t="shared" si="371"/>
        <v>0</v>
      </c>
      <c r="M91" s="55">
        <f t="shared" si="372"/>
        <v>0</v>
      </c>
      <c r="N91" s="59">
        <f t="shared" si="373"/>
        <v>0</v>
      </c>
      <c r="O91" s="55">
        <f t="shared" si="374"/>
        <v>0</v>
      </c>
      <c r="P91" s="59">
        <f t="shared" si="375"/>
        <v>0</v>
      </c>
      <c r="Q91" s="57">
        <f t="shared" si="376"/>
        <v>0</v>
      </c>
      <c r="R91" s="59">
        <f t="shared" si="377"/>
        <v>0</v>
      </c>
      <c r="S91" s="55">
        <f t="shared" si="378"/>
        <v>0</v>
      </c>
      <c r="T91" s="59">
        <f t="shared" si="379"/>
        <v>0</v>
      </c>
      <c r="U91" s="57">
        <f t="shared" si="380"/>
        <v>0</v>
      </c>
      <c r="V91" s="59">
        <f t="shared" si="381"/>
        <v>0</v>
      </c>
      <c r="W91" s="60">
        <f t="shared" si="382"/>
        <v>0</v>
      </c>
      <c r="X91" s="59">
        <f t="shared" si="383"/>
        <v>0</v>
      </c>
      <c r="Y91" s="57">
        <f t="shared" si="384"/>
        <v>0</v>
      </c>
      <c r="Z91" s="59">
        <f t="shared" si="385"/>
        <v>0</v>
      </c>
      <c r="AA91" s="55">
        <f t="shared" si="386"/>
        <v>0</v>
      </c>
      <c r="AB91" s="59">
        <f t="shared" si="387"/>
        <v>0</v>
      </c>
      <c r="AC91" s="60">
        <f t="shared" si="388"/>
        <v>0</v>
      </c>
      <c r="AD91" s="59">
        <f t="shared" si="389"/>
        <v>0</v>
      </c>
      <c r="AE91" s="60">
        <f t="shared" si="390"/>
        <v>0</v>
      </c>
      <c r="AF91" s="59">
        <f t="shared" si="391"/>
        <v>0</v>
      </c>
      <c r="AG91" s="60">
        <f t="shared" si="392"/>
        <v>0</v>
      </c>
      <c r="AH91" s="59">
        <f t="shared" si="393"/>
        <v>0</v>
      </c>
      <c r="AI91" s="55">
        <f t="shared" si="394"/>
        <v>0</v>
      </c>
      <c r="AJ91" s="59">
        <f t="shared" si="395"/>
        <v>0</v>
      </c>
      <c r="AK91" s="60">
        <f t="shared" si="396"/>
        <v>0</v>
      </c>
      <c r="AL91" s="59">
        <f t="shared" si="397"/>
        <v>0</v>
      </c>
      <c r="AM91" s="60">
        <f t="shared" si="398"/>
        <v>0</v>
      </c>
      <c r="AN91" s="59">
        <f t="shared" si="399"/>
        <v>0</v>
      </c>
      <c r="AO91" s="60">
        <f t="shared" si="400"/>
        <v>0</v>
      </c>
      <c r="AP91" s="59">
        <f t="shared" si="401"/>
        <v>0</v>
      </c>
      <c r="AQ91" s="60">
        <f t="shared" si="402"/>
        <v>0</v>
      </c>
      <c r="AR91" s="59">
        <f t="shared" si="403"/>
        <v>0</v>
      </c>
      <c r="AS91" s="55">
        <f t="shared" si="404"/>
        <v>0</v>
      </c>
      <c r="AT91" s="59">
        <f t="shared" si="405"/>
        <v>0</v>
      </c>
      <c r="AU91" s="60">
        <f t="shared" si="406"/>
        <v>0</v>
      </c>
      <c r="AV91" s="59">
        <f t="shared" si="407"/>
        <v>0</v>
      </c>
      <c r="AW91" s="60">
        <f t="shared" si="408"/>
        <v>0</v>
      </c>
      <c r="AX91" s="59">
        <f t="shared" si="409"/>
        <v>0</v>
      </c>
      <c r="AY91" s="55">
        <f t="shared" si="410"/>
        <v>0</v>
      </c>
      <c r="AZ91" s="59">
        <f t="shared" si="411"/>
        <v>0</v>
      </c>
      <c r="BC91" s="55">
        <v>1</v>
      </c>
      <c r="BD91" s="55">
        <v>0.97</v>
      </c>
      <c r="BE91" s="55">
        <v>0.95</v>
      </c>
      <c r="BF91" s="55">
        <v>0.93</v>
      </c>
      <c r="BG91" s="55">
        <f t="shared" si="504"/>
        <v>0.91</v>
      </c>
      <c r="BH91" s="55">
        <f t="shared" si="504"/>
        <v>0.89</v>
      </c>
      <c r="BI91" s="55">
        <f t="shared" si="504"/>
        <v>0.87</v>
      </c>
      <c r="BJ91" s="55">
        <f t="shared" si="504"/>
        <v>0.85</v>
      </c>
      <c r="BK91" s="55">
        <f t="shared" si="504"/>
        <v>0.83</v>
      </c>
      <c r="BL91" s="55">
        <f t="shared" si="504"/>
        <v>0.80999999999999994</v>
      </c>
      <c r="BM91" s="55">
        <f t="shared" si="504"/>
        <v>0.78999999999999992</v>
      </c>
      <c r="BN91" s="55">
        <f t="shared" si="504"/>
        <v>0.76999999999999991</v>
      </c>
      <c r="BO91" s="55">
        <f t="shared" si="504"/>
        <v>0.74999999999999989</v>
      </c>
      <c r="BP91" s="55">
        <f t="shared" si="504"/>
        <v>0.72999999999999987</v>
      </c>
      <c r="BQ91" s="55">
        <f t="shared" si="504"/>
        <v>0.70999999999999985</v>
      </c>
      <c r="BR91" s="55">
        <f t="shared" si="504"/>
        <v>0.68999999999999984</v>
      </c>
      <c r="BS91" s="55">
        <f t="shared" si="504"/>
        <v>0.66999999999999982</v>
      </c>
      <c r="BT91" s="55">
        <f t="shared" si="504"/>
        <v>0.6499999999999998</v>
      </c>
      <c r="BU91" s="55">
        <f t="shared" si="504"/>
        <v>0.62999999999999978</v>
      </c>
      <c r="BV91" s="55">
        <f t="shared" si="504"/>
        <v>0.60999999999999976</v>
      </c>
      <c r="BW91" s="55">
        <f t="shared" si="504"/>
        <v>0.58999999999999975</v>
      </c>
      <c r="BX91" s="55">
        <f t="shared" si="504"/>
        <v>0.56999999999999973</v>
      </c>
      <c r="BZ91" s="55">
        <f t="shared" si="512"/>
        <v>0</v>
      </c>
      <c r="CA91" s="55">
        <f t="shared" si="513"/>
        <v>0</v>
      </c>
      <c r="CB91" s="59">
        <f t="shared" si="413"/>
        <v>0</v>
      </c>
      <c r="CC91" s="55">
        <f t="shared" si="414"/>
        <v>0</v>
      </c>
      <c r="CD91" s="59">
        <f t="shared" si="415"/>
        <v>0</v>
      </c>
      <c r="CE91" s="55">
        <f t="shared" si="416"/>
        <v>0</v>
      </c>
      <c r="CF91" s="59">
        <f t="shared" si="417"/>
        <v>0</v>
      </c>
      <c r="CG91" s="55">
        <f t="shared" si="418"/>
        <v>0</v>
      </c>
      <c r="CH91" s="59">
        <f t="shared" si="419"/>
        <v>0</v>
      </c>
      <c r="CI91" s="57">
        <f t="shared" si="420"/>
        <v>0</v>
      </c>
      <c r="CJ91" s="59">
        <f t="shared" si="421"/>
        <v>0</v>
      </c>
      <c r="CK91" s="55">
        <f t="shared" si="422"/>
        <v>0</v>
      </c>
      <c r="CL91" s="59">
        <f t="shared" si="423"/>
        <v>0</v>
      </c>
      <c r="CM91" s="57">
        <f t="shared" si="424"/>
        <v>0</v>
      </c>
      <c r="CN91" s="59">
        <f t="shared" si="425"/>
        <v>0</v>
      </c>
      <c r="CO91" s="60">
        <f t="shared" si="426"/>
        <v>0</v>
      </c>
      <c r="CP91" s="59">
        <f t="shared" si="427"/>
        <v>0</v>
      </c>
      <c r="CQ91" s="57">
        <f t="shared" si="428"/>
        <v>0</v>
      </c>
      <c r="CR91" s="59">
        <f t="shared" si="429"/>
        <v>0</v>
      </c>
      <c r="CS91" s="55">
        <f t="shared" si="430"/>
        <v>0</v>
      </c>
      <c r="CT91" s="59">
        <f t="shared" si="431"/>
        <v>0</v>
      </c>
      <c r="CU91" s="60">
        <f t="shared" si="432"/>
        <v>0</v>
      </c>
      <c r="CV91" s="59">
        <f t="shared" si="433"/>
        <v>0</v>
      </c>
      <c r="CW91" s="60">
        <f t="shared" si="434"/>
        <v>0</v>
      </c>
      <c r="CX91" s="59">
        <f t="shared" si="435"/>
        <v>0</v>
      </c>
      <c r="CY91" s="60">
        <f t="shared" si="436"/>
        <v>0</v>
      </c>
      <c r="CZ91" s="59">
        <f t="shared" si="437"/>
        <v>0</v>
      </c>
      <c r="DA91" s="55">
        <f t="shared" si="438"/>
        <v>0</v>
      </c>
      <c r="DB91" s="59">
        <f t="shared" si="439"/>
        <v>0</v>
      </c>
      <c r="DC91" s="60">
        <f t="shared" si="440"/>
        <v>0</v>
      </c>
      <c r="DD91" s="59">
        <f t="shared" si="441"/>
        <v>0</v>
      </c>
      <c r="DE91" s="60">
        <f t="shared" si="442"/>
        <v>0</v>
      </c>
      <c r="DF91" s="59">
        <f t="shared" si="443"/>
        <v>0</v>
      </c>
      <c r="DG91" s="60">
        <f t="shared" si="444"/>
        <v>0</v>
      </c>
      <c r="DH91" s="59">
        <f t="shared" si="445"/>
        <v>0</v>
      </c>
      <c r="DI91" s="60">
        <f t="shared" si="446"/>
        <v>0</v>
      </c>
      <c r="DJ91" s="59">
        <f t="shared" si="447"/>
        <v>0</v>
      </c>
      <c r="DK91" s="55">
        <f t="shared" si="448"/>
        <v>0</v>
      </c>
      <c r="DL91" s="59">
        <f t="shared" si="449"/>
        <v>0</v>
      </c>
      <c r="DM91" s="60">
        <f t="shared" si="450"/>
        <v>0</v>
      </c>
      <c r="DN91" s="59">
        <f t="shared" si="451"/>
        <v>0</v>
      </c>
      <c r="DO91" s="60">
        <f t="shared" si="452"/>
        <v>0</v>
      </c>
      <c r="DP91" s="59">
        <f t="shared" si="453"/>
        <v>0</v>
      </c>
      <c r="DQ91" s="55">
        <f t="shared" si="454"/>
        <v>0</v>
      </c>
      <c r="DR91" s="59">
        <f t="shared" si="455"/>
        <v>0</v>
      </c>
      <c r="DU91" s="55">
        <v>1</v>
      </c>
      <c r="DV91" s="55">
        <v>0.97</v>
      </c>
      <c r="DW91" s="55">
        <v>0.95</v>
      </c>
      <c r="DX91" s="55">
        <v>0.93</v>
      </c>
      <c r="DY91" s="55">
        <f t="shared" si="507"/>
        <v>0.91</v>
      </c>
      <c r="DZ91" s="55">
        <f t="shared" si="507"/>
        <v>0.89</v>
      </c>
      <c r="EA91" s="55">
        <f t="shared" si="507"/>
        <v>0.87</v>
      </c>
      <c r="EB91" s="55">
        <f t="shared" si="507"/>
        <v>0.85</v>
      </c>
      <c r="EC91" s="55">
        <f t="shared" si="507"/>
        <v>0.83</v>
      </c>
      <c r="ED91" s="55">
        <f t="shared" si="507"/>
        <v>0.80999999999999994</v>
      </c>
      <c r="EE91" s="55">
        <f t="shared" si="507"/>
        <v>0.78999999999999992</v>
      </c>
      <c r="EF91" s="55">
        <f t="shared" si="507"/>
        <v>0.76999999999999991</v>
      </c>
      <c r="EG91" s="55">
        <f t="shared" si="507"/>
        <v>0.74999999999999989</v>
      </c>
      <c r="EH91" s="55">
        <f t="shared" si="507"/>
        <v>0.72999999999999987</v>
      </c>
      <c r="EI91" s="55">
        <f t="shared" si="507"/>
        <v>0.70999999999999985</v>
      </c>
      <c r="EJ91" s="55">
        <f t="shared" si="507"/>
        <v>0.68999999999999984</v>
      </c>
      <c r="EK91" s="55">
        <f t="shared" si="507"/>
        <v>0.66999999999999982</v>
      </c>
      <c r="EL91" s="55">
        <f t="shared" si="507"/>
        <v>0.6499999999999998</v>
      </c>
      <c r="EM91" s="55">
        <f t="shared" si="507"/>
        <v>0.62999999999999978</v>
      </c>
      <c r="EN91" s="55">
        <f t="shared" si="507"/>
        <v>0.60999999999999976</v>
      </c>
      <c r="EO91" s="55">
        <f t="shared" si="507"/>
        <v>0.58999999999999975</v>
      </c>
      <c r="EP91" s="55">
        <f t="shared" si="507"/>
        <v>0.56999999999999973</v>
      </c>
      <c r="ER91" s="55">
        <f t="shared" si="142"/>
        <v>0</v>
      </c>
      <c r="ES91" s="55">
        <f t="shared" si="514"/>
        <v>0</v>
      </c>
      <c r="ET91" s="59">
        <f t="shared" si="457"/>
        <v>0</v>
      </c>
      <c r="EU91" s="55">
        <f t="shared" si="458"/>
        <v>0</v>
      </c>
      <c r="EV91" s="59">
        <f t="shared" si="459"/>
        <v>0</v>
      </c>
      <c r="EW91" s="55">
        <f t="shared" si="460"/>
        <v>0</v>
      </c>
      <c r="EX91" s="59">
        <f t="shared" si="461"/>
        <v>0</v>
      </c>
      <c r="EY91" s="55">
        <f t="shared" si="462"/>
        <v>0</v>
      </c>
      <c r="EZ91" s="59">
        <f t="shared" si="463"/>
        <v>0</v>
      </c>
      <c r="FA91" s="57">
        <f t="shared" si="464"/>
        <v>0</v>
      </c>
      <c r="FB91" s="59">
        <f t="shared" si="465"/>
        <v>0</v>
      </c>
      <c r="FC91" s="55">
        <f t="shared" si="466"/>
        <v>0</v>
      </c>
      <c r="FD91" s="59">
        <f t="shared" si="467"/>
        <v>0</v>
      </c>
      <c r="FE91" s="57">
        <f t="shared" si="468"/>
        <v>0</v>
      </c>
      <c r="FF91" s="59">
        <f t="shared" si="469"/>
        <v>0</v>
      </c>
      <c r="FG91" s="60">
        <f t="shared" si="470"/>
        <v>0</v>
      </c>
      <c r="FH91" s="59">
        <f t="shared" si="471"/>
        <v>0</v>
      </c>
      <c r="FI91" s="57">
        <f t="shared" si="472"/>
        <v>0</v>
      </c>
      <c r="FJ91" s="59">
        <f t="shared" si="473"/>
        <v>0</v>
      </c>
      <c r="FK91" s="55">
        <f t="shared" si="474"/>
        <v>0</v>
      </c>
      <c r="FL91" s="59">
        <f t="shared" si="475"/>
        <v>0</v>
      </c>
      <c r="FM91" s="60">
        <f t="shared" si="476"/>
        <v>0</v>
      </c>
      <c r="FN91" s="59">
        <f t="shared" si="477"/>
        <v>0</v>
      </c>
      <c r="FO91" s="60">
        <f t="shared" si="478"/>
        <v>0</v>
      </c>
      <c r="FP91" s="59">
        <f t="shared" si="479"/>
        <v>0</v>
      </c>
      <c r="FQ91" s="60">
        <f t="shared" si="480"/>
        <v>0</v>
      </c>
      <c r="FR91" s="59">
        <f t="shared" si="481"/>
        <v>0</v>
      </c>
      <c r="FS91" s="55">
        <f t="shared" si="482"/>
        <v>0</v>
      </c>
      <c r="FT91" s="59">
        <f t="shared" si="483"/>
        <v>0</v>
      </c>
      <c r="FU91" s="60">
        <f t="shared" si="484"/>
        <v>0</v>
      </c>
      <c r="FV91" s="59">
        <f t="shared" si="485"/>
        <v>0</v>
      </c>
      <c r="FW91" s="60">
        <f t="shared" si="486"/>
        <v>0</v>
      </c>
      <c r="FX91" s="59">
        <f t="shared" si="487"/>
        <v>0</v>
      </c>
      <c r="FY91" s="60">
        <f t="shared" si="488"/>
        <v>0</v>
      </c>
      <c r="FZ91" s="59">
        <f t="shared" si="489"/>
        <v>0</v>
      </c>
      <c r="GA91" s="60">
        <f t="shared" si="490"/>
        <v>0</v>
      </c>
      <c r="GB91" s="59">
        <f t="shared" si="491"/>
        <v>0</v>
      </c>
      <c r="GC91" s="55">
        <f t="shared" si="492"/>
        <v>0</v>
      </c>
      <c r="GD91" s="59">
        <f t="shared" si="493"/>
        <v>0</v>
      </c>
      <c r="GE91" s="60">
        <f t="shared" si="494"/>
        <v>0</v>
      </c>
      <c r="GF91" s="59">
        <f t="shared" si="495"/>
        <v>0</v>
      </c>
      <c r="GG91" s="60">
        <f t="shared" si="496"/>
        <v>0</v>
      </c>
      <c r="GH91" s="59">
        <f t="shared" si="497"/>
        <v>0</v>
      </c>
      <c r="GI91" s="55">
        <f t="shared" si="498"/>
        <v>0</v>
      </c>
      <c r="GJ91" s="59">
        <f t="shared" si="499"/>
        <v>0</v>
      </c>
      <c r="GK91" s="55"/>
      <c r="GL91" s="55"/>
      <c r="GM91" s="55">
        <v>1</v>
      </c>
      <c r="GN91" s="55">
        <v>0.97</v>
      </c>
      <c r="GO91" s="55">
        <v>0.95</v>
      </c>
      <c r="GP91" s="55">
        <v>0.93</v>
      </c>
      <c r="GQ91" s="55">
        <f t="shared" si="508"/>
        <v>0.91</v>
      </c>
      <c r="GR91" s="55">
        <f t="shared" si="508"/>
        <v>0.89</v>
      </c>
      <c r="GS91" s="55">
        <f t="shared" si="508"/>
        <v>0.87</v>
      </c>
      <c r="GT91" s="55">
        <f t="shared" si="508"/>
        <v>0.85</v>
      </c>
      <c r="GU91" s="55">
        <f t="shared" si="508"/>
        <v>0.83</v>
      </c>
      <c r="GV91" s="55">
        <f t="shared" si="508"/>
        <v>0.80999999999999994</v>
      </c>
      <c r="GW91" s="55">
        <f t="shared" si="508"/>
        <v>0.78999999999999992</v>
      </c>
      <c r="GX91" s="55">
        <f t="shared" si="508"/>
        <v>0.76999999999999991</v>
      </c>
      <c r="GY91" s="55">
        <f t="shared" si="508"/>
        <v>0.74999999999999989</v>
      </c>
      <c r="GZ91" s="55">
        <f t="shared" si="508"/>
        <v>0.72999999999999987</v>
      </c>
      <c r="HA91" s="55">
        <f t="shared" si="508"/>
        <v>0.70999999999999985</v>
      </c>
      <c r="HB91" s="55">
        <f t="shared" si="508"/>
        <v>0.68999999999999984</v>
      </c>
      <c r="HC91" s="55">
        <f t="shared" si="508"/>
        <v>0.66999999999999982</v>
      </c>
      <c r="HD91" s="55">
        <f t="shared" si="508"/>
        <v>0.6499999999999998</v>
      </c>
      <c r="HE91" s="55">
        <f t="shared" si="508"/>
        <v>0.62999999999999978</v>
      </c>
      <c r="HF91" s="55">
        <f t="shared" si="508"/>
        <v>0.60999999999999976</v>
      </c>
      <c r="HG91" s="55">
        <f t="shared" si="508"/>
        <v>0.58999999999999975</v>
      </c>
      <c r="HH91" s="55">
        <f t="shared" si="508"/>
        <v>0.56999999999999973</v>
      </c>
    </row>
    <row r="92" spans="1:216" x14ac:dyDescent="0.3">
      <c r="A92" s="2">
        <v>24</v>
      </c>
      <c r="C92" s="38" t="s">
        <v>38</v>
      </c>
      <c r="D92" s="42">
        <f>TRUNC(15664,-1)</f>
        <v>15660</v>
      </c>
      <c r="E92" s="71">
        <f t="shared" si="369"/>
        <v>51760</v>
      </c>
      <c r="H92" s="55">
        <f t="shared" si="509"/>
        <v>56936.000000000007</v>
      </c>
      <c r="I92" s="55">
        <f t="shared" si="510"/>
        <v>56936.000000000007</v>
      </c>
      <c r="J92" s="59">
        <f t="shared" si="511"/>
        <v>188219.02880000003</v>
      </c>
      <c r="K92" s="55">
        <f t="shared" si="370"/>
        <v>55227.920000000006</v>
      </c>
      <c r="L92" s="59">
        <f t="shared" si="371"/>
        <v>182572.45793600002</v>
      </c>
      <c r="M92" s="55">
        <f t="shared" si="372"/>
        <v>54089.200000000004</v>
      </c>
      <c r="N92" s="59">
        <f t="shared" si="373"/>
        <v>178808.07736000002</v>
      </c>
      <c r="O92" s="55">
        <f t="shared" si="374"/>
        <v>52950.48000000001</v>
      </c>
      <c r="P92" s="59">
        <f t="shared" si="375"/>
        <v>175043.69678400003</v>
      </c>
      <c r="Q92" s="57">
        <f t="shared" si="376"/>
        <v>51811.760000000009</v>
      </c>
      <c r="R92" s="59">
        <f t="shared" si="377"/>
        <v>171279.31620800003</v>
      </c>
      <c r="S92" s="55">
        <f t="shared" si="378"/>
        <v>50673.040000000008</v>
      </c>
      <c r="T92" s="59">
        <f t="shared" si="379"/>
        <v>167514.93563200004</v>
      </c>
      <c r="U92" s="57">
        <f t="shared" si="380"/>
        <v>49534.320000000007</v>
      </c>
      <c r="V92" s="59">
        <f t="shared" si="381"/>
        <v>163750.55505600004</v>
      </c>
      <c r="W92" s="60">
        <f t="shared" si="382"/>
        <v>48395.600000000006</v>
      </c>
      <c r="X92" s="59">
        <f t="shared" si="383"/>
        <v>159986.17448000002</v>
      </c>
      <c r="Y92" s="57">
        <f t="shared" si="384"/>
        <v>47256.880000000005</v>
      </c>
      <c r="Z92" s="59">
        <f t="shared" si="385"/>
        <v>156221.79390400002</v>
      </c>
      <c r="AA92" s="55">
        <f t="shared" si="386"/>
        <v>46118.16</v>
      </c>
      <c r="AB92" s="59">
        <f t="shared" si="387"/>
        <v>152457.41332800002</v>
      </c>
      <c r="AC92" s="60">
        <f t="shared" si="388"/>
        <v>44979.44</v>
      </c>
      <c r="AD92" s="59">
        <f t="shared" si="389"/>
        <v>148693.032752</v>
      </c>
      <c r="AE92" s="60">
        <f t="shared" si="390"/>
        <v>43840.72</v>
      </c>
      <c r="AF92" s="59">
        <f t="shared" si="391"/>
        <v>144928.652176</v>
      </c>
      <c r="AG92" s="60">
        <f t="shared" si="392"/>
        <v>42702</v>
      </c>
      <c r="AH92" s="59">
        <f t="shared" si="393"/>
        <v>141164.27160000001</v>
      </c>
      <c r="AI92" s="55">
        <f t="shared" si="394"/>
        <v>41563.279999999999</v>
      </c>
      <c r="AJ92" s="59">
        <f t="shared" si="395"/>
        <v>137399.89102400001</v>
      </c>
      <c r="AK92" s="60">
        <f t="shared" si="396"/>
        <v>40424.559999999998</v>
      </c>
      <c r="AL92" s="59">
        <f t="shared" si="397"/>
        <v>133635.51044799999</v>
      </c>
      <c r="AM92" s="60">
        <f t="shared" si="398"/>
        <v>39285.839999999997</v>
      </c>
      <c r="AN92" s="59">
        <f t="shared" si="399"/>
        <v>129871.12987199999</v>
      </c>
      <c r="AO92" s="60">
        <f t="shared" si="400"/>
        <v>38147.119999999995</v>
      </c>
      <c r="AP92" s="59">
        <f t="shared" si="401"/>
        <v>126106.74929599999</v>
      </c>
      <c r="AQ92" s="60">
        <f t="shared" si="402"/>
        <v>37008.399999999994</v>
      </c>
      <c r="AR92" s="59">
        <f t="shared" si="403"/>
        <v>122342.36871999998</v>
      </c>
      <c r="AS92" s="55">
        <f t="shared" si="404"/>
        <v>35869.679999999993</v>
      </c>
      <c r="AT92" s="59">
        <f t="shared" si="405"/>
        <v>118577.98814399997</v>
      </c>
      <c r="AU92" s="60">
        <f t="shared" si="406"/>
        <v>34730.959999999992</v>
      </c>
      <c r="AV92" s="59">
        <f t="shared" si="407"/>
        <v>114813.60756799998</v>
      </c>
      <c r="AW92" s="60">
        <f t="shared" si="408"/>
        <v>33592.239999999991</v>
      </c>
      <c r="AX92" s="59">
        <f t="shared" si="409"/>
        <v>111049.22699199997</v>
      </c>
      <c r="AY92" s="55">
        <f t="shared" si="410"/>
        <v>32453.51999999999</v>
      </c>
      <c r="AZ92" s="59">
        <f t="shared" si="411"/>
        <v>107284.84641599997</v>
      </c>
      <c r="BC92" s="55">
        <v>1</v>
      </c>
      <c r="BD92" s="55">
        <v>0.97</v>
      </c>
      <c r="BE92" s="55">
        <v>0.95</v>
      </c>
      <c r="BF92" s="55">
        <v>0.93</v>
      </c>
      <c r="BG92" s="55">
        <f t="shared" si="504"/>
        <v>0.91</v>
      </c>
      <c r="BH92" s="55">
        <f t="shared" si="504"/>
        <v>0.89</v>
      </c>
      <c r="BI92" s="55">
        <f t="shared" si="504"/>
        <v>0.87</v>
      </c>
      <c r="BJ92" s="55">
        <f t="shared" si="504"/>
        <v>0.85</v>
      </c>
      <c r="BK92" s="55">
        <f t="shared" si="504"/>
        <v>0.83</v>
      </c>
      <c r="BL92" s="55">
        <f t="shared" si="504"/>
        <v>0.80999999999999994</v>
      </c>
      <c r="BM92" s="55">
        <f t="shared" si="504"/>
        <v>0.78999999999999992</v>
      </c>
      <c r="BN92" s="55">
        <f t="shared" si="504"/>
        <v>0.76999999999999991</v>
      </c>
      <c r="BO92" s="55">
        <f t="shared" si="504"/>
        <v>0.74999999999999989</v>
      </c>
      <c r="BP92" s="55">
        <f t="shared" si="504"/>
        <v>0.72999999999999987</v>
      </c>
      <c r="BQ92" s="55">
        <f t="shared" si="504"/>
        <v>0.70999999999999985</v>
      </c>
      <c r="BR92" s="55">
        <f t="shared" si="504"/>
        <v>0.68999999999999984</v>
      </c>
      <c r="BS92" s="55">
        <f t="shared" si="504"/>
        <v>0.66999999999999982</v>
      </c>
      <c r="BT92" s="55">
        <f t="shared" si="504"/>
        <v>0.6499999999999998</v>
      </c>
      <c r="BU92" s="55">
        <f t="shared" si="504"/>
        <v>0.62999999999999978</v>
      </c>
      <c r="BV92" s="55">
        <f t="shared" si="504"/>
        <v>0.60999999999999976</v>
      </c>
      <c r="BW92" s="55">
        <f t="shared" si="504"/>
        <v>0.58999999999999975</v>
      </c>
      <c r="BX92" s="55">
        <f t="shared" si="504"/>
        <v>0.56999999999999973</v>
      </c>
      <c r="BZ92" s="55">
        <f t="shared" si="512"/>
        <v>51811.760000000009</v>
      </c>
      <c r="CA92" s="55">
        <f t="shared" si="513"/>
        <v>51811.760000000009</v>
      </c>
      <c r="CB92" s="59">
        <f t="shared" si="413"/>
        <v>171279.31620800003</v>
      </c>
      <c r="CC92" s="55">
        <f t="shared" si="414"/>
        <v>50257.407200000009</v>
      </c>
      <c r="CD92" s="59">
        <f t="shared" si="415"/>
        <v>166140.93672176002</v>
      </c>
      <c r="CE92" s="55">
        <f t="shared" si="416"/>
        <v>49221.172000000006</v>
      </c>
      <c r="CF92" s="59">
        <f t="shared" si="417"/>
        <v>162715.35039760004</v>
      </c>
      <c r="CG92" s="55">
        <f t="shared" si="418"/>
        <v>48184.93680000001</v>
      </c>
      <c r="CH92" s="59">
        <f t="shared" si="419"/>
        <v>159289.76407344005</v>
      </c>
      <c r="CI92" s="57">
        <f t="shared" si="420"/>
        <v>47148.701600000008</v>
      </c>
      <c r="CJ92" s="59">
        <f t="shared" si="421"/>
        <v>155864.17774928003</v>
      </c>
      <c r="CK92" s="55">
        <f t="shared" si="422"/>
        <v>46112.466400000012</v>
      </c>
      <c r="CL92" s="59">
        <f t="shared" si="423"/>
        <v>152438.59142512004</v>
      </c>
      <c r="CM92" s="57">
        <f t="shared" si="424"/>
        <v>45076.231200000009</v>
      </c>
      <c r="CN92" s="59">
        <f t="shared" si="425"/>
        <v>149013.00510096003</v>
      </c>
      <c r="CO92" s="60">
        <f t="shared" si="426"/>
        <v>44039.996000000006</v>
      </c>
      <c r="CP92" s="59">
        <f t="shared" si="427"/>
        <v>145587.41877680001</v>
      </c>
      <c r="CQ92" s="57">
        <f t="shared" si="428"/>
        <v>43003.760800000004</v>
      </c>
      <c r="CR92" s="59">
        <f t="shared" si="429"/>
        <v>142161.83245264002</v>
      </c>
      <c r="CS92" s="55">
        <f t="shared" si="430"/>
        <v>41967.525600000008</v>
      </c>
      <c r="CT92" s="59">
        <f t="shared" si="431"/>
        <v>138736.24612848004</v>
      </c>
      <c r="CU92" s="60">
        <f t="shared" si="432"/>
        <v>40931.290400000005</v>
      </c>
      <c r="CV92" s="59">
        <f t="shared" si="433"/>
        <v>135310.65980432002</v>
      </c>
      <c r="CW92" s="60">
        <f t="shared" si="434"/>
        <v>39895.055200000003</v>
      </c>
      <c r="CX92" s="59">
        <f t="shared" si="435"/>
        <v>131885.07348016</v>
      </c>
      <c r="CY92" s="60">
        <f t="shared" si="436"/>
        <v>38858.82</v>
      </c>
      <c r="CZ92" s="59">
        <f t="shared" si="437"/>
        <v>128459.487156</v>
      </c>
      <c r="DA92" s="55">
        <f t="shared" si="438"/>
        <v>37822.584799999997</v>
      </c>
      <c r="DB92" s="59">
        <f t="shared" si="439"/>
        <v>125033.90083183999</v>
      </c>
      <c r="DC92" s="60">
        <f t="shared" si="440"/>
        <v>36786.349600000001</v>
      </c>
      <c r="DD92" s="59">
        <f t="shared" si="441"/>
        <v>121608.31450768001</v>
      </c>
      <c r="DE92" s="60">
        <f t="shared" si="442"/>
        <v>35750.114399999999</v>
      </c>
      <c r="DF92" s="59">
        <f t="shared" si="443"/>
        <v>118182.72818352</v>
      </c>
      <c r="DG92" s="60">
        <f t="shared" si="444"/>
        <v>34713.879199999996</v>
      </c>
      <c r="DH92" s="59">
        <f t="shared" si="445"/>
        <v>114757.14185936</v>
      </c>
      <c r="DI92" s="60">
        <f t="shared" si="446"/>
        <v>33677.643999999993</v>
      </c>
      <c r="DJ92" s="59">
        <f t="shared" si="447"/>
        <v>111331.55553519998</v>
      </c>
      <c r="DK92" s="55">
        <f t="shared" si="448"/>
        <v>32641.408799999994</v>
      </c>
      <c r="DL92" s="59">
        <f t="shared" si="449"/>
        <v>107905.96921103998</v>
      </c>
      <c r="DM92" s="60">
        <f t="shared" si="450"/>
        <v>31605.173599999995</v>
      </c>
      <c r="DN92" s="59">
        <f t="shared" si="451"/>
        <v>104480.38288687999</v>
      </c>
      <c r="DO92" s="60">
        <f t="shared" si="452"/>
        <v>30568.938399999992</v>
      </c>
      <c r="DP92" s="59">
        <f t="shared" si="453"/>
        <v>101054.79656271997</v>
      </c>
      <c r="DQ92" s="55">
        <f t="shared" si="454"/>
        <v>29532.703199999993</v>
      </c>
      <c r="DR92" s="59">
        <f t="shared" si="455"/>
        <v>97629.210238559972</v>
      </c>
      <c r="DU92" s="55">
        <v>1</v>
      </c>
      <c r="DV92" s="55">
        <v>0.97</v>
      </c>
      <c r="DW92" s="55">
        <v>0.95</v>
      </c>
      <c r="DX92" s="55">
        <v>0.93</v>
      </c>
      <c r="DY92" s="55">
        <f t="shared" si="507"/>
        <v>0.91</v>
      </c>
      <c r="DZ92" s="55">
        <f t="shared" si="507"/>
        <v>0.89</v>
      </c>
      <c r="EA92" s="55">
        <f t="shared" si="507"/>
        <v>0.87</v>
      </c>
      <c r="EB92" s="55">
        <f t="shared" si="507"/>
        <v>0.85</v>
      </c>
      <c r="EC92" s="55">
        <f t="shared" si="507"/>
        <v>0.83</v>
      </c>
      <c r="ED92" s="55">
        <f t="shared" si="507"/>
        <v>0.80999999999999994</v>
      </c>
      <c r="EE92" s="55">
        <f t="shared" si="507"/>
        <v>0.78999999999999992</v>
      </c>
      <c r="EF92" s="55">
        <f t="shared" si="507"/>
        <v>0.76999999999999991</v>
      </c>
      <c r="EG92" s="55">
        <f t="shared" si="507"/>
        <v>0.74999999999999989</v>
      </c>
      <c r="EH92" s="55">
        <f t="shared" si="507"/>
        <v>0.72999999999999987</v>
      </c>
      <c r="EI92" s="55">
        <f t="shared" si="507"/>
        <v>0.70999999999999985</v>
      </c>
      <c r="EJ92" s="55">
        <f t="shared" si="507"/>
        <v>0.68999999999999984</v>
      </c>
      <c r="EK92" s="55">
        <f t="shared" si="507"/>
        <v>0.66999999999999982</v>
      </c>
      <c r="EL92" s="55">
        <f t="shared" si="507"/>
        <v>0.6499999999999998</v>
      </c>
      <c r="EM92" s="55">
        <f t="shared" si="507"/>
        <v>0.62999999999999978</v>
      </c>
      <c r="EN92" s="55">
        <f t="shared" si="507"/>
        <v>0.60999999999999976</v>
      </c>
      <c r="EO92" s="55">
        <f t="shared" si="507"/>
        <v>0.58999999999999975</v>
      </c>
      <c r="EP92" s="55">
        <f t="shared" si="507"/>
        <v>0.56999999999999973</v>
      </c>
      <c r="ER92" s="55">
        <f t="shared" si="142"/>
        <v>47148.701600000008</v>
      </c>
      <c r="ES92" s="55">
        <f t="shared" si="514"/>
        <v>47148.701600000008</v>
      </c>
      <c r="ET92" s="59">
        <f t="shared" si="457"/>
        <v>155864.17774928003</v>
      </c>
      <c r="EU92" s="55">
        <f t="shared" si="458"/>
        <v>45734.240552000003</v>
      </c>
      <c r="EV92" s="59">
        <f t="shared" si="459"/>
        <v>151188.25241680161</v>
      </c>
      <c r="EW92" s="55">
        <f t="shared" si="460"/>
        <v>44791.266520000005</v>
      </c>
      <c r="EX92" s="59">
        <f t="shared" si="461"/>
        <v>148070.96886181601</v>
      </c>
      <c r="EY92" s="55">
        <f t="shared" si="462"/>
        <v>43848.292488000006</v>
      </c>
      <c r="EZ92" s="59">
        <f t="shared" si="463"/>
        <v>144953.68530683042</v>
      </c>
      <c r="FA92" s="57">
        <f t="shared" si="464"/>
        <v>42905.318456000008</v>
      </c>
      <c r="FB92" s="59">
        <f t="shared" si="465"/>
        <v>141836.40175184482</v>
      </c>
      <c r="FC92" s="55">
        <f t="shared" si="466"/>
        <v>41962.34442400001</v>
      </c>
      <c r="FD92" s="59">
        <f t="shared" si="467"/>
        <v>138719.11819685923</v>
      </c>
      <c r="FE92" s="57">
        <f t="shared" si="468"/>
        <v>41019.370392000004</v>
      </c>
      <c r="FF92" s="59">
        <f t="shared" si="469"/>
        <v>135601.8346418736</v>
      </c>
      <c r="FG92" s="60">
        <f t="shared" si="470"/>
        <v>40076.396360000006</v>
      </c>
      <c r="FH92" s="59">
        <f t="shared" si="471"/>
        <v>132484.55108688804</v>
      </c>
      <c r="FI92" s="57">
        <f t="shared" si="472"/>
        <v>39133.422328000008</v>
      </c>
      <c r="FJ92" s="59">
        <f t="shared" si="473"/>
        <v>129367.26753190243</v>
      </c>
      <c r="FK92" s="55">
        <f t="shared" si="474"/>
        <v>38190.448296000002</v>
      </c>
      <c r="FL92" s="59">
        <f t="shared" si="475"/>
        <v>126249.98397691682</v>
      </c>
      <c r="FM92" s="60">
        <f t="shared" si="476"/>
        <v>37247.474264000004</v>
      </c>
      <c r="FN92" s="59">
        <f t="shared" si="477"/>
        <v>123132.70042193122</v>
      </c>
      <c r="FO92" s="60">
        <f t="shared" si="478"/>
        <v>36304.500231999999</v>
      </c>
      <c r="FP92" s="59">
        <f t="shared" si="479"/>
        <v>120015.4168669456</v>
      </c>
      <c r="FQ92" s="60">
        <f t="shared" si="480"/>
        <v>35361.5262</v>
      </c>
      <c r="FR92" s="59">
        <f t="shared" si="481"/>
        <v>116898.13331196</v>
      </c>
      <c r="FS92" s="55">
        <f t="shared" si="482"/>
        <v>34418.552168000002</v>
      </c>
      <c r="FT92" s="59">
        <f t="shared" si="483"/>
        <v>113780.84975697441</v>
      </c>
      <c r="FU92" s="60">
        <f t="shared" si="484"/>
        <v>33475.578135999996</v>
      </c>
      <c r="FV92" s="59">
        <f t="shared" si="485"/>
        <v>110663.5662019888</v>
      </c>
      <c r="FW92" s="60">
        <f t="shared" si="486"/>
        <v>32532.604103999998</v>
      </c>
      <c r="FX92" s="59">
        <f t="shared" si="487"/>
        <v>107546.2826470032</v>
      </c>
      <c r="FY92" s="60">
        <f t="shared" si="488"/>
        <v>31589.630071999996</v>
      </c>
      <c r="FZ92" s="59">
        <f t="shared" si="489"/>
        <v>104428.99909201759</v>
      </c>
      <c r="GA92" s="60">
        <f t="shared" si="490"/>
        <v>30646.656039999994</v>
      </c>
      <c r="GB92" s="59">
        <f t="shared" si="491"/>
        <v>101311.71553703198</v>
      </c>
      <c r="GC92" s="55">
        <f t="shared" si="492"/>
        <v>29703.682007999996</v>
      </c>
      <c r="GD92" s="59">
        <f t="shared" si="493"/>
        <v>98194.431982046386</v>
      </c>
      <c r="GE92" s="60">
        <f t="shared" si="494"/>
        <v>28760.707975999994</v>
      </c>
      <c r="GF92" s="59">
        <f t="shared" si="495"/>
        <v>95077.148427060776</v>
      </c>
      <c r="GG92" s="60">
        <f t="shared" si="496"/>
        <v>27817.733943999992</v>
      </c>
      <c r="GH92" s="59">
        <f t="shared" si="497"/>
        <v>91959.864872075181</v>
      </c>
      <c r="GI92" s="55">
        <f t="shared" si="498"/>
        <v>26874.75991199999</v>
      </c>
      <c r="GJ92" s="59">
        <f t="shared" si="499"/>
        <v>88842.581317089571</v>
      </c>
      <c r="GK92" s="55"/>
      <c r="GL92" s="55"/>
      <c r="GM92" s="55">
        <v>1</v>
      </c>
      <c r="GN92" s="55">
        <v>0.97</v>
      </c>
      <c r="GO92" s="55">
        <v>0.95</v>
      </c>
      <c r="GP92" s="55">
        <v>0.93</v>
      </c>
      <c r="GQ92" s="55">
        <f t="shared" si="508"/>
        <v>0.91</v>
      </c>
      <c r="GR92" s="55">
        <f t="shared" si="508"/>
        <v>0.89</v>
      </c>
      <c r="GS92" s="55">
        <f t="shared" si="508"/>
        <v>0.87</v>
      </c>
      <c r="GT92" s="55">
        <f t="shared" si="508"/>
        <v>0.85</v>
      </c>
      <c r="GU92" s="55">
        <f t="shared" si="508"/>
        <v>0.83</v>
      </c>
      <c r="GV92" s="55">
        <f t="shared" si="508"/>
        <v>0.80999999999999994</v>
      </c>
      <c r="GW92" s="55">
        <f t="shared" si="508"/>
        <v>0.78999999999999992</v>
      </c>
      <c r="GX92" s="55">
        <f t="shared" si="508"/>
        <v>0.76999999999999991</v>
      </c>
      <c r="GY92" s="55">
        <f t="shared" si="508"/>
        <v>0.74999999999999989</v>
      </c>
      <c r="GZ92" s="55">
        <f t="shared" si="508"/>
        <v>0.72999999999999987</v>
      </c>
      <c r="HA92" s="55">
        <f t="shared" si="508"/>
        <v>0.70999999999999985</v>
      </c>
      <c r="HB92" s="55">
        <f t="shared" si="508"/>
        <v>0.68999999999999984</v>
      </c>
      <c r="HC92" s="55">
        <f t="shared" si="508"/>
        <v>0.66999999999999982</v>
      </c>
      <c r="HD92" s="55">
        <f t="shared" si="508"/>
        <v>0.6499999999999998</v>
      </c>
      <c r="HE92" s="55">
        <f t="shared" si="508"/>
        <v>0.62999999999999978</v>
      </c>
      <c r="HF92" s="55">
        <f t="shared" si="508"/>
        <v>0.60999999999999976</v>
      </c>
      <c r="HG92" s="55">
        <f t="shared" si="508"/>
        <v>0.58999999999999975</v>
      </c>
      <c r="HH92" s="55">
        <f t="shared" si="508"/>
        <v>0.56999999999999973</v>
      </c>
    </row>
    <row r="93" spans="1:216" x14ac:dyDescent="0.3">
      <c r="A93" s="2">
        <v>25</v>
      </c>
      <c r="C93" s="38" t="s">
        <v>149</v>
      </c>
      <c r="D93" s="42">
        <f>TRUNC(95453,-1)</f>
        <v>95450</v>
      </c>
      <c r="E93" s="71">
        <f t="shared" si="369"/>
        <v>315530</v>
      </c>
      <c r="H93" s="55">
        <f t="shared" si="509"/>
        <v>347083</v>
      </c>
      <c r="I93" s="55">
        <f t="shared" si="510"/>
        <v>347083</v>
      </c>
      <c r="J93" s="59">
        <f t="shared" si="511"/>
        <v>1147386.9813999999</v>
      </c>
      <c r="K93" s="55">
        <f t="shared" si="370"/>
        <v>336670.51</v>
      </c>
      <c r="L93" s="59">
        <f t="shared" si="371"/>
        <v>1112965.3719580001</v>
      </c>
      <c r="M93" s="55">
        <f t="shared" si="372"/>
        <v>329728.84999999998</v>
      </c>
      <c r="N93" s="59">
        <f t="shared" si="373"/>
        <v>1090017.6323299999</v>
      </c>
      <c r="O93" s="55">
        <f t="shared" si="374"/>
        <v>322787.19</v>
      </c>
      <c r="P93" s="59">
        <f t="shared" si="375"/>
        <v>1067069.892702</v>
      </c>
      <c r="Q93" s="57">
        <f t="shared" si="376"/>
        <v>315845.53000000003</v>
      </c>
      <c r="R93" s="59">
        <f t="shared" si="377"/>
        <v>1044122.1530740001</v>
      </c>
      <c r="S93" s="55">
        <f t="shared" si="378"/>
        <v>308903.87</v>
      </c>
      <c r="T93" s="59">
        <f t="shared" si="379"/>
        <v>1021174.413446</v>
      </c>
      <c r="U93" s="57">
        <f t="shared" si="380"/>
        <v>301962.21000000002</v>
      </c>
      <c r="V93" s="59">
        <f t="shared" si="381"/>
        <v>998226.67381800013</v>
      </c>
      <c r="W93" s="60">
        <f t="shared" si="382"/>
        <v>295020.55</v>
      </c>
      <c r="X93" s="59">
        <f t="shared" si="383"/>
        <v>975278.93418999994</v>
      </c>
      <c r="Y93" s="57">
        <f t="shared" si="384"/>
        <v>288078.89</v>
      </c>
      <c r="Z93" s="59">
        <f t="shared" si="385"/>
        <v>952331.19456200011</v>
      </c>
      <c r="AA93" s="55">
        <f t="shared" si="386"/>
        <v>281137.23</v>
      </c>
      <c r="AB93" s="59">
        <f t="shared" si="387"/>
        <v>929383.45493399992</v>
      </c>
      <c r="AC93" s="60">
        <f t="shared" si="388"/>
        <v>274195.56999999995</v>
      </c>
      <c r="AD93" s="59">
        <f t="shared" si="389"/>
        <v>906435.71530599985</v>
      </c>
      <c r="AE93" s="60">
        <f t="shared" si="390"/>
        <v>267253.90999999997</v>
      </c>
      <c r="AF93" s="59">
        <f t="shared" si="391"/>
        <v>883487.9756779999</v>
      </c>
      <c r="AG93" s="60">
        <f t="shared" si="392"/>
        <v>260312.24999999997</v>
      </c>
      <c r="AH93" s="59">
        <f t="shared" si="393"/>
        <v>860540.23604999995</v>
      </c>
      <c r="AI93" s="55">
        <f t="shared" si="394"/>
        <v>253370.58999999997</v>
      </c>
      <c r="AJ93" s="59">
        <f t="shared" si="395"/>
        <v>837592.49642199988</v>
      </c>
      <c r="AK93" s="60">
        <f t="shared" si="396"/>
        <v>246428.92999999993</v>
      </c>
      <c r="AL93" s="59">
        <f t="shared" si="397"/>
        <v>814644.75679399981</v>
      </c>
      <c r="AM93" s="60">
        <f t="shared" si="398"/>
        <v>239487.26999999993</v>
      </c>
      <c r="AN93" s="59">
        <f t="shared" si="399"/>
        <v>791697.01716599974</v>
      </c>
      <c r="AO93" s="60">
        <f t="shared" si="400"/>
        <v>232545.60999999993</v>
      </c>
      <c r="AP93" s="59">
        <f t="shared" si="401"/>
        <v>768749.27753799979</v>
      </c>
      <c r="AQ93" s="60">
        <f t="shared" si="402"/>
        <v>225603.94999999992</v>
      </c>
      <c r="AR93" s="59">
        <f t="shared" si="403"/>
        <v>745801.53790999972</v>
      </c>
      <c r="AS93" s="55">
        <f t="shared" si="404"/>
        <v>218662.28999999992</v>
      </c>
      <c r="AT93" s="59">
        <f t="shared" si="405"/>
        <v>722853.79828199977</v>
      </c>
      <c r="AU93" s="60">
        <f t="shared" si="406"/>
        <v>211720.62999999992</v>
      </c>
      <c r="AV93" s="59">
        <f t="shared" si="407"/>
        <v>699906.0586539997</v>
      </c>
      <c r="AW93" s="60">
        <f t="shared" si="408"/>
        <v>204778.96999999991</v>
      </c>
      <c r="AX93" s="59">
        <f t="shared" si="409"/>
        <v>676958.31902599975</v>
      </c>
      <c r="AY93" s="55">
        <f t="shared" si="410"/>
        <v>197837.30999999991</v>
      </c>
      <c r="AZ93" s="59">
        <f t="shared" si="411"/>
        <v>654010.57939799968</v>
      </c>
      <c r="BC93" s="55">
        <v>1</v>
      </c>
      <c r="BD93" s="55">
        <v>0.97</v>
      </c>
      <c r="BE93" s="55">
        <v>0.95</v>
      </c>
      <c r="BF93" s="55">
        <v>0.93</v>
      </c>
      <c r="BG93" s="55">
        <f t="shared" si="504"/>
        <v>0.91</v>
      </c>
      <c r="BH93" s="55">
        <f t="shared" si="504"/>
        <v>0.89</v>
      </c>
      <c r="BI93" s="55">
        <f t="shared" si="504"/>
        <v>0.87</v>
      </c>
      <c r="BJ93" s="55">
        <f t="shared" si="504"/>
        <v>0.85</v>
      </c>
      <c r="BK93" s="55">
        <f t="shared" si="504"/>
        <v>0.83</v>
      </c>
      <c r="BL93" s="55">
        <f t="shared" si="504"/>
        <v>0.80999999999999994</v>
      </c>
      <c r="BM93" s="55">
        <f t="shared" si="504"/>
        <v>0.78999999999999992</v>
      </c>
      <c r="BN93" s="55">
        <f t="shared" si="504"/>
        <v>0.76999999999999991</v>
      </c>
      <c r="BO93" s="55">
        <f t="shared" si="504"/>
        <v>0.74999999999999989</v>
      </c>
      <c r="BP93" s="55">
        <f t="shared" si="504"/>
        <v>0.72999999999999987</v>
      </c>
      <c r="BQ93" s="55">
        <f t="shared" si="504"/>
        <v>0.70999999999999985</v>
      </c>
      <c r="BR93" s="55">
        <f t="shared" si="504"/>
        <v>0.68999999999999984</v>
      </c>
      <c r="BS93" s="55">
        <f t="shared" si="504"/>
        <v>0.66999999999999982</v>
      </c>
      <c r="BT93" s="55">
        <f t="shared" si="504"/>
        <v>0.6499999999999998</v>
      </c>
      <c r="BU93" s="55">
        <f t="shared" si="504"/>
        <v>0.62999999999999978</v>
      </c>
      <c r="BV93" s="55">
        <f t="shared" si="504"/>
        <v>0.60999999999999976</v>
      </c>
      <c r="BW93" s="55">
        <f t="shared" si="504"/>
        <v>0.58999999999999975</v>
      </c>
      <c r="BX93" s="55">
        <f t="shared" si="504"/>
        <v>0.56999999999999973</v>
      </c>
      <c r="BZ93" s="55">
        <f t="shared" si="512"/>
        <v>315845.53000000003</v>
      </c>
      <c r="CA93" s="55">
        <f t="shared" si="513"/>
        <v>315845.53000000003</v>
      </c>
      <c r="CB93" s="59">
        <f t="shared" si="413"/>
        <v>1044122.1530740001</v>
      </c>
      <c r="CC93" s="55">
        <f t="shared" si="414"/>
        <v>306370.16409999999</v>
      </c>
      <c r="CD93" s="59">
        <f t="shared" si="415"/>
        <v>1012798.48848178</v>
      </c>
      <c r="CE93" s="55">
        <f t="shared" si="416"/>
        <v>300053.25349999999</v>
      </c>
      <c r="CF93" s="59">
        <f t="shared" si="417"/>
        <v>991916.04542029998</v>
      </c>
      <c r="CG93" s="55">
        <f t="shared" si="418"/>
        <v>293736.34290000005</v>
      </c>
      <c r="CH93" s="59">
        <f t="shared" si="419"/>
        <v>971033.60235882015</v>
      </c>
      <c r="CI93" s="57">
        <f t="shared" si="420"/>
        <v>287419.43230000004</v>
      </c>
      <c r="CJ93" s="59">
        <f t="shared" si="421"/>
        <v>950151.1592973402</v>
      </c>
      <c r="CK93" s="55">
        <f t="shared" si="422"/>
        <v>281102.52170000004</v>
      </c>
      <c r="CL93" s="59">
        <f t="shared" si="423"/>
        <v>929268.71623586013</v>
      </c>
      <c r="CM93" s="57">
        <f t="shared" si="424"/>
        <v>274785.61110000004</v>
      </c>
      <c r="CN93" s="59">
        <f t="shared" si="425"/>
        <v>908386.27317438019</v>
      </c>
      <c r="CO93" s="60">
        <f t="shared" si="426"/>
        <v>268468.70050000004</v>
      </c>
      <c r="CP93" s="59">
        <f t="shared" si="427"/>
        <v>887503.83011290012</v>
      </c>
      <c r="CQ93" s="57">
        <f t="shared" si="428"/>
        <v>262151.78990000003</v>
      </c>
      <c r="CR93" s="59">
        <f t="shared" si="429"/>
        <v>866621.38705142017</v>
      </c>
      <c r="CS93" s="55">
        <f t="shared" si="430"/>
        <v>255834.8793</v>
      </c>
      <c r="CT93" s="59">
        <f t="shared" si="431"/>
        <v>845738.94398993999</v>
      </c>
      <c r="CU93" s="60">
        <f t="shared" si="432"/>
        <v>249517.9687</v>
      </c>
      <c r="CV93" s="59">
        <f t="shared" si="433"/>
        <v>824856.50092846004</v>
      </c>
      <c r="CW93" s="60">
        <f t="shared" si="434"/>
        <v>243201.05809999999</v>
      </c>
      <c r="CX93" s="59">
        <f t="shared" si="435"/>
        <v>803974.05786697997</v>
      </c>
      <c r="CY93" s="60">
        <f t="shared" si="436"/>
        <v>236884.14749999999</v>
      </c>
      <c r="CZ93" s="59">
        <f t="shared" si="437"/>
        <v>783091.61480550002</v>
      </c>
      <c r="DA93" s="55">
        <f t="shared" si="438"/>
        <v>230567.23689999999</v>
      </c>
      <c r="DB93" s="59">
        <f t="shared" si="439"/>
        <v>762209.17174401996</v>
      </c>
      <c r="DC93" s="60">
        <f t="shared" si="440"/>
        <v>224250.32629999999</v>
      </c>
      <c r="DD93" s="59">
        <f t="shared" si="441"/>
        <v>741326.72868254001</v>
      </c>
      <c r="DE93" s="60">
        <f t="shared" si="442"/>
        <v>217933.41569999995</v>
      </c>
      <c r="DF93" s="59">
        <f t="shared" si="443"/>
        <v>720444.28562105983</v>
      </c>
      <c r="DG93" s="60">
        <f t="shared" si="444"/>
        <v>211616.50509999995</v>
      </c>
      <c r="DH93" s="59">
        <f t="shared" si="445"/>
        <v>699561.84255957988</v>
      </c>
      <c r="DI93" s="60">
        <f t="shared" si="446"/>
        <v>205299.59449999995</v>
      </c>
      <c r="DJ93" s="59">
        <f t="shared" si="447"/>
        <v>678679.39949809981</v>
      </c>
      <c r="DK93" s="55">
        <f t="shared" si="448"/>
        <v>198982.68389999995</v>
      </c>
      <c r="DL93" s="59">
        <f t="shared" si="449"/>
        <v>657796.95643661986</v>
      </c>
      <c r="DM93" s="60">
        <f t="shared" si="450"/>
        <v>192665.77329999994</v>
      </c>
      <c r="DN93" s="59">
        <f t="shared" si="451"/>
        <v>636914.5133751398</v>
      </c>
      <c r="DO93" s="60">
        <f t="shared" si="452"/>
        <v>186348.86269999994</v>
      </c>
      <c r="DP93" s="59">
        <f t="shared" si="453"/>
        <v>616032.07031365985</v>
      </c>
      <c r="DQ93" s="55">
        <f t="shared" si="454"/>
        <v>180031.95209999994</v>
      </c>
      <c r="DR93" s="59">
        <f t="shared" si="455"/>
        <v>595149.62725217978</v>
      </c>
      <c r="DU93" s="55">
        <v>1</v>
      </c>
      <c r="DV93" s="55">
        <v>0.97</v>
      </c>
      <c r="DW93" s="55">
        <v>0.95</v>
      </c>
      <c r="DX93" s="55">
        <v>0.93</v>
      </c>
      <c r="DY93" s="55">
        <f t="shared" si="507"/>
        <v>0.91</v>
      </c>
      <c r="DZ93" s="55">
        <f t="shared" si="507"/>
        <v>0.89</v>
      </c>
      <c r="EA93" s="55">
        <f t="shared" si="507"/>
        <v>0.87</v>
      </c>
      <c r="EB93" s="55">
        <f t="shared" si="507"/>
        <v>0.85</v>
      </c>
      <c r="EC93" s="55">
        <f t="shared" si="507"/>
        <v>0.83</v>
      </c>
      <c r="ED93" s="55">
        <f t="shared" si="507"/>
        <v>0.80999999999999994</v>
      </c>
      <c r="EE93" s="55">
        <f t="shared" si="507"/>
        <v>0.78999999999999992</v>
      </c>
      <c r="EF93" s="55">
        <f t="shared" si="507"/>
        <v>0.76999999999999991</v>
      </c>
      <c r="EG93" s="55">
        <f t="shared" si="507"/>
        <v>0.74999999999999989</v>
      </c>
      <c r="EH93" s="55">
        <f t="shared" si="507"/>
        <v>0.72999999999999987</v>
      </c>
      <c r="EI93" s="55">
        <f t="shared" si="507"/>
        <v>0.70999999999999985</v>
      </c>
      <c r="EJ93" s="55">
        <f t="shared" si="507"/>
        <v>0.68999999999999984</v>
      </c>
      <c r="EK93" s="55">
        <f t="shared" si="507"/>
        <v>0.66999999999999982</v>
      </c>
      <c r="EL93" s="55">
        <f t="shared" si="507"/>
        <v>0.6499999999999998</v>
      </c>
      <c r="EM93" s="55">
        <f t="shared" si="507"/>
        <v>0.62999999999999978</v>
      </c>
      <c r="EN93" s="55">
        <f t="shared" si="507"/>
        <v>0.60999999999999976</v>
      </c>
      <c r="EO93" s="55">
        <f t="shared" si="507"/>
        <v>0.58999999999999975</v>
      </c>
      <c r="EP93" s="55">
        <f t="shared" si="507"/>
        <v>0.56999999999999973</v>
      </c>
      <c r="ER93" s="55">
        <f t="shared" si="142"/>
        <v>287419.43230000004</v>
      </c>
      <c r="ES93" s="55">
        <f t="shared" si="514"/>
        <v>287419.43230000004</v>
      </c>
      <c r="ET93" s="59">
        <f t="shared" si="457"/>
        <v>950151.1592973402</v>
      </c>
      <c r="EU93" s="55">
        <f t="shared" si="458"/>
        <v>278796.84933100006</v>
      </c>
      <c r="EV93" s="59">
        <f t="shared" si="459"/>
        <v>921646.62451842008</v>
      </c>
      <c r="EW93" s="55">
        <f t="shared" si="460"/>
        <v>273048.46068500006</v>
      </c>
      <c r="EX93" s="59">
        <f t="shared" si="461"/>
        <v>902643.60133247322</v>
      </c>
      <c r="EY93" s="55">
        <f t="shared" si="462"/>
        <v>267300.07203900005</v>
      </c>
      <c r="EZ93" s="59">
        <f t="shared" si="463"/>
        <v>883640.57814652636</v>
      </c>
      <c r="FA93" s="57">
        <f t="shared" si="464"/>
        <v>261551.68339300004</v>
      </c>
      <c r="FB93" s="59">
        <f t="shared" si="465"/>
        <v>864637.55496057961</v>
      </c>
      <c r="FC93" s="55">
        <f t="shared" si="466"/>
        <v>255803.29474700004</v>
      </c>
      <c r="FD93" s="59">
        <f t="shared" si="467"/>
        <v>845634.53177463275</v>
      </c>
      <c r="FE93" s="57">
        <f t="shared" si="468"/>
        <v>250054.90610100003</v>
      </c>
      <c r="FF93" s="59">
        <f t="shared" si="469"/>
        <v>826631.50858868589</v>
      </c>
      <c r="FG93" s="60">
        <f t="shared" si="470"/>
        <v>244306.51745500002</v>
      </c>
      <c r="FH93" s="59">
        <f t="shared" si="471"/>
        <v>807628.48540273914</v>
      </c>
      <c r="FI93" s="57">
        <f t="shared" si="472"/>
        <v>238558.12880900002</v>
      </c>
      <c r="FJ93" s="59">
        <f t="shared" si="473"/>
        <v>788625.46221679228</v>
      </c>
      <c r="FK93" s="55">
        <f t="shared" si="474"/>
        <v>232809.74016300001</v>
      </c>
      <c r="FL93" s="59">
        <f t="shared" si="475"/>
        <v>769622.43903084542</v>
      </c>
      <c r="FM93" s="60">
        <f t="shared" si="476"/>
        <v>227061.351517</v>
      </c>
      <c r="FN93" s="59">
        <f t="shared" si="477"/>
        <v>750619.41584489867</v>
      </c>
      <c r="FO93" s="60">
        <f t="shared" si="478"/>
        <v>221312.962871</v>
      </c>
      <c r="FP93" s="59">
        <f t="shared" si="479"/>
        <v>731616.39265895181</v>
      </c>
      <c r="FQ93" s="60">
        <f t="shared" si="480"/>
        <v>215564.57422499999</v>
      </c>
      <c r="FR93" s="59">
        <f t="shared" si="481"/>
        <v>712613.36947300495</v>
      </c>
      <c r="FS93" s="55">
        <f t="shared" si="482"/>
        <v>209816.18557899998</v>
      </c>
      <c r="FT93" s="59">
        <f t="shared" si="483"/>
        <v>693610.3462870582</v>
      </c>
      <c r="FU93" s="60">
        <f t="shared" si="484"/>
        <v>204067.79693299998</v>
      </c>
      <c r="FV93" s="59">
        <f t="shared" si="485"/>
        <v>674607.32310111134</v>
      </c>
      <c r="FW93" s="60">
        <f t="shared" si="486"/>
        <v>198319.40828699997</v>
      </c>
      <c r="FX93" s="59">
        <f t="shared" si="487"/>
        <v>655604.29991516448</v>
      </c>
      <c r="FY93" s="60">
        <f t="shared" si="488"/>
        <v>192571.01964099999</v>
      </c>
      <c r="FZ93" s="59">
        <f t="shared" si="489"/>
        <v>636601.27672921773</v>
      </c>
      <c r="GA93" s="60">
        <f t="shared" si="490"/>
        <v>186822.63099499998</v>
      </c>
      <c r="GB93" s="59">
        <f t="shared" si="491"/>
        <v>617598.25354327098</v>
      </c>
      <c r="GC93" s="55">
        <f t="shared" si="492"/>
        <v>181074.24234899998</v>
      </c>
      <c r="GD93" s="59">
        <f t="shared" si="493"/>
        <v>598595.23035732412</v>
      </c>
      <c r="GE93" s="60">
        <f t="shared" si="494"/>
        <v>175325.85370299997</v>
      </c>
      <c r="GF93" s="59">
        <f t="shared" si="495"/>
        <v>579592.20717137738</v>
      </c>
      <c r="GG93" s="60">
        <f t="shared" si="496"/>
        <v>169577.46505699996</v>
      </c>
      <c r="GH93" s="59">
        <f t="shared" si="497"/>
        <v>560589.18398543051</v>
      </c>
      <c r="GI93" s="55">
        <f t="shared" si="498"/>
        <v>163829.07641099996</v>
      </c>
      <c r="GJ93" s="59">
        <f t="shared" si="499"/>
        <v>541586.16079948365</v>
      </c>
      <c r="GK93" s="55"/>
      <c r="GL93" s="55"/>
      <c r="GM93" s="55">
        <v>1</v>
      </c>
      <c r="GN93" s="55">
        <v>0.97</v>
      </c>
      <c r="GO93" s="55">
        <v>0.95</v>
      </c>
      <c r="GP93" s="55">
        <v>0.93</v>
      </c>
      <c r="GQ93" s="55">
        <f t="shared" si="508"/>
        <v>0.91</v>
      </c>
      <c r="GR93" s="55">
        <f t="shared" si="508"/>
        <v>0.89</v>
      </c>
      <c r="GS93" s="55">
        <f t="shared" si="508"/>
        <v>0.87</v>
      </c>
      <c r="GT93" s="55">
        <f t="shared" si="508"/>
        <v>0.85</v>
      </c>
      <c r="GU93" s="55">
        <f t="shared" si="508"/>
        <v>0.83</v>
      </c>
      <c r="GV93" s="55">
        <f t="shared" si="508"/>
        <v>0.80999999999999994</v>
      </c>
      <c r="GW93" s="55">
        <f t="shared" si="508"/>
        <v>0.78999999999999992</v>
      </c>
      <c r="GX93" s="55">
        <f t="shared" si="508"/>
        <v>0.76999999999999991</v>
      </c>
      <c r="GY93" s="55">
        <f t="shared" si="508"/>
        <v>0.74999999999999989</v>
      </c>
      <c r="GZ93" s="55">
        <f t="shared" si="508"/>
        <v>0.72999999999999987</v>
      </c>
      <c r="HA93" s="55">
        <f t="shared" si="508"/>
        <v>0.70999999999999985</v>
      </c>
      <c r="HB93" s="55">
        <f t="shared" si="508"/>
        <v>0.68999999999999984</v>
      </c>
      <c r="HC93" s="55">
        <f t="shared" si="508"/>
        <v>0.66999999999999982</v>
      </c>
      <c r="HD93" s="55">
        <f t="shared" si="508"/>
        <v>0.6499999999999998</v>
      </c>
      <c r="HE93" s="55">
        <f t="shared" si="508"/>
        <v>0.62999999999999978</v>
      </c>
      <c r="HF93" s="55">
        <f t="shared" si="508"/>
        <v>0.60999999999999976</v>
      </c>
      <c r="HG93" s="55">
        <f t="shared" si="508"/>
        <v>0.58999999999999975</v>
      </c>
      <c r="HH93" s="55">
        <f t="shared" si="508"/>
        <v>0.56999999999999973</v>
      </c>
    </row>
    <row r="94" spans="1:216" ht="17.25" thickBot="1" x14ac:dyDescent="0.35">
      <c r="A94" s="2">
        <v>26</v>
      </c>
      <c r="C94" s="38" t="s">
        <v>47</v>
      </c>
      <c r="D94" s="43">
        <f>TRUNC(31772+18872,-1)</f>
        <v>50640</v>
      </c>
      <c r="E94" s="72">
        <f t="shared" si="369"/>
        <v>167400</v>
      </c>
      <c r="F94" s="2" t="s">
        <v>310</v>
      </c>
      <c r="H94" s="55">
        <f t="shared" si="509"/>
        <v>184140.00000000003</v>
      </c>
      <c r="I94" s="55">
        <f t="shared" si="510"/>
        <v>184140.00000000003</v>
      </c>
      <c r="J94" s="59">
        <f t="shared" si="511"/>
        <v>608730.0120000001</v>
      </c>
      <c r="K94" s="55">
        <f t="shared" si="370"/>
        <v>178615.80000000002</v>
      </c>
      <c r="L94" s="59">
        <f t="shared" si="371"/>
        <v>590468.11164000002</v>
      </c>
      <c r="M94" s="55">
        <f t="shared" si="372"/>
        <v>174933.00000000003</v>
      </c>
      <c r="N94" s="59">
        <f t="shared" si="373"/>
        <v>578293.51140000008</v>
      </c>
      <c r="O94" s="55">
        <f t="shared" si="374"/>
        <v>171250.20000000004</v>
      </c>
      <c r="P94" s="59">
        <f t="shared" si="375"/>
        <v>566118.91116000013</v>
      </c>
      <c r="Q94" s="57">
        <f t="shared" si="376"/>
        <v>167567.40000000002</v>
      </c>
      <c r="R94" s="59">
        <f t="shared" si="377"/>
        <v>553944.31092000008</v>
      </c>
      <c r="S94" s="55">
        <f t="shared" si="378"/>
        <v>163884.60000000003</v>
      </c>
      <c r="T94" s="59">
        <f t="shared" si="379"/>
        <v>541769.71068000013</v>
      </c>
      <c r="U94" s="57">
        <f t="shared" si="380"/>
        <v>160201.80000000002</v>
      </c>
      <c r="V94" s="59">
        <f t="shared" si="381"/>
        <v>529595.11044000008</v>
      </c>
      <c r="W94" s="60">
        <f t="shared" si="382"/>
        <v>156519.00000000003</v>
      </c>
      <c r="X94" s="59">
        <f t="shared" si="383"/>
        <v>517420.51020000014</v>
      </c>
      <c r="Y94" s="57">
        <f t="shared" si="384"/>
        <v>152836.20000000001</v>
      </c>
      <c r="Z94" s="59">
        <f t="shared" si="385"/>
        <v>505245.90996000008</v>
      </c>
      <c r="AA94" s="55">
        <f t="shared" si="386"/>
        <v>149153.40000000002</v>
      </c>
      <c r="AB94" s="59">
        <f t="shared" si="387"/>
        <v>493071.30972000008</v>
      </c>
      <c r="AC94" s="60">
        <f t="shared" si="388"/>
        <v>145470.6</v>
      </c>
      <c r="AD94" s="59">
        <f t="shared" si="389"/>
        <v>480896.70948000002</v>
      </c>
      <c r="AE94" s="60">
        <f t="shared" si="390"/>
        <v>141787.80000000002</v>
      </c>
      <c r="AF94" s="59">
        <f t="shared" si="391"/>
        <v>468722.10924000008</v>
      </c>
      <c r="AG94" s="60">
        <f t="shared" si="392"/>
        <v>138105</v>
      </c>
      <c r="AH94" s="59">
        <f t="shared" si="393"/>
        <v>456547.50900000002</v>
      </c>
      <c r="AI94" s="55">
        <f t="shared" si="394"/>
        <v>134422.20000000001</v>
      </c>
      <c r="AJ94" s="59">
        <f t="shared" si="395"/>
        <v>444372.90876000002</v>
      </c>
      <c r="AK94" s="60">
        <f t="shared" si="396"/>
        <v>130739.4</v>
      </c>
      <c r="AL94" s="59">
        <f t="shared" si="397"/>
        <v>432198.30851999996</v>
      </c>
      <c r="AM94" s="60">
        <f t="shared" si="398"/>
        <v>127056.59999999999</v>
      </c>
      <c r="AN94" s="59">
        <f t="shared" si="399"/>
        <v>420023.70827999996</v>
      </c>
      <c r="AO94" s="60">
        <f t="shared" si="400"/>
        <v>123373.79999999999</v>
      </c>
      <c r="AP94" s="59">
        <f t="shared" si="401"/>
        <v>407849.10803999996</v>
      </c>
      <c r="AQ94" s="60">
        <f t="shared" si="402"/>
        <v>119690.99999999999</v>
      </c>
      <c r="AR94" s="59">
        <f t="shared" si="403"/>
        <v>395674.50779999996</v>
      </c>
      <c r="AS94" s="55">
        <f t="shared" si="404"/>
        <v>116008.19999999998</v>
      </c>
      <c r="AT94" s="59">
        <f t="shared" si="405"/>
        <v>383499.90755999996</v>
      </c>
      <c r="AU94" s="60">
        <f t="shared" si="406"/>
        <v>112325.39999999998</v>
      </c>
      <c r="AV94" s="59">
        <f t="shared" si="407"/>
        <v>371325.30731999996</v>
      </c>
      <c r="AW94" s="60">
        <f t="shared" si="408"/>
        <v>108642.59999999998</v>
      </c>
      <c r="AX94" s="59">
        <f t="shared" si="409"/>
        <v>359150.70707999991</v>
      </c>
      <c r="AY94" s="55">
        <f t="shared" si="410"/>
        <v>104959.79999999997</v>
      </c>
      <c r="AZ94" s="59">
        <f t="shared" si="411"/>
        <v>346976.10683999991</v>
      </c>
      <c r="BC94" s="55">
        <v>1</v>
      </c>
      <c r="BD94" s="55">
        <v>0.97</v>
      </c>
      <c r="BE94" s="55">
        <v>0.95</v>
      </c>
      <c r="BF94" s="55">
        <v>0.93</v>
      </c>
      <c r="BG94" s="55">
        <f t="shared" si="504"/>
        <v>0.91</v>
      </c>
      <c r="BH94" s="55">
        <f t="shared" si="504"/>
        <v>0.89</v>
      </c>
      <c r="BI94" s="55">
        <f t="shared" si="504"/>
        <v>0.87</v>
      </c>
      <c r="BJ94" s="55">
        <f t="shared" si="504"/>
        <v>0.85</v>
      </c>
      <c r="BK94" s="55">
        <f t="shared" si="504"/>
        <v>0.83</v>
      </c>
      <c r="BL94" s="55">
        <f t="shared" si="504"/>
        <v>0.80999999999999994</v>
      </c>
      <c r="BM94" s="55">
        <f t="shared" si="504"/>
        <v>0.78999999999999992</v>
      </c>
      <c r="BN94" s="55">
        <f t="shared" si="504"/>
        <v>0.76999999999999991</v>
      </c>
      <c r="BO94" s="55">
        <f t="shared" si="504"/>
        <v>0.74999999999999989</v>
      </c>
      <c r="BP94" s="55">
        <f t="shared" si="504"/>
        <v>0.72999999999999987</v>
      </c>
      <c r="BQ94" s="55">
        <f t="shared" si="504"/>
        <v>0.70999999999999985</v>
      </c>
      <c r="BR94" s="55">
        <f t="shared" si="504"/>
        <v>0.68999999999999984</v>
      </c>
      <c r="BS94" s="55">
        <f t="shared" si="504"/>
        <v>0.66999999999999982</v>
      </c>
      <c r="BT94" s="55">
        <f t="shared" si="504"/>
        <v>0.6499999999999998</v>
      </c>
      <c r="BU94" s="55">
        <f t="shared" si="504"/>
        <v>0.62999999999999978</v>
      </c>
      <c r="BV94" s="55">
        <f t="shared" si="504"/>
        <v>0.60999999999999976</v>
      </c>
      <c r="BW94" s="55">
        <f t="shared" si="504"/>
        <v>0.58999999999999975</v>
      </c>
      <c r="BX94" s="55">
        <f t="shared" si="504"/>
        <v>0.56999999999999973</v>
      </c>
      <c r="BZ94" s="55">
        <f t="shared" si="512"/>
        <v>167567.40000000002</v>
      </c>
      <c r="CA94" s="55">
        <f t="shared" si="513"/>
        <v>167567.40000000002</v>
      </c>
      <c r="CB94" s="59">
        <f t="shared" si="413"/>
        <v>553944.31092000008</v>
      </c>
      <c r="CC94" s="55">
        <f t="shared" si="414"/>
        <v>162540.37800000003</v>
      </c>
      <c r="CD94" s="59">
        <f t="shared" si="415"/>
        <v>537325.98159240012</v>
      </c>
      <c r="CE94" s="55">
        <f t="shared" si="416"/>
        <v>159189.03000000003</v>
      </c>
      <c r="CF94" s="59">
        <f t="shared" si="417"/>
        <v>526247.09537400014</v>
      </c>
      <c r="CG94" s="55">
        <f t="shared" si="418"/>
        <v>155837.68200000003</v>
      </c>
      <c r="CH94" s="59">
        <f t="shared" si="419"/>
        <v>515168.20915560011</v>
      </c>
      <c r="CI94" s="57">
        <f t="shared" si="420"/>
        <v>152486.33400000003</v>
      </c>
      <c r="CJ94" s="59">
        <f t="shared" si="421"/>
        <v>504089.32293720014</v>
      </c>
      <c r="CK94" s="55">
        <f t="shared" si="422"/>
        <v>149134.98600000003</v>
      </c>
      <c r="CL94" s="59">
        <f t="shared" si="423"/>
        <v>493010.43671880011</v>
      </c>
      <c r="CM94" s="57">
        <f t="shared" si="424"/>
        <v>145783.63800000001</v>
      </c>
      <c r="CN94" s="59">
        <f t="shared" si="425"/>
        <v>481931.55050040002</v>
      </c>
      <c r="CO94" s="60">
        <f t="shared" si="426"/>
        <v>142432.29</v>
      </c>
      <c r="CP94" s="59">
        <f t="shared" si="427"/>
        <v>470852.66428200004</v>
      </c>
      <c r="CQ94" s="57">
        <f t="shared" si="428"/>
        <v>139080.94200000001</v>
      </c>
      <c r="CR94" s="59">
        <f t="shared" si="429"/>
        <v>459773.77806360007</v>
      </c>
      <c r="CS94" s="55">
        <f t="shared" si="430"/>
        <v>135729.59400000001</v>
      </c>
      <c r="CT94" s="59">
        <f t="shared" si="431"/>
        <v>448694.89184520004</v>
      </c>
      <c r="CU94" s="60">
        <f t="shared" si="432"/>
        <v>132378.24600000001</v>
      </c>
      <c r="CV94" s="59">
        <f t="shared" si="433"/>
        <v>437616.00562680006</v>
      </c>
      <c r="CW94" s="60">
        <f t="shared" si="434"/>
        <v>129026.898</v>
      </c>
      <c r="CX94" s="59">
        <f t="shared" si="435"/>
        <v>426537.11940840003</v>
      </c>
      <c r="CY94" s="60">
        <f t="shared" si="436"/>
        <v>125675.55</v>
      </c>
      <c r="CZ94" s="59">
        <f t="shared" si="437"/>
        <v>415458.23319</v>
      </c>
      <c r="DA94" s="55">
        <f t="shared" si="438"/>
        <v>122324.20199999999</v>
      </c>
      <c r="DB94" s="59">
        <f t="shared" si="439"/>
        <v>404379.34697159997</v>
      </c>
      <c r="DC94" s="60">
        <f t="shared" si="440"/>
        <v>118972.85399999999</v>
      </c>
      <c r="DD94" s="59">
        <f t="shared" si="441"/>
        <v>393300.46075319999</v>
      </c>
      <c r="DE94" s="60">
        <f t="shared" si="442"/>
        <v>115621.50599999999</v>
      </c>
      <c r="DF94" s="59">
        <f t="shared" si="443"/>
        <v>382221.57453479996</v>
      </c>
      <c r="DG94" s="60">
        <f t="shared" si="444"/>
        <v>112270.15799999998</v>
      </c>
      <c r="DH94" s="59">
        <f t="shared" si="445"/>
        <v>371142.68831639993</v>
      </c>
      <c r="DI94" s="60">
        <f t="shared" si="446"/>
        <v>108918.80999999998</v>
      </c>
      <c r="DJ94" s="59">
        <f t="shared" si="447"/>
        <v>360063.80209799996</v>
      </c>
      <c r="DK94" s="55">
        <f t="shared" si="448"/>
        <v>105567.46199999998</v>
      </c>
      <c r="DL94" s="59">
        <f t="shared" si="449"/>
        <v>348984.91587959998</v>
      </c>
      <c r="DM94" s="60">
        <f t="shared" si="450"/>
        <v>102216.11399999997</v>
      </c>
      <c r="DN94" s="59">
        <f t="shared" si="451"/>
        <v>337906.02966119989</v>
      </c>
      <c r="DO94" s="60">
        <f t="shared" si="452"/>
        <v>98864.765999999974</v>
      </c>
      <c r="DP94" s="59">
        <f t="shared" si="453"/>
        <v>326827.14344279992</v>
      </c>
      <c r="DQ94" s="55">
        <f t="shared" si="454"/>
        <v>95513.417999999961</v>
      </c>
      <c r="DR94" s="59">
        <f t="shared" si="455"/>
        <v>315748.25722439989</v>
      </c>
      <c r="DU94" s="55">
        <v>1</v>
      </c>
      <c r="DV94" s="55">
        <v>0.97</v>
      </c>
      <c r="DW94" s="55">
        <v>0.95</v>
      </c>
      <c r="DX94" s="55">
        <v>0.93</v>
      </c>
      <c r="DY94" s="55">
        <f t="shared" si="507"/>
        <v>0.91</v>
      </c>
      <c r="DZ94" s="55">
        <f t="shared" si="507"/>
        <v>0.89</v>
      </c>
      <c r="EA94" s="55">
        <f t="shared" si="507"/>
        <v>0.87</v>
      </c>
      <c r="EB94" s="55">
        <f t="shared" si="507"/>
        <v>0.85</v>
      </c>
      <c r="EC94" s="55">
        <f t="shared" si="507"/>
        <v>0.83</v>
      </c>
      <c r="ED94" s="55">
        <f t="shared" si="507"/>
        <v>0.80999999999999994</v>
      </c>
      <c r="EE94" s="55">
        <f t="shared" si="507"/>
        <v>0.78999999999999992</v>
      </c>
      <c r="EF94" s="55">
        <f t="shared" si="507"/>
        <v>0.76999999999999991</v>
      </c>
      <c r="EG94" s="55">
        <f t="shared" si="507"/>
        <v>0.74999999999999989</v>
      </c>
      <c r="EH94" s="55">
        <f t="shared" si="507"/>
        <v>0.72999999999999987</v>
      </c>
      <c r="EI94" s="55">
        <f t="shared" si="507"/>
        <v>0.70999999999999985</v>
      </c>
      <c r="EJ94" s="55">
        <f t="shared" si="507"/>
        <v>0.68999999999999984</v>
      </c>
      <c r="EK94" s="55">
        <f t="shared" si="507"/>
        <v>0.66999999999999982</v>
      </c>
      <c r="EL94" s="55">
        <f t="shared" si="507"/>
        <v>0.6499999999999998</v>
      </c>
      <c r="EM94" s="55">
        <f t="shared" si="507"/>
        <v>0.62999999999999978</v>
      </c>
      <c r="EN94" s="55">
        <f t="shared" si="507"/>
        <v>0.60999999999999976</v>
      </c>
      <c r="EO94" s="55">
        <f t="shared" si="507"/>
        <v>0.58999999999999975</v>
      </c>
      <c r="EP94" s="55">
        <f t="shared" si="507"/>
        <v>0.56999999999999973</v>
      </c>
      <c r="ER94" s="55">
        <f t="shared" si="142"/>
        <v>152486.33400000003</v>
      </c>
      <c r="ES94" s="55">
        <f t="shared" si="514"/>
        <v>152486.33400000003</v>
      </c>
      <c r="ET94" s="59">
        <f t="shared" si="457"/>
        <v>504089.32293720014</v>
      </c>
      <c r="EU94" s="55">
        <f t="shared" si="458"/>
        <v>147911.74398000003</v>
      </c>
      <c r="EV94" s="59">
        <f t="shared" si="459"/>
        <v>488966.64324908413</v>
      </c>
      <c r="EW94" s="55">
        <f t="shared" si="460"/>
        <v>144862.01730000004</v>
      </c>
      <c r="EX94" s="59">
        <f t="shared" si="461"/>
        <v>478884.85679034016</v>
      </c>
      <c r="EY94" s="55">
        <f t="shared" si="462"/>
        <v>141812.29062000004</v>
      </c>
      <c r="EZ94" s="59">
        <f t="shared" si="463"/>
        <v>468803.07033159613</v>
      </c>
      <c r="FA94" s="57">
        <f t="shared" si="464"/>
        <v>138762.56394000002</v>
      </c>
      <c r="FB94" s="59">
        <f t="shared" si="465"/>
        <v>458721.2838728521</v>
      </c>
      <c r="FC94" s="55">
        <f t="shared" si="466"/>
        <v>135712.83726000003</v>
      </c>
      <c r="FD94" s="59">
        <f t="shared" si="467"/>
        <v>448639.49741410813</v>
      </c>
      <c r="FE94" s="57">
        <f t="shared" si="468"/>
        <v>132663.11058000004</v>
      </c>
      <c r="FF94" s="59">
        <f t="shared" si="469"/>
        <v>438557.71095536411</v>
      </c>
      <c r="FG94" s="60">
        <f t="shared" si="470"/>
        <v>129613.38390000003</v>
      </c>
      <c r="FH94" s="59">
        <f t="shared" si="471"/>
        <v>428475.92449662014</v>
      </c>
      <c r="FI94" s="57">
        <f t="shared" si="472"/>
        <v>126563.65722000002</v>
      </c>
      <c r="FJ94" s="59">
        <f t="shared" si="473"/>
        <v>418394.13803787611</v>
      </c>
      <c r="FK94" s="55">
        <f t="shared" si="474"/>
        <v>123513.93054000002</v>
      </c>
      <c r="FL94" s="59">
        <f t="shared" si="475"/>
        <v>408312.35157913208</v>
      </c>
      <c r="FM94" s="60">
        <f t="shared" si="476"/>
        <v>120464.20386000001</v>
      </c>
      <c r="FN94" s="59">
        <f t="shared" si="477"/>
        <v>398230.56512038806</v>
      </c>
      <c r="FO94" s="60">
        <f t="shared" si="478"/>
        <v>117414.47718000002</v>
      </c>
      <c r="FP94" s="59">
        <f t="shared" si="479"/>
        <v>388148.77866164409</v>
      </c>
      <c r="FQ94" s="60">
        <f t="shared" si="480"/>
        <v>114364.75050000001</v>
      </c>
      <c r="FR94" s="59">
        <f t="shared" si="481"/>
        <v>378066.99220290006</v>
      </c>
      <c r="FS94" s="55">
        <f t="shared" si="482"/>
        <v>111315.02382</v>
      </c>
      <c r="FT94" s="59">
        <f t="shared" si="483"/>
        <v>367985.20574415603</v>
      </c>
      <c r="FU94" s="60">
        <f t="shared" si="484"/>
        <v>108265.29714</v>
      </c>
      <c r="FV94" s="59">
        <f t="shared" si="485"/>
        <v>357903.419285412</v>
      </c>
      <c r="FW94" s="60">
        <f t="shared" si="486"/>
        <v>105215.57046</v>
      </c>
      <c r="FX94" s="59">
        <f t="shared" si="487"/>
        <v>347821.63282666804</v>
      </c>
      <c r="FY94" s="60">
        <f t="shared" si="488"/>
        <v>102165.84378</v>
      </c>
      <c r="FZ94" s="59">
        <f t="shared" si="489"/>
        <v>337739.84636792401</v>
      </c>
      <c r="GA94" s="60">
        <f t="shared" si="490"/>
        <v>99116.117099999989</v>
      </c>
      <c r="GB94" s="59">
        <f t="shared" si="491"/>
        <v>327658.05990917998</v>
      </c>
      <c r="GC94" s="55">
        <f t="shared" si="492"/>
        <v>96066.390419999982</v>
      </c>
      <c r="GD94" s="59">
        <f t="shared" si="493"/>
        <v>317576.27345043595</v>
      </c>
      <c r="GE94" s="60">
        <f t="shared" si="494"/>
        <v>93016.663739999989</v>
      </c>
      <c r="GF94" s="59">
        <f t="shared" si="495"/>
        <v>307494.48699169199</v>
      </c>
      <c r="GG94" s="60">
        <f t="shared" si="496"/>
        <v>89966.937059999982</v>
      </c>
      <c r="GH94" s="59">
        <f t="shared" si="497"/>
        <v>297412.70053294796</v>
      </c>
      <c r="GI94" s="55">
        <f t="shared" si="498"/>
        <v>86917.210379999975</v>
      </c>
      <c r="GJ94" s="59">
        <f t="shared" si="499"/>
        <v>287330.91407420393</v>
      </c>
      <c r="GK94" s="55"/>
      <c r="GL94" s="55"/>
      <c r="GM94" s="55">
        <v>1</v>
      </c>
      <c r="GN94" s="55">
        <v>0.97</v>
      </c>
      <c r="GO94" s="55">
        <v>0.95</v>
      </c>
      <c r="GP94" s="55">
        <v>0.93</v>
      </c>
      <c r="GQ94" s="55">
        <f t="shared" si="508"/>
        <v>0.91</v>
      </c>
      <c r="GR94" s="55">
        <f t="shared" si="508"/>
        <v>0.89</v>
      </c>
      <c r="GS94" s="55">
        <f t="shared" si="508"/>
        <v>0.87</v>
      </c>
      <c r="GT94" s="55">
        <f t="shared" si="508"/>
        <v>0.85</v>
      </c>
      <c r="GU94" s="55">
        <f t="shared" si="508"/>
        <v>0.83</v>
      </c>
      <c r="GV94" s="55">
        <f t="shared" si="508"/>
        <v>0.80999999999999994</v>
      </c>
      <c r="GW94" s="55">
        <f t="shared" si="508"/>
        <v>0.78999999999999992</v>
      </c>
      <c r="GX94" s="55">
        <f t="shared" si="508"/>
        <v>0.76999999999999991</v>
      </c>
      <c r="GY94" s="55">
        <f t="shared" si="508"/>
        <v>0.74999999999999989</v>
      </c>
      <c r="GZ94" s="55">
        <f t="shared" si="508"/>
        <v>0.72999999999999987</v>
      </c>
      <c r="HA94" s="55">
        <f t="shared" si="508"/>
        <v>0.70999999999999985</v>
      </c>
      <c r="HB94" s="55">
        <f t="shared" si="508"/>
        <v>0.68999999999999984</v>
      </c>
      <c r="HC94" s="55">
        <f t="shared" si="508"/>
        <v>0.66999999999999982</v>
      </c>
      <c r="HD94" s="55">
        <f t="shared" si="508"/>
        <v>0.6499999999999998</v>
      </c>
      <c r="HE94" s="55">
        <f t="shared" si="508"/>
        <v>0.62999999999999978</v>
      </c>
      <c r="HF94" s="55">
        <f t="shared" si="508"/>
        <v>0.60999999999999976</v>
      </c>
      <c r="HG94" s="55">
        <f t="shared" si="508"/>
        <v>0.58999999999999975</v>
      </c>
      <c r="HH94" s="55">
        <f t="shared" si="508"/>
        <v>0.56999999999999973</v>
      </c>
    </row>
    <row r="95" spans="1:216" x14ac:dyDescent="0.3">
      <c r="A95" s="2">
        <v>27</v>
      </c>
      <c r="C95" s="27" t="s">
        <v>112</v>
      </c>
      <c r="D95" s="39">
        <f>SUM(D69:D94)</f>
        <v>223670</v>
      </c>
      <c r="E95" s="39">
        <f>SUM(E69:E94)</f>
        <v>739360</v>
      </c>
      <c r="H95" s="55">
        <f t="shared" si="509"/>
        <v>813296.00000000012</v>
      </c>
      <c r="I95" s="55">
        <f t="shared" si="510"/>
        <v>813296.00000000012</v>
      </c>
      <c r="J95" s="59">
        <f t="shared" si="511"/>
        <v>2688593.9168000002</v>
      </c>
      <c r="K95" s="55">
        <f t="shared" si="370"/>
        <v>788897.12000000011</v>
      </c>
      <c r="L95" s="59">
        <f t="shared" si="371"/>
        <v>2607936.0992960003</v>
      </c>
      <c r="M95" s="55">
        <f t="shared" si="372"/>
        <v>772631.20000000007</v>
      </c>
      <c r="N95" s="59">
        <f t="shared" si="373"/>
        <v>2554164.2209600001</v>
      </c>
      <c r="O95" s="55">
        <f t="shared" si="374"/>
        <v>756365.28000000014</v>
      </c>
      <c r="P95" s="59">
        <f t="shared" si="375"/>
        <v>2500392.3426240007</v>
      </c>
      <c r="Q95" s="57">
        <f t="shared" si="376"/>
        <v>740099.3600000001</v>
      </c>
      <c r="R95" s="59">
        <f t="shared" si="377"/>
        <v>2446620.4642880005</v>
      </c>
      <c r="S95" s="55">
        <f t="shared" si="378"/>
        <v>723833.44000000006</v>
      </c>
      <c r="T95" s="59">
        <f t="shared" si="379"/>
        <v>2392848.5859520002</v>
      </c>
      <c r="U95" s="57">
        <f t="shared" si="380"/>
        <v>707567.52000000014</v>
      </c>
      <c r="V95" s="59">
        <f t="shared" si="381"/>
        <v>2339076.7076160004</v>
      </c>
      <c r="W95" s="60">
        <f t="shared" si="382"/>
        <v>691301.60000000009</v>
      </c>
      <c r="X95" s="59">
        <f t="shared" si="383"/>
        <v>2285304.8292800002</v>
      </c>
      <c r="Y95" s="57">
        <f t="shared" si="384"/>
        <v>675035.68</v>
      </c>
      <c r="Z95" s="59">
        <f t="shared" si="385"/>
        <v>2231532.9509440004</v>
      </c>
      <c r="AA95" s="55">
        <f t="shared" si="386"/>
        <v>658769.76</v>
      </c>
      <c r="AB95" s="59">
        <f t="shared" si="387"/>
        <v>2177761.0726080001</v>
      </c>
      <c r="AC95" s="60">
        <f t="shared" si="388"/>
        <v>642503.84000000008</v>
      </c>
      <c r="AD95" s="59">
        <f t="shared" si="389"/>
        <v>2123989.1942720003</v>
      </c>
      <c r="AE95" s="60">
        <f t="shared" si="390"/>
        <v>626237.92000000004</v>
      </c>
      <c r="AF95" s="59">
        <f t="shared" si="391"/>
        <v>2070217.3159360001</v>
      </c>
      <c r="AG95" s="60">
        <f t="shared" si="392"/>
        <v>609972</v>
      </c>
      <c r="AH95" s="59">
        <f t="shared" si="393"/>
        <v>2016445.4376000001</v>
      </c>
      <c r="AI95" s="55">
        <f t="shared" si="394"/>
        <v>593706.07999999996</v>
      </c>
      <c r="AJ95" s="59">
        <f t="shared" si="395"/>
        <v>1962673.5592639998</v>
      </c>
      <c r="AK95" s="60">
        <f t="shared" si="396"/>
        <v>577440.15999999992</v>
      </c>
      <c r="AL95" s="59">
        <f t="shared" si="397"/>
        <v>1908901.6809279998</v>
      </c>
      <c r="AM95" s="60">
        <f t="shared" si="398"/>
        <v>561174.24</v>
      </c>
      <c r="AN95" s="59">
        <f t="shared" si="399"/>
        <v>1855129.802592</v>
      </c>
      <c r="AO95" s="60">
        <f t="shared" si="400"/>
        <v>544908.31999999995</v>
      </c>
      <c r="AP95" s="59">
        <f t="shared" si="401"/>
        <v>1801357.924256</v>
      </c>
      <c r="AQ95" s="60">
        <f t="shared" si="402"/>
        <v>528642.39999999991</v>
      </c>
      <c r="AR95" s="59">
        <f t="shared" si="403"/>
        <v>1747586.0459199997</v>
      </c>
      <c r="AS95" s="55">
        <f t="shared" si="404"/>
        <v>512376.47999999992</v>
      </c>
      <c r="AT95" s="59">
        <f t="shared" si="405"/>
        <v>1693814.1675839997</v>
      </c>
      <c r="AU95" s="60">
        <f t="shared" si="406"/>
        <v>496110.55999999988</v>
      </c>
      <c r="AV95" s="59">
        <f t="shared" si="407"/>
        <v>1640042.2892479997</v>
      </c>
      <c r="AW95" s="60">
        <f t="shared" si="408"/>
        <v>479844.63999999984</v>
      </c>
      <c r="AX95" s="59">
        <f t="shared" si="409"/>
        <v>1586270.4109119994</v>
      </c>
      <c r="AY95" s="55">
        <f t="shared" si="410"/>
        <v>463578.71999999986</v>
      </c>
      <c r="AZ95" s="59">
        <f t="shared" si="411"/>
        <v>1532498.5325759996</v>
      </c>
      <c r="BC95" s="55">
        <v>1</v>
      </c>
      <c r="BD95" s="55">
        <v>0.97</v>
      </c>
      <c r="BE95" s="55">
        <v>0.95</v>
      </c>
      <c r="BF95" s="55">
        <v>0.93</v>
      </c>
      <c r="BG95" s="55">
        <f t="shared" si="504"/>
        <v>0.91</v>
      </c>
      <c r="BH95" s="55">
        <f t="shared" si="504"/>
        <v>0.89</v>
      </c>
      <c r="BI95" s="55">
        <f t="shared" si="504"/>
        <v>0.87</v>
      </c>
      <c r="BJ95" s="55">
        <f t="shared" si="504"/>
        <v>0.85</v>
      </c>
      <c r="BK95" s="55">
        <f t="shared" si="504"/>
        <v>0.83</v>
      </c>
      <c r="BL95" s="55">
        <f t="shared" si="504"/>
        <v>0.80999999999999994</v>
      </c>
      <c r="BM95" s="55">
        <f t="shared" si="504"/>
        <v>0.78999999999999992</v>
      </c>
      <c r="BN95" s="55">
        <f t="shared" si="504"/>
        <v>0.76999999999999991</v>
      </c>
      <c r="BO95" s="55">
        <f t="shared" si="504"/>
        <v>0.74999999999999989</v>
      </c>
      <c r="BP95" s="55">
        <f t="shared" si="504"/>
        <v>0.72999999999999987</v>
      </c>
      <c r="BQ95" s="55">
        <f t="shared" si="504"/>
        <v>0.70999999999999985</v>
      </c>
      <c r="BR95" s="55">
        <f t="shared" si="504"/>
        <v>0.68999999999999984</v>
      </c>
      <c r="BS95" s="55">
        <f t="shared" si="504"/>
        <v>0.66999999999999982</v>
      </c>
      <c r="BT95" s="55">
        <f t="shared" si="504"/>
        <v>0.6499999999999998</v>
      </c>
      <c r="BU95" s="55">
        <f t="shared" si="504"/>
        <v>0.62999999999999978</v>
      </c>
      <c r="BV95" s="55">
        <f t="shared" si="504"/>
        <v>0.60999999999999976</v>
      </c>
      <c r="BW95" s="55">
        <f t="shared" si="504"/>
        <v>0.58999999999999975</v>
      </c>
      <c r="BX95" s="55">
        <f t="shared" si="504"/>
        <v>0.56999999999999973</v>
      </c>
      <c r="BZ95" s="55">
        <f t="shared" si="512"/>
        <v>740099.3600000001</v>
      </c>
      <c r="CA95" s="55">
        <f t="shared" si="513"/>
        <v>740099.3600000001</v>
      </c>
      <c r="CB95" s="59">
        <f t="shared" si="413"/>
        <v>2446620.4642880005</v>
      </c>
      <c r="CC95" s="55">
        <f t="shared" si="414"/>
        <v>717896.37920000008</v>
      </c>
      <c r="CD95" s="59">
        <f t="shared" si="415"/>
        <v>2373221.8503593602</v>
      </c>
      <c r="CE95" s="55">
        <f t="shared" si="416"/>
        <v>703094.39200000011</v>
      </c>
      <c r="CF95" s="59">
        <f t="shared" si="417"/>
        <v>2324289.4410736002</v>
      </c>
      <c r="CG95" s="55">
        <f t="shared" si="418"/>
        <v>688292.40480000013</v>
      </c>
      <c r="CH95" s="59">
        <f t="shared" si="419"/>
        <v>2275357.0317878406</v>
      </c>
      <c r="CI95" s="57">
        <f t="shared" si="420"/>
        <v>673490.41760000016</v>
      </c>
      <c r="CJ95" s="59">
        <f t="shared" si="421"/>
        <v>2226424.6225020806</v>
      </c>
      <c r="CK95" s="55">
        <f t="shared" si="422"/>
        <v>658688.43040000007</v>
      </c>
      <c r="CL95" s="59">
        <f t="shared" si="423"/>
        <v>2177492.2132163201</v>
      </c>
      <c r="CM95" s="57">
        <f t="shared" si="424"/>
        <v>643886.4432000001</v>
      </c>
      <c r="CN95" s="59">
        <f t="shared" si="425"/>
        <v>2128559.8039305606</v>
      </c>
      <c r="CO95" s="60">
        <f t="shared" si="426"/>
        <v>629084.45600000012</v>
      </c>
      <c r="CP95" s="59">
        <f t="shared" si="427"/>
        <v>2079627.3946448003</v>
      </c>
      <c r="CQ95" s="57">
        <f t="shared" si="428"/>
        <v>614282.46880000003</v>
      </c>
      <c r="CR95" s="59">
        <f t="shared" si="429"/>
        <v>2030694.9853590401</v>
      </c>
      <c r="CS95" s="55">
        <f t="shared" si="430"/>
        <v>599480.48160000006</v>
      </c>
      <c r="CT95" s="59">
        <f t="shared" si="431"/>
        <v>1981762.5760732803</v>
      </c>
      <c r="CU95" s="60">
        <f t="shared" si="432"/>
        <v>584678.49439999997</v>
      </c>
      <c r="CV95" s="59">
        <f t="shared" si="433"/>
        <v>1932830.1667875198</v>
      </c>
      <c r="CW95" s="60">
        <f t="shared" si="434"/>
        <v>569876.50719999999</v>
      </c>
      <c r="CX95" s="59">
        <f t="shared" si="435"/>
        <v>1883897.75750176</v>
      </c>
      <c r="CY95" s="60">
        <f t="shared" si="436"/>
        <v>555074.52</v>
      </c>
      <c r="CZ95" s="59">
        <f t="shared" si="437"/>
        <v>1834965.348216</v>
      </c>
      <c r="DA95" s="55">
        <f t="shared" si="438"/>
        <v>540272.53279999993</v>
      </c>
      <c r="DB95" s="59">
        <f t="shared" si="439"/>
        <v>1786032.9389302398</v>
      </c>
      <c r="DC95" s="60">
        <f t="shared" si="440"/>
        <v>525470.54559999995</v>
      </c>
      <c r="DD95" s="59">
        <f t="shared" si="441"/>
        <v>1737100.52964448</v>
      </c>
      <c r="DE95" s="60">
        <f t="shared" si="442"/>
        <v>510668.55839999992</v>
      </c>
      <c r="DF95" s="59">
        <f t="shared" si="443"/>
        <v>1688168.1203587197</v>
      </c>
      <c r="DG95" s="60">
        <f t="shared" si="444"/>
        <v>495866.57119999995</v>
      </c>
      <c r="DH95" s="59">
        <f t="shared" si="445"/>
        <v>1639235.7110729599</v>
      </c>
      <c r="DI95" s="60">
        <f t="shared" si="446"/>
        <v>481064.58399999992</v>
      </c>
      <c r="DJ95" s="59">
        <f t="shared" si="447"/>
        <v>1590303.3017871997</v>
      </c>
      <c r="DK95" s="55">
        <f t="shared" si="448"/>
        <v>466262.59679999988</v>
      </c>
      <c r="DL95" s="59">
        <f t="shared" si="449"/>
        <v>1541370.8925014397</v>
      </c>
      <c r="DM95" s="60">
        <f t="shared" si="450"/>
        <v>451460.60959999991</v>
      </c>
      <c r="DN95" s="59">
        <f t="shared" si="451"/>
        <v>1492438.4832156796</v>
      </c>
      <c r="DO95" s="60">
        <f t="shared" si="452"/>
        <v>436658.62239999988</v>
      </c>
      <c r="DP95" s="59">
        <f t="shared" si="453"/>
        <v>1443506.0739299196</v>
      </c>
      <c r="DQ95" s="55">
        <f t="shared" si="454"/>
        <v>421856.63519999984</v>
      </c>
      <c r="DR95" s="59">
        <f t="shared" si="455"/>
        <v>1394573.6646441596</v>
      </c>
      <c r="DU95" s="55">
        <v>1</v>
      </c>
      <c r="DV95" s="55">
        <v>0.97</v>
      </c>
      <c r="DW95" s="55">
        <v>0.95</v>
      </c>
      <c r="DX95" s="55">
        <v>0.93</v>
      </c>
      <c r="DY95" s="55">
        <f t="shared" si="507"/>
        <v>0.91</v>
      </c>
      <c r="DZ95" s="55">
        <f t="shared" si="507"/>
        <v>0.89</v>
      </c>
      <c r="EA95" s="55">
        <f t="shared" si="507"/>
        <v>0.87</v>
      </c>
      <c r="EB95" s="55">
        <f t="shared" si="507"/>
        <v>0.85</v>
      </c>
      <c r="EC95" s="55">
        <f t="shared" si="507"/>
        <v>0.83</v>
      </c>
      <c r="ED95" s="55">
        <f t="shared" si="507"/>
        <v>0.80999999999999994</v>
      </c>
      <c r="EE95" s="55">
        <f t="shared" si="507"/>
        <v>0.78999999999999992</v>
      </c>
      <c r="EF95" s="55">
        <f t="shared" si="507"/>
        <v>0.76999999999999991</v>
      </c>
      <c r="EG95" s="55">
        <f t="shared" si="507"/>
        <v>0.74999999999999989</v>
      </c>
      <c r="EH95" s="55">
        <f t="shared" si="507"/>
        <v>0.72999999999999987</v>
      </c>
      <c r="EI95" s="55">
        <f t="shared" si="507"/>
        <v>0.70999999999999985</v>
      </c>
      <c r="EJ95" s="55">
        <f t="shared" si="507"/>
        <v>0.68999999999999984</v>
      </c>
      <c r="EK95" s="55">
        <f t="shared" si="507"/>
        <v>0.66999999999999982</v>
      </c>
      <c r="EL95" s="55">
        <f t="shared" si="507"/>
        <v>0.6499999999999998</v>
      </c>
      <c r="EM95" s="55">
        <f t="shared" si="507"/>
        <v>0.62999999999999978</v>
      </c>
      <c r="EN95" s="55">
        <f t="shared" si="507"/>
        <v>0.60999999999999976</v>
      </c>
      <c r="EO95" s="55">
        <f t="shared" si="507"/>
        <v>0.58999999999999975</v>
      </c>
      <c r="EP95" s="55">
        <f t="shared" si="507"/>
        <v>0.56999999999999973</v>
      </c>
      <c r="ER95" s="55">
        <f t="shared" si="142"/>
        <v>673490.41760000016</v>
      </c>
      <c r="ES95" s="55">
        <f t="shared" si="514"/>
        <v>673490.41760000016</v>
      </c>
      <c r="ET95" s="59">
        <f t="shared" si="457"/>
        <v>2226424.6225020806</v>
      </c>
      <c r="EU95" s="55">
        <f t="shared" si="458"/>
        <v>653285.70507200016</v>
      </c>
      <c r="EV95" s="59">
        <f t="shared" si="459"/>
        <v>2159631.8838270181</v>
      </c>
      <c r="EW95" s="55">
        <f t="shared" si="460"/>
        <v>639815.89672000008</v>
      </c>
      <c r="EX95" s="59">
        <f t="shared" si="461"/>
        <v>2115103.3913769764</v>
      </c>
      <c r="EY95" s="55">
        <f t="shared" si="462"/>
        <v>626346.08836800023</v>
      </c>
      <c r="EZ95" s="59">
        <f t="shared" si="463"/>
        <v>2070574.8989269352</v>
      </c>
      <c r="FA95" s="57">
        <f t="shared" si="464"/>
        <v>612876.28001600015</v>
      </c>
      <c r="FB95" s="59">
        <f t="shared" si="465"/>
        <v>2026046.4064768932</v>
      </c>
      <c r="FC95" s="55">
        <f t="shared" si="466"/>
        <v>599406.47166400019</v>
      </c>
      <c r="FD95" s="59">
        <f t="shared" si="467"/>
        <v>1981517.9140268518</v>
      </c>
      <c r="FE95" s="57">
        <f t="shared" si="468"/>
        <v>585936.66331200011</v>
      </c>
      <c r="FF95" s="59">
        <f t="shared" si="469"/>
        <v>1936989.4215768101</v>
      </c>
      <c r="FG95" s="60">
        <f t="shared" si="470"/>
        <v>572466.85496000014</v>
      </c>
      <c r="FH95" s="59">
        <f t="shared" si="471"/>
        <v>1892460.9291267686</v>
      </c>
      <c r="FI95" s="57">
        <f t="shared" si="472"/>
        <v>558997.04660800006</v>
      </c>
      <c r="FJ95" s="59">
        <f t="shared" si="473"/>
        <v>1847932.4366767267</v>
      </c>
      <c r="FK95" s="55">
        <f t="shared" si="474"/>
        <v>545527.2382560001</v>
      </c>
      <c r="FL95" s="59">
        <f t="shared" si="475"/>
        <v>1803403.9442266852</v>
      </c>
      <c r="FM95" s="60">
        <f t="shared" si="476"/>
        <v>532057.42990400002</v>
      </c>
      <c r="FN95" s="59">
        <f t="shared" si="477"/>
        <v>1758875.4517766433</v>
      </c>
      <c r="FO95" s="60">
        <f t="shared" si="478"/>
        <v>518587.62155200006</v>
      </c>
      <c r="FP95" s="59">
        <f t="shared" si="479"/>
        <v>1714346.9593266018</v>
      </c>
      <c r="FQ95" s="60">
        <f t="shared" si="480"/>
        <v>505117.81320000003</v>
      </c>
      <c r="FR95" s="59">
        <f t="shared" si="481"/>
        <v>1669818.4668765601</v>
      </c>
      <c r="FS95" s="55">
        <f t="shared" si="482"/>
        <v>491648.00484800001</v>
      </c>
      <c r="FT95" s="59">
        <f t="shared" si="483"/>
        <v>1625289.9744265184</v>
      </c>
      <c r="FU95" s="60">
        <f t="shared" si="484"/>
        <v>478178.19649599999</v>
      </c>
      <c r="FV95" s="59">
        <f t="shared" si="485"/>
        <v>1580761.4819764767</v>
      </c>
      <c r="FW95" s="60">
        <f t="shared" si="486"/>
        <v>464708.38814400003</v>
      </c>
      <c r="FX95" s="59">
        <f t="shared" si="487"/>
        <v>1536232.9895264353</v>
      </c>
      <c r="FY95" s="60">
        <f t="shared" si="488"/>
        <v>451238.579792</v>
      </c>
      <c r="FZ95" s="59">
        <f t="shared" si="489"/>
        <v>1491704.4970763936</v>
      </c>
      <c r="GA95" s="60">
        <f t="shared" si="490"/>
        <v>437768.77143999998</v>
      </c>
      <c r="GB95" s="59">
        <f t="shared" si="491"/>
        <v>1447176.0046263519</v>
      </c>
      <c r="GC95" s="55">
        <f t="shared" si="492"/>
        <v>424298.96308799996</v>
      </c>
      <c r="GD95" s="59">
        <f t="shared" si="493"/>
        <v>1402647.5121763104</v>
      </c>
      <c r="GE95" s="60">
        <f t="shared" si="494"/>
        <v>410829.15473599994</v>
      </c>
      <c r="GF95" s="59">
        <f t="shared" si="495"/>
        <v>1358119.0197262687</v>
      </c>
      <c r="GG95" s="60">
        <f t="shared" si="496"/>
        <v>397359.34638399992</v>
      </c>
      <c r="GH95" s="59">
        <f t="shared" si="497"/>
        <v>1313590.527276227</v>
      </c>
      <c r="GI95" s="55">
        <f t="shared" si="498"/>
        <v>383889.53803199989</v>
      </c>
      <c r="GJ95" s="59">
        <f t="shared" si="499"/>
        <v>1269062.0348261853</v>
      </c>
      <c r="GK95" s="55"/>
      <c r="GL95" s="55"/>
      <c r="GM95" s="55">
        <v>1</v>
      </c>
      <c r="GN95" s="55">
        <v>0.97</v>
      </c>
      <c r="GO95" s="55">
        <v>0.95</v>
      </c>
      <c r="GP95" s="55">
        <v>0.93</v>
      </c>
      <c r="GQ95" s="55">
        <f t="shared" si="508"/>
        <v>0.91</v>
      </c>
      <c r="GR95" s="55">
        <f t="shared" si="508"/>
        <v>0.89</v>
      </c>
      <c r="GS95" s="55">
        <f t="shared" si="508"/>
        <v>0.87</v>
      </c>
      <c r="GT95" s="55">
        <f t="shared" si="508"/>
        <v>0.85</v>
      </c>
      <c r="GU95" s="55">
        <f t="shared" si="508"/>
        <v>0.83</v>
      </c>
      <c r="GV95" s="55">
        <f t="shared" si="508"/>
        <v>0.80999999999999994</v>
      </c>
      <c r="GW95" s="55">
        <f t="shared" si="508"/>
        <v>0.78999999999999992</v>
      </c>
      <c r="GX95" s="55">
        <f t="shared" si="508"/>
        <v>0.76999999999999991</v>
      </c>
      <c r="GY95" s="55">
        <f t="shared" si="508"/>
        <v>0.74999999999999989</v>
      </c>
      <c r="GZ95" s="55">
        <f t="shared" si="508"/>
        <v>0.72999999999999987</v>
      </c>
      <c r="HA95" s="55">
        <f t="shared" si="508"/>
        <v>0.70999999999999985</v>
      </c>
      <c r="HB95" s="55">
        <f t="shared" si="508"/>
        <v>0.68999999999999984</v>
      </c>
      <c r="HC95" s="55">
        <f t="shared" si="508"/>
        <v>0.66999999999999982</v>
      </c>
      <c r="HD95" s="55">
        <f t="shared" si="508"/>
        <v>0.6499999999999998</v>
      </c>
      <c r="HE95" s="55">
        <f t="shared" si="508"/>
        <v>0.62999999999999978</v>
      </c>
      <c r="HF95" s="55">
        <f t="shared" si="508"/>
        <v>0.60999999999999976</v>
      </c>
      <c r="HG95" s="55">
        <f t="shared" si="508"/>
        <v>0.58999999999999975</v>
      </c>
      <c r="HH95" s="55">
        <f t="shared" si="508"/>
        <v>0.56999999999999973</v>
      </c>
    </row>
    <row r="96" spans="1:216" s="64" customFormat="1" x14ac:dyDescent="0.3">
      <c r="C96" s="65"/>
      <c r="D96" s="65"/>
      <c r="E96" s="65"/>
      <c r="G96" s="61"/>
      <c r="H96" s="61"/>
      <c r="I96" s="61"/>
      <c r="J96" s="61"/>
      <c r="K96" s="61"/>
      <c r="L96" s="61"/>
      <c r="M96" s="61"/>
      <c r="N96" s="61"/>
      <c r="O96" s="61"/>
      <c r="P96" s="62"/>
      <c r="Q96" s="61"/>
      <c r="R96" s="61"/>
      <c r="S96" s="61"/>
      <c r="T96" s="62"/>
      <c r="U96" s="61"/>
      <c r="V96" s="63"/>
      <c r="W96" s="61"/>
      <c r="X96" s="62"/>
      <c r="Y96" s="61"/>
      <c r="Z96" s="61"/>
      <c r="AA96" s="61"/>
      <c r="AB96" s="63"/>
      <c r="AC96" s="61"/>
      <c r="AD96" s="63"/>
      <c r="AE96" s="61"/>
      <c r="AF96" s="63"/>
      <c r="AG96" s="61"/>
      <c r="AH96" s="61"/>
      <c r="AI96" s="61"/>
      <c r="AJ96" s="63"/>
      <c r="AK96" s="61"/>
      <c r="AL96" s="63"/>
      <c r="AM96" s="61"/>
      <c r="AN96" s="63"/>
      <c r="AO96" s="61"/>
      <c r="AP96" s="63"/>
      <c r="AQ96" s="61"/>
      <c r="AR96" s="61"/>
      <c r="AS96" s="61"/>
      <c r="AT96" s="63"/>
      <c r="AU96" s="61"/>
      <c r="AV96" s="63"/>
      <c r="AW96" s="61"/>
      <c r="AX96" s="61"/>
      <c r="AY96" s="61"/>
      <c r="AZ96" s="61"/>
      <c r="BA96" s="61"/>
      <c r="BB96" s="61"/>
      <c r="BC96" s="61"/>
      <c r="BD96" s="61"/>
      <c r="BE96" s="61"/>
      <c r="BF96" s="61"/>
      <c r="BG96" s="61"/>
      <c r="BH96" s="61"/>
      <c r="BI96" s="61"/>
      <c r="BJ96" s="61"/>
      <c r="BK96" s="61"/>
      <c r="BL96" s="61"/>
      <c r="BM96" s="61"/>
      <c r="BN96" s="61"/>
      <c r="BO96" s="61"/>
      <c r="BP96" s="61"/>
      <c r="BQ96" s="61"/>
      <c r="BR96" s="61"/>
      <c r="BS96" s="61"/>
      <c r="BT96" s="61"/>
      <c r="BU96" s="61"/>
      <c r="BV96" s="61"/>
      <c r="BW96" s="61"/>
      <c r="BX96" s="61"/>
      <c r="BY96" s="61">
        <f t="shared" ref="BY96:BY97" si="515">+G96*0.91</f>
        <v>0</v>
      </c>
      <c r="BZ96" s="61"/>
      <c r="CA96" s="61"/>
      <c r="CB96" s="61"/>
      <c r="CC96" s="61"/>
      <c r="CD96" s="61"/>
      <c r="CE96" s="61"/>
      <c r="CF96" s="61"/>
      <c r="CG96" s="61"/>
      <c r="CH96" s="62"/>
      <c r="CI96" s="61"/>
      <c r="CJ96" s="61"/>
      <c r="CK96" s="61"/>
      <c r="CL96" s="62"/>
      <c r="CM96" s="61"/>
      <c r="CN96" s="63"/>
      <c r="CO96" s="61"/>
      <c r="CP96" s="62"/>
      <c r="CQ96" s="61"/>
      <c r="CR96" s="61"/>
      <c r="CS96" s="61"/>
      <c r="CT96" s="63"/>
      <c r="CU96" s="61"/>
      <c r="CV96" s="63"/>
      <c r="CW96" s="61"/>
      <c r="CX96" s="63"/>
      <c r="CY96" s="61"/>
      <c r="CZ96" s="61"/>
      <c r="DA96" s="61"/>
      <c r="DB96" s="63"/>
      <c r="DC96" s="61"/>
      <c r="DD96" s="63"/>
      <c r="DE96" s="61"/>
      <c r="DF96" s="63"/>
      <c r="DG96" s="61"/>
      <c r="DH96" s="63"/>
      <c r="DI96" s="61"/>
      <c r="DJ96" s="61"/>
      <c r="DK96" s="61"/>
      <c r="DL96" s="63"/>
      <c r="DM96" s="61"/>
      <c r="DN96" s="63"/>
      <c r="DO96" s="61"/>
      <c r="DP96" s="61"/>
      <c r="DQ96" s="61"/>
      <c r="DR96" s="61"/>
      <c r="DS96" s="61"/>
      <c r="DT96" s="61">
        <v>1</v>
      </c>
      <c r="DU96" s="61">
        <v>0.97</v>
      </c>
      <c r="DV96" s="61">
        <v>0.95</v>
      </c>
      <c r="DW96" s="61">
        <v>0.93</v>
      </c>
      <c r="DX96" s="61">
        <f t="shared" ref="DX96:EO97" si="516">+DW96-0.02</f>
        <v>0.91</v>
      </c>
      <c r="DY96" s="61">
        <f t="shared" si="516"/>
        <v>0.89</v>
      </c>
      <c r="DZ96" s="61">
        <f t="shared" si="516"/>
        <v>0.87</v>
      </c>
      <c r="EA96" s="61">
        <f t="shared" si="516"/>
        <v>0.85</v>
      </c>
      <c r="EB96" s="61">
        <f t="shared" si="516"/>
        <v>0.83</v>
      </c>
      <c r="EC96" s="61">
        <f t="shared" si="516"/>
        <v>0.80999999999999994</v>
      </c>
      <c r="ED96" s="61">
        <f t="shared" si="516"/>
        <v>0.78999999999999992</v>
      </c>
      <c r="EE96" s="61">
        <f t="shared" si="516"/>
        <v>0.76999999999999991</v>
      </c>
      <c r="EF96" s="61">
        <f t="shared" si="516"/>
        <v>0.74999999999999989</v>
      </c>
      <c r="EG96" s="61">
        <f t="shared" si="516"/>
        <v>0.72999999999999987</v>
      </c>
      <c r="EH96" s="61">
        <f t="shared" si="516"/>
        <v>0.70999999999999985</v>
      </c>
      <c r="EI96" s="61">
        <f t="shared" si="516"/>
        <v>0.68999999999999984</v>
      </c>
      <c r="EJ96" s="61">
        <f t="shared" si="516"/>
        <v>0.66999999999999982</v>
      </c>
      <c r="EK96" s="61">
        <f t="shared" si="516"/>
        <v>0.6499999999999998</v>
      </c>
      <c r="EL96" s="61">
        <f t="shared" si="516"/>
        <v>0.62999999999999978</v>
      </c>
      <c r="EM96" s="61">
        <f t="shared" si="516"/>
        <v>0.60999999999999976</v>
      </c>
      <c r="EN96" s="61">
        <f t="shared" si="516"/>
        <v>0.58999999999999975</v>
      </c>
      <c r="EO96" s="61">
        <f t="shared" si="516"/>
        <v>0.56999999999999973</v>
      </c>
      <c r="EQ96" s="61">
        <f t="shared" ref="EQ96:EQ97" si="517">+BY96*0.91</f>
        <v>0</v>
      </c>
      <c r="ER96" s="61"/>
      <c r="ES96" s="61"/>
      <c r="ET96" s="61"/>
      <c r="EU96" s="61"/>
      <c r="EV96" s="61"/>
      <c r="EW96" s="61"/>
      <c r="EX96" s="61"/>
      <c r="EY96" s="61"/>
      <c r="EZ96" s="62"/>
      <c r="FA96" s="61"/>
      <c r="FB96" s="61"/>
      <c r="FC96" s="61"/>
      <c r="FD96" s="62"/>
      <c r="FE96" s="61"/>
      <c r="FF96" s="63"/>
      <c r="FG96" s="61"/>
      <c r="FH96" s="62"/>
      <c r="FI96" s="61"/>
      <c r="FJ96" s="61"/>
      <c r="FK96" s="61"/>
      <c r="FL96" s="63"/>
      <c r="FM96" s="61"/>
      <c r="FN96" s="63"/>
      <c r="FO96" s="61"/>
      <c r="FP96" s="63"/>
      <c r="FQ96" s="61"/>
      <c r="FR96" s="61"/>
      <c r="FS96" s="61"/>
      <c r="FT96" s="63"/>
      <c r="FU96" s="61"/>
      <c r="FV96" s="63"/>
      <c r="FW96" s="61"/>
      <c r="FX96" s="63"/>
      <c r="FY96" s="61"/>
      <c r="FZ96" s="63"/>
      <c r="GA96" s="61"/>
      <c r="GB96" s="61"/>
      <c r="GC96" s="61"/>
      <c r="GD96" s="63"/>
      <c r="GE96" s="61"/>
      <c r="GF96" s="63"/>
      <c r="GG96" s="61"/>
      <c r="GH96" s="61"/>
      <c r="GI96" s="61"/>
      <c r="GJ96" s="61"/>
      <c r="GK96" s="61"/>
      <c r="GL96" s="61">
        <v>1</v>
      </c>
      <c r="GM96" s="61">
        <v>0.97</v>
      </c>
      <c r="GN96" s="61">
        <v>0.95</v>
      </c>
      <c r="GO96" s="61">
        <v>0.93</v>
      </c>
      <c r="GP96" s="61">
        <f t="shared" ref="GP96:HG97" si="518">+GO96-0.02</f>
        <v>0.91</v>
      </c>
      <c r="GQ96" s="61">
        <f t="shared" si="518"/>
        <v>0.89</v>
      </c>
      <c r="GR96" s="61">
        <f t="shared" si="518"/>
        <v>0.87</v>
      </c>
      <c r="GS96" s="61">
        <f t="shared" si="518"/>
        <v>0.85</v>
      </c>
      <c r="GT96" s="61">
        <f t="shared" si="518"/>
        <v>0.83</v>
      </c>
      <c r="GU96" s="61">
        <f t="shared" si="518"/>
        <v>0.80999999999999994</v>
      </c>
      <c r="GV96" s="61">
        <f t="shared" si="518"/>
        <v>0.78999999999999992</v>
      </c>
      <c r="GW96" s="61">
        <f t="shared" si="518"/>
        <v>0.76999999999999991</v>
      </c>
      <c r="GX96" s="61">
        <f t="shared" si="518"/>
        <v>0.74999999999999989</v>
      </c>
      <c r="GY96" s="61">
        <f t="shared" si="518"/>
        <v>0.72999999999999987</v>
      </c>
      <c r="GZ96" s="61">
        <f t="shared" si="518"/>
        <v>0.70999999999999985</v>
      </c>
      <c r="HA96" s="61">
        <f t="shared" si="518"/>
        <v>0.68999999999999984</v>
      </c>
      <c r="HB96" s="61">
        <f t="shared" si="518"/>
        <v>0.66999999999999982</v>
      </c>
      <c r="HC96" s="61">
        <f t="shared" si="518"/>
        <v>0.6499999999999998</v>
      </c>
      <c r="HD96" s="61">
        <f t="shared" si="518"/>
        <v>0.62999999999999978</v>
      </c>
      <c r="HE96" s="61">
        <f t="shared" si="518"/>
        <v>0.60999999999999976</v>
      </c>
      <c r="HF96" s="61">
        <f t="shared" si="518"/>
        <v>0.58999999999999975</v>
      </c>
      <c r="HG96" s="61">
        <f t="shared" si="518"/>
        <v>0.56999999999999973</v>
      </c>
    </row>
    <row r="97" spans="1:216" s="64" customFormat="1" ht="17.25" thickBot="1" x14ac:dyDescent="0.35">
      <c r="B97" s="64" t="s">
        <v>298</v>
      </c>
      <c r="C97" s="64" t="s">
        <v>297</v>
      </c>
      <c r="D97" s="65" t="s">
        <v>271</v>
      </c>
      <c r="E97" s="65" t="s">
        <v>154</v>
      </c>
      <c r="G97" s="61"/>
      <c r="H97" s="61"/>
      <c r="I97" s="61"/>
      <c r="J97" s="61"/>
      <c r="K97" s="61"/>
      <c r="L97" s="61"/>
      <c r="M97" s="61"/>
      <c r="N97" s="61"/>
      <c r="O97" s="61"/>
      <c r="P97" s="62"/>
      <c r="Q97" s="61"/>
      <c r="R97" s="61"/>
      <c r="S97" s="61"/>
      <c r="T97" s="62"/>
      <c r="U97" s="61"/>
      <c r="V97" s="63"/>
      <c r="W97" s="61"/>
      <c r="X97" s="62"/>
      <c r="Y97" s="61"/>
      <c r="Z97" s="61"/>
      <c r="AA97" s="61"/>
      <c r="AB97" s="63"/>
      <c r="AC97" s="61"/>
      <c r="AD97" s="63"/>
      <c r="AE97" s="61"/>
      <c r="AF97" s="63"/>
      <c r="AG97" s="61"/>
      <c r="AH97" s="61"/>
      <c r="AI97" s="61"/>
      <c r="AJ97" s="63"/>
      <c r="AK97" s="61"/>
      <c r="AL97" s="63"/>
      <c r="AM97" s="61"/>
      <c r="AN97" s="63"/>
      <c r="AO97" s="61"/>
      <c r="AP97" s="63"/>
      <c r="AQ97" s="61"/>
      <c r="AR97" s="61"/>
      <c r="AS97" s="61"/>
      <c r="AT97" s="63"/>
      <c r="AU97" s="61"/>
      <c r="AV97" s="63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61"/>
      <c r="BI97" s="61"/>
      <c r="BJ97" s="61"/>
      <c r="BK97" s="61"/>
      <c r="BL97" s="61"/>
      <c r="BM97" s="61"/>
      <c r="BN97" s="61"/>
      <c r="BO97" s="61"/>
      <c r="BP97" s="61"/>
      <c r="BQ97" s="61"/>
      <c r="BR97" s="61"/>
      <c r="BS97" s="61"/>
      <c r="BT97" s="61"/>
      <c r="BU97" s="61"/>
      <c r="BV97" s="61"/>
      <c r="BW97" s="61"/>
      <c r="BX97" s="61"/>
      <c r="BY97" s="61">
        <f t="shared" si="515"/>
        <v>0</v>
      </c>
      <c r="BZ97" s="61"/>
      <c r="CA97" s="61"/>
      <c r="CB97" s="61"/>
      <c r="CC97" s="61"/>
      <c r="CD97" s="61"/>
      <c r="CE97" s="61"/>
      <c r="CF97" s="61"/>
      <c r="CG97" s="61"/>
      <c r="CH97" s="62"/>
      <c r="CI97" s="61"/>
      <c r="CJ97" s="61"/>
      <c r="CK97" s="61"/>
      <c r="CL97" s="62"/>
      <c r="CM97" s="61"/>
      <c r="CN97" s="63"/>
      <c r="CO97" s="61"/>
      <c r="CP97" s="62"/>
      <c r="CQ97" s="61"/>
      <c r="CR97" s="61"/>
      <c r="CS97" s="61"/>
      <c r="CT97" s="63"/>
      <c r="CU97" s="61"/>
      <c r="CV97" s="63"/>
      <c r="CW97" s="61"/>
      <c r="CX97" s="63"/>
      <c r="CY97" s="61"/>
      <c r="CZ97" s="61"/>
      <c r="DA97" s="61"/>
      <c r="DB97" s="63"/>
      <c r="DC97" s="61"/>
      <c r="DD97" s="63"/>
      <c r="DE97" s="61"/>
      <c r="DF97" s="63"/>
      <c r="DG97" s="61"/>
      <c r="DH97" s="63"/>
      <c r="DI97" s="61"/>
      <c r="DJ97" s="61"/>
      <c r="DK97" s="61"/>
      <c r="DL97" s="63"/>
      <c r="DM97" s="61"/>
      <c r="DN97" s="63"/>
      <c r="DO97" s="61"/>
      <c r="DP97" s="61"/>
      <c r="DQ97" s="61"/>
      <c r="DR97" s="61"/>
      <c r="DS97" s="61"/>
      <c r="DT97" s="61">
        <v>1</v>
      </c>
      <c r="DU97" s="61">
        <v>0.97</v>
      </c>
      <c r="DV97" s="61">
        <v>0.95</v>
      </c>
      <c r="DW97" s="61">
        <v>0.93</v>
      </c>
      <c r="DX97" s="61">
        <f t="shared" si="516"/>
        <v>0.91</v>
      </c>
      <c r="DY97" s="61">
        <f t="shared" si="516"/>
        <v>0.89</v>
      </c>
      <c r="DZ97" s="61">
        <f t="shared" si="516"/>
        <v>0.87</v>
      </c>
      <c r="EA97" s="61">
        <f t="shared" si="516"/>
        <v>0.85</v>
      </c>
      <c r="EB97" s="61">
        <f t="shared" si="516"/>
        <v>0.83</v>
      </c>
      <c r="EC97" s="61">
        <f t="shared" si="516"/>
        <v>0.80999999999999994</v>
      </c>
      <c r="ED97" s="61">
        <f t="shared" si="516"/>
        <v>0.78999999999999992</v>
      </c>
      <c r="EE97" s="61">
        <f t="shared" si="516"/>
        <v>0.76999999999999991</v>
      </c>
      <c r="EF97" s="61">
        <f t="shared" si="516"/>
        <v>0.74999999999999989</v>
      </c>
      <c r="EG97" s="61">
        <f t="shared" si="516"/>
        <v>0.72999999999999987</v>
      </c>
      <c r="EH97" s="61">
        <f t="shared" si="516"/>
        <v>0.70999999999999985</v>
      </c>
      <c r="EI97" s="61">
        <f t="shared" si="516"/>
        <v>0.68999999999999984</v>
      </c>
      <c r="EJ97" s="61">
        <f t="shared" si="516"/>
        <v>0.66999999999999982</v>
      </c>
      <c r="EK97" s="61">
        <f t="shared" si="516"/>
        <v>0.6499999999999998</v>
      </c>
      <c r="EL97" s="61">
        <f t="shared" si="516"/>
        <v>0.62999999999999978</v>
      </c>
      <c r="EM97" s="61">
        <f t="shared" si="516"/>
        <v>0.60999999999999976</v>
      </c>
      <c r="EN97" s="61">
        <f t="shared" si="516"/>
        <v>0.58999999999999975</v>
      </c>
      <c r="EO97" s="61">
        <f t="shared" si="516"/>
        <v>0.56999999999999973</v>
      </c>
      <c r="EQ97" s="61">
        <f t="shared" si="517"/>
        <v>0</v>
      </c>
      <c r="ER97" s="61"/>
      <c r="ES97" s="61"/>
      <c r="ET97" s="61"/>
      <c r="EU97" s="61"/>
      <c r="EV97" s="61"/>
      <c r="EW97" s="61"/>
      <c r="EX97" s="61"/>
      <c r="EY97" s="61"/>
      <c r="EZ97" s="62"/>
      <c r="FA97" s="61"/>
      <c r="FB97" s="61"/>
      <c r="FC97" s="61"/>
      <c r="FD97" s="62"/>
      <c r="FE97" s="61"/>
      <c r="FF97" s="63"/>
      <c r="FG97" s="61"/>
      <c r="FH97" s="62"/>
      <c r="FI97" s="61"/>
      <c r="FJ97" s="61"/>
      <c r="FK97" s="61"/>
      <c r="FL97" s="63"/>
      <c r="FM97" s="61"/>
      <c r="FN97" s="63"/>
      <c r="FO97" s="61"/>
      <c r="FP97" s="63"/>
      <c r="FQ97" s="61"/>
      <c r="FR97" s="61"/>
      <c r="FS97" s="61"/>
      <c r="FT97" s="63"/>
      <c r="FU97" s="61"/>
      <c r="FV97" s="63"/>
      <c r="FW97" s="61"/>
      <c r="FX97" s="63"/>
      <c r="FY97" s="61"/>
      <c r="FZ97" s="63"/>
      <c r="GA97" s="61"/>
      <c r="GB97" s="61"/>
      <c r="GC97" s="61"/>
      <c r="GD97" s="63"/>
      <c r="GE97" s="61"/>
      <c r="GF97" s="63"/>
      <c r="GG97" s="61"/>
      <c r="GH97" s="61"/>
      <c r="GI97" s="61"/>
      <c r="GJ97" s="61"/>
      <c r="GK97" s="61"/>
      <c r="GL97" s="61">
        <v>1</v>
      </c>
      <c r="GM97" s="61">
        <v>0.97</v>
      </c>
      <c r="GN97" s="61">
        <v>0.95</v>
      </c>
      <c r="GO97" s="61">
        <v>0.93</v>
      </c>
      <c r="GP97" s="61">
        <f t="shared" si="518"/>
        <v>0.91</v>
      </c>
      <c r="GQ97" s="61">
        <f t="shared" si="518"/>
        <v>0.89</v>
      </c>
      <c r="GR97" s="61">
        <f t="shared" si="518"/>
        <v>0.87</v>
      </c>
      <c r="GS97" s="61">
        <f t="shared" si="518"/>
        <v>0.85</v>
      </c>
      <c r="GT97" s="61">
        <f t="shared" si="518"/>
        <v>0.83</v>
      </c>
      <c r="GU97" s="61">
        <f t="shared" si="518"/>
        <v>0.80999999999999994</v>
      </c>
      <c r="GV97" s="61">
        <f t="shared" si="518"/>
        <v>0.78999999999999992</v>
      </c>
      <c r="GW97" s="61">
        <f t="shared" si="518"/>
        <v>0.76999999999999991</v>
      </c>
      <c r="GX97" s="61">
        <f t="shared" si="518"/>
        <v>0.74999999999999989</v>
      </c>
      <c r="GY97" s="61">
        <f t="shared" si="518"/>
        <v>0.72999999999999987</v>
      </c>
      <c r="GZ97" s="61">
        <f t="shared" si="518"/>
        <v>0.70999999999999985</v>
      </c>
      <c r="HA97" s="61">
        <f t="shared" si="518"/>
        <v>0.68999999999999984</v>
      </c>
      <c r="HB97" s="61">
        <f t="shared" si="518"/>
        <v>0.66999999999999982</v>
      </c>
      <c r="HC97" s="61">
        <f t="shared" si="518"/>
        <v>0.6499999999999998</v>
      </c>
      <c r="HD97" s="61">
        <f t="shared" si="518"/>
        <v>0.62999999999999978</v>
      </c>
      <c r="HE97" s="61">
        <f t="shared" si="518"/>
        <v>0.60999999999999976</v>
      </c>
      <c r="HF97" s="61">
        <f t="shared" si="518"/>
        <v>0.58999999999999975</v>
      </c>
      <c r="HG97" s="61">
        <f t="shared" si="518"/>
        <v>0.56999999999999973</v>
      </c>
    </row>
    <row r="98" spans="1:216" x14ac:dyDescent="0.3">
      <c r="A98" s="2">
        <v>1</v>
      </c>
      <c r="C98" s="38" t="s">
        <v>39</v>
      </c>
      <c r="D98" s="40">
        <f>TRUNC(5578,-1)</f>
        <v>5570</v>
      </c>
      <c r="E98" s="70">
        <f t="shared" ref="E98:E118" si="519">TRUNC(+D98*3.3058,-1)</f>
        <v>18410</v>
      </c>
      <c r="H98" s="55">
        <f t="shared" si="509"/>
        <v>20251</v>
      </c>
      <c r="I98" s="55">
        <f t="shared" si="510"/>
        <v>20251</v>
      </c>
      <c r="J98" s="59">
        <f t="shared" si="511"/>
        <v>66945.755799999999</v>
      </c>
      <c r="K98" s="55">
        <f t="shared" ref="K98:K119" si="520">+I98*BD98</f>
        <v>19643.47</v>
      </c>
      <c r="L98" s="59">
        <f t="shared" ref="L98:L119" si="521">+K98*3.3058</f>
        <v>64937.383126000008</v>
      </c>
      <c r="M98" s="55">
        <f t="shared" ref="M98:M119" si="522">+I98*BE98</f>
        <v>19238.45</v>
      </c>
      <c r="N98" s="59">
        <f t="shared" ref="N98:N119" si="523">+M98*3.3058</f>
        <v>63598.468010000004</v>
      </c>
      <c r="O98" s="55">
        <f t="shared" ref="O98:O119" si="524">+I98*BF98</f>
        <v>18833.43</v>
      </c>
      <c r="P98" s="59">
        <f t="shared" ref="P98:P119" si="525">+O98*3.3058</f>
        <v>62259.552894</v>
      </c>
      <c r="Q98" s="57">
        <f t="shared" ref="Q98:Q119" si="526">+I98*BG98</f>
        <v>18428.41</v>
      </c>
      <c r="R98" s="59">
        <f t="shared" ref="R98:R119" si="527">+Q98*3.3058</f>
        <v>60920.637778000004</v>
      </c>
      <c r="S98" s="55">
        <f t="shared" ref="S98:S119" si="528">+I98*BH98</f>
        <v>18023.39</v>
      </c>
      <c r="T98" s="59">
        <f t="shared" ref="T98:T119" si="529">+S98*3.3058</f>
        <v>59581.722662</v>
      </c>
      <c r="U98" s="57">
        <f t="shared" ref="U98:U119" si="530">+I98*BI98</f>
        <v>17618.37</v>
      </c>
      <c r="V98" s="59">
        <f t="shared" ref="V98:V119" si="531">+U98*3.3058</f>
        <v>58242.807545999996</v>
      </c>
      <c r="W98" s="60">
        <f t="shared" ref="W98:W119" si="532">+I98*BJ98</f>
        <v>17213.349999999999</v>
      </c>
      <c r="X98" s="59">
        <f t="shared" ref="X98:X119" si="533">+W98*3.3058</f>
        <v>56903.89243</v>
      </c>
      <c r="Y98" s="57">
        <f t="shared" ref="Y98:Y119" si="534">+I98*BK98</f>
        <v>16808.329999999998</v>
      </c>
      <c r="Z98" s="59">
        <f t="shared" ref="Z98:Z119" si="535">+Y98*3.3058</f>
        <v>55564.977313999996</v>
      </c>
      <c r="AA98" s="55">
        <f t="shared" ref="AA98:AA119" si="536">+I98*BL98</f>
        <v>16403.309999999998</v>
      </c>
      <c r="AB98" s="59">
        <f t="shared" ref="AB98:AB119" si="537">+AA98*3.3058</f>
        <v>54226.062197999992</v>
      </c>
      <c r="AC98" s="60">
        <f t="shared" ref="AC98:AC119" si="538">+I98*BM98</f>
        <v>15998.289999999999</v>
      </c>
      <c r="AD98" s="59">
        <f t="shared" ref="AD98:AD119" si="539">+AC98*3.3058</f>
        <v>52887.147081999996</v>
      </c>
      <c r="AE98" s="60">
        <f t="shared" ref="AE98:AE119" si="540">+I98*BN98</f>
        <v>15593.269999999999</v>
      </c>
      <c r="AF98" s="59">
        <f t="shared" ref="AF98:AF119" si="541">+AE98*3.3058</f>
        <v>51548.231965999999</v>
      </c>
      <c r="AG98" s="60">
        <f t="shared" ref="AG98:AG119" si="542">+I98*BO98</f>
        <v>15188.249999999998</v>
      </c>
      <c r="AH98" s="59">
        <f t="shared" ref="AH98:AH119" si="543">+AG98*3.3058</f>
        <v>50209.316849999996</v>
      </c>
      <c r="AI98" s="55">
        <f t="shared" ref="AI98:AI119" si="544">+I98*BP98</f>
        <v>14783.229999999998</v>
      </c>
      <c r="AJ98" s="59">
        <f t="shared" ref="AJ98:AJ119" si="545">+AI98*3.3058</f>
        <v>48870.401733999992</v>
      </c>
      <c r="AK98" s="60">
        <f t="shared" ref="AK98:AK119" si="546">+I98*BQ98</f>
        <v>14378.209999999997</v>
      </c>
      <c r="AL98" s="59">
        <f t="shared" ref="AL98:AL119" si="547">+AK98*3.3058</f>
        <v>47531.486617999995</v>
      </c>
      <c r="AM98" s="60">
        <f t="shared" ref="AM98:AM119" si="548">+I98*BR98</f>
        <v>13973.189999999997</v>
      </c>
      <c r="AN98" s="59">
        <f t="shared" ref="AN98:AN119" si="549">+AM98*3.3058</f>
        <v>46192.571501999992</v>
      </c>
      <c r="AO98" s="60">
        <f t="shared" ref="AO98:AO119" si="550">+I98*BS98</f>
        <v>13568.169999999996</v>
      </c>
      <c r="AP98" s="59">
        <f t="shared" ref="AP98:AP119" si="551">+AO98*3.3058</f>
        <v>44853.656385999988</v>
      </c>
      <c r="AQ98" s="60">
        <f t="shared" ref="AQ98:AQ119" si="552">+I98*BT98</f>
        <v>13163.149999999996</v>
      </c>
      <c r="AR98" s="59">
        <f t="shared" ref="AR98:AR119" si="553">+AQ98*3.3058</f>
        <v>43514.741269999991</v>
      </c>
      <c r="AS98" s="55">
        <f t="shared" ref="AS98:AS119" si="554">+I98*BU98</f>
        <v>12758.129999999996</v>
      </c>
      <c r="AT98" s="59">
        <f t="shared" ref="AT98:AT119" si="555">+AS98*3.3058</f>
        <v>42175.826153999988</v>
      </c>
      <c r="AU98" s="60">
        <f t="shared" ref="AU98:AU119" si="556">+I98*BV98</f>
        <v>12353.109999999995</v>
      </c>
      <c r="AV98" s="59">
        <f t="shared" ref="AV98:AV119" si="557">+AU98*3.3058</f>
        <v>40836.911037999984</v>
      </c>
      <c r="AW98" s="60">
        <f t="shared" ref="AW98:AW119" si="558">+I98*BW98</f>
        <v>11948.089999999995</v>
      </c>
      <c r="AX98" s="59">
        <f t="shared" ref="AX98:AX119" si="559">+AW98*3.3058</f>
        <v>39497.99592199998</v>
      </c>
      <c r="AY98" s="55">
        <f t="shared" ref="AY98:AY119" si="560">+I98*BX98</f>
        <v>11543.069999999994</v>
      </c>
      <c r="AZ98" s="59">
        <f t="shared" ref="AZ98:AZ119" si="561">+AY98*3.3058</f>
        <v>38159.080805999984</v>
      </c>
      <c r="BC98" s="55">
        <v>1</v>
      </c>
      <c r="BD98" s="55">
        <v>0.97</v>
      </c>
      <c r="BE98" s="55">
        <v>0.95</v>
      </c>
      <c r="BF98" s="55">
        <v>0.93</v>
      </c>
      <c r="BG98" s="55">
        <f t="shared" ref="BG98:BX112" si="562">+BF98-0.02</f>
        <v>0.91</v>
      </c>
      <c r="BH98" s="55">
        <f t="shared" si="562"/>
        <v>0.89</v>
      </c>
      <c r="BI98" s="55">
        <f t="shared" si="562"/>
        <v>0.87</v>
      </c>
      <c r="BJ98" s="55">
        <f t="shared" si="562"/>
        <v>0.85</v>
      </c>
      <c r="BK98" s="55">
        <f t="shared" si="562"/>
        <v>0.83</v>
      </c>
      <c r="BL98" s="55">
        <f t="shared" si="562"/>
        <v>0.80999999999999994</v>
      </c>
      <c r="BM98" s="55">
        <f t="shared" si="562"/>
        <v>0.78999999999999992</v>
      </c>
      <c r="BN98" s="55">
        <f t="shared" si="562"/>
        <v>0.76999999999999991</v>
      </c>
      <c r="BO98" s="55">
        <f t="shared" si="562"/>
        <v>0.74999999999999989</v>
      </c>
      <c r="BP98" s="55">
        <f t="shared" si="562"/>
        <v>0.72999999999999987</v>
      </c>
      <c r="BQ98" s="55">
        <f t="shared" si="562"/>
        <v>0.70999999999999985</v>
      </c>
      <c r="BR98" s="55">
        <f t="shared" si="562"/>
        <v>0.68999999999999984</v>
      </c>
      <c r="BS98" s="55">
        <f t="shared" si="562"/>
        <v>0.66999999999999982</v>
      </c>
      <c r="BT98" s="55">
        <f t="shared" si="562"/>
        <v>0.6499999999999998</v>
      </c>
      <c r="BU98" s="55">
        <f t="shared" si="562"/>
        <v>0.62999999999999978</v>
      </c>
      <c r="BV98" s="55">
        <f t="shared" si="562"/>
        <v>0.60999999999999976</v>
      </c>
      <c r="BW98" s="55">
        <f t="shared" si="562"/>
        <v>0.58999999999999975</v>
      </c>
      <c r="BX98" s="55">
        <f t="shared" si="562"/>
        <v>0.56999999999999973</v>
      </c>
      <c r="BZ98" s="55">
        <f t="shared" si="512"/>
        <v>18428.41</v>
      </c>
      <c r="CA98" s="55">
        <f t="shared" si="513"/>
        <v>18428.41</v>
      </c>
      <c r="CB98" s="59">
        <f t="shared" ref="CB98:CB119" si="563">+CA98*3.3058</f>
        <v>60920.637778000004</v>
      </c>
      <c r="CC98" s="55">
        <f t="shared" ref="CC98:CC119" si="564">+CA98*DV98</f>
        <v>17875.557699999998</v>
      </c>
      <c r="CD98" s="59">
        <f t="shared" ref="CD98:CD119" si="565">+CC98*3.3058</f>
        <v>59093.018644659991</v>
      </c>
      <c r="CE98" s="55">
        <f t="shared" ref="CE98:CE119" si="566">+CA98*DW98</f>
        <v>17506.9895</v>
      </c>
      <c r="CF98" s="59">
        <f t="shared" ref="CF98:CF119" si="567">+CE98*3.3058</f>
        <v>57874.605889099999</v>
      </c>
      <c r="CG98" s="55">
        <f t="shared" ref="CG98:CG119" si="568">+CA98*DX98</f>
        <v>17138.421300000002</v>
      </c>
      <c r="CH98" s="59">
        <f t="shared" ref="CH98:CH119" si="569">+CG98*3.3058</f>
        <v>56656.193133540008</v>
      </c>
      <c r="CI98" s="57">
        <f t="shared" ref="CI98:CI119" si="570">+CA98*DY98</f>
        <v>16769.8531</v>
      </c>
      <c r="CJ98" s="59">
        <f t="shared" ref="CJ98:CJ119" si="571">+CI98*3.3058</f>
        <v>55437.780377980002</v>
      </c>
      <c r="CK98" s="55">
        <f t="shared" ref="CK98:CK119" si="572">+CA98*DZ98</f>
        <v>16401.284899999999</v>
      </c>
      <c r="CL98" s="59">
        <f t="shared" ref="CL98:CL119" si="573">+CK98*3.3058</f>
        <v>54219.367622419995</v>
      </c>
      <c r="CM98" s="57">
        <f t="shared" ref="CM98:CM119" si="574">+CA98*EA98</f>
        <v>16032.716699999999</v>
      </c>
      <c r="CN98" s="59">
        <f t="shared" ref="CN98:CN119" si="575">+CM98*3.3058</f>
        <v>53000.954866859996</v>
      </c>
      <c r="CO98" s="60">
        <f t="shared" ref="CO98:CO119" si="576">+CA98*EB98</f>
        <v>15664.148499999999</v>
      </c>
      <c r="CP98" s="59">
        <f t="shared" ref="CP98:CP119" si="577">+CO98*3.3058</f>
        <v>51782.542111299997</v>
      </c>
      <c r="CQ98" s="57">
        <f t="shared" ref="CQ98:CQ119" si="578">+CA98*EC98</f>
        <v>15295.5803</v>
      </c>
      <c r="CR98" s="59">
        <f t="shared" ref="CR98:CR119" si="579">+CQ98*3.3058</f>
        <v>50564.129355739999</v>
      </c>
      <c r="CS98" s="55">
        <f t="shared" ref="CS98:CS119" si="580">+CA98*ED98</f>
        <v>14927.012099999998</v>
      </c>
      <c r="CT98" s="59">
        <f t="shared" ref="CT98:CT119" si="581">+CS98*3.3058</f>
        <v>49345.716600179992</v>
      </c>
      <c r="CU98" s="60">
        <f t="shared" ref="CU98:CU119" si="582">+CA98*EE98</f>
        <v>14558.443899999998</v>
      </c>
      <c r="CV98" s="59">
        <f t="shared" ref="CV98:CV119" si="583">+CU98*3.3058</f>
        <v>48127.303844619993</v>
      </c>
      <c r="CW98" s="60">
        <f t="shared" ref="CW98:CW119" si="584">+CA98*EF98</f>
        <v>14189.875699999999</v>
      </c>
      <c r="CX98" s="59">
        <f t="shared" ref="CX98:CX119" si="585">+CW98*3.3058</f>
        <v>46908.891089059995</v>
      </c>
      <c r="CY98" s="60">
        <f t="shared" ref="CY98:CY119" si="586">+CA98*EG98</f>
        <v>13821.307499999997</v>
      </c>
      <c r="CZ98" s="59">
        <f t="shared" ref="CZ98:CZ119" si="587">+CY98*3.3058</f>
        <v>45690.478333499988</v>
      </c>
      <c r="DA98" s="55">
        <f t="shared" ref="DA98:DA119" si="588">+CA98*EH98</f>
        <v>13452.739299999997</v>
      </c>
      <c r="DB98" s="59">
        <f t="shared" ref="DB98:DB119" si="589">+DA98*3.3058</f>
        <v>44472.065577939989</v>
      </c>
      <c r="DC98" s="60">
        <f t="shared" ref="DC98:DC119" si="590">+CA98*EI98</f>
        <v>13084.171099999998</v>
      </c>
      <c r="DD98" s="59">
        <f t="shared" ref="DD98:DD119" si="591">+DC98*3.3058</f>
        <v>43253.652822379991</v>
      </c>
      <c r="DE98" s="60">
        <f t="shared" ref="DE98:DE119" si="592">+CA98*EJ98</f>
        <v>12715.602899999996</v>
      </c>
      <c r="DF98" s="59">
        <f t="shared" ref="DF98:DF119" si="593">+DE98*3.3058</f>
        <v>42035.240066819992</v>
      </c>
      <c r="DG98" s="60">
        <f t="shared" ref="DG98:DG119" si="594">+CA98*EK98</f>
        <v>12347.034699999997</v>
      </c>
      <c r="DH98" s="59">
        <f t="shared" ref="DH98:DH119" si="595">+DG98*3.3058</f>
        <v>40816.827311259993</v>
      </c>
      <c r="DI98" s="60">
        <f t="shared" ref="DI98:DI119" si="596">+CA98*EL98</f>
        <v>11978.466499999997</v>
      </c>
      <c r="DJ98" s="59">
        <f t="shared" ref="DJ98:DJ119" si="597">+DI98*3.3058</f>
        <v>39598.414555699994</v>
      </c>
      <c r="DK98" s="55">
        <f t="shared" ref="DK98:DK119" si="598">+CA98*EM98</f>
        <v>11609.898299999995</v>
      </c>
      <c r="DL98" s="59">
        <f t="shared" ref="DL98:DL119" si="599">+DK98*3.3058</f>
        <v>38380.001800139988</v>
      </c>
      <c r="DM98" s="60">
        <f t="shared" ref="DM98:DM119" si="600">+CA98*EN98</f>
        <v>11241.330099999996</v>
      </c>
      <c r="DN98" s="59">
        <f t="shared" ref="DN98:DN119" si="601">+DM98*3.3058</f>
        <v>37161.589044579989</v>
      </c>
      <c r="DO98" s="60">
        <f t="shared" ref="DO98:DO119" si="602">+CA98*EO98</f>
        <v>10872.761899999996</v>
      </c>
      <c r="DP98" s="59">
        <f t="shared" ref="DP98:DP119" si="603">+DO98*3.3058</f>
        <v>35943.17628901999</v>
      </c>
      <c r="DQ98" s="55">
        <f t="shared" ref="DQ98:DQ119" si="604">+CA98*EP98</f>
        <v>10504.193699999994</v>
      </c>
      <c r="DR98" s="59">
        <f t="shared" ref="DR98:DR119" si="605">+DQ98*3.3058</f>
        <v>34724.763533459984</v>
      </c>
      <c r="DU98" s="55">
        <v>1</v>
      </c>
      <c r="DV98" s="55">
        <v>0.97</v>
      </c>
      <c r="DW98" s="55">
        <v>0.95</v>
      </c>
      <c r="DX98" s="55">
        <v>0.93</v>
      </c>
      <c r="DY98" s="55">
        <f t="shared" si="507"/>
        <v>0.91</v>
      </c>
      <c r="DZ98" s="55">
        <f t="shared" si="507"/>
        <v>0.89</v>
      </c>
      <c r="EA98" s="55">
        <f t="shared" si="507"/>
        <v>0.87</v>
      </c>
      <c r="EB98" s="55">
        <f t="shared" si="507"/>
        <v>0.85</v>
      </c>
      <c r="EC98" s="55">
        <f t="shared" si="507"/>
        <v>0.83</v>
      </c>
      <c r="ED98" s="55">
        <f t="shared" si="507"/>
        <v>0.80999999999999994</v>
      </c>
      <c r="EE98" s="55">
        <f t="shared" si="507"/>
        <v>0.78999999999999992</v>
      </c>
      <c r="EF98" s="55">
        <f t="shared" si="507"/>
        <v>0.76999999999999991</v>
      </c>
      <c r="EG98" s="55">
        <f t="shared" si="507"/>
        <v>0.74999999999999989</v>
      </c>
      <c r="EH98" s="55">
        <f t="shared" si="507"/>
        <v>0.72999999999999987</v>
      </c>
      <c r="EI98" s="55">
        <f t="shared" si="507"/>
        <v>0.70999999999999985</v>
      </c>
      <c r="EJ98" s="55">
        <f t="shared" si="507"/>
        <v>0.68999999999999984</v>
      </c>
      <c r="EK98" s="55">
        <f t="shared" si="507"/>
        <v>0.66999999999999982</v>
      </c>
      <c r="EL98" s="55">
        <f t="shared" si="507"/>
        <v>0.6499999999999998</v>
      </c>
      <c r="EM98" s="55">
        <f t="shared" si="507"/>
        <v>0.62999999999999978</v>
      </c>
      <c r="EN98" s="55">
        <f t="shared" si="507"/>
        <v>0.60999999999999976</v>
      </c>
      <c r="EO98" s="55">
        <f t="shared" si="507"/>
        <v>0.58999999999999975</v>
      </c>
      <c r="EP98" s="55">
        <f t="shared" si="507"/>
        <v>0.56999999999999973</v>
      </c>
      <c r="ER98" s="55">
        <f t="shared" si="142"/>
        <v>16769.8531</v>
      </c>
      <c r="ES98" s="55">
        <f t="shared" si="514"/>
        <v>16769.8531</v>
      </c>
      <c r="ET98" s="59">
        <f t="shared" ref="ET98:ET119" si="606">+ES98*3.3058</f>
        <v>55437.780377980002</v>
      </c>
      <c r="EU98" s="55">
        <f t="shared" ref="EU98:EU119" si="607">+ES98*GN98</f>
        <v>16266.757507</v>
      </c>
      <c r="EV98" s="59">
        <f t="shared" ref="EV98:EV119" si="608">+EU98*3.3058</f>
        <v>53774.646966640605</v>
      </c>
      <c r="EW98" s="55">
        <f t="shared" ref="EW98:EW119" si="609">+ES98*GO98</f>
        <v>15931.360445</v>
      </c>
      <c r="EX98" s="59">
        <f t="shared" ref="EX98:EX119" si="610">+EW98*3.3058</f>
        <v>52665.891359081004</v>
      </c>
      <c r="EY98" s="55">
        <f t="shared" ref="EY98:EY119" si="611">+ES98*GP98</f>
        <v>15595.963383</v>
      </c>
      <c r="EZ98" s="59">
        <f t="shared" ref="EZ98:EZ119" si="612">+EY98*3.3058</f>
        <v>51557.135751521404</v>
      </c>
      <c r="FA98" s="57">
        <f t="shared" ref="FA98:FA119" si="613">+ES98*GQ98</f>
        <v>15260.566321</v>
      </c>
      <c r="FB98" s="59">
        <f t="shared" ref="FB98:FB119" si="614">+FA98*3.3058</f>
        <v>50448.380143961804</v>
      </c>
      <c r="FC98" s="55">
        <f t="shared" ref="FC98:FC119" si="615">+ES98*GR98</f>
        <v>14925.169259</v>
      </c>
      <c r="FD98" s="59">
        <f t="shared" ref="FD98:FD119" si="616">+FC98*3.3058</f>
        <v>49339.624536402203</v>
      </c>
      <c r="FE98" s="57">
        <f t="shared" ref="FE98:FE119" si="617">+ES98*GS98</f>
        <v>14589.772197</v>
      </c>
      <c r="FF98" s="59">
        <f t="shared" ref="FF98:FF119" si="618">+FE98*3.3058</f>
        <v>48230.868928842603</v>
      </c>
      <c r="FG98" s="60">
        <f t="shared" ref="FG98:FG119" si="619">+ES98*GT98</f>
        <v>14254.375135</v>
      </c>
      <c r="FH98" s="59">
        <f t="shared" ref="FH98:FH119" si="620">+FG98*3.3058</f>
        <v>47122.113321283003</v>
      </c>
      <c r="FI98" s="57">
        <f t="shared" ref="FI98:FI119" si="621">+ES98*GU98</f>
        <v>13918.978073</v>
      </c>
      <c r="FJ98" s="59">
        <f t="shared" ref="FJ98:FJ119" si="622">+FI98*3.3058</f>
        <v>46013.357713723402</v>
      </c>
      <c r="FK98" s="55">
        <f t="shared" ref="FK98:FK119" si="623">+ES98*GV98</f>
        <v>13583.581010999998</v>
      </c>
      <c r="FL98" s="59">
        <f t="shared" ref="FL98:FL119" si="624">+FK98*3.3058</f>
        <v>44904.602106163795</v>
      </c>
      <c r="FM98" s="60">
        <f t="shared" ref="FM98:FM119" si="625">+ES98*GW98</f>
        <v>13248.183948999998</v>
      </c>
      <c r="FN98" s="59">
        <f t="shared" ref="FN98:FN119" si="626">+FM98*3.3058</f>
        <v>43795.846498604194</v>
      </c>
      <c r="FO98" s="60">
        <f t="shared" ref="FO98:FO119" si="627">+ES98*GX98</f>
        <v>12912.786886999998</v>
      </c>
      <c r="FP98" s="59">
        <f t="shared" ref="FP98:FP119" si="628">+FO98*3.3058</f>
        <v>42687.090891044594</v>
      </c>
      <c r="FQ98" s="60">
        <f t="shared" ref="FQ98:FQ119" si="629">+ES98*GY98</f>
        <v>12577.389824999998</v>
      </c>
      <c r="FR98" s="59">
        <f t="shared" ref="FR98:FR119" si="630">+FQ98*3.3058</f>
        <v>41578.335283484994</v>
      </c>
      <c r="FS98" s="55">
        <f t="shared" ref="FS98:FS119" si="631">+ES98*GZ98</f>
        <v>12241.992762999998</v>
      </c>
      <c r="FT98" s="59">
        <f t="shared" ref="FT98:FT119" si="632">+FS98*3.3058</f>
        <v>40469.579675925394</v>
      </c>
      <c r="FU98" s="60">
        <f t="shared" ref="FU98:FU119" si="633">+ES98*HA98</f>
        <v>11906.595700999998</v>
      </c>
      <c r="FV98" s="59">
        <f t="shared" ref="FV98:FV119" si="634">+FU98*3.3058</f>
        <v>39360.824068365793</v>
      </c>
      <c r="FW98" s="60">
        <f t="shared" ref="FW98:FW119" si="635">+ES98*HB98</f>
        <v>11571.198638999997</v>
      </c>
      <c r="FX98" s="59">
        <f t="shared" ref="FX98:FX119" si="636">+FW98*3.3058</f>
        <v>38252.068460806193</v>
      </c>
      <c r="FY98" s="60">
        <f t="shared" ref="FY98:FY119" si="637">+ES98*HC98</f>
        <v>11235.801576999997</v>
      </c>
      <c r="FZ98" s="59">
        <f t="shared" ref="FZ98:FZ119" si="638">+FY98*3.3058</f>
        <v>37143.312853246593</v>
      </c>
      <c r="GA98" s="60">
        <f t="shared" ref="GA98:GA119" si="639">+ES98*HD98</f>
        <v>10900.404514999997</v>
      </c>
      <c r="GB98" s="59">
        <f t="shared" ref="GB98:GB119" si="640">+GA98*3.3058</f>
        <v>36034.557245686992</v>
      </c>
      <c r="GC98" s="55">
        <f t="shared" ref="GC98:GC119" si="641">+ES98*HE98</f>
        <v>10565.007452999997</v>
      </c>
      <c r="GD98" s="59">
        <f t="shared" ref="GD98:GD119" si="642">+GC98*3.3058</f>
        <v>34925.801638127392</v>
      </c>
      <c r="GE98" s="60">
        <f t="shared" ref="GE98:GE119" si="643">+ES98*HF98</f>
        <v>10229.610390999997</v>
      </c>
      <c r="GF98" s="59">
        <f t="shared" ref="GF98:GF119" si="644">+GE98*3.3058</f>
        <v>33817.046030567792</v>
      </c>
      <c r="GG98" s="60">
        <f t="shared" ref="GG98:GG119" si="645">+ES98*HG98</f>
        <v>9894.2133289999965</v>
      </c>
      <c r="GH98" s="59">
        <f t="shared" ref="GH98:GH119" si="646">+GG98*3.3058</f>
        <v>32708.290423008188</v>
      </c>
      <c r="GI98" s="55">
        <f t="shared" ref="GI98:GI119" si="647">+ES98*HH98</f>
        <v>9558.8162669999965</v>
      </c>
      <c r="GJ98" s="59">
        <f t="shared" ref="GJ98:GJ119" si="648">+GI98*3.3058</f>
        <v>31599.534815448591</v>
      </c>
      <c r="GK98" s="55"/>
      <c r="GL98" s="55"/>
      <c r="GM98" s="55">
        <v>1</v>
      </c>
      <c r="GN98" s="55">
        <v>0.97</v>
      </c>
      <c r="GO98" s="55">
        <v>0.95</v>
      </c>
      <c r="GP98" s="55">
        <v>0.93</v>
      </c>
      <c r="GQ98" s="55">
        <f t="shared" si="508"/>
        <v>0.91</v>
      </c>
      <c r="GR98" s="55">
        <f t="shared" si="508"/>
        <v>0.89</v>
      </c>
      <c r="GS98" s="55">
        <f t="shared" si="508"/>
        <v>0.87</v>
      </c>
      <c r="GT98" s="55">
        <f t="shared" si="508"/>
        <v>0.85</v>
      </c>
      <c r="GU98" s="55">
        <f t="shared" si="508"/>
        <v>0.83</v>
      </c>
      <c r="GV98" s="55">
        <f t="shared" si="508"/>
        <v>0.80999999999999994</v>
      </c>
      <c r="GW98" s="55">
        <f t="shared" si="508"/>
        <v>0.78999999999999992</v>
      </c>
      <c r="GX98" s="55">
        <f t="shared" si="508"/>
        <v>0.76999999999999991</v>
      </c>
      <c r="GY98" s="55">
        <f t="shared" si="508"/>
        <v>0.74999999999999989</v>
      </c>
      <c r="GZ98" s="55">
        <f t="shared" si="508"/>
        <v>0.72999999999999987</v>
      </c>
      <c r="HA98" s="55">
        <f t="shared" si="508"/>
        <v>0.70999999999999985</v>
      </c>
      <c r="HB98" s="55">
        <f t="shared" si="508"/>
        <v>0.68999999999999984</v>
      </c>
      <c r="HC98" s="55">
        <f t="shared" si="508"/>
        <v>0.66999999999999982</v>
      </c>
      <c r="HD98" s="55">
        <f t="shared" si="508"/>
        <v>0.6499999999999998</v>
      </c>
      <c r="HE98" s="55">
        <f t="shared" si="508"/>
        <v>0.62999999999999978</v>
      </c>
      <c r="HF98" s="55">
        <f t="shared" si="508"/>
        <v>0.60999999999999976</v>
      </c>
      <c r="HG98" s="55">
        <f t="shared" si="508"/>
        <v>0.58999999999999975</v>
      </c>
      <c r="HH98" s="55">
        <f t="shared" si="508"/>
        <v>0.56999999999999973</v>
      </c>
    </row>
    <row r="99" spans="1:216" x14ac:dyDescent="0.3">
      <c r="A99" s="2">
        <v>2</v>
      </c>
      <c r="C99" s="38" t="s">
        <v>40</v>
      </c>
      <c r="D99" s="42">
        <f>TRUNC(2452,-1)</f>
        <v>2450</v>
      </c>
      <c r="E99" s="71">
        <f t="shared" si="519"/>
        <v>8090</v>
      </c>
      <c r="H99" s="55">
        <f t="shared" si="509"/>
        <v>8899</v>
      </c>
      <c r="I99" s="55">
        <f t="shared" si="510"/>
        <v>8899</v>
      </c>
      <c r="J99" s="59">
        <f t="shared" si="511"/>
        <v>29418.314200000001</v>
      </c>
      <c r="K99" s="55">
        <f t="shared" si="520"/>
        <v>8632.0300000000007</v>
      </c>
      <c r="L99" s="59">
        <f t="shared" si="521"/>
        <v>28535.764774000003</v>
      </c>
      <c r="M99" s="55">
        <f t="shared" si="522"/>
        <v>8454.0499999999993</v>
      </c>
      <c r="N99" s="59">
        <f t="shared" si="523"/>
        <v>27947.39849</v>
      </c>
      <c r="O99" s="55">
        <f t="shared" si="524"/>
        <v>8276.07</v>
      </c>
      <c r="P99" s="59">
        <f t="shared" si="525"/>
        <v>27359.032206</v>
      </c>
      <c r="Q99" s="57">
        <f t="shared" si="526"/>
        <v>8098.09</v>
      </c>
      <c r="R99" s="59">
        <f t="shared" si="527"/>
        <v>26770.665922</v>
      </c>
      <c r="S99" s="55">
        <f t="shared" si="528"/>
        <v>7920.11</v>
      </c>
      <c r="T99" s="59">
        <f t="shared" si="529"/>
        <v>26182.299638</v>
      </c>
      <c r="U99" s="57">
        <f t="shared" si="530"/>
        <v>7742.13</v>
      </c>
      <c r="V99" s="59">
        <f t="shared" si="531"/>
        <v>25593.933354000001</v>
      </c>
      <c r="W99" s="60">
        <f t="shared" si="532"/>
        <v>7564.15</v>
      </c>
      <c r="X99" s="59">
        <f t="shared" si="533"/>
        <v>25005.567070000001</v>
      </c>
      <c r="Y99" s="57">
        <f t="shared" si="534"/>
        <v>7386.17</v>
      </c>
      <c r="Z99" s="59">
        <f t="shared" si="535"/>
        <v>24417.200786000001</v>
      </c>
      <c r="AA99" s="55">
        <f t="shared" si="536"/>
        <v>7208.19</v>
      </c>
      <c r="AB99" s="59">
        <f t="shared" si="537"/>
        <v>23828.834501999998</v>
      </c>
      <c r="AC99" s="60">
        <f t="shared" si="538"/>
        <v>7030.2099999999991</v>
      </c>
      <c r="AD99" s="59">
        <f t="shared" si="539"/>
        <v>23240.468217999998</v>
      </c>
      <c r="AE99" s="60">
        <f t="shared" si="540"/>
        <v>6852.23</v>
      </c>
      <c r="AF99" s="59">
        <f t="shared" si="541"/>
        <v>22652.101933999998</v>
      </c>
      <c r="AG99" s="60">
        <f t="shared" si="542"/>
        <v>6674.2499999999991</v>
      </c>
      <c r="AH99" s="59">
        <f t="shared" si="543"/>
        <v>22063.735649999999</v>
      </c>
      <c r="AI99" s="55">
        <f t="shared" si="544"/>
        <v>6496.2699999999986</v>
      </c>
      <c r="AJ99" s="59">
        <f t="shared" si="545"/>
        <v>21475.369365999995</v>
      </c>
      <c r="AK99" s="60">
        <f t="shared" si="546"/>
        <v>6318.2899999999991</v>
      </c>
      <c r="AL99" s="59">
        <f t="shared" si="547"/>
        <v>20887.003081999996</v>
      </c>
      <c r="AM99" s="60">
        <f t="shared" si="548"/>
        <v>6140.3099999999986</v>
      </c>
      <c r="AN99" s="59">
        <f t="shared" si="549"/>
        <v>20298.636797999996</v>
      </c>
      <c r="AO99" s="60">
        <f t="shared" si="550"/>
        <v>5962.3299999999981</v>
      </c>
      <c r="AP99" s="59">
        <f t="shared" si="551"/>
        <v>19710.270513999993</v>
      </c>
      <c r="AQ99" s="60">
        <f t="shared" si="552"/>
        <v>5784.3499999999985</v>
      </c>
      <c r="AR99" s="59">
        <f t="shared" si="553"/>
        <v>19121.904229999996</v>
      </c>
      <c r="AS99" s="55">
        <f t="shared" si="554"/>
        <v>5606.3699999999981</v>
      </c>
      <c r="AT99" s="59">
        <f t="shared" si="555"/>
        <v>18533.537945999993</v>
      </c>
      <c r="AU99" s="60">
        <f t="shared" si="556"/>
        <v>5428.3899999999976</v>
      </c>
      <c r="AV99" s="59">
        <f t="shared" si="557"/>
        <v>17945.171661999993</v>
      </c>
      <c r="AW99" s="60">
        <f t="shared" si="558"/>
        <v>5250.409999999998</v>
      </c>
      <c r="AX99" s="59">
        <f t="shared" si="559"/>
        <v>17356.805377999994</v>
      </c>
      <c r="AY99" s="55">
        <f t="shared" si="560"/>
        <v>5072.4299999999976</v>
      </c>
      <c r="AZ99" s="59">
        <f t="shared" si="561"/>
        <v>16768.439093999994</v>
      </c>
      <c r="BC99" s="55">
        <v>1</v>
      </c>
      <c r="BD99" s="55">
        <v>0.97</v>
      </c>
      <c r="BE99" s="55">
        <v>0.95</v>
      </c>
      <c r="BF99" s="55">
        <v>0.93</v>
      </c>
      <c r="BG99" s="55">
        <f t="shared" si="562"/>
        <v>0.91</v>
      </c>
      <c r="BH99" s="55">
        <f t="shared" si="562"/>
        <v>0.89</v>
      </c>
      <c r="BI99" s="55">
        <f t="shared" si="562"/>
        <v>0.87</v>
      </c>
      <c r="BJ99" s="55">
        <f t="shared" si="562"/>
        <v>0.85</v>
      </c>
      <c r="BK99" s="55">
        <f t="shared" si="562"/>
        <v>0.83</v>
      </c>
      <c r="BL99" s="55">
        <f t="shared" si="562"/>
        <v>0.80999999999999994</v>
      </c>
      <c r="BM99" s="55">
        <f t="shared" si="562"/>
        <v>0.78999999999999992</v>
      </c>
      <c r="BN99" s="55">
        <f t="shared" si="562"/>
        <v>0.76999999999999991</v>
      </c>
      <c r="BO99" s="55">
        <f t="shared" si="562"/>
        <v>0.74999999999999989</v>
      </c>
      <c r="BP99" s="55">
        <f t="shared" si="562"/>
        <v>0.72999999999999987</v>
      </c>
      <c r="BQ99" s="55">
        <f t="shared" si="562"/>
        <v>0.70999999999999985</v>
      </c>
      <c r="BR99" s="55">
        <f t="shared" si="562"/>
        <v>0.68999999999999984</v>
      </c>
      <c r="BS99" s="55">
        <f t="shared" si="562"/>
        <v>0.66999999999999982</v>
      </c>
      <c r="BT99" s="55">
        <f t="shared" si="562"/>
        <v>0.6499999999999998</v>
      </c>
      <c r="BU99" s="55">
        <f t="shared" si="562"/>
        <v>0.62999999999999978</v>
      </c>
      <c r="BV99" s="55">
        <f t="shared" si="562"/>
        <v>0.60999999999999976</v>
      </c>
      <c r="BW99" s="55">
        <f t="shared" si="562"/>
        <v>0.58999999999999975</v>
      </c>
      <c r="BX99" s="55">
        <f t="shared" si="562"/>
        <v>0.56999999999999973</v>
      </c>
      <c r="BZ99" s="55">
        <f t="shared" si="512"/>
        <v>8098.09</v>
      </c>
      <c r="CA99" s="55">
        <f t="shared" si="513"/>
        <v>8098.09</v>
      </c>
      <c r="CB99" s="59">
        <f t="shared" si="563"/>
        <v>26770.665922</v>
      </c>
      <c r="CC99" s="55">
        <f t="shared" si="564"/>
        <v>7855.1472999999996</v>
      </c>
      <c r="CD99" s="59">
        <f t="shared" si="565"/>
        <v>25967.54594434</v>
      </c>
      <c r="CE99" s="55">
        <f t="shared" si="566"/>
        <v>7693.1854999999996</v>
      </c>
      <c r="CF99" s="59">
        <f t="shared" si="567"/>
        <v>25432.132625899998</v>
      </c>
      <c r="CG99" s="55">
        <f t="shared" si="568"/>
        <v>7531.2237000000005</v>
      </c>
      <c r="CH99" s="59">
        <f t="shared" si="569"/>
        <v>24896.719307460004</v>
      </c>
      <c r="CI99" s="57">
        <f t="shared" si="570"/>
        <v>7369.2619000000004</v>
      </c>
      <c r="CJ99" s="59">
        <f t="shared" si="571"/>
        <v>24361.305989020002</v>
      </c>
      <c r="CK99" s="55">
        <f t="shared" si="572"/>
        <v>7207.3001000000004</v>
      </c>
      <c r="CL99" s="59">
        <f t="shared" si="573"/>
        <v>23825.89267058</v>
      </c>
      <c r="CM99" s="57">
        <f t="shared" si="574"/>
        <v>7045.3383000000003</v>
      </c>
      <c r="CN99" s="59">
        <f t="shared" si="575"/>
        <v>23290.479352140002</v>
      </c>
      <c r="CO99" s="60">
        <f t="shared" si="576"/>
        <v>6883.3765000000003</v>
      </c>
      <c r="CP99" s="59">
        <f t="shared" si="577"/>
        <v>22755.066033700001</v>
      </c>
      <c r="CQ99" s="57">
        <f t="shared" si="578"/>
        <v>6721.4146999999994</v>
      </c>
      <c r="CR99" s="59">
        <f t="shared" si="579"/>
        <v>22219.652715259999</v>
      </c>
      <c r="CS99" s="55">
        <f t="shared" si="580"/>
        <v>6559.4528999999993</v>
      </c>
      <c r="CT99" s="59">
        <f t="shared" si="581"/>
        <v>21684.239396819998</v>
      </c>
      <c r="CU99" s="60">
        <f t="shared" si="582"/>
        <v>6397.4910999999993</v>
      </c>
      <c r="CV99" s="59">
        <f t="shared" si="583"/>
        <v>21148.82607838</v>
      </c>
      <c r="CW99" s="60">
        <f t="shared" si="584"/>
        <v>6235.5292999999992</v>
      </c>
      <c r="CX99" s="59">
        <f t="shared" si="585"/>
        <v>20613.412759939998</v>
      </c>
      <c r="CY99" s="60">
        <f t="shared" si="586"/>
        <v>6073.5674999999992</v>
      </c>
      <c r="CZ99" s="59">
        <f t="shared" si="587"/>
        <v>20077.999441499996</v>
      </c>
      <c r="DA99" s="55">
        <f t="shared" si="588"/>
        <v>5911.6056999999992</v>
      </c>
      <c r="DB99" s="59">
        <f t="shared" si="589"/>
        <v>19542.586123059998</v>
      </c>
      <c r="DC99" s="60">
        <f t="shared" si="590"/>
        <v>5749.6438999999991</v>
      </c>
      <c r="DD99" s="59">
        <f t="shared" si="591"/>
        <v>19007.172804619997</v>
      </c>
      <c r="DE99" s="60">
        <f t="shared" si="592"/>
        <v>5587.6820999999991</v>
      </c>
      <c r="DF99" s="59">
        <f t="shared" si="593"/>
        <v>18471.759486179999</v>
      </c>
      <c r="DG99" s="60">
        <f t="shared" si="594"/>
        <v>5425.720299999999</v>
      </c>
      <c r="DH99" s="59">
        <f t="shared" si="595"/>
        <v>17936.346167739997</v>
      </c>
      <c r="DI99" s="60">
        <f t="shared" si="596"/>
        <v>5263.7584999999981</v>
      </c>
      <c r="DJ99" s="59">
        <f t="shared" si="597"/>
        <v>17400.932849299996</v>
      </c>
      <c r="DK99" s="55">
        <f t="shared" si="598"/>
        <v>5101.7966999999981</v>
      </c>
      <c r="DL99" s="59">
        <f t="shared" si="599"/>
        <v>16865.519530859994</v>
      </c>
      <c r="DM99" s="60">
        <f t="shared" si="600"/>
        <v>4939.834899999998</v>
      </c>
      <c r="DN99" s="59">
        <f t="shared" si="601"/>
        <v>16330.106212419994</v>
      </c>
      <c r="DO99" s="60">
        <f t="shared" si="602"/>
        <v>4777.873099999998</v>
      </c>
      <c r="DP99" s="59">
        <f t="shared" si="603"/>
        <v>15794.692893979995</v>
      </c>
      <c r="DQ99" s="55">
        <f t="shared" si="604"/>
        <v>4615.9112999999979</v>
      </c>
      <c r="DR99" s="59">
        <f t="shared" si="605"/>
        <v>15259.279575539993</v>
      </c>
      <c r="DU99" s="55">
        <v>1</v>
      </c>
      <c r="DV99" s="55">
        <v>0.97</v>
      </c>
      <c r="DW99" s="55">
        <v>0.95</v>
      </c>
      <c r="DX99" s="55">
        <v>0.93</v>
      </c>
      <c r="DY99" s="55">
        <f t="shared" si="507"/>
        <v>0.91</v>
      </c>
      <c r="DZ99" s="55">
        <f t="shared" si="507"/>
        <v>0.89</v>
      </c>
      <c r="EA99" s="55">
        <f t="shared" si="507"/>
        <v>0.87</v>
      </c>
      <c r="EB99" s="55">
        <f t="shared" ref="EB99:EP99" si="649">+EA99-0.02</f>
        <v>0.85</v>
      </c>
      <c r="EC99" s="55">
        <f t="shared" si="649"/>
        <v>0.83</v>
      </c>
      <c r="ED99" s="55">
        <f t="shared" si="649"/>
        <v>0.80999999999999994</v>
      </c>
      <c r="EE99" s="55">
        <f t="shared" si="649"/>
        <v>0.78999999999999992</v>
      </c>
      <c r="EF99" s="55">
        <f t="shared" si="649"/>
        <v>0.76999999999999991</v>
      </c>
      <c r="EG99" s="55">
        <f t="shared" si="649"/>
        <v>0.74999999999999989</v>
      </c>
      <c r="EH99" s="55">
        <f t="shared" si="649"/>
        <v>0.72999999999999987</v>
      </c>
      <c r="EI99" s="55">
        <f t="shared" si="649"/>
        <v>0.70999999999999985</v>
      </c>
      <c r="EJ99" s="55">
        <f t="shared" si="649"/>
        <v>0.68999999999999984</v>
      </c>
      <c r="EK99" s="55">
        <f t="shared" si="649"/>
        <v>0.66999999999999982</v>
      </c>
      <c r="EL99" s="55">
        <f t="shared" si="649"/>
        <v>0.6499999999999998</v>
      </c>
      <c r="EM99" s="55">
        <f t="shared" si="649"/>
        <v>0.62999999999999978</v>
      </c>
      <c r="EN99" s="55">
        <f t="shared" si="649"/>
        <v>0.60999999999999976</v>
      </c>
      <c r="EO99" s="55">
        <f t="shared" si="649"/>
        <v>0.58999999999999975</v>
      </c>
      <c r="EP99" s="55">
        <f t="shared" si="649"/>
        <v>0.56999999999999973</v>
      </c>
      <c r="ER99" s="55">
        <f t="shared" si="142"/>
        <v>7369.2619000000004</v>
      </c>
      <c r="ES99" s="55">
        <f t="shared" si="514"/>
        <v>7369.2619000000004</v>
      </c>
      <c r="ET99" s="59">
        <f t="shared" si="606"/>
        <v>24361.305989020002</v>
      </c>
      <c r="EU99" s="55">
        <f t="shared" si="607"/>
        <v>7148.1840430000002</v>
      </c>
      <c r="EV99" s="59">
        <f t="shared" si="608"/>
        <v>23630.4668093494</v>
      </c>
      <c r="EW99" s="55">
        <f t="shared" si="609"/>
        <v>7000.7988050000004</v>
      </c>
      <c r="EX99" s="59">
        <f t="shared" si="610"/>
        <v>23143.240689569</v>
      </c>
      <c r="EY99" s="55">
        <f t="shared" si="611"/>
        <v>6853.4135670000005</v>
      </c>
      <c r="EZ99" s="59">
        <f t="shared" si="612"/>
        <v>22656.014569788604</v>
      </c>
      <c r="FA99" s="57">
        <f t="shared" si="613"/>
        <v>6706.0283290000007</v>
      </c>
      <c r="FB99" s="59">
        <f t="shared" si="614"/>
        <v>22168.788450008204</v>
      </c>
      <c r="FC99" s="55">
        <f t="shared" si="615"/>
        <v>6558.6430910000008</v>
      </c>
      <c r="FD99" s="59">
        <f t="shared" si="616"/>
        <v>21681.562330227804</v>
      </c>
      <c r="FE99" s="57">
        <f t="shared" si="617"/>
        <v>6411.2578530000001</v>
      </c>
      <c r="FF99" s="59">
        <f t="shared" si="618"/>
        <v>21194.3362104474</v>
      </c>
      <c r="FG99" s="60">
        <f t="shared" si="619"/>
        <v>6263.8726150000002</v>
      </c>
      <c r="FH99" s="59">
        <f t="shared" si="620"/>
        <v>20707.110090667</v>
      </c>
      <c r="FI99" s="57">
        <f t="shared" si="621"/>
        <v>6116.4873770000004</v>
      </c>
      <c r="FJ99" s="59">
        <f t="shared" si="622"/>
        <v>20219.883970886603</v>
      </c>
      <c r="FK99" s="55">
        <f t="shared" si="623"/>
        <v>5969.1021389999996</v>
      </c>
      <c r="FL99" s="59">
        <f t="shared" si="624"/>
        <v>19732.6578511062</v>
      </c>
      <c r="FM99" s="60">
        <f t="shared" si="625"/>
        <v>5821.7169009999998</v>
      </c>
      <c r="FN99" s="59">
        <f t="shared" si="626"/>
        <v>19245.4317313258</v>
      </c>
      <c r="FO99" s="60">
        <f t="shared" si="627"/>
        <v>5674.3316629999999</v>
      </c>
      <c r="FP99" s="59">
        <f t="shared" si="628"/>
        <v>18758.2056115454</v>
      </c>
      <c r="FQ99" s="60">
        <f t="shared" si="629"/>
        <v>5526.9464249999992</v>
      </c>
      <c r="FR99" s="59">
        <f t="shared" si="630"/>
        <v>18270.979491764996</v>
      </c>
      <c r="FS99" s="55">
        <f t="shared" si="631"/>
        <v>5379.5611869999993</v>
      </c>
      <c r="FT99" s="59">
        <f t="shared" si="632"/>
        <v>17783.7533719846</v>
      </c>
      <c r="FU99" s="60">
        <f t="shared" si="633"/>
        <v>5232.1759489999995</v>
      </c>
      <c r="FV99" s="59">
        <f t="shared" si="634"/>
        <v>17296.5272522042</v>
      </c>
      <c r="FW99" s="60">
        <f t="shared" si="635"/>
        <v>5084.7907109999987</v>
      </c>
      <c r="FX99" s="59">
        <f t="shared" si="636"/>
        <v>16809.301132423796</v>
      </c>
      <c r="FY99" s="60">
        <f t="shared" si="637"/>
        <v>4937.4054729999989</v>
      </c>
      <c r="FZ99" s="59">
        <f t="shared" si="638"/>
        <v>16322.075012643396</v>
      </c>
      <c r="GA99" s="60">
        <f t="shared" si="639"/>
        <v>4790.020234999999</v>
      </c>
      <c r="GB99" s="59">
        <f t="shared" si="640"/>
        <v>15834.848892862998</v>
      </c>
      <c r="GC99" s="55">
        <f t="shared" si="641"/>
        <v>4642.6349969999983</v>
      </c>
      <c r="GD99" s="59">
        <f t="shared" si="642"/>
        <v>15347.622773082594</v>
      </c>
      <c r="GE99" s="60">
        <f t="shared" si="643"/>
        <v>4495.2497589999984</v>
      </c>
      <c r="GF99" s="59">
        <f t="shared" si="644"/>
        <v>14860.396653302196</v>
      </c>
      <c r="GG99" s="60">
        <f t="shared" si="645"/>
        <v>4347.8645209999986</v>
      </c>
      <c r="GH99" s="59">
        <f t="shared" si="646"/>
        <v>14373.170533521796</v>
      </c>
      <c r="GI99" s="55">
        <f t="shared" si="647"/>
        <v>4200.4792829999978</v>
      </c>
      <c r="GJ99" s="59">
        <f t="shared" si="648"/>
        <v>13885.944413741394</v>
      </c>
      <c r="GK99" s="55"/>
      <c r="GL99" s="55"/>
      <c r="GM99" s="55">
        <v>1</v>
      </c>
      <c r="GN99" s="55">
        <v>0.97</v>
      </c>
      <c r="GO99" s="55">
        <v>0.95</v>
      </c>
      <c r="GP99" s="55">
        <v>0.93</v>
      </c>
      <c r="GQ99" s="55">
        <f t="shared" si="508"/>
        <v>0.91</v>
      </c>
      <c r="GR99" s="55">
        <f t="shared" si="508"/>
        <v>0.89</v>
      </c>
      <c r="GS99" s="55">
        <f t="shared" si="508"/>
        <v>0.87</v>
      </c>
      <c r="GT99" s="55">
        <f t="shared" ref="GT99:HH99" si="650">+GS99-0.02</f>
        <v>0.85</v>
      </c>
      <c r="GU99" s="55">
        <f t="shared" si="650"/>
        <v>0.83</v>
      </c>
      <c r="GV99" s="55">
        <f t="shared" si="650"/>
        <v>0.80999999999999994</v>
      </c>
      <c r="GW99" s="55">
        <f t="shared" si="650"/>
        <v>0.78999999999999992</v>
      </c>
      <c r="GX99" s="55">
        <f t="shared" si="650"/>
        <v>0.76999999999999991</v>
      </c>
      <c r="GY99" s="55">
        <f t="shared" si="650"/>
        <v>0.74999999999999989</v>
      </c>
      <c r="GZ99" s="55">
        <f t="shared" si="650"/>
        <v>0.72999999999999987</v>
      </c>
      <c r="HA99" s="55">
        <f t="shared" si="650"/>
        <v>0.70999999999999985</v>
      </c>
      <c r="HB99" s="55">
        <f t="shared" si="650"/>
        <v>0.68999999999999984</v>
      </c>
      <c r="HC99" s="55">
        <f t="shared" si="650"/>
        <v>0.66999999999999982</v>
      </c>
      <c r="HD99" s="55">
        <f t="shared" si="650"/>
        <v>0.6499999999999998</v>
      </c>
      <c r="HE99" s="55">
        <f t="shared" si="650"/>
        <v>0.62999999999999978</v>
      </c>
      <c r="HF99" s="55">
        <f t="shared" si="650"/>
        <v>0.60999999999999976</v>
      </c>
      <c r="HG99" s="55">
        <f t="shared" si="650"/>
        <v>0.58999999999999975</v>
      </c>
      <c r="HH99" s="55">
        <f t="shared" si="650"/>
        <v>0.56999999999999973</v>
      </c>
    </row>
    <row r="100" spans="1:216" x14ac:dyDescent="0.3">
      <c r="A100" s="2">
        <v>3</v>
      </c>
      <c r="C100" s="38" t="s">
        <v>41</v>
      </c>
      <c r="D100" s="42">
        <f>TRUNC(28092,-1)</f>
        <v>28090</v>
      </c>
      <c r="E100" s="71">
        <f t="shared" si="519"/>
        <v>92850</v>
      </c>
      <c r="H100" s="55">
        <f t="shared" si="509"/>
        <v>102135.00000000001</v>
      </c>
      <c r="I100" s="55">
        <f t="shared" si="510"/>
        <v>102135.00000000001</v>
      </c>
      <c r="J100" s="59">
        <f t="shared" si="511"/>
        <v>337637.88300000003</v>
      </c>
      <c r="K100" s="55">
        <f t="shared" si="520"/>
        <v>99070.950000000012</v>
      </c>
      <c r="L100" s="59">
        <f t="shared" si="521"/>
        <v>327508.74651000003</v>
      </c>
      <c r="M100" s="55">
        <f t="shared" si="522"/>
        <v>97028.250000000015</v>
      </c>
      <c r="N100" s="59">
        <f t="shared" si="523"/>
        <v>320755.98885000008</v>
      </c>
      <c r="O100" s="55">
        <f t="shared" si="524"/>
        <v>94985.550000000017</v>
      </c>
      <c r="P100" s="59">
        <f t="shared" si="525"/>
        <v>314003.23119000008</v>
      </c>
      <c r="Q100" s="57">
        <f t="shared" si="526"/>
        <v>92942.85000000002</v>
      </c>
      <c r="R100" s="59">
        <f t="shared" si="527"/>
        <v>307250.47353000008</v>
      </c>
      <c r="S100" s="55">
        <f t="shared" si="528"/>
        <v>90900.150000000009</v>
      </c>
      <c r="T100" s="59">
        <f t="shared" si="529"/>
        <v>300497.71587000001</v>
      </c>
      <c r="U100" s="57">
        <f t="shared" si="530"/>
        <v>88857.450000000012</v>
      </c>
      <c r="V100" s="59">
        <f t="shared" si="531"/>
        <v>293744.95821000007</v>
      </c>
      <c r="W100" s="60">
        <f t="shared" si="532"/>
        <v>86814.750000000015</v>
      </c>
      <c r="X100" s="59">
        <f t="shared" si="533"/>
        <v>286992.20055000007</v>
      </c>
      <c r="Y100" s="57">
        <f t="shared" si="534"/>
        <v>84772.05</v>
      </c>
      <c r="Z100" s="59">
        <f t="shared" si="535"/>
        <v>280239.44289000001</v>
      </c>
      <c r="AA100" s="55">
        <f t="shared" si="536"/>
        <v>82729.350000000006</v>
      </c>
      <c r="AB100" s="59">
        <f t="shared" si="537"/>
        <v>273486.68523</v>
      </c>
      <c r="AC100" s="60">
        <f t="shared" si="538"/>
        <v>80686.650000000009</v>
      </c>
      <c r="AD100" s="59">
        <f t="shared" si="539"/>
        <v>266733.92757000006</v>
      </c>
      <c r="AE100" s="60">
        <f t="shared" si="540"/>
        <v>78643.95</v>
      </c>
      <c r="AF100" s="59">
        <f t="shared" si="541"/>
        <v>259981.16991</v>
      </c>
      <c r="AG100" s="60">
        <f t="shared" si="542"/>
        <v>76601.25</v>
      </c>
      <c r="AH100" s="59">
        <f t="shared" si="543"/>
        <v>253228.41224999999</v>
      </c>
      <c r="AI100" s="55">
        <f t="shared" si="544"/>
        <v>74558.55</v>
      </c>
      <c r="AJ100" s="59">
        <f t="shared" si="545"/>
        <v>246475.65459000002</v>
      </c>
      <c r="AK100" s="60">
        <f t="shared" si="546"/>
        <v>72515.849999999991</v>
      </c>
      <c r="AL100" s="59">
        <f t="shared" si="547"/>
        <v>239722.89692999999</v>
      </c>
      <c r="AM100" s="60">
        <f t="shared" si="548"/>
        <v>70473.149999999994</v>
      </c>
      <c r="AN100" s="59">
        <f t="shared" si="549"/>
        <v>232970.13926999999</v>
      </c>
      <c r="AO100" s="60">
        <f t="shared" si="550"/>
        <v>68430.45</v>
      </c>
      <c r="AP100" s="59">
        <f t="shared" si="551"/>
        <v>226217.38160999998</v>
      </c>
      <c r="AQ100" s="60">
        <f t="shared" si="552"/>
        <v>66387.749999999985</v>
      </c>
      <c r="AR100" s="59">
        <f t="shared" si="553"/>
        <v>219464.62394999995</v>
      </c>
      <c r="AS100" s="55">
        <f t="shared" si="554"/>
        <v>64345.049999999988</v>
      </c>
      <c r="AT100" s="59">
        <f t="shared" si="555"/>
        <v>212711.86628999998</v>
      </c>
      <c r="AU100" s="60">
        <f t="shared" si="556"/>
        <v>62302.349999999984</v>
      </c>
      <c r="AV100" s="59">
        <f t="shared" si="557"/>
        <v>205959.10862999994</v>
      </c>
      <c r="AW100" s="60">
        <f t="shared" si="558"/>
        <v>60259.64999999998</v>
      </c>
      <c r="AX100" s="59">
        <f t="shared" si="559"/>
        <v>199206.35096999994</v>
      </c>
      <c r="AY100" s="55">
        <f t="shared" si="560"/>
        <v>58216.949999999983</v>
      </c>
      <c r="AZ100" s="59">
        <f t="shared" si="561"/>
        <v>192453.59330999994</v>
      </c>
      <c r="BC100" s="55">
        <v>1</v>
      </c>
      <c r="BD100" s="55">
        <v>0.97</v>
      </c>
      <c r="BE100" s="55">
        <v>0.95</v>
      </c>
      <c r="BF100" s="55">
        <v>0.93</v>
      </c>
      <c r="BG100" s="55">
        <f t="shared" si="562"/>
        <v>0.91</v>
      </c>
      <c r="BH100" s="55">
        <f t="shared" si="562"/>
        <v>0.89</v>
      </c>
      <c r="BI100" s="55">
        <f t="shared" si="562"/>
        <v>0.87</v>
      </c>
      <c r="BJ100" s="55">
        <f t="shared" si="562"/>
        <v>0.85</v>
      </c>
      <c r="BK100" s="55">
        <f t="shared" si="562"/>
        <v>0.83</v>
      </c>
      <c r="BL100" s="55">
        <f t="shared" si="562"/>
        <v>0.80999999999999994</v>
      </c>
      <c r="BM100" s="55">
        <f t="shared" si="562"/>
        <v>0.78999999999999992</v>
      </c>
      <c r="BN100" s="55">
        <f t="shared" si="562"/>
        <v>0.76999999999999991</v>
      </c>
      <c r="BO100" s="55">
        <f t="shared" si="562"/>
        <v>0.74999999999999989</v>
      </c>
      <c r="BP100" s="55">
        <f t="shared" si="562"/>
        <v>0.72999999999999987</v>
      </c>
      <c r="BQ100" s="55">
        <f t="shared" si="562"/>
        <v>0.70999999999999985</v>
      </c>
      <c r="BR100" s="55">
        <f t="shared" si="562"/>
        <v>0.68999999999999984</v>
      </c>
      <c r="BS100" s="55">
        <f t="shared" si="562"/>
        <v>0.66999999999999982</v>
      </c>
      <c r="BT100" s="55">
        <f t="shared" si="562"/>
        <v>0.6499999999999998</v>
      </c>
      <c r="BU100" s="55">
        <f t="shared" si="562"/>
        <v>0.62999999999999978</v>
      </c>
      <c r="BV100" s="55">
        <f t="shared" si="562"/>
        <v>0.60999999999999976</v>
      </c>
      <c r="BW100" s="55">
        <f t="shared" si="562"/>
        <v>0.58999999999999975</v>
      </c>
      <c r="BX100" s="55">
        <f t="shared" si="562"/>
        <v>0.56999999999999973</v>
      </c>
      <c r="BZ100" s="55">
        <f t="shared" si="512"/>
        <v>92942.85000000002</v>
      </c>
      <c r="CA100" s="55">
        <f t="shared" si="513"/>
        <v>92942.85000000002</v>
      </c>
      <c r="CB100" s="59">
        <f t="shared" si="563"/>
        <v>307250.47353000008</v>
      </c>
      <c r="CC100" s="55">
        <f t="shared" si="564"/>
        <v>90154.564500000022</v>
      </c>
      <c r="CD100" s="59">
        <f t="shared" si="565"/>
        <v>298032.95932410005</v>
      </c>
      <c r="CE100" s="55">
        <f t="shared" si="566"/>
        <v>88295.707500000019</v>
      </c>
      <c r="CF100" s="59">
        <f t="shared" si="567"/>
        <v>291887.94985350006</v>
      </c>
      <c r="CG100" s="55">
        <f t="shared" si="568"/>
        <v>86436.85050000003</v>
      </c>
      <c r="CH100" s="59">
        <f t="shared" si="569"/>
        <v>285742.94038290012</v>
      </c>
      <c r="CI100" s="57">
        <f t="shared" si="570"/>
        <v>84577.993500000026</v>
      </c>
      <c r="CJ100" s="59">
        <f t="shared" si="571"/>
        <v>279597.93091230007</v>
      </c>
      <c r="CK100" s="55">
        <f t="shared" si="572"/>
        <v>82719.136500000022</v>
      </c>
      <c r="CL100" s="59">
        <f t="shared" si="573"/>
        <v>273452.92144170008</v>
      </c>
      <c r="CM100" s="57">
        <f t="shared" si="574"/>
        <v>80860.279500000019</v>
      </c>
      <c r="CN100" s="59">
        <f t="shared" si="575"/>
        <v>267307.91197110008</v>
      </c>
      <c r="CO100" s="60">
        <f t="shared" si="576"/>
        <v>79001.422500000015</v>
      </c>
      <c r="CP100" s="59">
        <f t="shared" si="577"/>
        <v>261162.90250050006</v>
      </c>
      <c r="CQ100" s="57">
        <f t="shared" si="578"/>
        <v>77142.565500000012</v>
      </c>
      <c r="CR100" s="59">
        <f t="shared" si="579"/>
        <v>255017.89302990003</v>
      </c>
      <c r="CS100" s="55">
        <f t="shared" si="580"/>
        <v>75283.708500000008</v>
      </c>
      <c r="CT100" s="59">
        <f t="shared" si="581"/>
        <v>248872.88355930004</v>
      </c>
      <c r="CU100" s="60">
        <f t="shared" si="582"/>
        <v>73424.851500000004</v>
      </c>
      <c r="CV100" s="59">
        <f t="shared" si="583"/>
        <v>242727.87408870002</v>
      </c>
      <c r="CW100" s="60">
        <f t="shared" si="584"/>
        <v>71565.994500000001</v>
      </c>
      <c r="CX100" s="59">
        <f t="shared" si="585"/>
        <v>236582.86461809999</v>
      </c>
      <c r="CY100" s="60">
        <f t="shared" si="586"/>
        <v>69707.137500000012</v>
      </c>
      <c r="CZ100" s="59">
        <f t="shared" si="587"/>
        <v>230437.85514750006</v>
      </c>
      <c r="DA100" s="55">
        <f t="shared" si="588"/>
        <v>67848.280500000008</v>
      </c>
      <c r="DB100" s="59">
        <f t="shared" si="589"/>
        <v>224292.84567690003</v>
      </c>
      <c r="DC100" s="60">
        <f t="shared" si="590"/>
        <v>65989.423500000004</v>
      </c>
      <c r="DD100" s="59">
        <f t="shared" si="591"/>
        <v>218147.83620630001</v>
      </c>
      <c r="DE100" s="60">
        <f t="shared" si="592"/>
        <v>64130.566500000001</v>
      </c>
      <c r="DF100" s="59">
        <f t="shared" si="593"/>
        <v>212002.82673570001</v>
      </c>
      <c r="DG100" s="60">
        <f t="shared" si="594"/>
        <v>62271.709499999997</v>
      </c>
      <c r="DH100" s="59">
        <f t="shared" si="595"/>
        <v>205857.81726509999</v>
      </c>
      <c r="DI100" s="60">
        <f t="shared" si="596"/>
        <v>60412.852499999994</v>
      </c>
      <c r="DJ100" s="59">
        <f t="shared" si="597"/>
        <v>199712.8077945</v>
      </c>
      <c r="DK100" s="55">
        <f t="shared" si="598"/>
        <v>58553.99549999999</v>
      </c>
      <c r="DL100" s="59">
        <f t="shared" si="599"/>
        <v>193567.79832389997</v>
      </c>
      <c r="DM100" s="60">
        <f t="shared" si="600"/>
        <v>56695.138499999994</v>
      </c>
      <c r="DN100" s="59">
        <f t="shared" si="601"/>
        <v>187422.78885329998</v>
      </c>
      <c r="DO100" s="60">
        <f t="shared" si="602"/>
        <v>54836.28149999999</v>
      </c>
      <c r="DP100" s="59">
        <f t="shared" si="603"/>
        <v>181277.77938269998</v>
      </c>
      <c r="DQ100" s="55">
        <f t="shared" si="604"/>
        <v>52977.424499999986</v>
      </c>
      <c r="DR100" s="59">
        <f t="shared" si="605"/>
        <v>175132.76991209996</v>
      </c>
      <c r="DU100" s="55">
        <v>1</v>
      </c>
      <c r="DV100" s="55">
        <v>0.97</v>
      </c>
      <c r="DW100" s="55">
        <v>0.95</v>
      </c>
      <c r="DX100" s="55">
        <v>0.93</v>
      </c>
      <c r="DY100" s="55">
        <f t="shared" ref="DY100:EP114" si="651">+DX100-0.02</f>
        <v>0.91</v>
      </c>
      <c r="DZ100" s="55">
        <f t="shared" si="651"/>
        <v>0.89</v>
      </c>
      <c r="EA100" s="55">
        <f t="shared" si="651"/>
        <v>0.87</v>
      </c>
      <c r="EB100" s="55">
        <f t="shared" si="651"/>
        <v>0.85</v>
      </c>
      <c r="EC100" s="55">
        <f t="shared" si="651"/>
        <v>0.83</v>
      </c>
      <c r="ED100" s="55">
        <f t="shared" si="651"/>
        <v>0.80999999999999994</v>
      </c>
      <c r="EE100" s="55">
        <f t="shared" si="651"/>
        <v>0.78999999999999992</v>
      </c>
      <c r="EF100" s="55">
        <f t="shared" si="651"/>
        <v>0.76999999999999991</v>
      </c>
      <c r="EG100" s="55">
        <f t="shared" si="651"/>
        <v>0.74999999999999989</v>
      </c>
      <c r="EH100" s="55">
        <f t="shared" si="651"/>
        <v>0.72999999999999987</v>
      </c>
      <c r="EI100" s="55">
        <f t="shared" si="651"/>
        <v>0.70999999999999985</v>
      </c>
      <c r="EJ100" s="55">
        <f t="shared" si="651"/>
        <v>0.68999999999999984</v>
      </c>
      <c r="EK100" s="55">
        <f t="shared" si="651"/>
        <v>0.66999999999999982</v>
      </c>
      <c r="EL100" s="55">
        <f t="shared" si="651"/>
        <v>0.6499999999999998</v>
      </c>
      <c r="EM100" s="55">
        <f t="shared" si="651"/>
        <v>0.62999999999999978</v>
      </c>
      <c r="EN100" s="55">
        <f t="shared" si="651"/>
        <v>0.60999999999999976</v>
      </c>
      <c r="EO100" s="55">
        <f t="shared" si="651"/>
        <v>0.58999999999999975</v>
      </c>
      <c r="EP100" s="55">
        <f t="shared" si="651"/>
        <v>0.56999999999999973</v>
      </c>
      <c r="ER100" s="55">
        <f t="shared" ref="ER100:ER161" si="652">+BZ100*0.91</f>
        <v>84577.993500000026</v>
      </c>
      <c r="ES100" s="55">
        <f t="shared" si="514"/>
        <v>84577.993500000026</v>
      </c>
      <c r="ET100" s="59">
        <f t="shared" si="606"/>
        <v>279597.93091230007</v>
      </c>
      <c r="EU100" s="55">
        <f t="shared" si="607"/>
        <v>82040.65369500003</v>
      </c>
      <c r="EV100" s="59">
        <f t="shared" si="608"/>
        <v>271209.9929849311</v>
      </c>
      <c r="EW100" s="55">
        <f t="shared" si="609"/>
        <v>80349.093825000018</v>
      </c>
      <c r="EX100" s="59">
        <f t="shared" si="610"/>
        <v>265618.03436668508</v>
      </c>
      <c r="EY100" s="55">
        <f t="shared" si="611"/>
        <v>78657.533955000035</v>
      </c>
      <c r="EZ100" s="59">
        <f t="shared" si="612"/>
        <v>260026.07574843912</v>
      </c>
      <c r="FA100" s="57">
        <f t="shared" si="613"/>
        <v>76965.974085000023</v>
      </c>
      <c r="FB100" s="59">
        <f t="shared" si="614"/>
        <v>254434.11713019307</v>
      </c>
      <c r="FC100" s="55">
        <f t="shared" si="615"/>
        <v>75274.414215000026</v>
      </c>
      <c r="FD100" s="59">
        <f t="shared" si="616"/>
        <v>248842.15851194708</v>
      </c>
      <c r="FE100" s="57">
        <f t="shared" si="617"/>
        <v>73582.854345000029</v>
      </c>
      <c r="FF100" s="59">
        <f t="shared" si="618"/>
        <v>243250.19989370109</v>
      </c>
      <c r="FG100" s="60">
        <f t="shared" si="619"/>
        <v>71891.294475000017</v>
      </c>
      <c r="FH100" s="59">
        <f t="shared" si="620"/>
        <v>237658.24127545508</v>
      </c>
      <c r="FI100" s="57">
        <f t="shared" si="621"/>
        <v>70199.73460500002</v>
      </c>
      <c r="FJ100" s="59">
        <f t="shared" si="622"/>
        <v>232066.28265720906</v>
      </c>
      <c r="FK100" s="55">
        <f t="shared" si="623"/>
        <v>68508.174735000022</v>
      </c>
      <c r="FL100" s="59">
        <f t="shared" si="624"/>
        <v>226474.32403896307</v>
      </c>
      <c r="FM100" s="60">
        <f t="shared" si="625"/>
        <v>66816.61486500001</v>
      </c>
      <c r="FN100" s="59">
        <f t="shared" si="626"/>
        <v>220882.36542071705</v>
      </c>
      <c r="FO100" s="60">
        <f t="shared" si="627"/>
        <v>65125.054995000013</v>
      </c>
      <c r="FP100" s="59">
        <f t="shared" si="628"/>
        <v>215290.40680247106</v>
      </c>
      <c r="FQ100" s="60">
        <f t="shared" si="629"/>
        <v>63433.495125000009</v>
      </c>
      <c r="FR100" s="59">
        <f t="shared" si="630"/>
        <v>209698.44818422504</v>
      </c>
      <c r="FS100" s="55">
        <f t="shared" si="631"/>
        <v>61741.935255000011</v>
      </c>
      <c r="FT100" s="59">
        <f t="shared" si="632"/>
        <v>204106.48956597905</v>
      </c>
      <c r="FU100" s="60">
        <f t="shared" si="633"/>
        <v>60050.375385000007</v>
      </c>
      <c r="FV100" s="59">
        <f t="shared" si="634"/>
        <v>198514.53094773303</v>
      </c>
      <c r="FW100" s="60">
        <f t="shared" si="635"/>
        <v>58358.815515000002</v>
      </c>
      <c r="FX100" s="59">
        <f t="shared" si="636"/>
        <v>192922.57232948701</v>
      </c>
      <c r="FY100" s="60">
        <f t="shared" si="637"/>
        <v>56667.255645000005</v>
      </c>
      <c r="FZ100" s="59">
        <f t="shared" si="638"/>
        <v>187330.61371124102</v>
      </c>
      <c r="GA100" s="60">
        <f t="shared" si="639"/>
        <v>54975.695775</v>
      </c>
      <c r="GB100" s="59">
        <f t="shared" si="640"/>
        <v>181738.655092995</v>
      </c>
      <c r="GC100" s="55">
        <f t="shared" si="641"/>
        <v>53284.135904999996</v>
      </c>
      <c r="GD100" s="59">
        <f t="shared" si="642"/>
        <v>176146.69647474898</v>
      </c>
      <c r="GE100" s="60">
        <f t="shared" si="643"/>
        <v>51592.576034999998</v>
      </c>
      <c r="GF100" s="59">
        <f t="shared" si="644"/>
        <v>170554.73785650299</v>
      </c>
      <c r="GG100" s="60">
        <f t="shared" si="645"/>
        <v>49901.016164999994</v>
      </c>
      <c r="GH100" s="59">
        <f t="shared" si="646"/>
        <v>164962.77923825698</v>
      </c>
      <c r="GI100" s="55">
        <f t="shared" si="647"/>
        <v>48209.456294999989</v>
      </c>
      <c r="GJ100" s="59">
        <f t="shared" si="648"/>
        <v>159370.82062001096</v>
      </c>
      <c r="GK100" s="55"/>
      <c r="GL100" s="55"/>
      <c r="GM100" s="55">
        <v>1</v>
      </c>
      <c r="GN100" s="55">
        <v>0.97</v>
      </c>
      <c r="GO100" s="55">
        <v>0.95</v>
      </c>
      <c r="GP100" s="55">
        <v>0.93</v>
      </c>
      <c r="GQ100" s="55">
        <f t="shared" ref="GQ100:HH114" si="653">+GP100-0.02</f>
        <v>0.91</v>
      </c>
      <c r="GR100" s="55">
        <f t="shared" si="653"/>
        <v>0.89</v>
      </c>
      <c r="GS100" s="55">
        <f t="shared" si="653"/>
        <v>0.87</v>
      </c>
      <c r="GT100" s="55">
        <f t="shared" si="653"/>
        <v>0.85</v>
      </c>
      <c r="GU100" s="55">
        <f t="shared" si="653"/>
        <v>0.83</v>
      </c>
      <c r="GV100" s="55">
        <f t="shared" si="653"/>
        <v>0.80999999999999994</v>
      </c>
      <c r="GW100" s="55">
        <f t="shared" si="653"/>
        <v>0.78999999999999992</v>
      </c>
      <c r="GX100" s="55">
        <f t="shared" si="653"/>
        <v>0.76999999999999991</v>
      </c>
      <c r="GY100" s="55">
        <f t="shared" si="653"/>
        <v>0.74999999999999989</v>
      </c>
      <c r="GZ100" s="55">
        <f t="shared" si="653"/>
        <v>0.72999999999999987</v>
      </c>
      <c r="HA100" s="55">
        <f t="shared" si="653"/>
        <v>0.70999999999999985</v>
      </c>
      <c r="HB100" s="55">
        <f t="shared" si="653"/>
        <v>0.68999999999999984</v>
      </c>
      <c r="HC100" s="55">
        <f t="shared" si="653"/>
        <v>0.66999999999999982</v>
      </c>
      <c r="HD100" s="55">
        <f t="shared" si="653"/>
        <v>0.6499999999999998</v>
      </c>
      <c r="HE100" s="55">
        <f t="shared" si="653"/>
        <v>0.62999999999999978</v>
      </c>
      <c r="HF100" s="55">
        <f t="shared" si="653"/>
        <v>0.60999999999999976</v>
      </c>
      <c r="HG100" s="55">
        <f t="shared" si="653"/>
        <v>0.58999999999999975</v>
      </c>
      <c r="HH100" s="55">
        <f t="shared" si="653"/>
        <v>0.56999999999999973</v>
      </c>
    </row>
    <row r="101" spans="1:216" x14ac:dyDescent="0.3">
      <c r="A101" s="2">
        <v>4</v>
      </c>
      <c r="C101" s="38" t="s">
        <v>42</v>
      </c>
      <c r="D101" s="42">
        <f>TRUNC(711,-1)</f>
        <v>710</v>
      </c>
      <c r="E101" s="71">
        <f t="shared" si="519"/>
        <v>2340</v>
      </c>
      <c r="H101" s="55">
        <f t="shared" si="509"/>
        <v>2574</v>
      </c>
      <c r="I101" s="55">
        <f t="shared" si="510"/>
        <v>2574</v>
      </c>
      <c r="J101" s="59">
        <f t="shared" si="511"/>
        <v>8509.1291999999994</v>
      </c>
      <c r="K101" s="55">
        <f t="shared" si="520"/>
        <v>2496.7799999999997</v>
      </c>
      <c r="L101" s="59">
        <f t="shared" si="521"/>
        <v>8253.8553240000001</v>
      </c>
      <c r="M101" s="55">
        <f t="shared" si="522"/>
        <v>2445.2999999999997</v>
      </c>
      <c r="N101" s="59">
        <f t="shared" si="523"/>
        <v>8083.6727399999991</v>
      </c>
      <c r="O101" s="55">
        <f t="shared" si="524"/>
        <v>2393.8200000000002</v>
      </c>
      <c r="P101" s="59">
        <f t="shared" si="525"/>
        <v>7913.4901560000008</v>
      </c>
      <c r="Q101" s="57">
        <f t="shared" si="526"/>
        <v>2342.34</v>
      </c>
      <c r="R101" s="59">
        <f t="shared" si="527"/>
        <v>7743.3075720000006</v>
      </c>
      <c r="S101" s="55">
        <f t="shared" si="528"/>
        <v>2290.86</v>
      </c>
      <c r="T101" s="59">
        <f t="shared" si="529"/>
        <v>7573.1249880000005</v>
      </c>
      <c r="U101" s="57">
        <f t="shared" si="530"/>
        <v>2239.38</v>
      </c>
      <c r="V101" s="59">
        <f t="shared" si="531"/>
        <v>7402.9424040000004</v>
      </c>
      <c r="W101" s="60">
        <f t="shared" si="532"/>
        <v>2187.9</v>
      </c>
      <c r="X101" s="59">
        <f t="shared" si="533"/>
        <v>7232.7598200000002</v>
      </c>
      <c r="Y101" s="57">
        <f t="shared" si="534"/>
        <v>2136.42</v>
      </c>
      <c r="Z101" s="59">
        <f t="shared" si="535"/>
        <v>7062.5772360000001</v>
      </c>
      <c r="AA101" s="55">
        <f t="shared" si="536"/>
        <v>2084.94</v>
      </c>
      <c r="AB101" s="59">
        <f t="shared" si="537"/>
        <v>6892.394652</v>
      </c>
      <c r="AC101" s="60">
        <f t="shared" si="538"/>
        <v>2033.4599999999998</v>
      </c>
      <c r="AD101" s="59">
        <f t="shared" si="539"/>
        <v>6722.2120679999998</v>
      </c>
      <c r="AE101" s="60">
        <f t="shared" si="540"/>
        <v>1981.9799999999998</v>
      </c>
      <c r="AF101" s="59">
        <f t="shared" si="541"/>
        <v>6552.0294839999997</v>
      </c>
      <c r="AG101" s="60">
        <f t="shared" si="542"/>
        <v>1930.4999999999998</v>
      </c>
      <c r="AH101" s="59">
        <f t="shared" si="543"/>
        <v>6381.8468999999996</v>
      </c>
      <c r="AI101" s="55">
        <f t="shared" si="544"/>
        <v>1879.0199999999998</v>
      </c>
      <c r="AJ101" s="59">
        <f t="shared" si="545"/>
        <v>6211.6643159999994</v>
      </c>
      <c r="AK101" s="60">
        <f t="shared" si="546"/>
        <v>1827.5399999999997</v>
      </c>
      <c r="AL101" s="59">
        <f t="shared" si="547"/>
        <v>6041.4817319999993</v>
      </c>
      <c r="AM101" s="60">
        <f t="shared" si="548"/>
        <v>1776.0599999999995</v>
      </c>
      <c r="AN101" s="59">
        <f t="shared" si="549"/>
        <v>5871.2991479999982</v>
      </c>
      <c r="AO101" s="60">
        <f t="shared" si="550"/>
        <v>1724.5799999999995</v>
      </c>
      <c r="AP101" s="59">
        <f t="shared" si="551"/>
        <v>5701.1165639999981</v>
      </c>
      <c r="AQ101" s="60">
        <f t="shared" si="552"/>
        <v>1673.0999999999995</v>
      </c>
      <c r="AR101" s="59">
        <f t="shared" si="553"/>
        <v>5530.933979999998</v>
      </c>
      <c r="AS101" s="55">
        <f t="shared" si="554"/>
        <v>1621.6199999999994</v>
      </c>
      <c r="AT101" s="59">
        <f t="shared" si="555"/>
        <v>5360.7513959999978</v>
      </c>
      <c r="AU101" s="60">
        <f t="shared" si="556"/>
        <v>1570.1399999999994</v>
      </c>
      <c r="AV101" s="59">
        <f t="shared" si="557"/>
        <v>5190.5688119999986</v>
      </c>
      <c r="AW101" s="60">
        <f t="shared" si="558"/>
        <v>1518.6599999999994</v>
      </c>
      <c r="AX101" s="59">
        <f t="shared" si="559"/>
        <v>5020.3862279999985</v>
      </c>
      <c r="AY101" s="55">
        <f t="shared" si="560"/>
        <v>1467.1799999999994</v>
      </c>
      <c r="AZ101" s="59">
        <f t="shared" si="561"/>
        <v>4850.2036439999983</v>
      </c>
      <c r="BC101" s="55">
        <v>1</v>
      </c>
      <c r="BD101" s="55">
        <v>0.97</v>
      </c>
      <c r="BE101" s="55">
        <v>0.95</v>
      </c>
      <c r="BF101" s="55">
        <v>0.93</v>
      </c>
      <c r="BG101" s="55">
        <f t="shared" si="562"/>
        <v>0.91</v>
      </c>
      <c r="BH101" s="55">
        <f t="shared" si="562"/>
        <v>0.89</v>
      </c>
      <c r="BI101" s="55">
        <f t="shared" si="562"/>
        <v>0.87</v>
      </c>
      <c r="BJ101" s="55">
        <f t="shared" si="562"/>
        <v>0.85</v>
      </c>
      <c r="BK101" s="55">
        <f t="shared" si="562"/>
        <v>0.83</v>
      </c>
      <c r="BL101" s="55">
        <f t="shared" si="562"/>
        <v>0.80999999999999994</v>
      </c>
      <c r="BM101" s="55">
        <f t="shared" si="562"/>
        <v>0.78999999999999992</v>
      </c>
      <c r="BN101" s="55">
        <f t="shared" si="562"/>
        <v>0.76999999999999991</v>
      </c>
      <c r="BO101" s="55">
        <f t="shared" si="562"/>
        <v>0.74999999999999989</v>
      </c>
      <c r="BP101" s="55">
        <f t="shared" si="562"/>
        <v>0.72999999999999987</v>
      </c>
      <c r="BQ101" s="55">
        <f t="shared" si="562"/>
        <v>0.70999999999999985</v>
      </c>
      <c r="BR101" s="55">
        <f t="shared" si="562"/>
        <v>0.68999999999999984</v>
      </c>
      <c r="BS101" s="55">
        <f t="shared" si="562"/>
        <v>0.66999999999999982</v>
      </c>
      <c r="BT101" s="55">
        <f t="shared" si="562"/>
        <v>0.6499999999999998</v>
      </c>
      <c r="BU101" s="55">
        <f t="shared" si="562"/>
        <v>0.62999999999999978</v>
      </c>
      <c r="BV101" s="55">
        <f t="shared" si="562"/>
        <v>0.60999999999999976</v>
      </c>
      <c r="BW101" s="55">
        <f t="shared" si="562"/>
        <v>0.58999999999999975</v>
      </c>
      <c r="BX101" s="55">
        <f t="shared" si="562"/>
        <v>0.56999999999999973</v>
      </c>
      <c r="BZ101" s="55">
        <f t="shared" si="512"/>
        <v>2342.34</v>
      </c>
      <c r="CA101" s="55">
        <f t="shared" si="513"/>
        <v>2342.34</v>
      </c>
      <c r="CB101" s="59">
        <f t="shared" si="563"/>
        <v>7743.3075720000006</v>
      </c>
      <c r="CC101" s="55">
        <f t="shared" si="564"/>
        <v>2272.0698000000002</v>
      </c>
      <c r="CD101" s="59">
        <f t="shared" si="565"/>
        <v>7511.008344840001</v>
      </c>
      <c r="CE101" s="55">
        <f t="shared" si="566"/>
        <v>2225.223</v>
      </c>
      <c r="CF101" s="59">
        <f t="shared" si="567"/>
        <v>7356.1421934</v>
      </c>
      <c r="CG101" s="55">
        <f t="shared" si="568"/>
        <v>2178.3762000000002</v>
      </c>
      <c r="CH101" s="59">
        <f t="shared" si="569"/>
        <v>7201.2760419600008</v>
      </c>
      <c r="CI101" s="57">
        <f t="shared" si="570"/>
        <v>2131.5294000000004</v>
      </c>
      <c r="CJ101" s="59">
        <f t="shared" si="571"/>
        <v>7046.4098905200017</v>
      </c>
      <c r="CK101" s="55">
        <f t="shared" si="572"/>
        <v>2084.6826000000001</v>
      </c>
      <c r="CL101" s="59">
        <f t="shared" si="573"/>
        <v>6891.5437390800007</v>
      </c>
      <c r="CM101" s="57">
        <f t="shared" si="574"/>
        <v>2037.8358000000001</v>
      </c>
      <c r="CN101" s="59">
        <f t="shared" si="575"/>
        <v>6736.6775876400006</v>
      </c>
      <c r="CO101" s="60">
        <f t="shared" si="576"/>
        <v>1990.989</v>
      </c>
      <c r="CP101" s="59">
        <f t="shared" si="577"/>
        <v>6581.8114362000006</v>
      </c>
      <c r="CQ101" s="57">
        <f t="shared" si="578"/>
        <v>1944.1422</v>
      </c>
      <c r="CR101" s="59">
        <f t="shared" si="579"/>
        <v>6426.9452847600005</v>
      </c>
      <c r="CS101" s="55">
        <f t="shared" si="580"/>
        <v>1897.2954</v>
      </c>
      <c r="CT101" s="59">
        <f t="shared" si="581"/>
        <v>6272.0791333200004</v>
      </c>
      <c r="CU101" s="60">
        <f t="shared" si="582"/>
        <v>1850.4485999999999</v>
      </c>
      <c r="CV101" s="59">
        <f t="shared" si="583"/>
        <v>6117.2129818800004</v>
      </c>
      <c r="CW101" s="60">
        <f t="shared" si="584"/>
        <v>1803.6017999999999</v>
      </c>
      <c r="CX101" s="59">
        <f t="shared" si="585"/>
        <v>5962.3468304399994</v>
      </c>
      <c r="CY101" s="60">
        <f t="shared" si="586"/>
        <v>1756.7549999999999</v>
      </c>
      <c r="CZ101" s="59">
        <f t="shared" si="587"/>
        <v>5807.4806789999993</v>
      </c>
      <c r="DA101" s="55">
        <f t="shared" si="588"/>
        <v>1709.9081999999999</v>
      </c>
      <c r="DB101" s="59">
        <f t="shared" si="589"/>
        <v>5652.6145275599993</v>
      </c>
      <c r="DC101" s="60">
        <f t="shared" si="590"/>
        <v>1663.0613999999998</v>
      </c>
      <c r="DD101" s="59">
        <f t="shared" si="591"/>
        <v>5497.7483761199992</v>
      </c>
      <c r="DE101" s="60">
        <f t="shared" si="592"/>
        <v>1616.2145999999998</v>
      </c>
      <c r="DF101" s="59">
        <f t="shared" si="593"/>
        <v>5342.8822246799991</v>
      </c>
      <c r="DG101" s="60">
        <f t="shared" si="594"/>
        <v>1569.3677999999998</v>
      </c>
      <c r="DH101" s="59">
        <f t="shared" si="595"/>
        <v>5188.0160732399991</v>
      </c>
      <c r="DI101" s="60">
        <f t="shared" si="596"/>
        <v>1522.5209999999997</v>
      </c>
      <c r="DJ101" s="59">
        <f t="shared" si="597"/>
        <v>5033.149921799999</v>
      </c>
      <c r="DK101" s="55">
        <f t="shared" si="598"/>
        <v>1475.6741999999995</v>
      </c>
      <c r="DL101" s="59">
        <f t="shared" si="599"/>
        <v>4878.283770359998</v>
      </c>
      <c r="DM101" s="60">
        <f t="shared" si="600"/>
        <v>1428.8273999999994</v>
      </c>
      <c r="DN101" s="59">
        <f t="shared" si="601"/>
        <v>4723.4176189199979</v>
      </c>
      <c r="DO101" s="60">
        <f t="shared" si="602"/>
        <v>1381.9805999999994</v>
      </c>
      <c r="DP101" s="59">
        <f t="shared" si="603"/>
        <v>4568.5514674799979</v>
      </c>
      <c r="DQ101" s="55">
        <f t="shared" si="604"/>
        <v>1335.1337999999994</v>
      </c>
      <c r="DR101" s="59">
        <f t="shared" si="605"/>
        <v>4413.6853160399978</v>
      </c>
      <c r="DU101" s="55">
        <v>1</v>
      </c>
      <c r="DV101" s="55">
        <v>0.97</v>
      </c>
      <c r="DW101" s="55">
        <v>0.95</v>
      </c>
      <c r="DX101" s="55">
        <v>0.93</v>
      </c>
      <c r="DY101" s="55">
        <f t="shared" si="651"/>
        <v>0.91</v>
      </c>
      <c r="DZ101" s="55">
        <f t="shared" si="651"/>
        <v>0.89</v>
      </c>
      <c r="EA101" s="55">
        <f t="shared" si="651"/>
        <v>0.87</v>
      </c>
      <c r="EB101" s="55">
        <f t="shared" si="651"/>
        <v>0.85</v>
      </c>
      <c r="EC101" s="55">
        <f t="shared" si="651"/>
        <v>0.83</v>
      </c>
      <c r="ED101" s="55">
        <f t="shared" si="651"/>
        <v>0.80999999999999994</v>
      </c>
      <c r="EE101" s="55">
        <f t="shared" si="651"/>
        <v>0.78999999999999992</v>
      </c>
      <c r="EF101" s="55">
        <f t="shared" si="651"/>
        <v>0.76999999999999991</v>
      </c>
      <c r="EG101" s="55">
        <f t="shared" si="651"/>
        <v>0.74999999999999989</v>
      </c>
      <c r="EH101" s="55">
        <f t="shared" si="651"/>
        <v>0.72999999999999987</v>
      </c>
      <c r="EI101" s="55">
        <f t="shared" si="651"/>
        <v>0.70999999999999985</v>
      </c>
      <c r="EJ101" s="55">
        <f t="shared" si="651"/>
        <v>0.68999999999999984</v>
      </c>
      <c r="EK101" s="55">
        <f t="shared" si="651"/>
        <v>0.66999999999999982</v>
      </c>
      <c r="EL101" s="55">
        <f t="shared" si="651"/>
        <v>0.6499999999999998</v>
      </c>
      <c r="EM101" s="55">
        <f t="shared" si="651"/>
        <v>0.62999999999999978</v>
      </c>
      <c r="EN101" s="55">
        <f t="shared" si="651"/>
        <v>0.60999999999999976</v>
      </c>
      <c r="EO101" s="55">
        <f t="shared" si="651"/>
        <v>0.58999999999999975</v>
      </c>
      <c r="EP101" s="55">
        <f t="shared" si="651"/>
        <v>0.56999999999999973</v>
      </c>
      <c r="ER101" s="55">
        <f t="shared" si="652"/>
        <v>2131.5294000000004</v>
      </c>
      <c r="ES101" s="55">
        <f t="shared" si="514"/>
        <v>2131.5294000000004</v>
      </c>
      <c r="ET101" s="59">
        <f t="shared" si="606"/>
        <v>7046.4098905200017</v>
      </c>
      <c r="EU101" s="55">
        <f t="shared" si="607"/>
        <v>2067.5835180000004</v>
      </c>
      <c r="EV101" s="59">
        <f t="shared" si="608"/>
        <v>6835.0175938044013</v>
      </c>
      <c r="EW101" s="55">
        <f t="shared" si="609"/>
        <v>2024.9529300000002</v>
      </c>
      <c r="EX101" s="59">
        <f t="shared" si="610"/>
        <v>6694.0893959940004</v>
      </c>
      <c r="EY101" s="55">
        <f t="shared" si="611"/>
        <v>1982.3223420000004</v>
      </c>
      <c r="EZ101" s="59">
        <f t="shared" si="612"/>
        <v>6553.1611981836013</v>
      </c>
      <c r="FA101" s="57">
        <f t="shared" si="613"/>
        <v>1939.6917540000004</v>
      </c>
      <c r="FB101" s="59">
        <f t="shared" si="614"/>
        <v>6412.2330003732013</v>
      </c>
      <c r="FC101" s="55">
        <f t="shared" si="615"/>
        <v>1897.0611660000004</v>
      </c>
      <c r="FD101" s="59">
        <f t="shared" si="616"/>
        <v>6271.3048025628013</v>
      </c>
      <c r="FE101" s="57">
        <f t="shared" si="617"/>
        <v>1854.4305780000002</v>
      </c>
      <c r="FF101" s="59">
        <f t="shared" si="618"/>
        <v>6130.3766047524005</v>
      </c>
      <c r="FG101" s="60">
        <f t="shared" si="619"/>
        <v>1811.7999900000002</v>
      </c>
      <c r="FH101" s="59">
        <f t="shared" si="620"/>
        <v>5989.4484069420005</v>
      </c>
      <c r="FI101" s="57">
        <f t="shared" si="621"/>
        <v>1769.1694020000002</v>
      </c>
      <c r="FJ101" s="59">
        <f t="shared" si="622"/>
        <v>5848.5202091316005</v>
      </c>
      <c r="FK101" s="55">
        <f t="shared" si="623"/>
        <v>1726.5388140000002</v>
      </c>
      <c r="FL101" s="59">
        <f t="shared" si="624"/>
        <v>5707.5920113212005</v>
      </c>
      <c r="FM101" s="60">
        <f t="shared" si="625"/>
        <v>1683.908226</v>
      </c>
      <c r="FN101" s="59">
        <f t="shared" si="626"/>
        <v>5566.6638135108005</v>
      </c>
      <c r="FO101" s="60">
        <f t="shared" si="627"/>
        <v>1641.277638</v>
      </c>
      <c r="FP101" s="59">
        <f t="shared" si="628"/>
        <v>5425.7356157004006</v>
      </c>
      <c r="FQ101" s="60">
        <f t="shared" si="629"/>
        <v>1598.64705</v>
      </c>
      <c r="FR101" s="59">
        <f t="shared" si="630"/>
        <v>5284.8074178900006</v>
      </c>
      <c r="FS101" s="55">
        <f t="shared" si="631"/>
        <v>1556.016462</v>
      </c>
      <c r="FT101" s="59">
        <f t="shared" si="632"/>
        <v>5143.8792200796006</v>
      </c>
      <c r="FU101" s="60">
        <f t="shared" si="633"/>
        <v>1513.3858739999998</v>
      </c>
      <c r="FV101" s="59">
        <f t="shared" si="634"/>
        <v>5002.9510222691997</v>
      </c>
      <c r="FW101" s="60">
        <f t="shared" si="635"/>
        <v>1470.7552859999998</v>
      </c>
      <c r="FX101" s="59">
        <f t="shared" si="636"/>
        <v>4862.0228244587997</v>
      </c>
      <c r="FY101" s="60">
        <f t="shared" si="637"/>
        <v>1428.1246979999999</v>
      </c>
      <c r="FZ101" s="59">
        <f t="shared" si="638"/>
        <v>4721.0946266483998</v>
      </c>
      <c r="GA101" s="60">
        <f t="shared" si="639"/>
        <v>1385.4941099999999</v>
      </c>
      <c r="GB101" s="59">
        <f t="shared" si="640"/>
        <v>4580.1664288379998</v>
      </c>
      <c r="GC101" s="55">
        <f t="shared" si="641"/>
        <v>1342.8635219999996</v>
      </c>
      <c r="GD101" s="59">
        <f t="shared" si="642"/>
        <v>4439.2382310275989</v>
      </c>
      <c r="GE101" s="60">
        <f t="shared" si="643"/>
        <v>1300.2329339999997</v>
      </c>
      <c r="GF101" s="59">
        <f t="shared" si="644"/>
        <v>4298.3100332171989</v>
      </c>
      <c r="GG101" s="60">
        <f t="shared" si="645"/>
        <v>1257.6023459999997</v>
      </c>
      <c r="GH101" s="59">
        <f t="shared" si="646"/>
        <v>4157.3818354067989</v>
      </c>
      <c r="GI101" s="55">
        <f t="shared" si="647"/>
        <v>1214.9717579999997</v>
      </c>
      <c r="GJ101" s="59">
        <f t="shared" si="648"/>
        <v>4016.4536375963989</v>
      </c>
      <c r="GK101" s="55"/>
      <c r="GL101" s="55"/>
      <c r="GM101" s="55">
        <v>1</v>
      </c>
      <c r="GN101" s="55">
        <v>0.97</v>
      </c>
      <c r="GO101" s="55">
        <v>0.95</v>
      </c>
      <c r="GP101" s="55">
        <v>0.93</v>
      </c>
      <c r="GQ101" s="55">
        <f t="shared" si="653"/>
        <v>0.91</v>
      </c>
      <c r="GR101" s="55">
        <f t="shared" si="653"/>
        <v>0.89</v>
      </c>
      <c r="GS101" s="55">
        <f t="shared" si="653"/>
        <v>0.87</v>
      </c>
      <c r="GT101" s="55">
        <f t="shared" si="653"/>
        <v>0.85</v>
      </c>
      <c r="GU101" s="55">
        <f t="shared" si="653"/>
        <v>0.83</v>
      </c>
      <c r="GV101" s="55">
        <f t="shared" si="653"/>
        <v>0.80999999999999994</v>
      </c>
      <c r="GW101" s="55">
        <f t="shared" si="653"/>
        <v>0.78999999999999992</v>
      </c>
      <c r="GX101" s="55">
        <f t="shared" si="653"/>
        <v>0.76999999999999991</v>
      </c>
      <c r="GY101" s="55">
        <f t="shared" si="653"/>
        <v>0.74999999999999989</v>
      </c>
      <c r="GZ101" s="55">
        <f t="shared" si="653"/>
        <v>0.72999999999999987</v>
      </c>
      <c r="HA101" s="55">
        <f t="shared" si="653"/>
        <v>0.70999999999999985</v>
      </c>
      <c r="HB101" s="55">
        <f t="shared" si="653"/>
        <v>0.68999999999999984</v>
      </c>
      <c r="HC101" s="55">
        <f t="shared" si="653"/>
        <v>0.66999999999999982</v>
      </c>
      <c r="HD101" s="55">
        <f t="shared" si="653"/>
        <v>0.6499999999999998</v>
      </c>
      <c r="HE101" s="55">
        <f t="shared" si="653"/>
        <v>0.62999999999999978</v>
      </c>
      <c r="HF101" s="55">
        <f t="shared" si="653"/>
        <v>0.60999999999999976</v>
      </c>
      <c r="HG101" s="55">
        <f t="shared" si="653"/>
        <v>0.58999999999999975</v>
      </c>
      <c r="HH101" s="55">
        <f t="shared" si="653"/>
        <v>0.56999999999999973</v>
      </c>
    </row>
    <row r="102" spans="1:216" x14ac:dyDescent="0.3">
      <c r="A102" s="2">
        <v>5</v>
      </c>
      <c r="C102" s="38" t="s">
        <v>43</v>
      </c>
      <c r="D102" s="42">
        <f>TRUNC(10431,-1)</f>
        <v>10430</v>
      </c>
      <c r="E102" s="71">
        <f t="shared" si="519"/>
        <v>34470</v>
      </c>
      <c r="H102" s="55">
        <f t="shared" si="509"/>
        <v>37917</v>
      </c>
      <c r="I102" s="55">
        <f t="shared" si="510"/>
        <v>37917</v>
      </c>
      <c r="J102" s="59">
        <f t="shared" si="511"/>
        <v>125346.0186</v>
      </c>
      <c r="K102" s="55">
        <f t="shared" si="520"/>
        <v>36779.49</v>
      </c>
      <c r="L102" s="59">
        <f t="shared" si="521"/>
        <v>121585.63804199999</v>
      </c>
      <c r="M102" s="55">
        <f t="shared" si="522"/>
        <v>36021.15</v>
      </c>
      <c r="N102" s="59">
        <f t="shared" si="523"/>
        <v>119078.71767000001</v>
      </c>
      <c r="O102" s="55">
        <f t="shared" si="524"/>
        <v>35262.810000000005</v>
      </c>
      <c r="P102" s="59">
        <f t="shared" si="525"/>
        <v>116571.79729800002</v>
      </c>
      <c r="Q102" s="57">
        <f t="shared" si="526"/>
        <v>34504.47</v>
      </c>
      <c r="R102" s="59">
        <f t="shared" si="527"/>
        <v>114064.87692600001</v>
      </c>
      <c r="S102" s="55">
        <f t="shared" si="528"/>
        <v>33746.129999999997</v>
      </c>
      <c r="T102" s="59">
        <f t="shared" si="529"/>
        <v>111557.95655399999</v>
      </c>
      <c r="U102" s="57">
        <f t="shared" si="530"/>
        <v>32987.79</v>
      </c>
      <c r="V102" s="59">
        <f t="shared" si="531"/>
        <v>109051.03618200001</v>
      </c>
      <c r="W102" s="60">
        <f t="shared" si="532"/>
        <v>32229.45</v>
      </c>
      <c r="X102" s="59">
        <f t="shared" si="533"/>
        <v>106544.11581</v>
      </c>
      <c r="Y102" s="57">
        <f t="shared" si="534"/>
        <v>31471.109999999997</v>
      </c>
      <c r="Z102" s="59">
        <f t="shared" si="535"/>
        <v>104037.195438</v>
      </c>
      <c r="AA102" s="55">
        <f t="shared" si="536"/>
        <v>30712.769999999997</v>
      </c>
      <c r="AB102" s="59">
        <f t="shared" si="537"/>
        <v>101530.27506599999</v>
      </c>
      <c r="AC102" s="60">
        <f t="shared" si="538"/>
        <v>29954.429999999997</v>
      </c>
      <c r="AD102" s="59">
        <f t="shared" si="539"/>
        <v>99023.354693999994</v>
      </c>
      <c r="AE102" s="60">
        <f t="shared" si="540"/>
        <v>29196.089999999997</v>
      </c>
      <c r="AF102" s="59">
        <f t="shared" si="541"/>
        <v>96516.434321999986</v>
      </c>
      <c r="AG102" s="60">
        <f t="shared" si="542"/>
        <v>28437.749999999996</v>
      </c>
      <c r="AH102" s="59">
        <f t="shared" si="543"/>
        <v>94009.513949999993</v>
      </c>
      <c r="AI102" s="55">
        <f t="shared" si="544"/>
        <v>27679.409999999996</v>
      </c>
      <c r="AJ102" s="59">
        <f t="shared" si="545"/>
        <v>91502.593577999985</v>
      </c>
      <c r="AK102" s="60">
        <f t="shared" si="546"/>
        <v>26921.069999999996</v>
      </c>
      <c r="AL102" s="59">
        <f t="shared" si="547"/>
        <v>88995.673205999992</v>
      </c>
      <c r="AM102" s="60">
        <f t="shared" si="548"/>
        <v>26162.729999999992</v>
      </c>
      <c r="AN102" s="59">
        <f t="shared" si="549"/>
        <v>86488.75283399997</v>
      </c>
      <c r="AO102" s="60">
        <f t="shared" si="550"/>
        <v>25404.389999999992</v>
      </c>
      <c r="AP102" s="59">
        <f t="shared" si="551"/>
        <v>83981.832461999977</v>
      </c>
      <c r="AQ102" s="60">
        <f t="shared" si="552"/>
        <v>24646.049999999992</v>
      </c>
      <c r="AR102" s="59">
        <f t="shared" si="553"/>
        <v>81474.912089999969</v>
      </c>
      <c r="AS102" s="55">
        <f t="shared" si="554"/>
        <v>23887.709999999992</v>
      </c>
      <c r="AT102" s="59">
        <f t="shared" si="555"/>
        <v>78967.991717999976</v>
      </c>
      <c r="AU102" s="60">
        <f t="shared" si="556"/>
        <v>23129.369999999992</v>
      </c>
      <c r="AV102" s="59">
        <f t="shared" si="557"/>
        <v>76461.071345999968</v>
      </c>
      <c r="AW102" s="60">
        <f t="shared" si="558"/>
        <v>22371.029999999992</v>
      </c>
      <c r="AX102" s="59">
        <f t="shared" si="559"/>
        <v>73954.150973999975</v>
      </c>
      <c r="AY102" s="55">
        <f t="shared" si="560"/>
        <v>21612.689999999991</v>
      </c>
      <c r="AZ102" s="59">
        <f t="shared" si="561"/>
        <v>71447.230601999967</v>
      </c>
      <c r="BC102" s="55">
        <v>1</v>
      </c>
      <c r="BD102" s="55">
        <v>0.97</v>
      </c>
      <c r="BE102" s="55">
        <v>0.95</v>
      </c>
      <c r="BF102" s="55">
        <v>0.93</v>
      </c>
      <c r="BG102" s="55">
        <f t="shared" si="562"/>
        <v>0.91</v>
      </c>
      <c r="BH102" s="55">
        <f t="shared" si="562"/>
        <v>0.89</v>
      </c>
      <c r="BI102" s="55">
        <f t="shared" si="562"/>
        <v>0.87</v>
      </c>
      <c r="BJ102" s="55">
        <f t="shared" si="562"/>
        <v>0.85</v>
      </c>
      <c r="BK102" s="55">
        <f t="shared" si="562"/>
        <v>0.83</v>
      </c>
      <c r="BL102" s="55">
        <f t="shared" si="562"/>
        <v>0.80999999999999994</v>
      </c>
      <c r="BM102" s="55">
        <f t="shared" si="562"/>
        <v>0.78999999999999992</v>
      </c>
      <c r="BN102" s="55">
        <f t="shared" si="562"/>
        <v>0.76999999999999991</v>
      </c>
      <c r="BO102" s="55">
        <f t="shared" si="562"/>
        <v>0.74999999999999989</v>
      </c>
      <c r="BP102" s="55">
        <f t="shared" si="562"/>
        <v>0.72999999999999987</v>
      </c>
      <c r="BQ102" s="55">
        <f t="shared" si="562"/>
        <v>0.70999999999999985</v>
      </c>
      <c r="BR102" s="55">
        <f t="shared" si="562"/>
        <v>0.68999999999999984</v>
      </c>
      <c r="BS102" s="55">
        <f t="shared" si="562"/>
        <v>0.66999999999999982</v>
      </c>
      <c r="BT102" s="55">
        <f t="shared" si="562"/>
        <v>0.6499999999999998</v>
      </c>
      <c r="BU102" s="55">
        <f t="shared" si="562"/>
        <v>0.62999999999999978</v>
      </c>
      <c r="BV102" s="55">
        <f t="shared" si="562"/>
        <v>0.60999999999999976</v>
      </c>
      <c r="BW102" s="55">
        <f t="shared" si="562"/>
        <v>0.58999999999999975</v>
      </c>
      <c r="BX102" s="55">
        <f t="shared" si="562"/>
        <v>0.56999999999999973</v>
      </c>
      <c r="BZ102" s="55">
        <f t="shared" si="512"/>
        <v>34504.47</v>
      </c>
      <c r="CA102" s="55">
        <f t="shared" si="513"/>
        <v>34504.47</v>
      </c>
      <c r="CB102" s="59">
        <f t="shared" si="563"/>
        <v>114064.87692600001</v>
      </c>
      <c r="CC102" s="55">
        <f t="shared" si="564"/>
        <v>33469.335899999998</v>
      </c>
      <c r="CD102" s="59">
        <f t="shared" si="565"/>
        <v>110642.93061821999</v>
      </c>
      <c r="CE102" s="55">
        <f t="shared" si="566"/>
        <v>32779.246500000001</v>
      </c>
      <c r="CF102" s="59">
        <f t="shared" si="567"/>
        <v>108361.63307970001</v>
      </c>
      <c r="CG102" s="55">
        <f t="shared" si="568"/>
        <v>32089.157100000004</v>
      </c>
      <c r="CH102" s="59">
        <f t="shared" si="569"/>
        <v>106080.33554118001</v>
      </c>
      <c r="CI102" s="57">
        <f t="shared" si="570"/>
        <v>31399.067700000003</v>
      </c>
      <c r="CJ102" s="59">
        <f t="shared" si="571"/>
        <v>103799.03800266002</v>
      </c>
      <c r="CK102" s="55">
        <f t="shared" si="572"/>
        <v>30708.978300000002</v>
      </c>
      <c r="CL102" s="59">
        <f t="shared" si="573"/>
        <v>101517.74046414001</v>
      </c>
      <c r="CM102" s="57">
        <f t="shared" si="574"/>
        <v>30018.888900000002</v>
      </c>
      <c r="CN102" s="59">
        <f t="shared" si="575"/>
        <v>99236.442925620009</v>
      </c>
      <c r="CO102" s="60">
        <f t="shared" si="576"/>
        <v>29328.799500000001</v>
      </c>
      <c r="CP102" s="59">
        <f t="shared" si="577"/>
        <v>96955.145387100012</v>
      </c>
      <c r="CQ102" s="57">
        <f t="shared" si="578"/>
        <v>28638.7101</v>
      </c>
      <c r="CR102" s="59">
        <f t="shared" si="579"/>
        <v>94673.847848580001</v>
      </c>
      <c r="CS102" s="55">
        <f t="shared" si="580"/>
        <v>27948.620699999999</v>
      </c>
      <c r="CT102" s="59">
        <f t="shared" si="581"/>
        <v>92392.550310060004</v>
      </c>
      <c r="CU102" s="60">
        <f t="shared" si="582"/>
        <v>27258.531299999999</v>
      </c>
      <c r="CV102" s="59">
        <f t="shared" si="583"/>
        <v>90111.252771539992</v>
      </c>
      <c r="CW102" s="60">
        <f t="shared" si="584"/>
        <v>26568.441899999998</v>
      </c>
      <c r="CX102" s="59">
        <f t="shared" si="585"/>
        <v>87829.955233019995</v>
      </c>
      <c r="CY102" s="60">
        <f t="shared" si="586"/>
        <v>25878.352499999997</v>
      </c>
      <c r="CZ102" s="59">
        <f t="shared" si="587"/>
        <v>85548.657694499998</v>
      </c>
      <c r="DA102" s="55">
        <f t="shared" si="588"/>
        <v>25188.263099999996</v>
      </c>
      <c r="DB102" s="59">
        <f t="shared" si="589"/>
        <v>83267.360155979986</v>
      </c>
      <c r="DC102" s="60">
        <f t="shared" si="590"/>
        <v>24498.173699999996</v>
      </c>
      <c r="DD102" s="59">
        <f t="shared" si="591"/>
        <v>80986.062617459989</v>
      </c>
      <c r="DE102" s="60">
        <f t="shared" si="592"/>
        <v>23808.084299999995</v>
      </c>
      <c r="DF102" s="59">
        <f t="shared" si="593"/>
        <v>78704.765078939992</v>
      </c>
      <c r="DG102" s="60">
        <f t="shared" si="594"/>
        <v>23117.994899999994</v>
      </c>
      <c r="DH102" s="59">
        <f t="shared" si="595"/>
        <v>76423.467540419981</v>
      </c>
      <c r="DI102" s="60">
        <f t="shared" si="596"/>
        <v>22427.905499999993</v>
      </c>
      <c r="DJ102" s="59">
        <f t="shared" si="597"/>
        <v>74142.170001899984</v>
      </c>
      <c r="DK102" s="55">
        <f t="shared" si="598"/>
        <v>21737.816099999993</v>
      </c>
      <c r="DL102" s="59">
        <f t="shared" si="599"/>
        <v>71860.872463379972</v>
      </c>
      <c r="DM102" s="60">
        <f t="shared" si="600"/>
        <v>21047.726699999992</v>
      </c>
      <c r="DN102" s="59">
        <f t="shared" si="601"/>
        <v>69579.574924859975</v>
      </c>
      <c r="DO102" s="60">
        <f t="shared" si="602"/>
        <v>20357.637299999991</v>
      </c>
      <c r="DP102" s="59">
        <f t="shared" si="603"/>
        <v>67298.277386339978</v>
      </c>
      <c r="DQ102" s="55">
        <f t="shared" si="604"/>
        <v>19667.54789999999</v>
      </c>
      <c r="DR102" s="59">
        <f t="shared" si="605"/>
        <v>65016.979847819966</v>
      </c>
      <c r="DU102" s="55">
        <v>1</v>
      </c>
      <c r="DV102" s="55">
        <v>0.97</v>
      </c>
      <c r="DW102" s="55">
        <v>0.95</v>
      </c>
      <c r="DX102" s="55">
        <v>0.93</v>
      </c>
      <c r="DY102" s="55">
        <f t="shared" si="651"/>
        <v>0.91</v>
      </c>
      <c r="DZ102" s="55">
        <f t="shared" si="651"/>
        <v>0.89</v>
      </c>
      <c r="EA102" s="55">
        <f t="shared" si="651"/>
        <v>0.87</v>
      </c>
      <c r="EB102" s="55">
        <f t="shared" si="651"/>
        <v>0.85</v>
      </c>
      <c r="EC102" s="55">
        <f t="shared" si="651"/>
        <v>0.83</v>
      </c>
      <c r="ED102" s="55">
        <f t="shared" si="651"/>
        <v>0.80999999999999994</v>
      </c>
      <c r="EE102" s="55">
        <f t="shared" si="651"/>
        <v>0.78999999999999992</v>
      </c>
      <c r="EF102" s="55">
        <f t="shared" si="651"/>
        <v>0.76999999999999991</v>
      </c>
      <c r="EG102" s="55">
        <f t="shared" si="651"/>
        <v>0.74999999999999989</v>
      </c>
      <c r="EH102" s="55">
        <f t="shared" si="651"/>
        <v>0.72999999999999987</v>
      </c>
      <c r="EI102" s="55">
        <f t="shared" si="651"/>
        <v>0.70999999999999985</v>
      </c>
      <c r="EJ102" s="55">
        <f t="shared" si="651"/>
        <v>0.68999999999999984</v>
      </c>
      <c r="EK102" s="55">
        <f t="shared" si="651"/>
        <v>0.66999999999999982</v>
      </c>
      <c r="EL102" s="55">
        <f t="shared" si="651"/>
        <v>0.6499999999999998</v>
      </c>
      <c r="EM102" s="55">
        <f t="shared" si="651"/>
        <v>0.62999999999999978</v>
      </c>
      <c r="EN102" s="55">
        <f t="shared" si="651"/>
        <v>0.60999999999999976</v>
      </c>
      <c r="EO102" s="55">
        <f t="shared" si="651"/>
        <v>0.58999999999999975</v>
      </c>
      <c r="EP102" s="55">
        <f t="shared" si="651"/>
        <v>0.56999999999999973</v>
      </c>
      <c r="ER102" s="55">
        <f t="shared" si="652"/>
        <v>31399.067700000003</v>
      </c>
      <c r="ES102" s="55">
        <f t="shared" si="514"/>
        <v>31399.067700000003</v>
      </c>
      <c r="ET102" s="59">
        <f t="shared" si="606"/>
        <v>103799.03800266002</v>
      </c>
      <c r="EU102" s="55">
        <f t="shared" si="607"/>
        <v>30457.095669000002</v>
      </c>
      <c r="EV102" s="59">
        <f t="shared" si="608"/>
        <v>100685.06686258021</v>
      </c>
      <c r="EW102" s="55">
        <f t="shared" si="609"/>
        <v>29829.114315000003</v>
      </c>
      <c r="EX102" s="59">
        <f t="shared" si="610"/>
        <v>98609.086102527013</v>
      </c>
      <c r="EY102" s="55">
        <f t="shared" si="611"/>
        <v>29201.132961000003</v>
      </c>
      <c r="EZ102" s="59">
        <f t="shared" si="612"/>
        <v>96533.105342473806</v>
      </c>
      <c r="FA102" s="57">
        <f t="shared" si="613"/>
        <v>28573.151607000003</v>
      </c>
      <c r="FB102" s="59">
        <f t="shared" si="614"/>
        <v>94457.124582420613</v>
      </c>
      <c r="FC102" s="55">
        <f t="shared" si="615"/>
        <v>27945.170253000004</v>
      </c>
      <c r="FD102" s="59">
        <f t="shared" si="616"/>
        <v>92381.143822367419</v>
      </c>
      <c r="FE102" s="57">
        <f t="shared" si="617"/>
        <v>27317.188899000004</v>
      </c>
      <c r="FF102" s="59">
        <f t="shared" si="618"/>
        <v>90305.163062314212</v>
      </c>
      <c r="FG102" s="60">
        <f t="shared" si="619"/>
        <v>26689.207545000001</v>
      </c>
      <c r="FH102" s="59">
        <f t="shared" si="620"/>
        <v>88229.182302261004</v>
      </c>
      <c r="FI102" s="57">
        <f t="shared" si="621"/>
        <v>26061.226191000002</v>
      </c>
      <c r="FJ102" s="59">
        <f t="shared" si="622"/>
        <v>86153.201542207811</v>
      </c>
      <c r="FK102" s="55">
        <f t="shared" si="623"/>
        <v>25433.244837000002</v>
      </c>
      <c r="FL102" s="59">
        <f t="shared" si="624"/>
        <v>84077.220782154604</v>
      </c>
      <c r="FM102" s="60">
        <f t="shared" si="625"/>
        <v>24805.263482999999</v>
      </c>
      <c r="FN102" s="59">
        <f t="shared" si="626"/>
        <v>82001.240022101396</v>
      </c>
      <c r="FO102" s="60">
        <f t="shared" si="627"/>
        <v>24177.282128999999</v>
      </c>
      <c r="FP102" s="59">
        <f t="shared" si="628"/>
        <v>79925.259262048203</v>
      </c>
      <c r="FQ102" s="60">
        <f t="shared" si="629"/>
        <v>23549.300775</v>
      </c>
      <c r="FR102" s="59">
        <f t="shared" si="630"/>
        <v>77849.278501994995</v>
      </c>
      <c r="FS102" s="55">
        <f t="shared" si="631"/>
        <v>22921.319420999997</v>
      </c>
      <c r="FT102" s="59">
        <f t="shared" si="632"/>
        <v>75773.297741941788</v>
      </c>
      <c r="FU102" s="60">
        <f t="shared" si="633"/>
        <v>22293.338066999997</v>
      </c>
      <c r="FV102" s="59">
        <f t="shared" si="634"/>
        <v>73697.316981888594</v>
      </c>
      <c r="FW102" s="60">
        <f t="shared" si="635"/>
        <v>21665.356712999997</v>
      </c>
      <c r="FX102" s="59">
        <f t="shared" si="636"/>
        <v>71621.336221835387</v>
      </c>
      <c r="FY102" s="60">
        <f t="shared" si="637"/>
        <v>21037.375358999998</v>
      </c>
      <c r="FZ102" s="59">
        <f t="shared" si="638"/>
        <v>69545.355461782194</v>
      </c>
      <c r="GA102" s="60">
        <f t="shared" si="639"/>
        <v>20409.394004999995</v>
      </c>
      <c r="GB102" s="59">
        <f t="shared" si="640"/>
        <v>67469.374701728986</v>
      </c>
      <c r="GC102" s="55">
        <f t="shared" si="641"/>
        <v>19781.412650999995</v>
      </c>
      <c r="GD102" s="59">
        <f t="shared" si="642"/>
        <v>65393.393941675786</v>
      </c>
      <c r="GE102" s="60">
        <f t="shared" si="643"/>
        <v>19153.431296999996</v>
      </c>
      <c r="GF102" s="59">
        <f t="shared" si="644"/>
        <v>63317.413181622585</v>
      </c>
      <c r="GG102" s="60">
        <f t="shared" si="645"/>
        <v>18525.449942999992</v>
      </c>
      <c r="GH102" s="59">
        <f t="shared" si="646"/>
        <v>61241.432421569378</v>
      </c>
      <c r="GI102" s="55">
        <f t="shared" si="647"/>
        <v>17897.468588999993</v>
      </c>
      <c r="GJ102" s="59">
        <f t="shared" si="648"/>
        <v>59165.451661516177</v>
      </c>
      <c r="GK102" s="55"/>
      <c r="GL102" s="55"/>
      <c r="GM102" s="55">
        <v>1</v>
      </c>
      <c r="GN102" s="55">
        <v>0.97</v>
      </c>
      <c r="GO102" s="55">
        <v>0.95</v>
      </c>
      <c r="GP102" s="55">
        <v>0.93</v>
      </c>
      <c r="GQ102" s="55">
        <f t="shared" si="653"/>
        <v>0.91</v>
      </c>
      <c r="GR102" s="55">
        <f t="shared" si="653"/>
        <v>0.89</v>
      </c>
      <c r="GS102" s="55">
        <f t="shared" si="653"/>
        <v>0.87</v>
      </c>
      <c r="GT102" s="55">
        <f t="shared" si="653"/>
        <v>0.85</v>
      </c>
      <c r="GU102" s="55">
        <f t="shared" si="653"/>
        <v>0.83</v>
      </c>
      <c r="GV102" s="55">
        <f t="shared" si="653"/>
        <v>0.80999999999999994</v>
      </c>
      <c r="GW102" s="55">
        <f t="shared" si="653"/>
        <v>0.78999999999999992</v>
      </c>
      <c r="GX102" s="55">
        <f t="shared" si="653"/>
        <v>0.76999999999999991</v>
      </c>
      <c r="GY102" s="55">
        <f t="shared" si="653"/>
        <v>0.74999999999999989</v>
      </c>
      <c r="GZ102" s="55">
        <f t="shared" si="653"/>
        <v>0.72999999999999987</v>
      </c>
      <c r="HA102" s="55">
        <f t="shared" si="653"/>
        <v>0.70999999999999985</v>
      </c>
      <c r="HB102" s="55">
        <f t="shared" si="653"/>
        <v>0.68999999999999984</v>
      </c>
      <c r="HC102" s="55">
        <f t="shared" si="653"/>
        <v>0.66999999999999982</v>
      </c>
      <c r="HD102" s="55">
        <f t="shared" si="653"/>
        <v>0.6499999999999998</v>
      </c>
      <c r="HE102" s="55">
        <f t="shared" si="653"/>
        <v>0.62999999999999978</v>
      </c>
      <c r="HF102" s="55">
        <f t="shared" si="653"/>
        <v>0.60999999999999976</v>
      </c>
      <c r="HG102" s="55">
        <f t="shared" si="653"/>
        <v>0.58999999999999975</v>
      </c>
      <c r="HH102" s="55">
        <f t="shared" si="653"/>
        <v>0.56999999999999973</v>
      </c>
    </row>
    <row r="103" spans="1:216" x14ac:dyDescent="0.3">
      <c r="A103" s="2">
        <v>6</v>
      </c>
      <c r="C103" s="38" t="s">
        <v>44</v>
      </c>
      <c r="D103" s="42">
        <f>TRUNC(20365,-1)</f>
        <v>20360</v>
      </c>
      <c r="E103" s="71">
        <f t="shared" si="519"/>
        <v>67300</v>
      </c>
      <c r="H103" s="55">
        <f t="shared" si="509"/>
        <v>74030</v>
      </c>
      <c r="I103" s="55">
        <f t="shared" si="510"/>
        <v>74030</v>
      </c>
      <c r="J103" s="59">
        <f t="shared" si="511"/>
        <v>244728.37400000001</v>
      </c>
      <c r="K103" s="55">
        <f t="shared" si="520"/>
        <v>71809.099999999991</v>
      </c>
      <c r="L103" s="59">
        <f t="shared" si="521"/>
        <v>237386.52277999997</v>
      </c>
      <c r="M103" s="55">
        <f t="shared" si="522"/>
        <v>70328.5</v>
      </c>
      <c r="N103" s="59">
        <f t="shared" si="523"/>
        <v>232491.9553</v>
      </c>
      <c r="O103" s="55">
        <f t="shared" si="524"/>
        <v>68847.900000000009</v>
      </c>
      <c r="P103" s="59">
        <f t="shared" si="525"/>
        <v>227597.38782000003</v>
      </c>
      <c r="Q103" s="57">
        <f t="shared" si="526"/>
        <v>67367.3</v>
      </c>
      <c r="R103" s="59">
        <f t="shared" si="527"/>
        <v>222702.82034000001</v>
      </c>
      <c r="S103" s="55">
        <f t="shared" si="528"/>
        <v>65886.7</v>
      </c>
      <c r="T103" s="59">
        <f t="shared" si="529"/>
        <v>217808.25286000001</v>
      </c>
      <c r="U103" s="57">
        <f t="shared" si="530"/>
        <v>64406.1</v>
      </c>
      <c r="V103" s="59">
        <f t="shared" si="531"/>
        <v>212913.68538000001</v>
      </c>
      <c r="W103" s="60">
        <f t="shared" si="532"/>
        <v>62925.5</v>
      </c>
      <c r="X103" s="59">
        <f t="shared" si="533"/>
        <v>208019.11790000001</v>
      </c>
      <c r="Y103" s="57">
        <f t="shared" si="534"/>
        <v>61444.899999999994</v>
      </c>
      <c r="Z103" s="59">
        <f t="shared" si="535"/>
        <v>203124.55041999999</v>
      </c>
      <c r="AA103" s="55">
        <f t="shared" si="536"/>
        <v>59964.299999999996</v>
      </c>
      <c r="AB103" s="59">
        <f t="shared" si="537"/>
        <v>198229.98293999999</v>
      </c>
      <c r="AC103" s="60">
        <f t="shared" si="538"/>
        <v>58483.7</v>
      </c>
      <c r="AD103" s="59">
        <f t="shared" si="539"/>
        <v>193335.41545999999</v>
      </c>
      <c r="AE103" s="60">
        <f t="shared" si="540"/>
        <v>57003.099999999991</v>
      </c>
      <c r="AF103" s="59">
        <f t="shared" si="541"/>
        <v>188440.84797999996</v>
      </c>
      <c r="AG103" s="60">
        <f t="shared" si="542"/>
        <v>55522.499999999993</v>
      </c>
      <c r="AH103" s="59">
        <f t="shared" si="543"/>
        <v>183546.28049999999</v>
      </c>
      <c r="AI103" s="55">
        <f t="shared" si="544"/>
        <v>54041.899999999987</v>
      </c>
      <c r="AJ103" s="59">
        <f t="shared" si="545"/>
        <v>178651.71301999997</v>
      </c>
      <c r="AK103" s="60">
        <f t="shared" si="546"/>
        <v>52561.299999999988</v>
      </c>
      <c r="AL103" s="59">
        <f t="shared" si="547"/>
        <v>173757.14553999997</v>
      </c>
      <c r="AM103" s="60">
        <f t="shared" si="548"/>
        <v>51080.69999999999</v>
      </c>
      <c r="AN103" s="59">
        <f t="shared" si="549"/>
        <v>168862.57805999997</v>
      </c>
      <c r="AO103" s="60">
        <f t="shared" si="550"/>
        <v>49600.099999999984</v>
      </c>
      <c r="AP103" s="59">
        <f t="shared" si="551"/>
        <v>163968.01057999994</v>
      </c>
      <c r="AQ103" s="60">
        <f t="shared" si="552"/>
        <v>48119.499999999985</v>
      </c>
      <c r="AR103" s="59">
        <f t="shared" si="553"/>
        <v>159073.44309999995</v>
      </c>
      <c r="AS103" s="55">
        <f t="shared" si="554"/>
        <v>46638.899999999987</v>
      </c>
      <c r="AT103" s="59">
        <f t="shared" si="555"/>
        <v>154178.87561999995</v>
      </c>
      <c r="AU103" s="60">
        <f t="shared" si="556"/>
        <v>45158.299999999981</v>
      </c>
      <c r="AV103" s="59">
        <f t="shared" si="557"/>
        <v>149284.30813999995</v>
      </c>
      <c r="AW103" s="60">
        <f t="shared" si="558"/>
        <v>43677.699999999983</v>
      </c>
      <c r="AX103" s="59">
        <f t="shared" si="559"/>
        <v>144389.74065999995</v>
      </c>
      <c r="AY103" s="55">
        <f t="shared" si="560"/>
        <v>42197.099999999977</v>
      </c>
      <c r="AZ103" s="59">
        <f t="shared" si="561"/>
        <v>139495.17317999993</v>
      </c>
      <c r="BC103" s="55">
        <v>1</v>
      </c>
      <c r="BD103" s="55">
        <v>0.97</v>
      </c>
      <c r="BE103" s="55">
        <v>0.95</v>
      </c>
      <c r="BF103" s="55">
        <v>0.93</v>
      </c>
      <c r="BG103" s="55">
        <f t="shared" si="562"/>
        <v>0.91</v>
      </c>
      <c r="BH103" s="55">
        <f t="shared" si="562"/>
        <v>0.89</v>
      </c>
      <c r="BI103" s="55">
        <f t="shared" si="562"/>
        <v>0.87</v>
      </c>
      <c r="BJ103" s="55">
        <f t="shared" si="562"/>
        <v>0.85</v>
      </c>
      <c r="BK103" s="55">
        <f t="shared" si="562"/>
        <v>0.83</v>
      </c>
      <c r="BL103" s="55">
        <f t="shared" si="562"/>
        <v>0.80999999999999994</v>
      </c>
      <c r="BM103" s="55">
        <f t="shared" si="562"/>
        <v>0.78999999999999992</v>
      </c>
      <c r="BN103" s="55">
        <f t="shared" si="562"/>
        <v>0.76999999999999991</v>
      </c>
      <c r="BO103" s="55">
        <f t="shared" si="562"/>
        <v>0.74999999999999989</v>
      </c>
      <c r="BP103" s="55">
        <f t="shared" si="562"/>
        <v>0.72999999999999987</v>
      </c>
      <c r="BQ103" s="55">
        <f t="shared" si="562"/>
        <v>0.70999999999999985</v>
      </c>
      <c r="BR103" s="55">
        <f t="shared" si="562"/>
        <v>0.68999999999999984</v>
      </c>
      <c r="BS103" s="55">
        <f t="shared" si="562"/>
        <v>0.66999999999999982</v>
      </c>
      <c r="BT103" s="55">
        <f t="shared" si="562"/>
        <v>0.6499999999999998</v>
      </c>
      <c r="BU103" s="55">
        <f t="shared" si="562"/>
        <v>0.62999999999999978</v>
      </c>
      <c r="BV103" s="55">
        <f t="shared" si="562"/>
        <v>0.60999999999999976</v>
      </c>
      <c r="BW103" s="55">
        <f t="shared" si="562"/>
        <v>0.58999999999999975</v>
      </c>
      <c r="BX103" s="55">
        <f t="shared" si="562"/>
        <v>0.56999999999999973</v>
      </c>
      <c r="BZ103" s="55">
        <f t="shared" si="512"/>
        <v>67367.3</v>
      </c>
      <c r="CA103" s="55">
        <f t="shared" si="513"/>
        <v>67367.3</v>
      </c>
      <c r="CB103" s="59">
        <f t="shared" si="563"/>
        <v>222702.82034000001</v>
      </c>
      <c r="CC103" s="55">
        <f t="shared" si="564"/>
        <v>65346.281000000003</v>
      </c>
      <c r="CD103" s="59">
        <f t="shared" si="565"/>
        <v>216021.73572980001</v>
      </c>
      <c r="CE103" s="55">
        <f t="shared" si="566"/>
        <v>63998.934999999998</v>
      </c>
      <c r="CF103" s="59">
        <f t="shared" si="567"/>
        <v>211567.67932299999</v>
      </c>
      <c r="CG103" s="55">
        <f t="shared" si="568"/>
        <v>62651.589000000007</v>
      </c>
      <c r="CH103" s="59">
        <f t="shared" si="569"/>
        <v>207113.62291620002</v>
      </c>
      <c r="CI103" s="57">
        <f t="shared" si="570"/>
        <v>61304.243000000002</v>
      </c>
      <c r="CJ103" s="59">
        <f t="shared" si="571"/>
        <v>202659.5665094</v>
      </c>
      <c r="CK103" s="55">
        <f t="shared" si="572"/>
        <v>59956.897000000004</v>
      </c>
      <c r="CL103" s="59">
        <f t="shared" si="573"/>
        <v>198205.5101026</v>
      </c>
      <c r="CM103" s="57">
        <f t="shared" si="574"/>
        <v>58609.550999999999</v>
      </c>
      <c r="CN103" s="59">
        <f t="shared" si="575"/>
        <v>193751.45369580001</v>
      </c>
      <c r="CO103" s="60">
        <f t="shared" si="576"/>
        <v>57262.205000000002</v>
      </c>
      <c r="CP103" s="59">
        <f t="shared" si="577"/>
        <v>189297.39728900002</v>
      </c>
      <c r="CQ103" s="57">
        <f t="shared" si="578"/>
        <v>55914.858999999997</v>
      </c>
      <c r="CR103" s="59">
        <f t="shared" si="579"/>
        <v>184843.34088219999</v>
      </c>
      <c r="CS103" s="55">
        <f t="shared" si="580"/>
        <v>54567.512999999999</v>
      </c>
      <c r="CT103" s="59">
        <f t="shared" si="581"/>
        <v>180389.2844754</v>
      </c>
      <c r="CU103" s="60">
        <f t="shared" si="582"/>
        <v>53220.166999999994</v>
      </c>
      <c r="CV103" s="59">
        <f t="shared" si="583"/>
        <v>175935.22806859997</v>
      </c>
      <c r="CW103" s="60">
        <f t="shared" si="584"/>
        <v>51872.820999999996</v>
      </c>
      <c r="CX103" s="59">
        <f t="shared" si="585"/>
        <v>171481.17166179998</v>
      </c>
      <c r="CY103" s="60">
        <f t="shared" si="586"/>
        <v>50525.474999999991</v>
      </c>
      <c r="CZ103" s="59">
        <f t="shared" si="587"/>
        <v>167027.11525499998</v>
      </c>
      <c r="DA103" s="55">
        <f t="shared" si="588"/>
        <v>49178.128999999994</v>
      </c>
      <c r="DB103" s="59">
        <f t="shared" si="589"/>
        <v>162573.05884819999</v>
      </c>
      <c r="DC103" s="60">
        <f t="shared" si="590"/>
        <v>47830.782999999996</v>
      </c>
      <c r="DD103" s="59">
        <f t="shared" si="591"/>
        <v>158119.00244139999</v>
      </c>
      <c r="DE103" s="60">
        <f t="shared" si="592"/>
        <v>46483.436999999991</v>
      </c>
      <c r="DF103" s="59">
        <f t="shared" si="593"/>
        <v>153664.94603459997</v>
      </c>
      <c r="DG103" s="60">
        <f t="shared" si="594"/>
        <v>45136.090999999993</v>
      </c>
      <c r="DH103" s="59">
        <f t="shared" si="595"/>
        <v>149210.88962779997</v>
      </c>
      <c r="DI103" s="60">
        <f t="shared" si="596"/>
        <v>43788.744999999988</v>
      </c>
      <c r="DJ103" s="59">
        <f t="shared" si="597"/>
        <v>144756.83322099995</v>
      </c>
      <c r="DK103" s="55">
        <f t="shared" si="598"/>
        <v>42441.39899999999</v>
      </c>
      <c r="DL103" s="59">
        <f t="shared" si="599"/>
        <v>140302.77681419998</v>
      </c>
      <c r="DM103" s="60">
        <f t="shared" si="600"/>
        <v>41094.052999999985</v>
      </c>
      <c r="DN103" s="59">
        <f t="shared" si="601"/>
        <v>135848.72040739996</v>
      </c>
      <c r="DO103" s="60">
        <f t="shared" si="602"/>
        <v>39746.706999999988</v>
      </c>
      <c r="DP103" s="59">
        <f t="shared" si="603"/>
        <v>131394.66400059997</v>
      </c>
      <c r="DQ103" s="55">
        <f t="shared" si="604"/>
        <v>38399.360999999983</v>
      </c>
      <c r="DR103" s="59">
        <f t="shared" si="605"/>
        <v>126940.60759379994</v>
      </c>
      <c r="DU103" s="55">
        <v>1</v>
      </c>
      <c r="DV103" s="55">
        <v>0.97</v>
      </c>
      <c r="DW103" s="55">
        <v>0.95</v>
      </c>
      <c r="DX103" s="55">
        <v>0.93</v>
      </c>
      <c r="DY103" s="55">
        <f t="shared" si="651"/>
        <v>0.91</v>
      </c>
      <c r="DZ103" s="55">
        <f t="shared" si="651"/>
        <v>0.89</v>
      </c>
      <c r="EA103" s="55">
        <f t="shared" si="651"/>
        <v>0.87</v>
      </c>
      <c r="EB103" s="55">
        <f t="shared" si="651"/>
        <v>0.85</v>
      </c>
      <c r="EC103" s="55">
        <f t="shared" si="651"/>
        <v>0.83</v>
      </c>
      <c r="ED103" s="55">
        <f t="shared" si="651"/>
        <v>0.80999999999999994</v>
      </c>
      <c r="EE103" s="55">
        <f t="shared" si="651"/>
        <v>0.78999999999999992</v>
      </c>
      <c r="EF103" s="55">
        <f t="shared" si="651"/>
        <v>0.76999999999999991</v>
      </c>
      <c r="EG103" s="55">
        <f t="shared" si="651"/>
        <v>0.74999999999999989</v>
      </c>
      <c r="EH103" s="55">
        <f t="shared" si="651"/>
        <v>0.72999999999999987</v>
      </c>
      <c r="EI103" s="55">
        <f t="shared" si="651"/>
        <v>0.70999999999999985</v>
      </c>
      <c r="EJ103" s="55">
        <f t="shared" si="651"/>
        <v>0.68999999999999984</v>
      </c>
      <c r="EK103" s="55">
        <f t="shared" si="651"/>
        <v>0.66999999999999982</v>
      </c>
      <c r="EL103" s="55">
        <f t="shared" si="651"/>
        <v>0.6499999999999998</v>
      </c>
      <c r="EM103" s="55">
        <f t="shared" si="651"/>
        <v>0.62999999999999978</v>
      </c>
      <c r="EN103" s="55">
        <f t="shared" si="651"/>
        <v>0.60999999999999976</v>
      </c>
      <c r="EO103" s="55">
        <f t="shared" si="651"/>
        <v>0.58999999999999975</v>
      </c>
      <c r="EP103" s="55">
        <f t="shared" si="651"/>
        <v>0.56999999999999973</v>
      </c>
      <c r="ER103" s="55">
        <f t="shared" si="652"/>
        <v>61304.243000000002</v>
      </c>
      <c r="ES103" s="55">
        <f t="shared" si="514"/>
        <v>61304.243000000002</v>
      </c>
      <c r="ET103" s="59">
        <f t="shared" si="606"/>
        <v>202659.5665094</v>
      </c>
      <c r="EU103" s="55">
        <f t="shared" si="607"/>
        <v>59465.115709999998</v>
      </c>
      <c r="EV103" s="59">
        <f t="shared" si="608"/>
        <v>196579.77951411801</v>
      </c>
      <c r="EW103" s="55">
        <f t="shared" si="609"/>
        <v>58239.030850000003</v>
      </c>
      <c r="EX103" s="59">
        <f t="shared" si="610"/>
        <v>192526.58818393003</v>
      </c>
      <c r="EY103" s="55">
        <f t="shared" si="611"/>
        <v>57012.945990000007</v>
      </c>
      <c r="EZ103" s="59">
        <f t="shared" si="612"/>
        <v>188473.39685374202</v>
      </c>
      <c r="FA103" s="57">
        <f t="shared" si="613"/>
        <v>55786.861130000005</v>
      </c>
      <c r="FB103" s="59">
        <f t="shared" si="614"/>
        <v>184420.20552355403</v>
      </c>
      <c r="FC103" s="55">
        <f t="shared" si="615"/>
        <v>54560.776270000002</v>
      </c>
      <c r="FD103" s="59">
        <f t="shared" si="616"/>
        <v>180367.01419336602</v>
      </c>
      <c r="FE103" s="57">
        <f t="shared" si="617"/>
        <v>53334.691409999999</v>
      </c>
      <c r="FF103" s="59">
        <f t="shared" si="618"/>
        <v>176313.82286317801</v>
      </c>
      <c r="FG103" s="60">
        <f t="shared" si="619"/>
        <v>52108.606550000004</v>
      </c>
      <c r="FH103" s="59">
        <f t="shared" si="620"/>
        <v>172260.63153299002</v>
      </c>
      <c r="FI103" s="57">
        <f t="shared" si="621"/>
        <v>50882.521690000001</v>
      </c>
      <c r="FJ103" s="59">
        <f t="shared" si="622"/>
        <v>168207.44020280201</v>
      </c>
      <c r="FK103" s="55">
        <f t="shared" si="623"/>
        <v>49656.436829999999</v>
      </c>
      <c r="FL103" s="59">
        <f t="shared" si="624"/>
        <v>164154.248872614</v>
      </c>
      <c r="FM103" s="60">
        <f t="shared" si="625"/>
        <v>48430.351969999996</v>
      </c>
      <c r="FN103" s="59">
        <f t="shared" si="626"/>
        <v>160101.05754242599</v>
      </c>
      <c r="FO103" s="60">
        <f t="shared" si="627"/>
        <v>47204.267109999993</v>
      </c>
      <c r="FP103" s="59">
        <f t="shared" si="628"/>
        <v>156047.86621223798</v>
      </c>
      <c r="FQ103" s="60">
        <f t="shared" si="629"/>
        <v>45978.182249999998</v>
      </c>
      <c r="FR103" s="59">
        <f t="shared" si="630"/>
        <v>151994.67488204999</v>
      </c>
      <c r="FS103" s="55">
        <f t="shared" si="631"/>
        <v>44752.097389999995</v>
      </c>
      <c r="FT103" s="59">
        <f t="shared" si="632"/>
        <v>147941.48355186198</v>
      </c>
      <c r="FU103" s="60">
        <f t="shared" si="633"/>
        <v>43526.012529999993</v>
      </c>
      <c r="FV103" s="59">
        <f t="shared" si="634"/>
        <v>143888.29222167397</v>
      </c>
      <c r="FW103" s="60">
        <f t="shared" si="635"/>
        <v>42299.92766999999</v>
      </c>
      <c r="FX103" s="59">
        <f t="shared" si="636"/>
        <v>139835.10089148596</v>
      </c>
      <c r="FY103" s="60">
        <f t="shared" si="637"/>
        <v>41073.842809999987</v>
      </c>
      <c r="FZ103" s="59">
        <f t="shared" si="638"/>
        <v>135781.90956129797</v>
      </c>
      <c r="GA103" s="60">
        <f t="shared" si="639"/>
        <v>39847.757949999992</v>
      </c>
      <c r="GB103" s="59">
        <f t="shared" si="640"/>
        <v>131728.71823110999</v>
      </c>
      <c r="GC103" s="55">
        <f t="shared" si="641"/>
        <v>38621.673089999989</v>
      </c>
      <c r="GD103" s="59">
        <f t="shared" si="642"/>
        <v>127675.52690092196</v>
      </c>
      <c r="GE103" s="60">
        <f t="shared" si="643"/>
        <v>37395.588229999987</v>
      </c>
      <c r="GF103" s="59">
        <f t="shared" si="644"/>
        <v>123622.33557073397</v>
      </c>
      <c r="GG103" s="60">
        <f t="shared" si="645"/>
        <v>36169.503369999984</v>
      </c>
      <c r="GH103" s="59">
        <f t="shared" si="646"/>
        <v>119569.14424054595</v>
      </c>
      <c r="GI103" s="55">
        <f t="shared" si="647"/>
        <v>34943.418509999981</v>
      </c>
      <c r="GJ103" s="59">
        <f t="shared" si="648"/>
        <v>115515.95291035794</v>
      </c>
      <c r="GK103" s="55"/>
      <c r="GL103" s="55"/>
      <c r="GM103" s="55">
        <v>1</v>
      </c>
      <c r="GN103" s="55">
        <v>0.97</v>
      </c>
      <c r="GO103" s="55">
        <v>0.95</v>
      </c>
      <c r="GP103" s="55">
        <v>0.93</v>
      </c>
      <c r="GQ103" s="55">
        <f t="shared" si="653"/>
        <v>0.91</v>
      </c>
      <c r="GR103" s="55">
        <f t="shared" si="653"/>
        <v>0.89</v>
      </c>
      <c r="GS103" s="55">
        <f t="shared" si="653"/>
        <v>0.87</v>
      </c>
      <c r="GT103" s="55">
        <f t="shared" si="653"/>
        <v>0.85</v>
      </c>
      <c r="GU103" s="55">
        <f t="shared" si="653"/>
        <v>0.83</v>
      </c>
      <c r="GV103" s="55">
        <f t="shared" si="653"/>
        <v>0.80999999999999994</v>
      </c>
      <c r="GW103" s="55">
        <f t="shared" si="653"/>
        <v>0.78999999999999992</v>
      </c>
      <c r="GX103" s="55">
        <f t="shared" si="653"/>
        <v>0.76999999999999991</v>
      </c>
      <c r="GY103" s="55">
        <f t="shared" si="653"/>
        <v>0.74999999999999989</v>
      </c>
      <c r="GZ103" s="55">
        <f t="shared" si="653"/>
        <v>0.72999999999999987</v>
      </c>
      <c r="HA103" s="55">
        <f t="shared" si="653"/>
        <v>0.70999999999999985</v>
      </c>
      <c r="HB103" s="55">
        <f t="shared" si="653"/>
        <v>0.68999999999999984</v>
      </c>
      <c r="HC103" s="55">
        <f t="shared" si="653"/>
        <v>0.66999999999999982</v>
      </c>
      <c r="HD103" s="55">
        <f t="shared" si="653"/>
        <v>0.6499999999999998</v>
      </c>
      <c r="HE103" s="55">
        <f t="shared" si="653"/>
        <v>0.62999999999999978</v>
      </c>
      <c r="HF103" s="55">
        <f t="shared" si="653"/>
        <v>0.60999999999999976</v>
      </c>
      <c r="HG103" s="55">
        <f t="shared" si="653"/>
        <v>0.58999999999999975</v>
      </c>
      <c r="HH103" s="55">
        <f t="shared" si="653"/>
        <v>0.56999999999999973</v>
      </c>
    </row>
    <row r="104" spans="1:216" x14ac:dyDescent="0.3">
      <c r="A104" s="2">
        <v>7</v>
      </c>
      <c r="C104" s="38" t="s">
        <v>45</v>
      </c>
      <c r="D104" s="42">
        <f>TRUNC(2041,-1)</f>
        <v>2040</v>
      </c>
      <c r="E104" s="71">
        <f t="shared" si="519"/>
        <v>6740</v>
      </c>
      <c r="H104" s="55">
        <f t="shared" si="509"/>
        <v>7414.0000000000009</v>
      </c>
      <c r="I104" s="55">
        <f t="shared" si="510"/>
        <v>7414.0000000000009</v>
      </c>
      <c r="J104" s="59">
        <f t="shared" si="511"/>
        <v>24509.201200000003</v>
      </c>
      <c r="K104" s="55">
        <f t="shared" si="520"/>
        <v>7191.5800000000008</v>
      </c>
      <c r="L104" s="59">
        <f t="shared" si="521"/>
        <v>23773.925164000004</v>
      </c>
      <c r="M104" s="55">
        <f t="shared" si="522"/>
        <v>7043.3</v>
      </c>
      <c r="N104" s="59">
        <f t="shared" si="523"/>
        <v>23283.741140000002</v>
      </c>
      <c r="O104" s="55">
        <f t="shared" si="524"/>
        <v>6895.0200000000013</v>
      </c>
      <c r="P104" s="59">
        <f t="shared" si="525"/>
        <v>22793.557116000004</v>
      </c>
      <c r="Q104" s="57">
        <f t="shared" si="526"/>
        <v>6746.7400000000007</v>
      </c>
      <c r="R104" s="59">
        <f t="shared" si="527"/>
        <v>22303.373092000002</v>
      </c>
      <c r="S104" s="55">
        <f t="shared" si="528"/>
        <v>6598.4600000000009</v>
      </c>
      <c r="T104" s="59">
        <f t="shared" si="529"/>
        <v>21813.189068000003</v>
      </c>
      <c r="U104" s="57">
        <f t="shared" si="530"/>
        <v>6450.1800000000012</v>
      </c>
      <c r="V104" s="59">
        <f t="shared" si="531"/>
        <v>21323.005044000005</v>
      </c>
      <c r="W104" s="60">
        <f t="shared" si="532"/>
        <v>6301.9000000000005</v>
      </c>
      <c r="X104" s="59">
        <f t="shared" si="533"/>
        <v>20832.821020000003</v>
      </c>
      <c r="Y104" s="57">
        <f t="shared" si="534"/>
        <v>6153.6200000000008</v>
      </c>
      <c r="Z104" s="59">
        <f t="shared" si="535"/>
        <v>20342.636996000005</v>
      </c>
      <c r="AA104" s="55">
        <f t="shared" si="536"/>
        <v>6005.34</v>
      </c>
      <c r="AB104" s="59">
        <f t="shared" si="537"/>
        <v>19852.452971999999</v>
      </c>
      <c r="AC104" s="60">
        <f t="shared" si="538"/>
        <v>5857.06</v>
      </c>
      <c r="AD104" s="59">
        <f t="shared" si="539"/>
        <v>19362.268948000001</v>
      </c>
      <c r="AE104" s="60">
        <f t="shared" si="540"/>
        <v>5708.78</v>
      </c>
      <c r="AF104" s="59">
        <f t="shared" si="541"/>
        <v>18872.084923999999</v>
      </c>
      <c r="AG104" s="60">
        <f t="shared" si="542"/>
        <v>5560.5</v>
      </c>
      <c r="AH104" s="59">
        <f t="shared" si="543"/>
        <v>18381.900900000001</v>
      </c>
      <c r="AI104" s="55">
        <f t="shared" si="544"/>
        <v>5412.2199999999993</v>
      </c>
      <c r="AJ104" s="59">
        <f t="shared" si="545"/>
        <v>17891.716875999999</v>
      </c>
      <c r="AK104" s="60">
        <f t="shared" si="546"/>
        <v>5263.94</v>
      </c>
      <c r="AL104" s="59">
        <f t="shared" si="547"/>
        <v>17401.532852</v>
      </c>
      <c r="AM104" s="60">
        <f t="shared" si="548"/>
        <v>5115.66</v>
      </c>
      <c r="AN104" s="59">
        <f t="shared" si="549"/>
        <v>16911.348827999998</v>
      </c>
      <c r="AO104" s="60">
        <f t="shared" si="550"/>
        <v>4967.3799999999992</v>
      </c>
      <c r="AP104" s="59">
        <f t="shared" si="551"/>
        <v>16421.164803999996</v>
      </c>
      <c r="AQ104" s="60">
        <f t="shared" si="552"/>
        <v>4819.0999999999995</v>
      </c>
      <c r="AR104" s="59">
        <f t="shared" si="553"/>
        <v>15930.980779999998</v>
      </c>
      <c r="AS104" s="55">
        <f t="shared" si="554"/>
        <v>4670.8199999999988</v>
      </c>
      <c r="AT104" s="59">
        <f t="shared" si="555"/>
        <v>15440.796755999996</v>
      </c>
      <c r="AU104" s="60">
        <f t="shared" si="556"/>
        <v>4522.5399999999991</v>
      </c>
      <c r="AV104" s="59">
        <f t="shared" si="557"/>
        <v>14950.612731999998</v>
      </c>
      <c r="AW104" s="60">
        <f t="shared" si="558"/>
        <v>4374.2599999999984</v>
      </c>
      <c r="AX104" s="59">
        <f t="shared" si="559"/>
        <v>14460.428707999996</v>
      </c>
      <c r="AY104" s="55">
        <f t="shared" si="560"/>
        <v>4225.9799999999987</v>
      </c>
      <c r="AZ104" s="59">
        <f t="shared" si="561"/>
        <v>13970.244683999996</v>
      </c>
      <c r="BC104" s="55">
        <v>1</v>
      </c>
      <c r="BD104" s="55">
        <v>0.97</v>
      </c>
      <c r="BE104" s="55">
        <v>0.95</v>
      </c>
      <c r="BF104" s="55">
        <v>0.93</v>
      </c>
      <c r="BG104" s="55">
        <f t="shared" si="562"/>
        <v>0.91</v>
      </c>
      <c r="BH104" s="55">
        <f t="shared" si="562"/>
        <v>0.89</v>
      </c>
      <c r="BI104" s="55">
        <f t="shared" si="562"/>
        <v>0.87</v>
      </c>
      <c r="BJ104" s="55">
        <f t="shared" si="562"/>
        <v>0.85</v>
      </c>
      <c r="BK104" s="55">
        <f t="shared" si="562"/>
        <v>0.83</v>
      </c>
      <c r="BL104" s="55">
        <f t="shared" si="562"/>
        <v>0.80999999999999994</v>
      </c>
      <c r="BM104" s="55">
        <f t="shared" si="562"/>
        <v>0.78999999999999992</v>
      </c>
      <c r="BN104" s="55">
        <f t="shared" si="562"/>
        <v>0.76999999999999991</v>
      </c>
      <c r="BO104" s="55">
        <f t="shared" si="562"/>
        <v>0.74999999999999989</v>
      </c>
      <c r="BP104" s="55">
        <f t="shared" si="562"/>
        <v>0.72999999999999987</v>
      </c>
      <c r="BQ104" s="55">
        <f t="shared" si="562"/>
        <v>0.70999999999999985</v>
      </c>
      <c r="BR104" s="55">
        <f t="shared" si="562"/>
        <v>0.68999999999999984</v>
      </c>
      <c r="BS104" s="55">
        <f t="shared" si="562"/>
        <v>0.66999999999999982</v>
      </c>
      <c r="BT104" s="55">
        <f t="shared" si="562"/>
        <v>0.6499999999999998</v>
      </c>
      <c r="BU104" s="55">
        <f t="shared" si="562"/>
        <v>0.62999999999999978</v>
      </c>
      <c r="BV104" s="55">
        <f t="shared" si="562"/>
        <v>0.60999999999999976</v>
      </c>
      <c r="BW104" s="55">
        <f t="shared" si="562"/>
        <v>0.58999999999999975</v>
      </c>
      <c r="BX104" s="55">
        <f t="shared" si="562"/>
        <v>0.56999999999999973</v>
      </c>
      <c r="BZ104" s="55">
        <f t="shared" si="512"/>
        <v>6746.7400000000007</v>
      </c>
      <c r="CA104" s="55">
        <f t="shared" si="513"/>
        <v>6746.7400000000007</v>
      </c>
      <c r="CB104" s="59">
        <f t="shared" si="563"/>
        <v>22303.373092000002</v>
      </c>
      <c r="CC104" s="55">
        <f t="shared" si="564"/>
        <v>6544.3378000000002</v>
      </c>
      <c r="CD104" s="59">
        <f t="shared" si="565"/>
        <v>21634.27189924</v>
      </c>
      <c r="CE104" s="55">
        <f t="shared" si="566"/>
        <v>6409.4030000000002</v>
      </c>
      <c r="CF104" s="59">
        <f t="shared" si="567"/>
        <v>21188.2044374</v>
      </c>
      <c r="CG104" s="55">
        <f t="shared" si="568"/>
        <v>6274.4682000000012</v>
      </c>
      <c r="CH104" s="59">
        <f t="shared" si="569"/>
        <v>20742.136975560003</v>
      </c>
      <c r="CI104" s="57">
        <f t="shared" si="570"/>
        <v>6139.5334000000012</v>
      </c>
      <c r="CJ104" s="59">
        <f t="shared" si="571"/>
        <v>20296.069513720005</v>
      </c>
      <c r="CK104" s="55">
        <f t="shared" si="572"/>
        <v>6004.5986000000003</v>
      </c>
      <c r="CL104" s="59">
        <f t="shared" si="573"/>
        <v>19850.002051880001</v>
      </c>
      <c r="CM104" s="57">
        <f t="shared" si="574"/>
        <v>5869.6638000000003</v>
      </c>
      <c r="CN104" s="59">
        <f t="shared" si="575"/>
        <v>19403.93459004</v>
      </c>
      <c r="CO104" s="60">
        <f t="shared" si="576"/>
        <v>5734.7290000000003</v>
      </c>
      <c r="CP104" s="59">
        <f t="shared" si="577"/>
        <v>18957.8671282</v>
      </c>
      <c r="CQ104" s="57">
        <f t="shared" si="578"/>
        <v>5599.7942000000003</v>
      </c>
      <c r="CR104" s="59">
        <f t="shared" si="579"/>
        <v>18511.799666360002</v>
      </c>
      <c r="CS104" s="55">
        <f t="shared" si="580"/>
        <v>5464.8594000000003</v>
      </c>
      <c r="CT104" s="59">
        <f t="shared" si="581"/>
        <v>18065.732204520002</v>
      </c>
      <c r="CU104" s="60">
        <f t="shared" si="582"/>
        <v>5329.9246000000003</v>
      </c>
      <c r="CV104" s="59">
        <f t="shared" si="583"/>
        <v>17619.664742680001</v>
      </c>
      <c r="CW104" s="60">
        <f t="shared" si="584"/>
        <v>5194.9898000000003</v>
      </c>
      <c r="CX104" s="59">
        <f t="shared" si="585"/>
        <v>17173.59728084</v>
      </c>
      <c r="CY104" s="60">
        <f t="shared" si="586"/>
        <v>5060.0549999999994</v>
      </c>
      <c r="CZ104" s="59">
        <f t="shared" si="587"/>
        <v>16727.529818999999</v>
      </c>
      <c r="DA104" s="55">
        <f t="shared" si="588"/>
        <v>4925.1201999999994</v>
      </c>
      <c r="DB104" s="59">
        <f t="shared" si="589"/>
        <v>16281.462357159999</v>
      </c>
      <c r="DC104" s="60">
        <f t="shared" si="590"/>
        <v>4790.1853999999994</v>
      </c>
      <c r="DD104" s="59">
        <f t="shared" si="591"/>
        <v>15835.394895319998</v>
      </c>
      <c r="DE104" s="60">
        <f t="shared" si="592"/>
        <v>4655.2505999999994</v>
      </c>
      <c r="DF104" s="59">
        <f t="shared" si="593"/>
        <v>15389.327433479999</v>
      </c>
      <c r="DG104" s="60">
        <f t="shared" si="594"/>
        <v>4520.3157999999994</v>
      </c>
      <c r="DH104" s="59">
        <f t="shared" si="595"/>
        <v>14943.259971639998</v>
      </c>
      <c r="DI104" s="60">
        <f t="shared" si="596"/>
        <v>4385.3809999999994</v>
      </c>
      <c r="DJ104" s="59">
        <f t="shared" si="597"/>
        <v>14497.192509799999</v>
      </c>
      <c r="DK104" s="55">
        <f t="shared" si="598"/>
        <v>4250.4461999999994</v>
      </c>
      <c r="DL104" s="59">
        <f t="shared" si="599"/>
        <v>14051.125047959998</v>
      </c>
      <c r="DM104" s="60">
        <f t="shared" si="600"/>
        <v>4115.5113999999985</v>
      </c>
      <c r="DN104" s="59">
        <f t="shared" si="601"/>
        <v>13605.057586119996</v>
      </c>
      <c r="DO104" s="60">
        <f t="shared" si="602"/>
        <v>3980.5765999999985</v>
      </c>
      <c r="DP104" s="59">
        <f t="shared" si="603"/>
        <v>13158.990124279995</v>
      </c>
      <c r="DQ104" s="55">
        <f t="shared" si="604"/>
        <v>3845.6417999999985</v>
      </c>
      <c r="DR104" s="59">
        <f t="shared" si="605"/>
        <v>12712.922662439996</v>
      </c>
      <c r="DU104" s="55">
        <v>1</v>
      </c>
      <c r="DV104" s="55">
        <v>0.97</v>
      </c>
      <c r="DW104" s="55">
        <v>0.95</v>
      </c>
      <c r="DX104" s="55">
        <v>0.93</v>
      </c>
      <c r="DY104" s="55">
        <f t="shared" si="651"/>
        <v>0.91</v>
      </c>
      <c r="DZ104" s="55">
        <f t="shared" si="651"/>
        <v>0.89</v>
      </c>
      <c r="EA104" s="55">
        <f t="shared" si="651"/>
        <v>0.87</v>
      </c>
      <c r="EB104" s="55">
        <f t="shared" si="651"/>
        <v>0.85</v>
      </c>
      <c r="EC104" s="55">
        <f t="shared" si="651"/>
        <v>0.83</v>
      </c>
      <c r="ED104" s="55">
        <f t="shared" si="651"/>
        <v>0.80999999999999994</v>
      </c>
      <c r="EE104" s="55">
        <f t="shared" si="651"/>
        <v>0.78999999999999992</v>
      </c>
      <c r="EF104" s="55">
        <f t="shared" si="651"/>
        <v>0.76999999999999991</v>
      </c>
      <c r="EG104" s="55">
        <f t="shared" si="651"/>
        <v>0.74999999999999989</v>
      </c>
      <c r="EH104" s="55">
        <f t="shared" si="651"/>
        <v>0.72999999999999987</v>
      </c>
      <c r="EI104" s="55">
        <f t="shared" si="651"/>
        <v>0.70999999999999985</v>
      </c>
      <c r="EJ104" s="55">
        <f t="shared" si="651"/>
        <v>0.68999999999999984</v>
      </c>
      <c r="EK104" s="55">
        <f t="shared" si="651"/>
        <v>0.66999999999999982</v>
      </c>
      <c r="EL104" s="55">
        <f t="shared" si="651"/>
        <v>0.6499999999999998</v>
      </c>
      <c r="EM104" s="55">
        <f t="shared" si="651"/>
        <v>0.62999999999999978</v>
      </c>
      <c r="EN104" s="55">
        <f t="shared" si="651"/>
        <v>0.60999999999999976</v>
      </c>
      <c r="EO104" s="55">
        <f t="shared" si="651"/>
        <v>0.58999999999999975</v>
      </c>
      <c r="EP104" s="55">
        <f t="shared" si="651"/>
        <v>0.56999999999999973</v>
      </c>
      <c r="ER104" s="55">
        <f t="shared" si="652"/>
        <v>6139.5334000000012</v>
      </c>
      <c r="ES104" s="55">
        <f t="shared" si="514"/>
        <v>6139.5334000000012</v>
      </c>
      <c r="ET104" s="59">
        <f t="shared" si="606"/>
        <v>20296.069513720005</v>
      </c>
      <c r="EU104" s="55">
        <f t="shared" si="607"/>
        <v>5955.3473980000008</v>
      </c>
      <c r="EV104" s="59">
        <f t="shared" si="608"/>
        <v>19687.187428308403</v>
      </c>
      <c r="EW104" s="55">
        <f t="shared" si="609"/>
        <v>5832.5567300000012</v>
      </c>
      <c r="EX104" s="59">
        <f t="shared" si="610"/>
        <v>19281.266038034006</v>
      </c>
      <c r="EY104" s="55">
        <f t="shared" si="611"/>
        <v>5709.7660620000015</v>
      </c>
      <c r="EZ104" s="59">
        <f t="shared" si="612"/>
        <v>18875.344647759604</v>
      </c>
      <c r="FA104" s="57">
        <f t="shared" si="613"/>
        <v>5586.975394000001</v>
      </c>
      <c r="FB104" s="59">
        <f t="shared" si="614"/>
        <v>18469.423257485203</v>
      </c>
      <c r="FC104" s="55">
        <f t="shared" si="615"/>
        <v>5464.1847260000013</v>
      </c>
      <c r="FD104" s="59">
        <f t="shared" si="616"/>
        <v>18063.501867210805</v>
      </c>
      <c r="FE104" s="57">
        <f t="shared" si="617"/>
        <v>5341.3940580000008</v>
      </c>
      <c r="FF104" s="59">
        <f t="shared" si="618"/>
        <v>17657.580476936404</v>
      </c>
      <c r="FG104" s="60">
        <f t="shared" si="619"/>
        <v>5218.6033900000011</v>
      </c>
      <c r="FH104" s="59">
        <f t="shared" si="620"/>
        <v>17251.659086662003</v>
      </c>
      <c r="FI104" s="57">
        <f t="shared" si="621"/>
        <v>5095.8127220000006</v>
      </c>
      <c r="FJ104" s="59">
        <f t="shared" si="622"/>
        <v>16845.737696387601</v>
      </c>
      <c r="FK104" s="55">
        <f t="shared" si="623"/>
        <v>4973.0220540000009</v>
      </c>
      <c r="FL104" s="59">
        <f t="shared" si="624"/>
        <v>16439.816306113204</v>
      </c>
      <c r="FM104" s="60">
        <f t="shared" si="625"/>
        <v>4850.2313860000004</v>
      </c>
      <c r="FN104" s="59">
        <f t="shared" si="626"/>
        <v>16033.894915838802</v>
      </c>
      <c r="FO104" s="60">
        <f t="shared" si="627"/>
        <v>4727.4407180000007</v>
      </c>
      <c r="FP104" s="59">
        <f t="shared" si="628"/>
        <v>15627.973525564403</v>
      </c>
      <c r="FQ104" s="60">
        <f t="shared" si="629"/>
        <v>4604.6500500000002</v>
      </c>
      <c r="FR104" s="59">
        <f t="shared" si="630"/>
        <v>15222.052135290001</v>
      </c>
      <c r="FS104" s="55">
        <f t="shared" si="631"/>
        <v>4481.8593819999996</v>
      </c>
      <c r="FT104" s="59">
        <f t="shared" si="632"/>
        <v>14816.1307450156</v>
      </c>
      <c r="FU104" s="60">
        <f t="shared" si="633"/>
        <v>4359.068714</v>
      </c>
      <c r="FV104" s="59">
        <f t="shared" si="634"/>
        <v>14410.209354741201</v>
      </c>
      <c r="FW104" s="60">
        <f t="shared" si="635"/>
        <v>4236.2780459999994</v>
      </c>
      <c r="FX104" s="59">
        <f t="shared" si="636"/>
        <v>14004.287964466799</v>
      </c>
      <c r="FY104" s="60">
        <f t="shared" si="637"/>
        <v>4113.4873779999998</v>
      </c>
      <c r="FZ104" s="59">
        <f t="shared" si="638"/>
        <v>13598.3665741924</v>
      </c>
      <c r="GA104" s="60">
        <f t="shared" si="639"/>
        <v>3990.6967099999997</v>
      </c>
      <c r="GB104" s="59">
        <f t="shared" si="640"/>
        <v>13192.445183918</v>
      </c>
      <c r="GC104" s="55">
        <f t="shared" si="641"/>
        <v>3867.9060419999996</v>
      </c>
      <c r="GD104" s="59">
        <f t="shared" si="642"/>
        <v>12786.523793643599</v>
      </c>
      <c r="GE104" s="60">
        <f t="shared" si="643"/>
        <v>3745.1153739999991</v>
      </c>
      <c r="GF104" s="59">
        <f t="shared" si="644"/>
        <v>12380.602403369197</v>
      </c>
      <c r="GG104" s="60">
        <f t="shared" si="645"/>
        <v>3622.324705999999</v>
      </c>
      <c r="GH104" s="59">
        <f t="shared" si="646"/>
        <v>11974.681013094796</v>
      </c>
      <c r="GI104" s="55">
        <f t="shared" si="647"/>
        <v>3499.5340379999989</v>
      </c>
      <c r="GJ104" s="59">
        <f t="shared" si="648"/>
        <v>11568.759622820397</v>
      </c>
      <c r="GK104" s="55"/>
      <c r="GL104" s="55"/>
      <c r="GM104" s="55">
        <v>1</v>
      </c>
      <c r="GN104" s="55">
        <v>0.97</v>
      </c>
      <c r="GO104" s="55">
        <v>0.95</v>
      </c>
      <c r="GP104" s="55">
        <v>0.93</v>
      </c>
      <c r="GQ104" s="55">
        <f t="shared" si="653"/>
        <v>0.91</v>
      </c>
      <c r="GR104" s="55">
        <f t="shared" si="653"/>
        <v>0.89</v>
      </c>
      <c r="GS104" s="55">
        <f t="shared" si="653"/>
        <v>0.87</v>
      </c>
      <c r="GT104" s="55">
        <f t="shared" si="653"/>
        <v>0.85</v>
      </c>
      <c r="GU104" s="55">
        <f t="shared" si="653"/>
        <v>0.83</v>
      </c>
      <c r="GV104" s="55">
        <f t="shared" si="653"/>
        <v>0.80999999999999994</v>
      </c>
      <c r="GW104" s="55">
        <f t="shared" si="653"/>
        <v>0.78999999999999992</v>
      </c>
      <c r="GX104" s="55">
        <f t="shared" si="653"/>
        <v>0.76999999999999991</v>
      </c>
      <c r="GY104" s="55">
        <f t="shared" si="653"/>
        <v>0.74999999999999989</v>
      </c>
      <c r="GZ104" s="55">
        <f t="shared" si="653"/>
        <v>0.72999999999999987</v>
      </c>
      <c r="HA104" s="55">
        <f t="shared" si="653"/>
        <v>0.70999999999999985</v>
      </c>
      <c r="HB104" s="55">
        <f t="shared" si="653"/>
        <v>0.68999999999999984</v>
      </c>
      <c r="HC104" s="55">
        <f t="shared" si="653"/>
        <v>0.66999999999999982</v>
      </c>
      <c r="HD104" s="55">
        <f t="shared" si="653"/>
        <v>0.6499999999999998</v>
      </c>
      <c r="HE104" s="55">
        <f t="shared" si="653"/>
        <v>0.62999999999999978</v>
      </c>
      <c r="HF104" s="55">
        <f t="shared" si="653"/>
        <v>0.60999999999999976</v>
      </c>
      <c r="HG104" s="55">
        <f t="shared" si="653"/>
        <v>0.58999999999999975</v>
      </c>
      <c r="HH104" s="55">
        <f t="shared" si="653"/>
        <v>0.56999999999999973</v>
      </c>
    </row>
    <row r="105" spans="1:216" x14ac:dyDescent="0.3">
      <c r="A105" s="2">
        <v>8</v>
      </c>
      <c r="C105" s="38" t="s">
        <v>46</v>
      </c>
      <c r="D105" s="42">
        <f>TRUNC(2800,-1)</f>
        <v>2800</v>
      </c>
      <c r="E105" s="71">
        <f t="shared" si="519"/>
        <v>9250</v>
      </c>
      <c r="H105" s="55">
        <f t="shared" si="509"/>
        <v>10175</v>
      </c>
      <c r="I105" s="55">
        <f t="shared" si="510"/>
        <v>10175</v>
      </c>
      <c r="J105" s="59">
        <f t="shared" si="511"/>
        <v>33636.514999999999</v>
      </c>
      <c r="K105" s="55">
        <f t="shared" si="520"/>
        <v>9869.75</v>
      </c>
      <c r="L105" s="59">
        <f t="shared" si="521"/>
        <v>32627.419550000002</v>
      </c>
      <c r="M105" s="55">
        <f t="shared" si="522"/>
        <v>9666.25</v>
      </c>
      <c r="N105" s="59">
        <f t="shared" si="523"/>
        <v>31954.689249999999</v>
      </c>
      <c r="O105" s="55">
        <f t="shared" si="524"/>
        <v>9462.75</v>
      </c>
      <c r="P105" s="59">
        <f t="shared" si="525"/>
        <v>31281.95895</v>
      </c>
      <c r="Q105" s="57">
        <f t="shared" si="526"/>
        <v>9259.25</v>
      </c>
      <c r="R105" s="59">
        <f t="shared" si="527"/>
        <v>30609.228650000001</v>
      </c>
      <c r="S105" s="55">
        <f t="shared" si="528"/>
        <v>9055.75</v>
      </c>
      <c r="T105" s="59">
        <f t="shared" si="529"/>
        <v>29936.498350000002</v>
      </c>
      <c r="U105" s="57">
        <f t="shared" si="530"/>
        <v>8852.25</v>
      </c>
      <c r="V105" s="59">
        <f t="shared" si="531"/>
        <v>29263.768050000002</v>
      </c>
      <c r="W105" s="60">
        <f t="shared" si="532"/>
        <v>8648.75</v>
      </c>
      <c r="X105" s="59">
        <f t="shared" si="533"/>
        <v>28591.03775</v>
      </c>
      <c r="Y105" s="57">
        <f t="shared" si="534"/>
        <v>8445.25</v>
      </c>
      <c r="Z105" s="59">
        <f t="shared" si="535"/>
        <v>27918.30745</v>
      </c>
      <c r="AA105" s="55">
        <f t="shared" si="536"/>
        <v>8241.75</v>
      </c>
      <c r="AB105" s="59">
        <f t="shared" si="537"/>
        <v>27245.577150000001</v>
      </c>
      <c r="AC105" s="60">
        <f t="shared" si="538"/>
        <v>8038.2499999999991</v>
      </c>
      <c r="AD105" s="59">
        <f t="shared" si="539"/>
        <v>26572.846849999998</v>
      </c>
      <c r="AE105" s="60">
        <f t="shared" si="540"/>
        <v>7834.7499999999991</v>
      </c>
      <c r="AF105" s="59">
        <f t="shared" si="541"/>
        <v>25900.116549999999</v>
      </c>
      <c r="AG105" s="60">
        <f t="shared" si="542"/>
        <v>7631.2499999999991</v>
      </c>
      <c r="AH105" s="59">
        <f t="shared" si="543"/>
        <v>25227.386249999996</v>
      </c>
      <c r="AI105" s="55">
        <f t="shared" si="544"/>
        <v>7427.7499999999991</v>
      </c>
      <c r="AJ105" s="59">
        <f t="shared" si="545"/>
        <v>24554.655949999997</v>
      </c>
      <c r="AK105" s="60">
        <f t="shared" si="546"/>
        <v>7224.2499999999982</v>
      </c>
      <c r="AL105" s="59">
        <f t="shared" si="547"/>
        <v>23881.925649999994</v>
      </c>
      <c r="AM105" s="60">
        <f t="shared" si="548"/>
        <v>7020.7499999999982</v>
      </c>
      <c r="AN105" s="59">
        <f t="shared" si="549"/>
        <v>23209.195349999995</v>
      </c>
      <c r="AO105" s="60">
        <f t="shared" si="550"/>
        <v>6817.2499999999982</v>
      </c>
      <c r="AP105" s="59">
        <f t="shared" si="551"/>
        <v>22536.465049999995</v>
      </c>
      <c r="AQ105" s="60">
        <f t="shared" si="552"/>
        <v>6613.7499999999982</v>
      </c>
      <c r="AR105" s="59">
        <f t="shared" si="553"/>
        <v>21863.734749999996</v>
      </c>
      <c r="AS105" s="55">
        <f t="shared" si="554"/>
        <v>6410.2499999999982</v>
      </c>
      <c r="AT105" s="59">
        <f t="shared" si="555"/>
        <v>21191.004449999993</v>
      </c>
      <c r="AU105" s="60">
        <f t="shared" si="556"/>
        <v>6206.7499999999973</v>
      </c>
      <c r="AV105" s="59">
        <f t="shared" si="557"/>
        <v>20518.27414999999</v>
      </c>
      <c r="AW105" s="60">
        <f t="shared" si="558"/>
        <v>6003.2499999999973</v>
      </c>
      <c r="AX105" s="59">
        <f t="shared" si="559"/>
        <v>19845.543849999991</v>
      </c>
      <c r="AY105" s="55">
        <f t="shared" si="560"/>
        <v>5799.7499999999973</v>
      </c>
      <c r="AZ105" s="59">
        <f t="shared" si="561"/>
        <v>19172.813549999992</v>
      </c>
      <c r="BC105" s="55">
        <v>1</v>
      </c>
      <c r="BD105" s="55">
        <v>0.97</v>
      </c>
      <c r="BE105" s="55">
        <v>0.95</v>
      </c>
      <c r="BF105" s="55">
        <v>0.93</v>
      </c>
      <c r="BG105" s="55">
        <f t="shared" si="562"/>
        <v>0.91</v>
      </c>
      <c r="BH105" s="55">
        <f t="shared" si="562"/>
        <v>0.89</v>
      </c>
      <c r="BI105" s="55">
        <f t="shared" si="562"/>
        <v>0.87</v>
      </c>
      <c r="BJ105" s="55">
        <f t="shared" si="562"/>
        <v>0.85</v>
      </c>
      <c r="BK105" s="55">
        <f t="shared" si="562"/>
        <v>0.83</v>
      </c>
      <c r="BL105" s="55">
        <f t="shared" si="562"/>
        <v>0.80999999999999994</v>
      </c>
      <c r="BM105" s="55">
        <f t="shared" si="562"/>
        <v>0.78999999999999992</v>
      </c>
      <c r="BN105" s="55">
        <f t="shared" si="562"/>
        <v>0.76999999999999991</v>
      </c>
      <c r="BO105" s="55">
        <f t="shared" si="562"/>
        <v>0.74999999999999989</v>
      </c>
      <c r="BP105" s="55">
        <f t="shared" si="562"/>
        <v>0.72999999999999987</v>
      </c>
      <c r="BQ105" s="55">
        <f t="shared" si="562"/>
        <v>0.70999999999999985</v>
      </c>
      <c r="BR105" s="55">
        <f t="shared" si="562"/>
        <v>0.68999999999999984</v>
      </c>
      <c r="BS105" s="55">
        <f t="shared" si="562"/>
        <v>0.66999999999999982</v>
      </c>
      <c r="BT105" s="55">
        <f t="shared" si="562"/>
        <v>0.6499999999999998</v>
      </c>
      <c r="BU105" s="55">
        <f t="shared" si="562"/>
        <v>0.62999999999999978</v>
      </c>
      <c r="BV105" s="55">
        <f t="shared" si="562"/>
        <v>0.60999999999999976</v>
      </c>
      <c r="BW105" s="55">
        <f t="shared" si="562"/>
        <v>0.58999999999999975</v>
      </c>
      <c r="BX105" s="55">
        <f t="shared" si="562"/>
        <v>0.56999999999999973</v>
      </c>
      <c r="BZ105" s="55">
        <f t="shared" si="512"/>
        <v>9259.25</v>
      </c>
      <c r="CA105" s="55">
        <f t="shared" si="513"/>
        <v>9259.25</v>
      </c>
      <c r="CB105" s="59">
        <f t="shared" si="563"/>
        <v>30609.228650000001</v>
      </c>
      <c r="CC105" s="55">
        <f t="shared" si="564"/>
        <v>8981.4724999999999</v>
      </c>
      <c r="CD105" s="59">
        <f t="shared" si="565"/>
        <v>29690.951790499999</v>
      </c>
      <c r="CE105" s="55">
        <f t="shared" si="566"/>
        <v>8796.2875000000004</v>
      </c>
      <c r="CF105" s="59">
        <f t="shared" si="567"/>
        <v>29078.767217500001</v>
      </c>
      <c r="CG105" s="55">
        <f t="shared" si="568"/>
        <v>8611.1025000000009</v>
      </c>
      <c r="CH105" s="59">
        <f t="shared" si="569"/>
        <v>28466.582644500002</v>
      </c>
      <c r="CI105" s="57">
        <f t="shared" si="570"/>
        <v>8425.9174999999996</v>
      </c>
      <c r="CJ105" s="59">
        <f t="shared" si="571"/>
        <v>27854.3980715</v>
      </c>
      <c r="CK105" s="55">
        <f t="shared" si="572"/>
        <v>8240.7325000000001</v>
      </c>
      <c r="CL105" s="59">
        <f t="shared" si="573"/>
        <v>27242.213498500001</v>
      </c>
      <c r="CM105" s="57">
        <f t="shared" si="574"/>
        <v>8055.5474999999997</v>
      </c>
      <c r="CN105" s="59">
        <f t="shared" si="575"/>
        <v>26630.028925499999</v>
      </c>
      <c r="CO105" s="60">
        <f t="shared" si="576"/>
        <v>7870.3625000000002</v>
      </c>
      <c r="CP105" s="59">
        <f t="shared" si="577"/>
        <v>26017.8443525</v>
      </c>
      <c r="CQ105" s="57">
        <f t="shared" si="578"/>
        <v>7685.1774999999998</v>
      </c>
      <c r="CR105" s="59">
        <f t="shared" si="579"/>
        <v>25405.659779500002</v>
      </c>
      <c r="CS105" s="55">
        <f t="shared" si="580"/>
        <v>7499.9924999999994</v>
      </c>
      <c r="CT105" s="59">
        <f t="shared" si="581"/>
        <v>24793.475206499999</v>
      </c>
      <c r="CU105" s="60">
        <f t="shared" si="582"/>
        <v>7314.807499999999</v>
      </c>
      <c r="CV105" s="59">
        <f t="shared" si="583"/>
        <v>24181.290633499997</v>
      </c>
      <c r="CW105" s="60">
        <f t="shared" si="584"/>
        <v>7129.6224999999995</v>
      </c>
      <c r="CX105" s="59">
        <f t="shared" si="585"/>
        <v>23569.106060499998</v>
      </c>
      <c r="CY105" s="60">
        <f t="shared" si="586"/>
        <v>6944.4374999999991</v>
      </c>
      <c r="CZ105" s="59">
        <f t="shared" si="587"/>
        <v>22956.921487499996</v>
      </c>
      <c r="DA105" s="55">
        <f t="shared" si="588"/>
        <v>6759.2524999999987</v>
      </c>
      <c r="DB105" s="59">
        <f t="shared" si="589"/>
        <v>22344.736914499998</v>
      </c>
      <c r="DC105" s="60">
        <f t="shared" si="590"/>
        <v>6574.0674999999983</v>
      </c>
      <c r="DD105" s="59">
        <f t="shared" si="591"/>
        <v>21732.552341499995</v>
      </c>
      <c r="DE105" s="60">
        <f t="shared" si="592"/>
        <v>6388.8824999999988</v>
      </c>
      <c r="DF105" s="59">
        <f t="shared" si="593"/>
        <v>21120.367768499997</v>
      </c>
      <c r="DG105" s="60">
        <f t="shared" si="594"/>
        <v>6203.6974999999984</v>
      </c>
      <c r="DH105" s="59">
        <f t="shared" si="595"/>
        <v>20508.183195499994</v>
      </c>
      <c r="DI105" s="60">
        <f t="shared" si="596"/>
        <v>6018.512499999998</v>
      </c>
      <c r="DJ105" s="59">
        <f t="shared" si="597"/>
        <v>19895.998622499992</v>
      </c>
      <c r="DK105" s="55">
        <f t="shared" si="598"/>
        <v>5833.3274999999976</v>
      </c>
      <c r="DL105" s="59">
        <f t="shared" si="599"/>
        <v>19283.814049499993</v>
      </c>
      <c r="DM105" s="60">
        <f t="shared" si="600"/>
        <v>5648.1424999999981</v>
      </c>
      <c r="DN105" s="59">
        <f t="shared" si="601"/>
        <v>18671.629476499995</v>
      </c>
      <c r="DO105" s="60">
        <f t="shared" si="602"/>
        <v>5462.9574999999977</v>
      </c>
      <c r="DP105" s="59">
        <f t="shared" si="603"/>
        <v>18059.444903499993</v>
      </c>
      <c r="DQ105" s="55">
        <f t="shared" si="604"/>
        <v>5277.7724999999973</v>
      </c>
      <c r="DR105" s="59">
        <f t="shared" si="605"/>
        <v>17447.26033049999</v>
      </c>
      <c r="DU105" s="55">
        <v>1</v>
      </c>
      <c r="DV105" s="55">
        <v>0.97</v>
      </c>
      <c r="DW105" s="55">
        <v>0.95</v>
      </c>
      <c r="DX105" s="55">
        <v>0.93</v>
      </c>
      <c r="DY105" s="55">
        <f t="shared" si="651"/>
        <v>0.91</v>
      </c>
      <c r="DZ105" s="55">
        <f t="shared" si="651"/>
        <v>0.89</v>
      </c>
      <c r="EA105" s="55">
        <f t="shared" si="651"/>
        <v>0.87</v>
      </c>
      <c r="EB105" s="55">
        <f t="shared" si="651"/>
        <v>0.85</v>
      </c>
      <c r="EC105" s="55">
        <f t="shared" si="651"/>
        <v>0.83</v>
      </c>
      <c r="ED105" s="55">
        <f t="shared" si="651"/>
        <v>0.80999999999999994</v>
      </c>
      <c r="EE105" s="55">
        <f t="shared" si="651"/>
        <v>0.78999999999999992</v>
      </c>
      <c r="EF105" s="55">
        <f t="shared" si="651"/>
        <v>0.76999999999999991</v>
      </c>
      <c r="EG105" s="55">
        <f t="shared" si="651"/>
        <v>0.74999999999999989</v>
      </c>
      <c r="EH105" s="55">
        <f t="shared" si="651"/>
        <v>0.72999999999999987</v>
      </c>
      <c r="EI105" s="55">
        <f t="shared" si="651"/>
        <v>0.70999999999999985</v>
      </c>
      <c r="EJ105" s="55">
        <f t="shared" si="651"/>
        <v>0.68999999999999984</v>
      </c>
      <c r="EK105" s="55">
        <f t="shared" si="651"/>
        <v>0.66999999999999982</v>
      </c>
      <c r="EL105" s="55">
        <f t="shared" si="651"/>
        <v>0.6499999999999998</v>
      </c>
      <c r="EM105" s="55">
        <f t="shared" si="651"/>
        <v>0.62999999999999978</v>
      </c>
      <c r="EN105" s="55">
        <f t="shared" si="651"/>
        <v>0.60999999999999976</v>
      </c>
      <c r="EO105" s="55">
        <f t="shared" si="651"/>
        <v>0.58999999999999975</v>
      </c>
      <c r="EP105" s="55">
        <f t="shared" si="651"/>
        <v>0.56999999999999973</v>
      </c>
      <c r="ER105" s="55">
        <f t="shared" si="652"/>
        <v>8425.9174999999996</v>
      </c>
      <c r="ES105" s="55">
        <f t="shared" si="514"/>
        <v>8425.9174999999996</v>
      </c>
      <c r="ET105" s="59">
        <f t="shared" si="606"/>
        <v>27854.3980715</v>
      </c>
      <c r="EU105" s="55">
        <f t="shared" si="607"/>
        <v>8173.1399749999991</v>
      </c>
      <c r="EV105" s="59">
        <f t="shared" si="608"/>
        <v>27018.766129354997</v>
      </c>
      <c r="EW105" s="55">
        <f t="shared" si="609"/>
        <v>8004.6216249999989</v>
      </c>
      <c r="EX105" s="59">
        <f t="shared" si="610"/>
        <v>26461.678167924998</v>
      </c>
      <c r="EY105" s="55">
        <f t="shared" si="611"/>
        <v>7836.1032750000004</v>
      </c>
      <c r="EZ105" s="59">
        <f t="shared" si="612"/>
        <v>25904.590206495002</v>
      </c>
      <c r="FA105" s="57">
        <f t="shared" si="613"/>
        <v>7667.5849250000001</v>
      </c>
      <c r="FB105" s="59">
        <f t="shared" si="614"/>
        <v>25347.502245064999</v>
      </c>
      <c r="FC105" s="55">
        <f t="shared" si="615"/>
        <v>7499.0665749999998</v>
      </c>
      <c r="FD105" s="59">
        <f t="shared" si="616"/>
        <v>24790.414283635</v>
      </c>
      <c r="FE105" s="57">
        <f t="shared" si="617"/>
        <v>7330.5482249999995</v>
      </c>
      <c r="FF105" s="59">
        <f t="shared" si="618"/>
        <v>24233.326322204997</v>
      </c>
      <c r="FG105" s="60">
        <f t="shared" si="619"/>
        <v>7162.0298749999993</v>
      </c>
      <c r="FH105" s="59">
        <f t="shared" si="620"/>
        <v>23676.238360774998</v>
      </c>
      <c r="FI105" s="57">
        <f t="shared" si="621"/>
        <v>6993.511524999999</v>
      </c>
      <c r="FJ105" s="59">
        <f t="shared" si="622"/>
        <v>23119.150399344999</v>
      </c>
      <c r="FK105" s="55">
        <f t="shared" si="623"/>
        <v>6824.9931749999996</v>
      </c>
      <c r="FL105" s="59">
        <f t="shared" si="624"/>
        <v>22562.062437914999</v>
      </c>
      <c r="FM105" s="60">
        <f t="shared" si="625"/>
        <v>6656.4748249999993</v>
      </c>
      <c r="FN105" s="59">
        <f t="shared" si="626"/>
        <v>22004.974476484997</v>
      </c>
      <c r="FO105" s="60">
        <f t="shared" si="627"/>
        <v>6487.956474999999</v>
      </c>
      <c r="FP105" s="59">
        <f t="shared" si="628"/>
        <v>21447.886515054997</v>
      </c>
      <c r="FQ105" s="60">
        <f t="shared" si="629"/>
        <v>6319.4381249999988</v>
      </c>
      <c r="FR105" s="59">
        <f t="shared" si="630"/>
        <v>20890.798553624998</v>
      </c>
      <c r="FS105" s="55">
        <f t="shared" si="631"/>
        <v>6150.9197749999985</v>
      </c>
      <c r="FT105" s="59">
        <f t="shared" si="632"/>
        <v>20333.710592194995</v>
      </c>
      <c r="FU105" s="60">
        <f t="shared" si="633"/>
        <v>5982.4014249999982</v>
      </c>
      <c r="FV105" s="59">
        <f t="shared" si="634"/>
        <v>19776.622630764996</v>
      </c>
      <c r="FW105" s="60">
        <f t="shared" si="635"/>
        <v>5813.8830749999979</v>
      </c>
      <c r="FX105" s="59">
        <f t="shared" si="636"/>
        <v>19219.534669334993</v>
      </c>
      <c r="FY105" s="60">
        <f t="shared" si="637"/>
        <v>5645.3647249999985</v>
      </c>
      <c r="FZ105" s="59">
        <f t="shared" si="638"/>
        <v>18662.446707904997</v>
      </c>
      <c r="GA105" s="60">
        <f t="shared" si="639"/>
        <v>5476.8463749999983</v>
      </c>
      <c r="GB105" s="59">
        <f t="shared" si="640"/>
        <v>18105.358746474994</v>
      </c>
      <c r="GC105" s="55">
        <f t="shared" si="641"/>
        <v>5308.328024999998</v>
      </c>
      <c r="GD105" s="59">
        <f t="shared" si="642"/>
        <v>17548.270785044995</v>
      </c>
      <c r="GE105" s="60">
        <f t="shared" si="643"/>
        <v>5139.8096749999977</v>
      </c>
      <c r="GF105" s="59">
        <f t="shared" si="644"/>
        <v>16991.182823614992</v>
      </c>
      <c r="GG105" s="60">
        <f t="shared" si="645"/>
        <v>4971.2913249999974</v>
      </c>
      <c r="GH105" s="59">
        <f t="shared" si="646"/>
        <v>16434.094862184993</v>
      </c>
      <c r="GI105" s="55">
        <f t="shared" si="647"/>
        <v>4802.7729749999971</v>
      </c>
      <c r="GJ105" s="59">
        <f t="shared" si="648"/>
        <v>15877.00690075499</v>
      </c>
      <c r="GK105" s="55"/>
      <c r="GL105" s="55"/>
      <c r="GM105" s="55">
        <v>1</v>
      </c>
      <c r="GN105" s="55">
        <v>0.97</v>
      </c>
      <c r="GO105" s="55">
        <v>0.95</v>
      </c>
      <c r="GP105" s="55">
        <v>0.93</v>
      </c>
      <c r="GQ105" s="55">
        <f t="shared" si="653"/>
        <v>0.91</v>
      </c>
      <c r="GR105" s="55">
        <f t="shared" si="653"/>
        <v>0.89</v>
      </c>
      <c r="GS105" s="55">
        <f t="shared" si="653"/>
        <v>0.87</v>
      </c>
      <c r="GT105" s="55">
        <f t="shared" si="653"/>
        <v>0.85</v>
      </c>
      <c r="GU105" s="55">
        <f t="shared" si="653"/>
        <v>0.83</v>
      </c>
      <c r="GV105" s="55">
        <f t="shared" si="653"/>
        <v>0.80999999999999994</v>
      </c>
      <c r="GW105" s="55">
        <f t="shared" si="653"/>
        <v>0.78999999999999992</v>
      </c>
      <c r="GX105" s="55">
        <f t="shared" si="653"/>
        <v>0.76999999999999991</v>
      </c>
      <c r="GY105" s="55">
        <f t="shared" si="653"/>
        <v>0.74999999999999989</v>
      </c>
      <c r="GZ105" s="55">
        <f t="shared" si="653"/>
        <v>0.72999999999999987</v>
      </c>
      <c r="HA105" s="55">
        <f t="shared" si="653"/>
        <v>0.70999999999999985</v>
      </c>
      <c r="HB105" s="55">
        <f t="shared" si="653"/>
        <v>0.68999999999999984</v>
      </c>
      <c r="HC105" s="55">
        <f t="shared" si="653"/>
        <v>0.66999999999999982</v>
      </c>
      <c r="HD105" s="55">
        <f t="shared" si="653"/>
        <v>0.6499999999999998</v>
      </c>
      <c r="HE105" s="55">
        <f t="shared" si="653"/>
        <v>0.62999999999999978</v>
      </c>
      <c r="HF105" s="55">
        <f t="shared" si="653"/>
        <v>0.60999999999999976</v>
      </c>
      <c r="HG105" s="55">
        <f t="shared" si="653"/>
        <v>0.58999999999999975</v>
      </c>
      <c r="HH105" s="55">
        <f t="shared" si="653"/>
        <v>0.56999999999999973</v>
      </c>
    </row>
    <row r="106" spans="1:216" x14ac:dyDescent="0.3">
      <c r="A106" s="2">
        <v>9</v>
      </c>
      <c r="C106" s="38" t="s">
        <v>135</v>
      </c>
      <c r="D106" s="42">
        <v>0</v>
      </c>
      <c r="E106" s="71">
        <f t="shared" si="519"/>
        <v>0</v>
      </c>
      <c r="H106" s="55">
        <f t="shared" si="509"/>
        <v>0</v>
      </c>
      <c r="I106" s="55">
        <f t="shared" si="510"/>
        <v>0</v>
      </c>
      <c r="J106" s="59">
        <f t="shared" si="511"/>
        <v>0</v>
      </c>
      <c r="K106" s="55">
        <f t="shared" si="520"/>
        <v>0</v>
      </c>
      <c r="L106" s="59">
        <f t="shared" si="521"/>
        <v>0</v>
      </c>
      <c r="M106" s="55">
        <f t="shared" si="522"/>
        <v>0</v>
      </c>
      <c r="N106" s="59">
        <f t="shared" si="523"/>
        <v>0</v>
      </c>
      <c r="O106" s="55">
        <f t="shared" si="524"/>
        <v>0</v>
      </c>
      <c r="P106" s="59">
        <f t="shared" si="525"/>
        <v>0</v>
      </c>
      <c r="Q106" s="57">
        <f t="shared" si="526"/>
        <v>0</v>
      </c>
      <c r="R106" s="59">
        <f t="shared" si="527"/>
        <v>0</v>
      </c>
      <c r="S106" s="55">
        <f t="shared" si="528"/>
        <v>0</v>
      </c>
      <c r="T106" s="59">
        <f t="shared" si="529"/>
        <v>0</v>
      </c>
      <c r="U106" s="57">
        <f t="shared" si="530"/>
        <v>0</v>
      </c>
      <c r="V106" s="59">
        <f t="shared" si="531"/>
        <v>0</v>
      </c>
      <c r="W106" s="60">
        <f t="shared" si="532"/>
        <v>0</v>
      </c>
      <c r="X106" s="59">
        <f t="shared" si="533"/>
        <v>0</v>
      </c>
      <c r="Y106" s="57">
        <f t="shared" si="534"/>
        <v>0</v>
      </c>
      <c r="Z106" s="59">
        <f t="shared" si="535"/>
        <v>0</v>
      </c>
      <c r="AA106" s="55">
        <f t="shared" si="536"/>
        <v>0</v>
      </c>
      <c r="AB106" s="59">
        <f t="shared" si="537"/>
        <v>0</v>
      </c>
      <c r="AC106" s="60">
        <f t="shared" si="538"/>
        <v>0</v>
      </c>
      <c r="AD106" s="59">
        <f t="shared" si="539"/>
        <v>0</v>
      </c>
      <c r="AE106" s="60">
        <f t="shared" si="540"/>
        <v>0</v>
      </c>
      <c r="AF106" s="59">
        <f t="shared" si="541"/>
        <v>0</v>
      </c>
      <c r="AG106" s="60">
        <f t="shared" si="542"/>
        <v>0</v>
      </c>
      <c r="AH106" s="59">
        <f t="shared" si="543"/>
        <v>0</v>
      </c>
      <c r="AI106" s="55">
        <f t="shared" si="544"/>
        <v>0</v>
      </c>
      <c r="AJ106" s="59">
        <f t="shared" si="545"/>
        <v>0</v>
      </c>
      <c r="AK106" s="60">
        <f t="shared" si="546"/>
        <v>0</v>
      </c>
      <c r="AL106" s="59">
        <f t="shared" si="547"/>
        <v>0</v>
      </c>
      <c r="AM106" s="60">
        <f t="shared" si="548"/>
        <v>0</v>
      </c>
      <c r="AN106" s="59">
        <f t="shared" si="549"/>
        <v>0</v>
      </c>
      <c r="AO106" s="60">
        <f t="shared" si="550"/>
        <v>0</v>
      </c>
      <c r="AP106" s="59">
        <f t="shared" si="551"/>
        <v>0</v>
      </c>
      <c r="AQ106" s="60">
        <f t="shared" si="552"/>
        <v>0</v>
      </c>
      <c r="AR106" s="59">
        <f t="shared" si="553"/>
        <v>0</v>
      </c>
      <c r="AS106" s="55">
        <f t="shared" si="554"/>
        <v>0</v>
      </c>
      <c r="AT106" s="59">
        <f t="shared" si="555"/>
        <v>0</v>
      </c>
      <c r="AU106" s="60">
        <f t="shared" si="556"/>
        <v>0</v>
      </c>
      <c r="AV106" s="59">
        <f t="shared" si="557"/>
        <v>0</v>
      </c>
      <c r="AW106" s="60">
        <f t="shared" si="558"/>
        <v>0</v>
      </c>
      <c r="AX106" s="59">
        <f t="shared" si="559"/>
        <v>0</v>
      </c>
      <c r="AY106" s="55">
        <f t="shared" si="560"/>
        <v>0</v>
      </c>
      <c r="AZ106" s="59">
        <f t="shared" si="561"/>
        <v>0</v>
      </c>
      <c r="BC106" s="55">
        <v>1</v>
      </c>
      <c r="BD106" s="55">
        <v>0.97</v>
      </c>
      <c r="BE106" s="55">
        <v>0.95</v>
      </c>
      <c r="BF106" s="55">
        <v>0.93</v>
      </c>
      <c r="BG106" s="55">
        <f t="shared" si="562"/>
        <v>0.91</v>
      </c>
      <c r="BH106" s="55">
        <f t="shared" si="562"/>
        <v>0.89</v>
      </c>
      <c r="BI106" s="55">
        <f t="shared" si="562"/>
        <v>0.87</v>
      </c>
      <c r="BJ106" s="55">
        <f t="shared" si="562"/>
        <v>0.85</v>
      </c>
      <c r="BK106" s="55">
        <f t="shared" si="562"/>
        <v>0.83</v>
      </c>
      <c r="BL106" s="55">
        <f t="shared" si="562"/>
        <v>0.80999999999999994</v>
      </c>
      <c r="BM106" s="55">
        <f t="shared" si="562"/>
        <v>0.78999999999999992</v>
      </c>
      <c r="BN106" s="55">
        <f t="shared" si="562"/>
        <v>0.76999999999999991</v>
      </c>
      <c r="BO106" s="55">
        <f t="shared" si="562"/>
        <v>0.74999999999999989</v>
      </c>
      <c r="BP106" s="55">
        <f t="shared" si="562"/>
        <v>0.72999999999999987</v>
      </c>
      <c r="BQ106" s="55">
        <f t="shared" si="562"/>
        <v>0.70999999999999985</v>
      </c>
      <c r="BR106" s="55">
        <f t="shared" si="562"/>
        <v>0.68999999999999984</v>
      </c>
      <c r="BS106" s="55">
        <f t="shared" si="562"/>
        <v>0.66999999999999982</v>
      </c>
      <c r="BT106" s="55">
        <f t="shared" si="562"/>
        <v>0.6499999999999998</v>
      </c>
      <c r="BU106" s="55">
        <f t="shared" si="562"/>
        <v>0.62999999999999978</v>
      </c>
      <c r="BV106" s="55">
        <f t="shared" si="562"/>
        <v>0.60999999999999976</v>
      </c>
      <c r="BW106" s="55">
        <f t="shared" si="562"/>
        <v>0.58999999999999975</v>
      </c>
      <c r="BX106" s="55">
        <f t="shared" si="562"/>
        <v>0.56999999999999973</v>
      </c>
      <c r="BZ106" s="55">
        <f t="shared" si="512"/>
        <v>0</v>
      </c>
      <c r="CA106" s="55">
        <f t="shared" si="513"/>
        <v>0</v>
      </c>
      <c r="CB106" s="59">
        <f t="shared" si="563"/>
        <v>0</v>
      </c>
      <c r="CC106" s="55">
        <f t="shared" si="564"/>
        <v>0</v>
      </c>
      <c r="CD106" s="59">
        <f t="shared" si="565"/>
        <v>0</v>
      </c>
      <c r="CE106" s="55">
        <f t="shared" si="566"/>
        <v>0</v>
      </c>
      <c r="CF106" s="59">
        <f t="shared" si="567"/>
        <v>0</v>
      </c>
      <c r="CG106" s="55">
        <f t="shared" si="568"/>
        <v>0</v>
      </c>
      <c r="CH106" s="59">
        <f t="shared" si="569"/>
        <v>0</v>
      </c>
      <c r="CI106" s="57">
        <f t="shared" si="570"/>
        <v>0</v>
      </c>
      <c r="CJ106" s="59">
        <f t="shared" si="571"/>
        <v>0</v>
      </c>
      <c r="CK106" s="55">
        <f t="shared" si="572"/>
        <v>0</v>
      </c>
      <c r="CL106" s="59">
        <f t="shared" si="573"/>
        <v>0</v>
      </c>
      <c r="CM106" s="57">
        <f t="shared" si="574"/>
        <v>0</v>
      </c>
      <c r="CN106" s="59">
        <f t="shared" si="575"/>
        <v>0</v>
      </c>
      <c r="CO106" s="60">
        <f t="shared" si="576"/>
        <v>0</v>
      </c>
      <c r="CP106" s="59">
        <f t="shared" si="577"/>
        <v>0</v>
      </c>
      <c r="CQ106" s="57">
        <f t="shared" si="578"/>
        <v>0</v>
      </c>
      <c r="CR106" s="59">
        <f t="shared" si="579"/>
        <v>0</v>
      </c>
      <c r="CS106" s="55">
        <f t="shared" si="580"/>
        <v>0</v>
      </c>
      <c r="CT106" s="59">
        <f t="shared" si="581"/>
        <v>0</v>
      </c>
      <c r="CU106" s="60">
        <f t="shared" si="582"/>
        <v>0</v>
      </c>
      <c r="CV106" s="59">
        <f t="shared" si="583"/>
        <v>0</v>
      </c>
      <c r="CW106" s="60">
        <f t="shared" si="584"/>
        <v>0</v>
      </c>
      <c r="CX106" s="59">
        <f t="shared" si="585"/>
        <v>0</v>
      </c>
      <c r="CY106" s="60">
        <f t="shared" si="586"/>
        <v>0</v>
      </c>
      <c r="CZ106" s="59">
        <f t="shared" si="587"/>
        <v>0</v>
      </c>
      <c r="DA106" s="55">
        <f t="shared" si="588"/>
        <v>0</v>
      </c>
      <c r="DB106" s="59">
        <f t="shared" si="589"/>
        <v>0</v>
      </c>
      <c r="DC106" s="60">
        <f t="shared" si="590"/>
        <v>0</v>
      </c>
      <c r="DD106" s="59">
        <f t="shared" si="591"/>
        <v>0</v>
      </c>
      <c r="DE106" s="60">
        <f t="shared" si="592"/>
        <v>0</v>
      </c>
      <c r="DF106" s="59">
        <f t="shared" si="593"/>
        <v>0</v>
      </c>
      <c r="DG106" s="60">
        <f t="shared" si="594"/>
        <v>0</v>
      </c>
      <c r="DH106" s="59">
        <f t="shared" si="595"/>
        <v>0</v>
      </c>
      <c r="DI106" s="60">
        <f t="shared" si="596"/>
        <v>0</v>
      </c>
      <c r="DJ106" s="59">
        <f t="shared" si="597"/>
        <v>0</v>
      </c>
      <c r="DK106" s="55">
        <f t="shared" si="598"/>
        <v>0</v>
      </c>
      <c r="DL106" s="59">
        <f t="shared" si="599"/>
        <v>0</v>
      </c>
      <c r="DM106" s="60">
        <f t="shared" si="600"/>
        <v>0</v>
      </c>
      <c r="DN106" s="59">
        <f t="shared" si="601"/>
        <v>0</v>
      </c>
      <c r="DO106" s="60">
        <f t="shared" si="602"/>
        <v>0</v>
      </c>
      <c r="DP106" s="59">
        <f t="shared" si="603"/>
        <v>0</v>
      </c>
      <c r="DQ106" s="55">
        <f t="shared" si="604"/>
        <v>0</v>
      </c>
      <c r="DR106" s="59">
        <f t="shared" si="605"/>
        <v>0</v>
      </c>
      <c r="DU106" s="55">
        <v>1</v>
      </c>
      <c r="DV106" s="55">
        <v>0.97</v>
      </c>
      <c r="DW106" s="55">
        <v>0.95</v>
      </c>
      <c r="DX106" s="55">
        <v>0.93</v>
      </c>
      <c r="DY106" s="55">
        <f t="shared" si="651"/>
        <v>0.91</v>
      </c>
      <c r="DZ106" s="55">
        <f t="shared" si="651"/>
        <v>0.89</v>
      </c>
      <c r="EA106" s="55">
        <f t="shared" si="651"/>
        <v>0.87</v>
      </c>
      <c r="EB106" s="55">
        <f t="shared" si="651"/>
        <v>0.85</v>
      </c>
      <c r="EC106" s="55">
        <f t="shared" si="651"/>
        <v>0.83</v>
      </c>
      <c r="ED106" s="55">
        <f t="shared" si="651"/>
        <v>0.80999999999999994</v>
      </c>
      <c r="EE106" s="55">
        <f t="shared" si="651"/>
        <v>0.78999999999999992</v>
      </c>
      <c r="EF106" s="55">
        <f t="shared" si="651"/>
        <v>0.76999999999999991</v>
      </c>
      <c r="EG106" s="55">
        <f t="shared" si="651"/>
        <v>0.74999999999999989</v>
      </c>
      <c r="EH106" s="55">
        <f t="shared" si="651"/>
        <v>0.72999999999999987</v>
      </c>
      <c r="EI106" s="55">
        <f t="shared" si="651"/>
        <v>0.70999999999999985</v>
      </c>
      <c r="EJ106" s="55">
        <f t="shared" si="651"/>
        <v>0.68999999999999984</v>
      </c>
      <c r="EK106" s="55">
        <f t="shared" si="651"/>
        <v>0.66999999999999982</v>
      </c>
      <c r="EL106" s="55">
        <f t="shared" si="651"/>
        <v>0.6499999999999998</v>
      </c>
      <c r="EM106" s="55">
        <f t="shared" si="651"/>
        <v>0.62999999999999978</v>
      </c>
      <c r="EN106" s="55">
        <f t="shared" si="651"/>
        <v>0.60999999999999976</v>
      </c>
      <c r="EO106" s="55">
        <f t="shared" si="651"/>
        <v>0.58999999999999975</v>
      </c>
      <c r="EP106" s="55">
        <f t="shared" si="651"/>
        <v>0.56999999999999973</v>
      </c>
      <c r="ER106" s="55">
        <f t="shared" si="652"/>
        <v>0</v>
      </c>
      <c r="ES106" s="55">
        <f t="shared" si="514"/>
        <v>0</v>
      </c>
      <c r="ET106" s="59">
        <f t="shared" si="606"/>
        <v>0</v>
      </c>
      <c r="EU106" s="55">
        <f t="shared" si="607"/>
        <v>0</v>
      </c>
      <c r="EV106" s="59">
        <f t="shared" si="608"/>
        <v>0</v>
      </c>
      <c r="EW106" s="55">
        <f t="shared" si="609"/>
        <v>0</v>
      </c>
      <c r="EX106" s="59">
        <f t="shared" si="610"/>
        <v>0</v>
      </c>
      <c r="EY106" s="55">
        <f t="shared" si="611"/>
        <v>0</v>
      </c>
      <c r="EZ106" s="59">
        <f t="shared" si="612"/>
        <v>0</v>
      </c>
      <c r="FA106" s="57">
        <f t="shared" si="613"/>
        <v>0</v>
      </c>
      <c r="FB106" s="59">
        <f t="shared" si="614"/>
        <v>0</v>
      </c>
      <c r="FC106" s="55">
        <f t="shared" si="615"/>
        <v>0</v>
      </c>
      <c r="FD106" s="59">
        <f t="shared" si="616"/>
        <v>0</v>
      </c>
      <c r="FE106" s="57">
        <f t="shared" si="617"/>
        <v>0</v>
      </c>
      <c r="FF106" s="59">
        <f t="shared" si="618"/>
        <v>0</v>
      </c>
      <c r="FG106" s="60">
        <f t="shared" si="619"/>
        <v>0</v>
      </c>
      <c r="FH106" s="59">
        <f t="shared" si="620"/>
        <v>0</v>
      </c>
      <c r="FI106" s="57">
        <f t="shared" si="621"/>
        <v>0</v>
      </c>
      <c r="FJ106" s="59">
        <f t="shared" si="622"/>
        <v>0</v>
      </c>
      <c r="FK106" s="55">
        <f t="shared" si="623"/>
        <v>0</v>
      </c>
      <c r="FL106" s="59">
        <f t="shared" si="624"/>
        <v>0</v>
      </c>
      <c r="FM106" s="60">
        <f t="shared" si="625"/>
        <v>0</v>
      </c>
      <c r="FN106" s="59">
        <f t="shared" si="626"/>
        <v>0</v>
      </c>
      <c r="FO106" s="60">
        <f t="shared" si="627"/>
        <v>0</v>
      </c>
      <c r="FP106" s="59">
        <f t="shared" si="628"/>
        <v>0</v>
      </c>
      <c r="FQ106" s="60">
        <f t="shared" si="629"/>
        <v>0</v>
      </c>
      <c r="FR106" s="59">
        <f t="shared" si="630"/>
        <v>0</v>
      </c>
      <c r="FS106" s="55">
        <f t="shared" si="631"/>
        <v>0</v>
      </c>
      <c r="FT106" s="59">
        <f t="shared" si="632"/>
        <v>0</v>
      </c>
      <c r="FU106" s="60">
        <f t="shared" si="633"/>
        <v>0</v>
      </c>
      <c r="FV106" s="59">
        <f t="shared" si="634"/>
        <v>0</v>
      </c>
      <c r="FW106" s="60">
        <f t="shared" si="635"/>
        <v>0</v>
      </c>
      <c r="FX106" s="59">
        <f t="shared" si="636"/>
        <v>0</v>
      </c>
      <c r="FY106" s="60">
        <f t="shared" si="637"/>
        <v>0</v>
      </c>
      <c r="FZ106" s="59">
        <f t="shared" si="638"/>
        <v>0</v>
      </c>
      <c r="GA106" s="60">
        <f t="shared" si="639"/>
        <v>0</v>
      </c>
      <c r="GB106" s="59">
        <f t="shared" si="640"/>
        <v>0</v>
      </c>
      <c r="GC106" s="55">
        <f t="shared" si="641"/>
        <v>0</v>
      </c>
      <c r="GD106" s="59">
        <f t="shared" si="642"/>
        <v>0</v>
      </c>
      <c r="GE106" s="60">
        <f t="shared" si="643"/>
        <v>0</v>
      </c>
      <c r="GF106" s="59">
        <f t="shared" si="644"/>
        <v>0</v>
      </c>
      <c r="GG106" s="60">
        <f t="shared" si="645"/>
        <v>0</v>
      </c>
      <c r="GH106" s="59">
        <f t="shared" si="646"/>
        <v>0</v>
      </c>
      <c r="GI106" s="55">
        <f t="shared" si="647"/>
        <v>0</v>
      </c>
      <c r="GJ106" s="59">
        <f t="shared" si="648"/>
        <v>0</v>
      </c>
      <c r="GK106" s="55"/>
      <c r="GL106" s="55"/>
      <c r="GM106" s="55">
        <v>1</v>
      </c>
      <c r="GN106" s="55">
        <v>0.97</v>
      </c>
      <c r="GO106" s="55">
        <v>0.95</v>
      </c>
      <c r="GP106" s="55">
        <v>0.93</v>
      </c>
      <c r="GQ106" s="55">
        <f t="shared" si="653"/>
        <v>0.91</v>
      </c>
      <c r="GR106" s="55">
        <f t="shared" si="653"/>
        <v>0.89</v>
      </c>
      <c r="GS106" s="55">
        <f t="shared" si="653"/>
        <v>0.87</v>
      </c>
      <c r="GT106" s="55">
        <f t="shared" si="653"/>
        <v>0.85</v>
      </c>
      <c r="GU106" s="55">
        <f t="shared" si="653"/>
        <v>0.83</v>
      </c>
      <c r="GV106" s="55">
        <f t="shared" si="653"/>
        <v>0.80999999999999994</v>
      </c>
      <c r="GW106" s="55">
        <f t="shared" si="653"/>
        <v>0.78999999999999992</v>
      </c>
      <c r="GX106" s="55">
        <f t="shared" si="653"/>
        <v>0.76999999999999991</v>
      </c>
      <c r="GY106" s="55">
        <f t="shared" si="653"/>
        <v>0.74999999999999989</v>
      </c>
      <c r="GZ106" s="55">
        <f t="shared" si="653"/>
        <v>0.72999999999999987</v>
      </c>
      <c r="HA106" s="55">
        <f t="shared" si="653"/>
        <v>0.70999999999999985</v>
      </c>
      <c r="HB106" s="55">
        <f t="shared" si="653"/>
        <v>0.68999999999999984</v>
      </c>
      <c r="HC106" s="55">
        <f t="shared" si="653"/>
        <v>0.66999999999999982</v>
      </c>
      <c r="HD106" s="55">
        <f t="shared" si="653"/>
        <v>0.6499999999999998</v>
      </c>
      <c r="HE106" s="55">
        <f t="shared" si="653"/>
        <v>0.62999999999999978</v>
      </c>
      <c r="HF106" s="55">
        <f t="shared" si="653"/>
        <v>0.60999999999999976</v>
      </c>
      <c r="HG106" s="55">
        <f t="shared" si="653"/>
        <v>0.58999999999999975</v>
      </c>
      <c r="HH106" s="55">
        <f t="shared" si="653"/>
        <v>0.56999999999999973</v>
      </c>
    </row>
    <row r="107" spans="1:216" x14ac:dyDescent="0.3">
      <c r="A107" s="2">
        <v>10</v>
      </c>
      <c r="C107" s="38" t="s">
        <v>117</v>
      </c>
      <c r="D107" s="42">
        <v>0</v>
      </c>
      <c r="E107" s="71">
        <f t="shared" si="519"/>
        <v>0</v>
      </c>
      <c r="H107" s="55">
        <f t="shared" si="509"/>
        <v>0</v>
      </c>
      <c r="I107" s="55">
        <f t="shared" si="510"/>
        <v>0</v>
      </c>
      <c r="J107" s="59">
        <f t="shared" si="511"/>
        <v>0</v>
      </c>
      <c r="K107" s="55">
        <f t="shared" si="520"/>
        <v>0</v>
      </c>
      <c r="L107" s="59">
        <f t="shared" si="521"/>
        <v>0</v>
      </c>
      <c r="M107" s="55">
        <f t="shared" si="522"/>
        <v>0</v>
      </c>
      <c r="N107" s="59">
        <f t="shared" si="523"/>
        <v>0</v>
      </c>
      <c r="O107" s="55">
        <f t="shared" si="524"/>
        <v>0</v>
      </c>
      <c r="P107" s="59">
        <f t="shared" si="525"/>
        <v>0</v>
      </c>
      <c r="Q107" s="57">
        <f t="shared" si="526"/>
        <v>0</v>
      </c>
      <c r="R107" s="59">
        <f t="shared" si="527"/>
        <v>0</v>
      </c>
      <c r="S107" s="55">
        <f t="shared" si="528"/>
        <v>0</v>
      </c>
      <c r="T107" s="59">
        <f t="shared" si="529"/>
        <v>0</v>
      </c>
      <c r="U107" s="57">
        <f t="shared" si="530"/>
        <v>0</v>
      </c>
      <c r="V107" s="59">
        <f t="shared" si="531"/>
        <v>0</v>
      </c>
      <c r="W107" s="60">
        <f t="shared" si="532"/>
        <v>0</v>
      </c>
      <c r="X107" s="59">
        <f t="shared" si="533"/>
        <v>0</v>
      </c>
      <c r="Y107" s="57">
        <f t="shared" si="534"/>
        <v>0</v>
      </c>
      <c r="Z107" s="59">
        <f t="shared" si="535"/>
        <v>0</v>
      </c>
      <c r="AA107" s="55">
        <f t="shared" si="536"/>
        <v>0</v>
      </c>
      <c r="AB107" s="59">
        <f t="shared" si="537"/>
        <v>0</v>
      </c>
      <c r="AC107" s="60">
        <f t="shared" si="538"/>
        <v>0</v>
      </c>
      <c r="AD107" s="59">
        <f t="shared" si="539"/>
        <v>0</v>
      </c>
      <c r="AE107" s="60">
        <f t="shared" si="540"/>
        <v>0</v>
      </c>
      <c r="AF107" s="59">
        <f t="shared" si="541"/>
        <v>0</v>
      </c>
      <c r="AG107" s="60">
        <f t="shared" si="542"/>
        <v>0</v>
      </c>
      <c r="AH107" s="59">
        <f t="shared" si="543"/>
        <v>0</v>
      </c>
      <c r="AI107" s="55">
        <f t="shared" si="544"/>
        <v>0</v>
      </c>
      <c r="AJ107" s="59">
        <f t="shared" si="545"/>
        <v>0</v>
      </c>
      <c r="AK107" s="60">
        <f t="shared" si="546"/>
        <v>0</v>
      </c>
      <c r="AL107" s="59">
        <f t="shared" si="547"/>
        <v>0</v>
      </c>
      <c r="AM107" s="60">
        <f t="shared" si="548"/>
        <v>0</v>
      </c>
      <c r="AN107" s="59">
        <f t="shared" si="549"/>
        <v>0</v>
      </c>
      <c r="AO107" s="60">
        <f t="shared" si="550"/>
        <v>0</v>
      </c>
      <c r="AP107" s="59">
        <f t="shared" si="551"/>
        <v>0</v>
      </c>
      <c r="AQ107" s="60">
        <f t="shared" si="552"/>
        <v>0</v>
      </c>
      <c r="AR107" s="59">
        <f t="shared" si="553"/>
        <v>0</v>
      </c>
      <c r="AS107" s="55">
        <f t="shared" si="554"/>
        <v>0</v>
      </c>
      <c r="AT107" s="59">
        <f t="shared" si="555"/>
        <v>0</v>
      </c>
      <c r="AU107" s="60">
        <f t="shared" si="556"/>
        <v>0</v>
      </c>
      <c r="AV107" s="59">
        <f t="shared" si="557"/>
        <v>0</v>
      </c>
      <c r="AW107" s="60">
        <f t="shared" si="558"/>
        <v>0</v>
      </c>
      <c r="AX107" s="59">
        <f t="shared" si="559"/>
        <v>0</v>
      </c>
      <c r="AY107" s="55">
        <f t="shared" si="560"/>
        <v>0</v>
      </c>
      <c r="AZ107" s="59">
        <f t="shared" si="561"/>
        <v>0</v>
      </c>
      <c r="BC107" s="55">
        <v>1</v>
      </c>
      <c r="BD107" s="55">
        <v>0.97</v>
      </c>
      <c r="BE107" s="55">
        <v>0.95</v>
      </c>
      <c r="BF107" s="55">
        <v>0.93</v>
      </c>
      <c r="BG107" s="55">
        <f t="shared" si="562"/>
        <v>0.91</v>
      </c>
      <c r="BH107" s="55">
        <f t="shared" si="562"/>
        <v>0.89</v>
      </c>
      <c r="BI107" s="55">
        <f t="shared" si="562"/>
        <v>0.87</v>
      </c>
      <c r="BJ107" s="55">
        <f t="shared" si="562"/>
        <v>0.85</v>
      </c>
      <c r="BK107" s="55">
        <f t="shared" si="562"/>
        <v>0.83</v>
      </c>
      <c r="BL107" s="55">
        <f t="shared" si="562"/>
        <v>0.80999999999999994</v>
      </c>
      <c r="BM107" s="55">
        <f t="shared" si="562"/>
        <v>0.78999999999999992</v>
      </c>
      <c r="BN107" s="55">
        <f t="shared" si="562"/>
        <v>0.76999999999999991</v>
      </c>
      <c r="BO107" s="55">
        <f t="shared" si="562"/>
        <v>0.74999999999999989</v>
      </c>
      <c r="BP107" s="55">
        <f t="shared" si="562"/>
        <v>0.72999999999999987</v>
      </c>
      <c r="BQ107" s="55">
        <f t="shared" si="562"/>
        <v>0.70999999999999985</v>
      </c>
      <c r="BR107" s="55">
        <f t="shared" si="562"/>
        <v>0.68999999999999984</v>
      </c>
      <c r="BS107" s="55">
        <f t="shared" si="562"/>
        <v>0.66999999999999982</v>
      </c>
      <c r="BT107" s="55">
        <f t="shared" si="562"/>
        <v>0.6499999999999998</v>
      </c>
      <c r="BU107" s="55">
        <f t="shared" si="562"/>
        <v>0.62999999999999978</v>
      </c>
      <c r="BV107" s="55">
        <f t="shared" si="562"/>
        <v>0.60999999999999976</v>
      </c>
      <c r="BW107" s="55">
        <f t="shared" si="562"/>
        <v>0.58999999999999975</v>
      </c>
      <c r="BX107" s="55">
        <f t="shared" si="562"/>
        <v>0.56999999999999973</v>
      </c>
      <c r="BZ107" s="55">
        <f t="shared" si="512"/>
        <v>0</v>
      </c>
      <c r="CA107" s="55">
        <f t="shared" si="513"/>
        <v>0</v>
      </c>
      <c r="CB107" s="59">
        <f t="shared" si="563"/>
        <v>0</v>
      </c>
      <c r="CC107" s="55">
        <f t="shared" si="564"/>
        <v>0</v>
      </c>
      <c r="CD107" s="59">
        <f t="shared" si="565"/>
        <v>0</v>
      </c>
      <c r="CE107" s="55">
        <f t="shared" si="566"/>
        <v>0</v>
      </c>
      <c r="CF107" s="59">
        <f t="shared" si="567"/>
        <v>0</v>
      </c>
      <c r="CG107" s="55">
        <f t="shared" si="568"/>
        <v>0</v>
      </c>
      <c r="CH107" s="59">
        <f t="shared" si="569"/>
        <v>0</v>
      </c>
      <c r="CI107" s="57">
        <f t="shared" si="570"/>
        <v>0</v>
      </c>
      <c r="CJ107" s="59">
        <f t="shared" si="571"/>
        <v>0</v>
      </c>
      <c r="CK107" s="55">
        <f t="shared" si="572"/>
        <v>0</v>
      </c>
      <c r="CL107" s="59">
        <f t="shared" si="573"/>
        <v>0</v>
      </c>
      <c r="CM107" s="57">
        <f t="shared" si="574"/>
        <v>0</v>
      </c>
      <c r="CN107" s="59">
        <f t="shared" si="575"/>
        <v>0</v>
      </c>
      <c r="CO107" s="60">
        <f t="shared" si="576"/>
        <v>0</v>
      </c>
      <c r="CP107" s="59">
        <f t="shared" si="577"/>
        <v>0</v>
      </c>
      <c r="CQ107" s="57">
        <f t="shared" si="578"/>
        <v>0</v>
      </c>
      <c r="CR107" s="59">
        <f t="shared" si="579"/>
        <v>0</v>
      </c>
      <c r="CS107" s="55">
        <f t="shared" si="580"/>
        <v>0</v>
      </c>
      <c r="CT107" s="59">
        <f t="shared" si="581"/>
        <v>0</v>
      </c>
      <c r="CU107" s="60">
        <f t="shared" si="582"/>
        <v>0</v>
      </c>
      <c r="CV107" s="59">
        <f t="shared" si="583"/>
        <v>0</v>
      </c>
      <c r="CW107" s="60">
        <f t="shared" si="584"/>
        <v>0</v>
      </c>
      <c r="CX107" s="59">
        <f t="shared" si="585"/>
        <v>0</v>
      </c>
      <c r="CY107" s="60">
        <f t="shared" si="586"/>
        <v>0</v>
      </c>
      <c r="CZ107" s="59">
        <f t="shared" si="587"/>
        <v>0</v>
      </c>
      <c r="DA107" s="55">
        <f t="shared" si="588"/>
        <v>0</v>
      </c>
      <c r="DB107" s="59">
        <f t="shared" si="589"/>
        <v>0</v>
      </c>
      <c r="DC107" s="60">
        <f t="shared" si="590"/>
        <v>0</v>
      </c>
      <c r="DD107" s="59">
        <f t="shared" si="591"/>
        <v>0</v>
      </c>
      <c r="DE107" s="60">
        <f t="shared" si="592"/>
        <v>0</v>
      </c>
      <c r="DF107" s="59">
        <f t="shared" si="593"/>
        <v>0</v>
      </c>
      <c r="DG107" s="60">
        <f t="shared" si="594"/>
        <v>0</v>
      </c>
      <c r="DH107" s="59">
        <f t="shared" si="595"/>
        <v>0</v>
      </c>
      <c r="DI107" s="60">
        <f t="shared" si="596"/>
        <v>0</v>
      </c>
      <c r="DJ107" s="59">
        <f t="shared" si="597"/>
        <v>0</v>
      </c>
      <c r="DK107" s="55">
        <f t="shared" si="598"/>
        <v>0</v>
      </c>
      <c r="DL107" s="59">
        <f t="shared" si="599"/>
        <v>0</v>
      </c>
      <c r="DM107" s="60">
        <f t="shared" si="600"/>
        <v>0</v>
      </c>
      <c r="DN107" s="59">
        <f t="shared" si="601"/>
        <v>0</v>
      </c>
      <c r="DO107" s="60">
        <f t="shared" si="602"/>
        <v>0</v>
      </c>
      <c r="DP107" s="59">
        <f t="shared" si="603"/>
        <v>0</v>
      </c>
      <c r="DQ107" s="55">
        <f t="shared" si="604"/>
        <v>0</v>
      </c>
      <c r="DR107" s="59">
        <f t="shared" si="605"/>
        <v>0</v>
      </c>
      <c r="DU107" s="55">
        <v>1</v>
      </c>
      <c r="DV107" s="55">
        <v>0.97</v>
      </c>
      <c r="DW107" s="55">
        <v>0.95</v>
      </c>
      <c r="DX107" s="55">
        <v>0.93</v>
      </c>
      <c r="DY107" s="55">
        <f t="shared" si="651"/>
        <v>0.91</v>
      </c>
      <c r="DZ107" s="55">
        <f t="shared" si="651"/>
        <v>0.89</v>
      </c>
      <c r="EA107" s="55">
        <f t="shared" si="651"/>
        <v>0.87</v>
      </c>
      <c r="EB107" s="55">
        <f t="shared" si="651"/>
        <v>0.85</v>
      </c>
      <c r="EC107" s="55">
        <f t="shared" si="651"/>
        <v>0.83</v>
      </c>
      <c r="ED107" s="55">
        <f t="shared" si="651"/>
        <v>0.80999999999999994</v>
      </c>
      <c r="EE107" s="55">
        <f t="shared" si="651"/>
        <v>0.78999999999999992</v>
      </c>
      <c r="EF107" s="55">
        <f t="shared" si="651"/>
        <v>0.76999999999999991</v>
      </c>
      <c r="EG107" s="55">
        <f t="shared" si="651"/>
        <v>0.74999999999999989</v>
      </c>
      <c r="EH107" s="55">
        <f t="shared" si="651"/>
        <v>0.72999999999999987</v>
      </c>
      <c r="EI107" s="55">
        <f t="shared" si="651"/>
        <v>0.70999999999999985</v>
      </c>
      <c r="EJ107" s="55">
        <f t="shared" si="651"/>
        <v>0.68999999999999984</v>
      </c>
      <c r="EK107" s="55">
        <f t="shared" si="651"/>
        <v>0.66999999999999982</v>
      </c>
      <c r="EL107" s="55">
        <f t="shared" si="651"/>
        <v>0.6499999999999998</v>
      </c>
      <c r="EM107" s="55">
        <f t="shared" si="651"/>
        <v>0.62999999999999978</v>
      </c>
      <c r="EN107" s="55">
        <f t="shared" si="651"/>
        <v>0.60999999999999976</v>
      </c>
      <c r="EO107" s="55">
        <f t="shared" si="651"/>
        <v>0.58999999999999975</v>
      </c>
      <c r="EP107" s="55">
        <f t="shared" si="651"/>
        <v>0.56999999999999973</v>
      </c>
      <c r="ER107" s="55">
        <f t="shared" si="652"/>
        <v>0</v>
      </c>
      <c r="ES107" s="55">
        <f t="shared" si="514"/>
        <v>0</v>
      </c>
      <c r="ET107" s="59">
        <f t="shared" si="606"/>
        <v>0</v>
      </c>
      <c r="EU107" s="55">
        <f t="shared" si="607"/>
        <v>0</v>
      </c>
      <c r="EV107" s="59">
        <f t="shared" si="608"/>
        <v>0</v>
      </c>
      <c r="EW107" s="55">
        <f t="shared" si="609"/>
        <v>0</v>
      </c>
      <c r="EX107" s="59">
        <f t="shared" si="610"/>
        <v>0</v>
      </c>
      <c r="EY107" s="55">
        <f t="shared" si="611"/>
        <v>0</v>
      </c>
      <c r="EZ107" s="59">
        <f t="shared" si="612"/>
        <v>0</v>
      </c>
      <c r="FA107" s="57">
        <f t="shared" si="613"/>
        <v>0</v>
      </c>
      <c r="FB107" s="59">
        <f t="shared" si="614"/>
        <v>0</v>
      </c>
      <c r="FC107" s="55">
        <f t="shared" si="615"/>
        <v>0</v>
      </c>
      <c r="FD107" s="59">
        <f t="shared" si="616"/>
        <v>0</v>
      </c>
      <c r="FE107" s="57">
        <f t="shared" si="617"/>
        <v>0</v>
      </c>
      <c r="FF107" s="59">
        <f t="shared" si="618"/>
        <v>0</v>
      </c>
      <c r="FG107" s="60">
        <f t="shared" si="619"/>
        <v>0</v>
      </c>
      <c r="FH107" s="59">
        <f t="shared" si="620"/>
        <v>0</v>
      </c>
      <c r="FI107" s="57">
        <f t="shared" si="621"/>
        <v>0</v>
      </c>
      <c r="FJ107" s="59">
        <f t="shared" si="622"/>
        <v>0</v>
      </c>
      <c r="FK107" s="55">
        <f t="shared" si="623"/>
        <v>0</v>
      </c>
      <c r="FL107" s="59">
        <f t="shared" si="624"/>
        <v>0</v>
      </c>
      <c r="FM107" s="60">
        <f t="shared" si="625"/>
        <v>0</v>
      </c>
      <c r="FN107" s="59">
        <f t="shared" si="626"/>
        <v>0</v>
      </c>
      <c r="FO107" s="60">
        <f t="shared" si="627"/>
        <v>0</v>
      </c>
      <c r="FP107" s="59">
        <f t="shared" si="628"/>
        <v>0</v>
      </c>
      <c r="FQ107" s="60">
        <f t="shared" si="629"/>
        <v>0</v>
      </c>
      <c r="FR107" s="59">
        <f t="shared" si="630"/>
        <v>0</v>
      </c>
      <c r="FS107" s="55">
        <f t="shared" si="631"/>
        <v>0</v>
      </c>
      <c r="FT107" s="59">
        <f t="shared" si="632"/>
        <v>0</v>
      </c>
      <c r="FU107" s="60">
        <f t="shared" si="633"/>
        <v>0</v>
      </c>
      <c r="FV107" s="59">
        <f t="shared" si="634"/>
        <v>0</v>
      </c>
      <c r="FW107" s="60">
        <f t="shared" si="635"/>
        <v>0</v>
      </c>
      <c r="FX107" s="59">
        <f t="shared" si="636"/>
        <v>0</v>
      </c>
      <c r="FY107" s="60">
        <f t="shared" si="637"/>
        <v>0</v>
      </c>
      <c r="FZ107" s="59">
        <f t="shared" si="638"/>
        <v>0</v>
      </c>
      <c r="GA107" s="60">
        <f t="shared" si="639"/>
        <v>0</v>
      </c>
      <c r="GB107" s="59">
        <f t="shared" si="640"/>
        <v>0</v>
      </c>
      <c r="GC107" s="55">
        <f t="shared" si="641"/>
        <v>0</v>
      </c>
      <c r="GD107" s="59">
        <f t="shared" si="642"/>
        <v>0</v>
      </c>
      <c r="GE107" s="60">
        <f t="shared" si="643"/>
        <v>0</v>
      </c>
      <c r="GF107" s="59">
        <f t="shared" si="644"/>
        <v>0</v>
      </c>
      <c r="GG107" s="60">
        <f t="shared" si="645"/>
        <v>0</v>
      </c>
      <c r="GH107" s="59">
        <f t="shared" si="646"/>
        <v>0</v>
      </c>
      <c r="GI107" s="55">
        <f t="shared" si="647"/>
        <v>0</v>
      </c>
      <c r="GJ107" s="59">
        <f t="shared" si="648"/>
        <v>0</v>
      </c>
      <c r="GK107" s="55"/>
      <c r="GL107" s="55"/>
      <c r="GM107" s="55">
        <v>1</v>
      </c>
      <c r="GN107" s="55">
        <v>0.97</v>
      </c>
      <c r="GO107" s="55">
        <v>0.95</v>
      </c>
      <c r="GP107" s="55">
        <v>0.93</v>
      </c>
      <c r="GQ107" s="55">
        <f t="shared" si="653"/>
        <v>0.91</v>
      </c>
      <c r="GR107" s="55">
        <f t="shared" si="653"/>
        <v>0.89</v>
      </c>
      <c r="GS107" s="55">
        <f t="shared" si="653"/>
        <v>0.87</v>
      </c>
      <c r="GT107" s="55">
        <f t="shared" si="653"/>
        <v>0.85</v>
      </c>
      <c r="GU107" s="55">
        <f t="shared" si="653"/>
        <v>0.83</v>
      </c>
      <c r="GV107" s="55">
        <f t="shared" si="653"/>
        <v>0.80999999999999994</v>
      </c>
      <c r="GW107" s="55">
        <f t="shared" si="653"/>
        <v>0.78999999999999992</v>
      </c>
      <c r="GX107" s="55">
        <f t="shared" si="653"/>
        <v>0.76999999999999991</v>
      </c>
      <c r="GY107" s="55">
        <f t="shared" si="653"/>
        <v>0.74999999999999989</v>
      </c>
      <c r="GZ107" s="55">
        <f t="shared" si="653"/>
        <v>0.72999999999999987</v>
      </c>
      <c r="HA107" s="55">
        <f t="shared" si="653"/>
        <v>0.70999999999999985</v>
      </c>
      <c r="HB107" s="55">
        <f t="shared" si="653"/>
        <v>0.68999999999999984</v>
      </c>
      <c r="HC107" s="55">
        <f t="shared" si="653"/>
        <v>0.66999999999999982</v>
      </c>
      <c r="HD107" s="55">
        <f t="shared" si="653"/>
        <v>0.6499999999999998</v>
      </c>
      <c r="HE107" s="55">
        <f t="shared" si="653"/>
        <v>0.62999999999999978</v>
      </c>
      <c r="HF107" s="55">
        <f t="shared" si="653"/>
        <v>0.60999999999999976</v>
      </c>
      <c r="HG107" s="55">
        <f t="shared" si="653"/>
        <v>0.58999999999999975</v>
      </c>
      <c r="HH107" s="55">
        <f t="shared" si="653"/>
        <v>0.56999999999999973</v>
      </c>
    </row>
    <row r="108" spans="1:216" x14ac:dyDescent="0.3">
      <c r="A108" s="2">
        <v>11</v>
      </c>
      <c r="C108" s="38" t="s">
        <v>120</v>
      </c>
      <c r="D108" s="42">
        <v>0</v>
      </c>
      <c r="E108" s="71">
        <f t="shared" si="519"/>
        <v>0</v>
      </c>
      <c r="H108" s="55">
        <f t="shared" si="509"/>
        <v>0</v>
      </c>
      <c r="I108" s="55">
        <f t="shared" si="510"/>
        <v>0</v>
      </c>
      <c r="J108" s="59">
        <f t="shared" si="511"/>
        <v>0</v>
      </c>
      <c r="K108" s="55">
        <f t="shared" si="520"/>
        <v>0</v>
      </c>
      <c r="L108" s="59">
        <f t="shared" si="521"/>
        <v>0</v>
      </c>
      <c r="M108" s="55">
        <f t="shared" si="522"/>
        <v>0</v>
      </c>
      <c r="N108" s="59">
        <f t="shared" si="523"/>
        <v>0</v>
      </c>
      <c r="O108" s="55">
        <f t="shared" si="524"/>
        <v>0</v>
      </c>
      <c r="P108" s="59">
        <f t="shared" si="525"/>
        <v>0</v>
      </c>
      <c r="Q108" s="57">
        <f t="shared" si="526"/>
        <v>0</v>
      </c>
      <c r="R108" s="59">
        <f t="shared" si="527"/>
        <v>0</v>
      </c>
      <c r="S108" s="55">
        <f t="shared" si="528"/>
        <v>0</v>
      </c>
      <c r="T108" s="59">
        <f t="shared" si="529"/>
        <v>0</v>
      </c>
      <c r="U108" s="57">
        <f t="shared" si="530"/>
        <v>0</v>
      </c>
      <c r="V108" s="59">
        <f t="shared" si="531"/>
        <v>0</v>
      </c>
      <c r="W108" s="60">
        <f t="shared" si="532"/>
        <v>0</v>
      </c>
      <c r="X108" s="59">
        <f t="shared" si="533"/>
        <v>0</v>
      </c>
      <c r="Y108" s="57">
        <f t="shared" si="534"/>
        <v>0</v>
      </c>
      <c r="Z108" s="59">
        <f t="shared" si="535"/>
        <v>0</v>
      </c>
      <c r="AA108" s="55">
        <f t="shared" si="536"/>
        <v>0</v>
      </c>
      <c r="AB108" s="59">
        <f t="shared" si="537"/>
        <v>0</v>
      </c>
      <c r="AC108" s="60">
        <f t="shared" si="538"/>
        <v>0</v>
      </c>
      <c r="AD108" s="59">
        <f t="shared" si="539"/>
        <v>0</v>
      </c>
      <c r="AE108" s="60">
        <f t="shared" si="540"/>
        <v>0</v>
      </c>
      <c r="AF108" s="59">
        <f t="shared" si="541"/>
        <v>0</v>
      </c>
      <c r="AG108" s="60">
        <f t="shared" si="542"/>
        <v>0</v>
      </c>
      <c r="AH108" s="59">
        <f t="shared" si="543"/>
        <v>0</v>
      </c>
      <c r="AI108" s="55">
        <f t="shared" si="544"/>
        <v>0</v>
      </c>
      <c r="AJ108" s="59">
        <f t="shared" si="545"/>
        <v>0</v>
      </c>
      <c r="AK108" s="60">
        <f t="shared" si="546"/>
        <v>0</v>
      </c>
      <c r="AL108" s="59">
        <f t="shared" si="547"/>
        <v>0</v>
      </c>
      <c r="AM108" s="60">
        <f t="shared" si="548"/>
        <v>0</v>
      </c>
      <c r="AN108" s="59">
        <f t="shared" si="549"/>
        <v>0</v>
      </c>
      <c r="AO108" s="60">
        <f t="shared" si="550"/>
        <v>0</v>
      </c>
      <c r="AP108" s="59">
        <f t="shared" si="551"/>
        <v>0</v>
      </c>
      <c r="AQ108" s="60">
        <f t="shared" si="552"/>
        <v>0</v>
      </c>
      <c r="AR108" s="59">
        <f t="shared" si="553"/>
        <v>0</v>
      </c>
      <c r="AS108" s="55">
        <f t="shared" si="554"/>
        <v>0</v>
      </c>
      <c r="AT108" s="59">
        <f t="shared" si="555"/>
        <v>0</v>
      </c>
      <c r="AU108" s="60">
        <f t="shared" si="556"/>
        <v>0</v>
      </c>
      <c r="AV108" s="59">
        <f t="shared" si="557"/>
        <v>0</v>
      </c>
      <c r="AW108" s="60">
        <f t="shared" si="558"/>
        <v>0</v>
      </c>
      <c r="AX108" s="59">
        <f t="shared" si="559"/>
        <v>0</v>
      </c>
      <c r="AY108" s="55">
        <f t="shared" si="560"/>
        <v>0</v>
      </c>
      <c r="AZ108" s="59">
        <f t="shared" si="561"/>
        <v>0</v>
      </c>
      <c r="BC108" s="55">
        <v>1</v>
      </c>
      <c r="BD108" s="55">
        <v>0.97</v>
      </c>
      <c r="BE108" s="55">
        <v>0.95</v>
      </c>
      <c r="BF108" s="55">
        <v>0.93</v>
      </c>
      <c r="BG108" s="55">
        <f t="shared" si="562"/>
        <v>0.91</v>
      </c>
      <c r="BH108" s="55">
        <f t="shared" si="562"/>
        <v>0.89</v>
      </c>
      <c r="BI108" s="55">
        <f t="shared" si="562"/>
        <v>0.87</v>
      </c>
      <c r="BJ108" s="55">
        <f t="shared" si="562"/>
        <v>0.85</v>
      </c>
      <c r="BK108" s="55">
        <f t="shared" si="562"/>
        <v>0.83</v>
      </c>
      <c r="BL108" s="55">
        <f t="shared" si="562"/>
        <v>0.80999999999999994</v>
      </c>
      <c r="BM108" s="55">
        <f t="shared" si="562"/>
        <v>0.78999999999999992</v>
      </c>
      <c r="BN108" s="55">
        <f t="shared" si="562"/>
        <v>0.76999999999999991</v>
      </c>
      <c r="BO108" s="55">
        <f t="shared" si="562"/>
        <v>0.74999999999999989</v>
      </c>
      <c r="BP108" s="55">
        <f t="shared" si="562"/>
        <v>0.72999999999999987</v>
      </c>
      <c r="BQ108" s="55">
        <f t="shared" si="562"/>
        <v>0.70999999999999985</v>
      </c>
      <c r="BR108" s="55">
        <f t="shared" si="562"/>
        <v>0.68999999999999984</v>
      </c>
      <c r="BS108" s="55">
        <f t="shared" si="562"/>
        <v>0.66999999999999982</v>
      </c>
      <c r="BT108" s="55">
        <f t="shared" si="562"/>
        <v>0.6499999999999998</v>
      </c>
      <c r="BU108" s="55">
        <f t="shared" si="562"/>
        <v>0.62999999999999978</v>
      </c>
      <c r="BV108" s="55">
        <f t="shared" si="562"/>
        <v>0.60999999999999976</v>
      </c>
      <c r="BW108" s="55">
        <f t="shared" si="562"/>
        <v>0.58999999999999975</v>
      </c>
      <c r="BX108" s="55">
        <f t="shared" si="562"/>
        <v>0.56999999999999973</v>
      </c>
      <c r="BZ108" s="55">
        <f t="shared" si="512"/>
        <v>0</v>
      </c>
      <c r="CA108" s="55">
        <f t="shared" si="513"/>
        <v>0</v>
      </c>
      <c r="CB108" s="59">
        <f t="shared" si="563"/>
        <v>0</v>
      </c>
      <c r="CC108" s="55">
        <f t="shared" si="564"/>
        <v>0</v>
      </c>
      <c r="CD108" s="59">
        <f t="shared" si="565"/>
        <v>0</v>
      </c>
      <c r="CE108" s="55">
        <f t="shared" si="566"/>
        <v>0</v>
      </c>
      <c r="CF108" s="59">
        <f t="shared" si="567"/>
        <v>0</v>
      </c>
      <c r="CG108" s="55">
        <f t="shared" si="568"/>
        <v>0</v>
      </c>
      <c r="CH108" s="59">
        <f t="shared" si="569"/>
        <v>0</v>
      </c>
      <c r="CI108" s="57">
        <f t="shared" si="570"/>
        <v>0</v>
      </c>
      <c r="CJ108" s="59">
        <f t="shared" si="571"/>
        <v>0</v>
      </c>
      <c r="CK108" s="55">
        <f t="shared" si="572"/>
        <v>0</v>
      </c>
      <c r="CL108" s="59">
        <f t="shared" si="573"/>
        <v>0</v>
      </c>
      <c r="CM108" s="57">
        <f t="shared" si="574"/>
        <v>0</v>
      </c>
      <c r="CN108" s="59">
        <f t="shared" si="575"/>
        <v>0</v>
      </c>
      <c r="CO108" s="60">
        <f t="shared" si="576"/>
        <v>0</v>
      </c>
      <c r="CP108" s="59">
        <f t="shared" si="577"/>
        <v>0</v>
      </c>
      <c r="CQ108" s="57">
        <f t="shared" si="578"/>
        <v>0</v>
      </c>
      <c r="CR108" s="59">
        <f t="shared" si="579"/>
        <v>0</v>
      </c>
      <c r="CS108" s="55">
        <f t="shared" si="580"/>
        <v>0</v>
      </c>
      <c r="CT108" s="59">
        <f t="shared" si="581"/>
        <v>0</v>
      </c>
      <c r="CU108" s="60">
        <f t="shared" si="582"/>
        <v>0</v>
      </c>
      <c r="CV108" s="59">
        <f t="shared" si="583"/>
        <v>0</v>
      </c>
      <c r="CW108" s="60">
        <f t="shared" si="584"/>
        <v>0</v>
      </c>
      <c r="CX108" s="59">
        <f t="shared" si="585"/>
        <v>0</v>
      </c>
      <c r="CY108" s="60">
        <f t="shared" si="586"/>
        <v>0</v>
      </c>
      <c r="CZ108" s="59">
        <f t="shared" si="587"/>
        <v>0</v>
      </c>
      <c r="DA108" s="55">
        <f t="shared" si="588"/>
        <v>0</v>
      </c>
      <c r="DB108" s="59">
        <f t="shared" si="589"/>
        <v>0</v>
      </c>
      <c r="DC108" s="60">
        <f t="shared" si="590"/>
        <v>0</v>
      </c>
      <c r="DD108" s="59">
        <f t="shared" si="591"/>
        <v>0</v>
      </c>
      <c r="DE108" s="60">
        <f t="shared" si="592"/>
        <v>0</v>
      </c>
      <c r="DF108" s="59">
        <f t="shared" si="593"/>
        <v>0</v>
      </c>
      <c r="DG108" s="60">
        <f t="shared" si="594"/>
        <v>0</v>
      </c>
      <c r="DH108" s="59">
        <f t="shared" si="595"/>
        <v>0</v>
      </c>
      <c r="DI108" s="60">
        <f t="shared" si="596"/>
        <v>0</v>
      </c>
      <c r="DJ108" s="59">
        <f t="shared" si="597"/>
        <v>0</v>
      </c>
      <c r="DK108" s="55">
        <f t="shared" si="598"/>
        <v>0</v>
      </c>
      <c r="DL108" s="59">
        <f t="shared" si="599"/>
        <v>0</v>
      </c>
      <c r="DM108" s="60">
        <f t="shared" si="600"/>
        <v>0</v>
      </c>
      <c r="DN108" s="59">
        <f t="shared" si="601"/>
        <v>0</v>
      </c>
      <c r="DO108" s="60">
        <f t="shared" si="602"/>
        <v>0</v>
      </c>
      <c r="DP108" s="59">
        <f t="shared" si="603"/>
        <v>0</v>
      </c>
      <c r="DQ108" s="55">
        <f t="shared" si="604"/>
        <v>0</v>
      </c>
      <c r="DR108" s="59">
        <f t="shared" si="605"/>
        <v>0</v>
      </c>
      <c r="DU108" s="55">
        <v>1</v>
      </c>
      <c r="DV108" s="55">
        <v>0.97</v>
      </c>
      <c r="DW108" s="55">
        <v>0.95</v>
      </c>
      <c r="DX108" s="55">
        <v>0.93</v>
      </c>
      <c r="DY108" s="55">
        <f t="shared" si="651"/>
        <v>0.91</v>
      </c>
      <c r="DZ108" s="55">
        <f t="shared" si="651"/>
        <v>0.89</v>
      </c>
      <c r="EA108" s="55">
        <f t="shared" si="651"/>
        <v>0.87</v>
      </c>
      <c r="EB108" s="55">
        <f t="shared" si="651"/>
        <v>0.85</v>
      </c>
      <c r="EC108" s="55">
        <f t="shared" si="651"/>
        <v>0.83</v>
      </c>
      <c r="ED108" s="55">
        <f t="shared" si="651"/>
        <v>0.80999999999999994</v>
      </c>
      <c r="EE108" s="55">
        <f t="shared" si="651"/>
        <v>0.78999999999999992</v>
      </c>
      <c r="EF108" s="55">
        <f t="shared" si="651"/>
        <v>0.76999999999999991</v>
      </c>
      <c r="EG108" s="55">
        <f t="shared" si="651"/>
        <v>0.74999999999999989</v>
      </c>
      <c r="EH108" s="55">
        <f t="shared" si="651"/>
        <v>0.72999999999999987</v>
      </c>
      <c r="EI108" s="55">
        <f t="shared" si="651"/>
        <v>0.70999999999999985</v>
      </c>
      <c r="EJ108" s="55">
        <f t="shared" si="651"/>
        <v>0.68999999999999984</v>
      </c>
      <c r="EK108" s="55">
        <f t="shared" si="651"/>
        <v>0.66999999999999982</v>
      </c>
      <c r="EL108" s="55">
        <f t="shared" si="651"/>
        <v>0.6499999999999998</v>
      </c>
      <c r="EM108" s="55">
        <f t="shared" si="651"/>
        <v>0.62999999999999978</v>
      </c>
      <c r="EN108" s="55">
        <f t="shared" si="651"/>
        <v>0.60999999999999976</v>
      </c>
      <c r="EO108" s="55">
        <f t="shared" si="651"/>
        <v>0.58999999999999975</v>
      </c>
      <c r="EP108" s="55">
        <f t="shared" si="651"/>
        <v>0.56999999999999973</v>
      </c>
      <c r="ER108" s="55">
        <f t="shared" si="652"/>
        <v>0</v>
      </c>
      <c r="ES108" s="55">
        <f t="shared" si="514"/>
        <v>0</v>
      </c>
      <c r="ET108" s="59">
        <f t="shared" si="606"/>
        <v>0</v>
      </c>
      <c r="EU108" s="55">
        <f t="shared" si="607"/>
        <v>0</v>
      </c>
      <c r="EV108" s="59">
        <f t="shared" si="608"/>
        <v>0</v>
      </c>
      <c r="EW108" s="55">
        <f t="shared" si="609"/>
        <v>0</v>
      </c>
      <c r="EX108" s="59">
        <f t="shared" si="610"/>
        <v>0</v>
      </c>
      <c r="EY108" s="55">
        <f t="shared" si="611"/>
        <v>0</v>
      </c>
      <c r="EZ108" s="59">
        <f t="shared" si="612"/>
        <v>0</v>
      </c>
      <c r="FA108" s="57">
        <f t="shared" si="613"/>
        <v>0</v>
      </c>
      <c r="FB108" s="59">
        <f t="shared" si="614"/>
        <v>0</v>
      </c>
      <c r="FC108" s="55">
        <f t="shared" si="615"/>
        <v>0</v>
      </c>
      <c r="FD108" s="59">
        <f t="shared" si="616"/>
        <v>0</v>
      </c>
      <c r="FE108" s="57">
        <f t="shared" si="617"/>
        <v>0</v>
      </c>
      <c r="FF108" s="59">
        <f t="shared" si="618"/>
        <v>0</v>
      </c>
      <c r="FG108" s="60">
        <f t="shared" si="619"/>
        <v>0</v>
      </c>
      <c r="FH108" s="59">
        <f t="shared" si="620"/>
        <v>0</v>
      </c>
      <c r="FI108" s="57">
        <f t="shared" si="621"/>
        <v>0</v>
      </c>
      <c r="FJ108" s="59">
        <f t="shared" si="622"/>
        <v>0</v>
      </c>
      <c r="FK108" s="55">
        <f t="shared" si="623"/>
        <v>0</v>
      </c>
      <c r="FL108" s="59">
        <f t="shared" si="624"/>
        <v>0</v>
      </c>
      <c r="FM108" s="60">
        <f t="shared" si="625"/>
        <v>0</v>
      </c>
      <c r="FN108" s="59">
        <f t="shared" si="626"/>
        <v>0</v>
      </c>
      <c r="FO108" s="60">
        <f t="shared" si="627"/>
        <v>0</v>
      </c>
      <c r="FP108" s="59">
        <f t="shared" si="628"/>
        <v>0</v>
      </c>
      <c r="FQ108" s="60">
        <f t="shared" si="629"/>
        <v>0</v>
      </c>
      <c r="FR108" s="59">
        <f t="shared" si="630"/>
        <v>0</v>
      </c>
      <c r="FS108" s="55">
        <f t="shared" si="631"/>
        <v>0</v>
      </c>
      <c r="FT108" s="59">
        <f t="shared" si="632"/>
        <v>0</v>
      </c>
      <c r="FU108" s="60">
        <f t="shared" si="633"/>
        <v>0</v>
      </c>
      <c r="FV108" s="59">
        <f t="shared" si="634"/>
        <v>0</v>
      </c>
      <c r="FW108" s="60">
        <f t="shared" si="635"/>
        <v>0</v>
      </c>
      <c r="FX108" s="59">
        <f t="shared" si="636"/>
        <v>0</v>
      </c>
      <c r="FY108" s="60">
        <f t="shared" si="637"/>
        <v>0</v>
      </c>
      <c r="FZ108" s="59">
        <f t="shared" si="638"/>
        <v>0</v>
      </c>
      <c r="GA108" s="60">
        <f t="shared" si="639"/>
        <v>0</v>
      </c>
      <c r="GB108" s="59">
        <f t="shared" si="640"/>
        <v>0</v>
      </c>
      <c r="GC108" s="55">
        <f t="shared" si="641"/>
        <v>0</v>
      </c>
      <c r="GD108" s="59">
        <f t="shared" si="642"/>
        <v>0</v>
      </c>
      <c r="GE108" s="60">
        <f t="shared" si="643"/>
        <v>0</v>
      </c>
      <c r="GF108" s="59">
        <f t="shared" si="644"/>
        <v>0</v>
      </c>
      <c r="GG108" s="60">
        <f t="shared" si="645"/>
        <v>0</v>
      </c>
      <c r="GH108" s="59">
        <f t="shared" si="646"/>
        <v>0</v>
      </c>
      <c r="GI108" s="55">
        <f t="shared" si="647"/>
        <v>0</v>
      </c>
      <c r="GJ108" s="59">
        <f t="shared" si="648"/>
        <v>0</v>
      </c>
      <c r="GK108" s="55"/>
      <c r="GL108" s="55"/>
      <c r="GM108" s="55">
        <v>1</v>
      </c>
      <c r="GN108" s="55">
        <v>0.97</v>
      </c>
      <c r="GO108" s="55">
        <v>0.95</v>
      </c>
      <c r="GP108" s="55">
        <v>0.93</v>
      </c>
      <c r="GQ108" s="55">
        <f t="shared" si="653"/>
        <v>0.91</v>
      </c>
      <c r="GR108" s="55">
        <f t="shared" si="653"/>
        <v>0.89</v>
      </c>
      <c r="GS108" s="55">
        <f t="shared" si="653"/>
        <v>0.87</v>
      </c>
      <c r="GT108" s="55">
        <f t="shared" si="653"/>
        <v>0.85</v>
      </c>
      <c r="GU108" s="55">
        <f t="shared" si="653"/>
        <v>0.83</v>
      </c>
      <c r="GV108" s="55">
        <f t="shared" si="653"/>
        <v>0.80999999999999994</v>
      </c>
      <c r="GW108" s="55">
        <f t="shared" si="653"/>
        <v>0.78999999999999992</v>
      </c>
      <c r="GX108" s="55">
        <f t="shared" si="653"/>
        <v>0.76999999999999991</v>
      </c>
      <c r="GY108" s="55">
        <f t="shared" si="653"/>
        <v>0.74999999999999989</v>
      </c>
      <c r="GZ108" s="55">
        <f t="shared" si="653"/>
        <v>0.72999999999999987</v>
      </c>
      <c r="HA108" s="55">
        <f t="shared" si="653"/>
        <v>0.70999999999999985</v>
      </c>
      <c r="HB108" s="55">
        <f t="shared" si="653"/>
        <v>0.68999999999999984</v>
      </c>
      <c r="HC108" s="55">
        <f t="shared" si="653"/>
        <v>0.66999999999999982</v>
      </c>
      <c r="HD108" s="55">
        <f t="shared" si="653"/>
        <v>0.6499999999999998</v>
      </c>
      <c r="HE108" s="55">
        <f t="shared" si="653"/>
        <v>0.62999999999999978</v>
      </c>
      <c r="HF108" s="55">
        <f t="shared" si="653"/>
        <v>0.60999999999999976</v>
      </c>
      <c r="HG108" s="55">
        <f t="shared" si="653"/>
        <v>0.58999999999999975</v>
      </c>
      <c r="HH108" s="55">
        <f t="shared" si="653"/>
        <v>0.56999999999999973</v>
      </c>
    </row>
    <row r="109" spans="1:216" x14ac:dyDescent="0.3">
      <c r="A109" s="2">
        <v>12</v>
      </c>
      <c r="C109" s="38" t="s">
        <v>125</v>
      </c>
      <c r="D109" s="42">
        <v>0</v>
      </c>
      <c r="E109" s="71">
        <f t="shared" si="519"/>
        <v>0</v>
      </c>
      <c r="H109" s="55">
        <f t="shared" si="509"/>
        <v>0</v>
      </c>
      <c r="I109" s="55">
        <f t="shared" si="510"/>
        <v>0</v>
      </c>
      <c r="J109" s="59">
        <f t="shared" si="511"/>
        <v>0</v>
      </c>
      <c r="K109" s="55">
        <f t="shared" si="520"/>
        <v>0</v>
      </c>
      <c r="L109" s="59">
        <f t="shared" si="521"/>
        <v>0</v>
      </c>
      <c r="M109" s="55">
        <f t="shared" si="522"/>
        <v>0</v>
      </c>
      <c r="N109" s="59">
        <f t="shared" si="523"/>
        <v>0</v>
      </c>
      <c r="O109" s="55">
        <f t="shared" si="524"/>
        <v>0</v>
      </c>
      <c r="P109" s="59">
        <f t="shared" si="525"/>
        <v>0</v>
      </c>
      <c r="Q109" s="57">
        <f t="shared" si="526"/>
        <v>0</v>
      </c>
      <c r="R109" s="59">
        <f t="shared" si="527"/>
        <v>0</v>
      </c>
      <c r="S109" s="55">
        <f t="shared" si="528"/>
        <v>0</v>
      </c>
      <c r="T109" s="59">
        <f t="shared" si="529"/>
        <v>0</v>
      </c>
      <c r="U109" s="57">
        <f t="shared" si="530"/>
        <v>0</v>
      </c>
      <c r="V109" s="59">
        <f t="shared" si="531"/>
        <v>0</v>
      </c>
      <c r="W109" s="60">
        <f t="shared" si="532"/>
        <v>0</v>
      </c>
      <c r="X109" s="59">
        <f t="shared" si="533"/>
        <v>0</v>
      </c>
      <c r="Y109" s="57">
        <f t="shared" si="534"/>
        <v>0</v>
      </c>
      <c r="Z109" s="59">
        <f t="shared" si="535"/>
        <v>0</v>
      </c>
      <c r="AA109" s="55">
        <f t="shared" si="536"/>
        <v>0</v>
      </c>
      <c r="AB109" s="59">
        <f t="shared" si="537"/>
        <v>0</v>
      </c>
      <c r="AC109" s="60">
        <f t="shared" si="538"/>
        <v>0</v>
      </c>
      <c r="AD109" s="59">
        <f t="shared" si="539"/>
        <v>0</v>
      </c>
      <c r="AE109" s="60">
        <f t="shared" si="540"/>
        <v>0</v>
      </c>
      <c r="AF109" s="59">
        <f t="shared" si="541"/>
        <v>0</v>
      </c>
      <c r="AG109" s="60">
        <f t="shared" si="542"/>
        <v>0</v>
      </c>
      <c r="AH109" s="59">
        <f t="shared" si="543"/>
        <v>0</v>
      </c>
      <c r="AI109" s="55">
        <f t="shared" si="544"/>
        <v>0</v>
      </c>
      <c r="AJ109" s="59">
        <f t="shared" si="545"/>
        <v>0</v>
      </c>
      <c r="AK109" s="60">
        <f t="shared" si="546"/>
        <v>0</v>
      </c>
      <c r="AL109" s="59">
        <f t="shared" si="547"/>
        <v>0</v>
      </c>
      <c r="AM109" s="60">
        <f t="shared" si="548"/>
        <v>0</v>
      </c>
      <c r="AN109" s="59">
        <f t="shared" si="549"/>
        <v>0</v>
      </c>
      <c r="AO109" s="60">
        <f t="shared" si="550"/>
        <v>0</v>
      </c>
      <c r="AP109" s="59">
        <f t="shared" si="551"/>
        <v>0</v>
      </c>
      <c r="AQ109" s="60">
        <f t="shared" si="552"/>
        <v>0</v>
      </c>
      <c r="AR109" s="59">
        <f t="shared" si="553"/>
        <v>0</v>
      </c>
      <c r="AS109" s="55">
        <f t="shared" si="554"/>
        <v>0</v>
      </c>
      <c r="AT109" s="59">
        <f t="shared" si="555"/>
        <v>0</v>
      </c>
      <c r="AU109" s="60">
        <f t="shared" si="556"/>
        <v>0</v>
      </c>
      <c r="AV109" s="59">
        <f t="shared" si="557"/>
        <v>0</v>
      </c>
      <c r="AW109" s="60">
        <f t="shared" si="558"/>
        <v>0</v>
      </c>
      <c r="AX109" s="59">
        <f t="shared" si="559"/>
        <v>0</v>
      </c>
      <c r="AY109" s="55">
        <f t="shared" si="560"/>
        <v>0</v>
      </c>
      <c r="AZ109" s="59">
        <f t="shared" si="561"/>
        <v>0</v>
      </c>
      <c r="BC109" s="55">
        <v>1</v>
      </c>
      <c r="BD109" s="55">
        <v>0.97</v>
      </c>
      <c r="BE109" s="55">
        <v>0.95</v>
      </c>
      <c r="BF109" s="55">
        <v>0.93</v>
      </c>
      <c r="BG109" s="55">
        <f t="shared" si="562"/>
        <v>0.91</v>
      </c>
      <c r="BH109" s="55">
        <f t="shared" si="562"/>
        <v>0.89</v>
      </c>
      <c r="BI109" s="55">
        <f t="shared" si="562"/>
        <v>0.87</v>
      </c>
      <c r="BJ109" s="55">
        <f t="shared" si="562"/>
        <v>0.85</v>
      </c>
      <c r="BK109" s="55">
        <f t="shared" si="562"/>
        <v>0.83</v>
      </c>
      <c r="BL109" s="55">
        <f t="shared" si="562"/>
        <v>0.80999999999999994</v>
      </c>
      <c r="BM109" s="55">
        <f t="shared" si="562"/>
        <v>0.78999999999999992</v>
      </c>
      <c r="BN109" s="55">
        <f t="shared" si="562"/>
        <v>0.76999999999999991</v>
      </c>
      <c r="BO109" s="55">
        <f t="shared" si="562"/>
        <v>0.74999999999999989</v>
      </c>
      <c r="BP109" s="55">
        <f t="shared" si="562"/>
        <v>0.72999999999999987</v>
      </c>
      <c r="BQ109" s="55">
        <f t="shared" si="562"/>
        <v>0.70999999999999985</v>
      </c>
      <c r="BR109" s="55">
        <f t="shared" si="562"/>
        <v>0.68999999999999984</v>
      </c>
      <c r="BS109" s="55">
        <f t="shared" si="562"/>
        <v>0.66999999999999982</v>
      </c>
      <c r="BT109" s="55">
        <f t="shared" si="562"/>
        <v>0.6499999999999998</v>
      </c>
      <c r="BU109" s="55">
        <f t="shared" si="562"/>
        <v>0.62999999999999978</v>
      </c>
      <c r="BV109" s="55">
        <f t="shared" si="562"/>
        <v>0.60999999999999976</v>
      </c>
      <c r="BW109" s="55">
        <f t="shared" si="562"/>
        <v>0.58999999999999975</v>
      </c>
      <c r="BX109" s="55">
        <f t="shared" si="562"/>
        <v>0.56999999999999973</v>
      </c>
      <c r="BZ109" s="55">
        <f t="shared" si="512"/>
        <v>0</v>
      </c>
      <c r="CA109" s="55">
        <f t="shared" si="513"/>
        <v>0</v>
      </c>
      <c r="CB109" s="59">
        <f t="shared" si="563"/>
        <v>0</v>
      </c>
      <c r="CC109" s="55">
        <f t="shared" si="564"/>
        <v>0</v>
      </c>
      <c r="CD109" s="59">
        <f t="shared" si="565"/>
        <v>0</v>
      </c>
      <c r="CE109" s="55">
        <f t="shared" si="566"/>
        <v>0</v>
      </c>
      <c r="CF109" s="59">
        <f t="shared" si="567"/>
        <v>0</v>
      </c>
      <c r="CG109" s="55">
        <f t="shared" si="568"/>
        <v>0</v>
      </c>
      <c r="CH109" s="59">
        <f t="shared" si="569"/>
        <v>0</v>
      </c>
      <c r="CI109" s="57">
        <f t="shared" si="570"/>
        <v>0</v>
      </c>
      <c r="CJ109" s="59">
        <f t="shared" si="571"/>
        <v>0</v>
      </c>
      <c r="CK109" s="55">
        <f t="shared" si="572"/>
        <v>0</v>
      </c>
      <c r="CL109" s="59">
        <f t="shared" si="573"/>
        <v>0</v>
      </c>
      <c r="CM109" s="57">
        <f t="shared" si="574"/>
        <v>0</v>
      </c>
      <c r="CN109" s="59">
        <f t="shared" si="575"/>
        <v>0</v>
      </c>
      <c r="CO109" s="60">
        <f t="shared" si="576"/>
        <v>0</v>
      </c>
      <c r="CP109" s="59">
        <f t="shared" si="577"/>
        <v>0</v>
      </c>
      <c r="CQ109" s="57">
        <f t="shared" si="578"/>
        <v>0</v>
      </c>
      <c r="CR109" s="59">
        <f t="shared" si="579"/>
        <v>0</v>
      </c>
      <c r="CS109" s="55">
        <f t="shared" si="580"/>
        <v>0</v>
      </c>
      <c r="CT109" s="59">
        <f t="shared" si="581"/>
        <v>0</v>
      </c>
      <c r="CU109" s="60">
        <f t="shared" si="582"/>
        <v>0</v>
      </c>
      <c r="CV109" s="59">
        <f t="shared" si="583"/>
        <v>0</v>
      </c>
      <c r="CW109" s="60">
        <f t="shared" si="584"/>
        <v>0</v>
      </c>
      <c r="CX109" s="59">
        <f t="shared" si="585"/>
        <v>0</v>
      </c>
      <c r="CY109" s="60">
        <f t="shared" si="586"/>
        <v>0</v>
      </c>
      <c r="CZ109" s="59">
        <f t="shared" si="587"/>
        <v>0</v>
      </c>
      <c r="DA109" s="55">
        <f t="shared" si="588"/>
        <v>0</v>
      </c>
      <c r="DB109" s="59">
        <f t="shared" si="589"/>
        <v>0</v>
      </c>
      <c r="DC109" s="60">
        <f t="shared" si="590"/>
        <v>0</v>
      </c>
      <c r="DD109" s="59">
        <f t="shared" si="591"/>
        <v>0</v>
      </c>
      <c r="DE109" s="60">
        <f t="shared" si="592"/>
        <v>0</v>
      </c>
      <c r="DF109" s="59">
        <f t="shared" si="593"/>
        <v>0</v>
      </c>
      <c r="DG109" s="60">
        <f t="shared" si="594"/>
        <v>0</v>
      </c>
      <c r="DH109" s="59">
        <f t="shared" si="595"/>
        <v>0</v>
      </c>
      <c r="DI109" s="60">
        <f t="shared" si="596"/>
        <v>0</v>
      </c>
      <c r="DJ109" s="59">
        <f t="shared" si="597"/>
        <v>0</v>
      </c>
      <c r="DK109" s="55">
        <f t="shared" si="598"/>
        <v>0</v>
      </c>
      <c r="DL109" s="59">
        <f t="shared" si="599"/>
        <v>0</v>
      </c>
      <c r="DM109" s="60">
        <f t="shared" si="600"/>
        <v>0</v>
      </c>
      <c r="DN109" s="59">
        <f t="shared" si="601"/>
        <v>0</v>
      </c>
      <c r="DO109" s="60">
        <f t="shared" si="602"/>
        <v>0</v>
      </c>
      <c r="DP109" s="59">
        <f t="shared" si="603"/>
        <v>0</v>
      </c>
      <c r="DQ109" s="55">
        <f t="shared" si="604"/>
        <v>0</v>
      </c>
      <c r="DR109" s="59">
        <f t="shared" si="605"/>
        <v>0</v>
      </c>
      <c r="DU109" s="55">
        <v>1</v>
      </c>
      <c r="DV109" s="55">
        <v>0.97</v>
      </c>
      <c r="DW109" s="55">
        <v>0.95</v>
      </c>
      <c r="DX109" s="55">
        <v>0.93</v>
      </c>
      <c r="DY109" s="55">
        <f t="shared" si="651"/>
        <v>0.91</v>
      </c>
      <c r="DZ109" s="55">
        <f t="shared" si="651"/>
        <v>0.89</v>
      </c>
      <c r="EA109" s="55">
        <f t="shared" si="651"/>
        <v>0.87</v>
      </c>
      <c r="EB109" s="55">
        <f t="shared" si="651"/>
        <v>0.85</v>
      </c>
      <c r="EC109" s="55">
        <f t="shared" si="651"/>
        <v>0.83</v>
      </c>
      <c r="ED109" s="55">
        <f t="shared" si="651"/>
        <v>0.80999999999999994</v>
      </c>
      <c r="EE109" s="55">
        <f t="shared" si="651"/>
        <v>0.78999999999999992</v>
      </c>
      <c r="EF109" s="55">
        <f t="shared" si="651"/>
        <v>0.76999999999999991</v>
      </c>
      <c r="EG109" s="55">
        <f t="shared" si="651"/>
        <v>0.74999999999999989</v>
      </c>
      <c r="EH109" s="55">
        <f t="shared" si="651"/>
        <v>0.72999999999999987</v>
      </c>
      <c r="EI109" s="55">
        <f t="shared" si="651"/>
        <v>0.70999999999999985</v>
      </c>
      <c r="EJ109" s="55">
        <f t="shared" si="651"/>
        <v>0.68999999999999984</v>
      </c>
      <c r="EK109" s="55">
        <f t="shared" si="651"/>
        <v>0.66999999999999982</v>
      </c>
      <c r="EL109" s="55">
        <f t="shared" si="651"/>
        <v>0.6499999999999998</v>
      </c>
      <c r="EM109" s="55">
        <f t="shared" si="651"/>
        <v>0.62999999999999978</v>
      </c>
      <c r="EN109" s="55">
        <f t="shared" si="651"/>
        <v>0.60999999999999976</v>
      </c>
      <c r="EO109" s="55">
        <f t="shared" si="651"/>
        <v>0.58999999999999975</v>
      </c>
      <c r="EP109" s="55">
        <f t="shared" si="651"/>
        <v>0.56999999999999973</v>
      </c>
      <c r="ER109" s="55">
        <f t="shared" si="652"/>
        <v>0</v>
      </c>
      <c r="ES109" s="55">
        <f t="shared" si="514"/>
        <v>0</v>
      </c>
      <c r="ET109" s="59">
        <f t="shared" si="606"/>
        <v>0</v>
      </c>
      <c r="EU109" s="55">
        <f t="shared" si="607"/>
        <v>0</v>
      </c>
      <c r="EV109" s="59">
        <f t="shared" si="608"/>
        <v>0</v>
      </c>
      <c r="EW109" s="55">
        <f t="shared" si="609"/>
        <v>0</v>
      </c>
      <c r="EX109" s="59">
        <f t="shared" si="610"/>
        <v>0</v>
      </c>
      <c r="EY109" s="55">
        <f t="shared" si="611"/>
        <v>0</v>
      </c>
      <c r="EZ109" s="59">
        <f t="shared" si="612"/>
        <v>0</v>
      </c>
      <c r="FA109" s="57">
        <f t="shared" si="613"/>
        <v>0</v>
      </c>
      <c r="FB109" s="59">
        <f t="shared" si="614"/>
        <v>0</v>
      </c>
      <c r="FC109" s="55">
        <f t="shared" si="615"/>
        <v>0</v>
      </c>
      <c r="FD109" s="59">
        <f t="shared" si="616"/>
        <v>0</v>
      </c>
      <c r="FE109" s="57">
        <f t="shared" si="617"/>
        <v>0</v>
      </c>
      <c r="FF109" s="59">
        <f t="shared" si="618"/>
        <v>0</v>
      </c>
      <c r="FG109" s="60">
        <f t="shared" si="619"/>
        <v>0</v>
      </c>
      <c r="FH109" s="59">
        <f t="shared" si="620"/>
        <v>0</v>
      </c>
      <c r="FI109" s="57">
        <f t="shared" si="621"/>
        <v>0</v>
      </c>
      <c r="FJ109" s="59">
        <f t="shared" si="622"/>
        <v>0</v>
      </c>
      <c r="FK109" s="55">
        <f t="shared" si="623"/>
        <v>0</v>
      </c>
      <c r="FL109" s="59">
        <f t="shared" si="624"/>
        <v>0</v>
      </c>
      <c r="FM109" s="60">
        <f t="shared" si="625"/>
        <v>0</v>
      </c>
      <c r="FN109" s="59">
        <f t="shared" si="626"/>
        <v>0</v>
      </c>
      <c r="FO109" s="60">
        <f t="shared" si="627"/>
        <v>0</v>
      </c>
      <c r="FP109" s="59">
        <f t="shared" si="628"/>
        <v>0</v>
      </c>
      <c r="FQ109" s="60">
        <f t="shared" si="629"/>
        <v>0</v>
      </c>
      <c r="FR109" s="59">
        <f t="shared" si="630"/>
        <v>0</v>
      </c>
      <c r="FS109" s="55">
        <f t="shared" si="631"/>
        <v>0</v>
      </c>
      <c r="FT109" s="59">
        <f t="shared" si="632"/>
        <v>0</v>
      </c>
      <c r="FU109" s="60">
        <f t="shared" si="633"/>
        <v>0</v>
      </c>
      <c r="FV109" s="59">
        <f t="shared" si="634"/>
        <v>0</v>
      </c>
      <c r="FW109" s="60">
        <f t="shared" si="635"/>
        <v>0</v>
      </c>
      <c r="FX109" s="59">
        <f t="shared" si="636"/>
        <v>0</v>
      </c>
      <c r="FY109" s="60">
        <f t="shared" si="637"/>
        <v>0</v>
      </c>
      <c r="FZ109" s="59">
        <f t="shared" si="638"/>
        <v>0</v>
      </c>
      <c r="GA109" s="60">
        <f t="shared" si="639"/>
        <v>0</v>
      </c>
      <c r="GB109" s="59">
        <f t="shared" si="640"/>
        <v>0</v>
      </c>
      <c r="GC109" s="55">
        <f t="shared" si="641"/>
        <v>0</v>
      </c>
      <c r="GD109" s="59">
        <f t="shared" si="642"/>
        <v>0</v>
      </c>
      <c r="GE109" s="60">
        <f t="shared" si="643"/>
        <v>0</v>
      </c>
      <c r="GF109" s="59">
        <f t="shared" si="644"/>
        <v>0</v>
      </c>
      <c r="GG109" s="60">
        <f t="shared" si="645"/>
        <v>0</v>
      </c>
      <c r="GH109" s="59">
        <f t="shared" si="646"/>
        <v>0</v>
      </c>
      <c r="GI109" s="55">
        <f t="shared" si="647"/>
        <v>0</v>
      </c>
      <c r="GJ109" s="59">
        <f t="shared" si="648"/>
        <v>0</v>
      </c>
      <c r="GK109" s="55"/>
      <c r="GL109" s="55"/>
      <c r="GM109" s="55">
        <v>1</v>
      </c>
      <c r="GN109" s="55">
        <v>0.97</v>
      </c>
      <c r="GO109" s="55">
        <v>0.95</v>
      </c>
      <c r="GP109" s="55">
        <v>0.93</v>
      </c>
      <c r="GQ109" s="55">
        <f t="shared" si="653"/>
        <v>0.91</v>
      </c>
      <c r="GR109" s="55">
        <f t="shared" si="653"/>
        <v>0.89</v>
      </c>
      <c r="GS109" s="55">
        <f t="shared" si="653"/>
        <v>0.87</v>
      </c>
      <c r="GT109" s="55">
        <f t="shared" si="653"/>
        <v>0.85</v>
      </c>
      <c r="GU109" s="55">
        <f t="shared" si="653"/>
        <v>0.83</v>
      </c>
      <c r="GV109" s="55">
        <f t="shared" si="653"/>
        <v>0.80999999999999994</v>
      </c>
      <c r="GW109" s="55">
        <f t="shared" si="653"/>
        <v>0.78999999999999992</v>
      </c>
      <c r="GX109" s="55">
        <f t="shared" si="653"/>
        <v>0.76999999999999991</v>
      </c>
      <c r="GY109" s="55">
        <f t="shared" si="653"/>
        <v>0.74999999999999989</v>
      </c>
      <c r="GZ109" s="55">
        <f t="shared" si="653"/>
        <v>0.72999999999999987</v>
      </c>
      <c r="HA109" s="55">
        <f t="shared" si="653"/>
        <v>0.70999999999999985</v>
      </c>
      <c r="HB109" s="55">
        <f t="shared" si="653"/>
        <v>0.68999999999999984</v>
      </c>
      <c r="HC109" s="55">
        <f t="shared" si="653"/>
        <v>0.66999999999999982</v>
      </c>
      <c r="HD109" s="55">
        <f t="shared" si="653"/>
        <v>0.6499999999999998</v>
      </c>
      <c r="HE109" s="55">
        <f t="shared" si="653"/>
        <v>0.62999999999999978</v>
      </c>
      <c r="HF109" s="55">
        <f t="shared" si="653"/>
        <v>0.60999999999999976</v>
      </c>
      <c r="HG109" s="55">
        <f t="shared" si="653"/>
        <v>0.58999999999999975</v>
      </c>
      <c r="HH109" s="55">
        <f t="shared" si="653"/>
        <v>0.56999999999999973</v>
      </c>
    </row>
    <row r="110" spans="1:216" x14ac:dyDescent="0.3">
      <c r="A110" s="2">
        <v>13</v>
      </c>
      <c r="C110" s="38" t="s">
        <v>127</v>
      </c>
      <c r="D110" s="42">
        <v>0</v>
      </c>
      <c r="E110" s="71">
        <f t="shared" si="519"/>
        <v>0</v>
      </c>
      <c r="H110" s="55">
        <f t="shared" si="509"/>
        <v>0</v>
      </c>
      <c r="I110" s="55">
        <f t="shared" si="510"/>
        <v>0</v>
      </c>
      <c r="J110" s="59">
        <f t="shared" si="511"/>
        <v>0</v>
      </c>
      <c r="K110" s="55">
        <f t="shared" si="520"/>
        <v>0</v>
      </c>
      <c r="L110" s="59">
        <f t="shared" si="521"/>
        <v>0</v>
      </c>
      <c r="M110" s="55">
        <f t="shared" si="522"/>
        <v>0</v>
      </c>
      <c r="N110" s="59">
        <f t="shared" si="523"/>
        <v>0</v>
      </c>
      <c r="O110" s="55">
        <f t="shared" si="524"/>
        <v>0</v>
      </c>
      <c r="P110" s="59">
        <f t="shared" si="525"/>
        <v>0</v>
      </c>
      <c r="Q110" s="57">
        <f t="shared" si="526"/>
        <v>0</v>
      </c>
      <c r="R110" s="59">
        <f t="shared" si="527"/>
        <v>0</v>
      </c>
      <c r="S110" s="55">
        <f t="shared" si="528"/>
        <v>0</v>
      </c>
      <c r="T110" s="59">
        <f t="shared" si="529"/>
        <v>0</v>
      </c>
      <c r="U110" s="57">
        <f t="shared" si="530"/>
        <v>0</v>
      </c>
      <c r="V110" s="59">
        <f t="shared" si="531"/>
        <v>0</v>
      </c>
      <c r="W110" s="60">
        <f t="shared" si="532"/>
        <v>0</v>
      </c>
      <c r="X110" s="59">
        <f t="shared" si="533"/>
        <v>0</v>
      </c>
      <c r="Y110" s="57">
        <f t="shared" si="534"/>
        <v>0</v>
      </c>
      <c r="Z110" s="59">
        <f t="shared" si="535"/>
        <v>0</v>
      </c>
      <c r="AA110" s="55">
        <f t="shared" si="536"/>
        <v>0</v>
      </c>
      <c r="AB110" s="59">
        <f t="shared" si="537"/>
        <v>0</v>
      </c>
      <c r="AC110" s="60">
        <f t="shared" si="538"/>
        <v>0</v>
      </c>
      <c r="AD110" s="59">
        <f t="shared" si="539"/>
        <v>0</v>
      </c>
      <c r="AE110" s="60">
        <f t="shared" si="540"/>
        <v>0</v>
      </c>
      <c r="AF110" s="59">
        <f t="shared" si="541"/>
        <v>0</v>
      </c>
      <c r="AG110" s="60">
        <f t="shared" si="542"/>
        <v>0</v>
      </c>
      <c r="AH110" s="59">
        <f t="shared" si="543"/>
        <v>0</v>
      </c>
      <c r="AI110" s="55">
        <f t="shared" si="544"/>
        <v>0</v>
      </c>
      <c r="AJ110" s="59">
        <f t="shared" si="545"/>
        <v>0</v>
      </c>
      <c r="AK110" s="60">
        <f t="shared" si="546"/>
        <v>0</v>
      </c>
      <c r="AL110" s="59">
        <f t="shared" si="547"/>
        <v>0</v>
      </c>
      <c r="AM110" s="60">
        <f t="shared" si="548"/>
        <v>0</v>
      </c>
      <c r="AN110" s="59">
        <f t="shared" si="549"/>
        <v>0</v>
      </c>
      <c r="AO110" s="60">
        <f t="shared" si="550"/>
        <v>0</v>
      </c>
      <c r="AP110" s="59">
        <f t="shared" si="551"/>
        <v>0</v>
      </c>
      <c r="AQ110" s="60">
        <f t="shared" si="552"/>
        <v>0</v>
      </c>
      <c r="AR110" s="59">
        <f t="shared" si="553"/>
        <v>0</v>
      </c>
      <c r="AS110" s="55">
        <f t="shared" si="554"/>
        <v>0</v>
      </c>
      <c r="AT110" s="59">
        <f t="shared" si="555"/>
        <v>0</v>
      </c>
      <c r="AU110" s="60">
        <f t="shared" si="556"/>
        <v>0</v>
      </c>
      <c r="AV110" s="59">
        <f t="shared" si="557"/>
        <v>0</v>
      </c>
      <c r="AW110" s="60">
        <f t="shared" si="558"/>
        <v>0</v>
      </c>
      <c r="AX110" s="59">
        <f t="shared" si="559"/>
        <v>0</v>
      </c>
      <c r="AY110" s="55">
        <f t="shared" si="560"/>
        <v>0</v>
      </c>
      <c r="AZ110" s="59">
        <f t="shared" si="561"/>
        <v>0</v>
      </c>
      <c r="BC110" s="55">
        <v>1</v>
      </c>
      <c r="BD110" s="55">
        <v>0.97</v>
      </c>
      <c r="BE110" s="55">
        <v>0.95</v>
      </c>
      <c r="BF110" s="55">
        <v>0.93</v>
      </c>
      <c r="BG110" s="55">
        <f t="shared" si="562"/>
        <v>0.91</v>
      </c>
      <c r="BH110" s="55">
        <f t="shared" si="562"/>
        <v>0.89</v>
      </c>
      <c r="BI110" s="55">
        <f t="shared" si="562"/>
        <v>0.87</v>
      </c>
      <c r="BJ110" s="55">
        <f t="shared" si="562"/>
        <v>0.85</v>
      </c>
      <c r="BK110" s="55">
        <f t="shared" si="562"/>
        <v>0.83</v>
      </c>
      <c r="BL110" s="55">
        <f t="shared" si="562"/>
        <v>0.80999999999999994</v>
      </c>
      <c r="BM110" s="55">
        <f t="shared" si="562"/>
        <v>0.78999999999999992</v>
      </c>
      <c r="BN110" s="55">
        <f t="shared" si="562"/>
        <v>0.76999999999999991</v>
      </c>
      <c r="BO110" s="55">
        <f t="shared" si="562"/>
        <v>0.74999999999999989</v>
      </c>
      <c r="BP110" s="55">
        <f t="shared" si="562"/>
        <v>0.72999999999999987</v>
      </c>
      <c r="BQ110" s="55">
        <f t="shared" si="562"/>
        <v>0.70999999999999985</v>
      </c>
      <c r="BR110" s="55">
        <f t="shared" si="562"/>
        <v>0.68999999999999984</v>
      </c>
      <c r="BS110" s="55">
        <f t="shared" si="562"/>
        <v>0.66999999999999982</v>
      </c>
      <c r="BT110" s="55">
        <f t="shared" si="562"/>
        <v>0.6499999999999998</v>
      </c>
      <c r="BU110" s="55">
        <f t="shared" si="562"/>
        <v>0.62999999999999978</v>
      </c>
      <c r="BV110" s="55">
        <f t="shared" si="562"/>
        <v>0.60999999999999976</v>
      </c>
      <c r="BW110" s="55">
        <f t="shared" si="562"/>
        <v>0.58999999999999975</v>
      </c>
      <c r="BX110" s="55">
        <f t="shared" si="562"/>
        <v>0.56999999999999973</v>
      </c>
      <c r="BZ110" s="55">
        <f t="shared" si="512"/>
        <v>0</v>
      </c>
      <c r="CA110" s="55">
        <f t="shared" si="513"/>
        <v>0</v>
      </c>
      <c r="CB110" s="59">
        <f t="shared" si="563"/>
        <v>0</v>
      </c>
      <c r="CC110" s="55">
        <f t="shared" si="564"/>
        <v>0</v>
      </c>
      <c r="CD110" s="59">
        <f t="shared" si="565"/>
        <v>0</v>
      </c>
      <c r="CE110" s="55">
        <f t="shared" si="566"/>
        <v>0</v>
      </c>
      <c r="CF110" s="59">
        <f t="shared" si="567"/>
        <v>0</v>
      </c>
      <c r="CG110" s="55">
        <f t="shared" si="568"/>
        <v>0</v>
      </c>
      <c r="CH110" s="59">
        <f t="shared" si="569"/>
        <v>0</v>
      </c>
      <c r="CI110" s="57">
        <f t="shared" si="570"/>
        <v>0</v>
      </c>
      <c r="CJ110" s="59">
        <f t="shared" si="571"/>
        <v>0</v>
      </c>
      <c r="CK110" s="55">
        <f t="shared" si="572"/>
        <v>0</v>
      </c>
      <c r="CL110" s="59">
        <f t="shared" si="573"/>
        <v>0</v>
      </c>
      <c r="CM110" s="57">
        <f t="shared" si="574"/>
        <v>0</v>
      </c>
      <c r="CN110" s="59">
        <f t="shared" si="575"/>
        <v>0</v>
      </c>
      <c r="CO110" s="60">
        <f t="shared" si="576"/>
        <v>0</v>
      </c>
      <c r="CP110" s="59">
        <f t="shared" si="577"/>
        <v>0</v>
      </c>
      <c r="CQ110" s="57">
        <f t="shared" si="578"/>
        <v>0</v>
      </c>
      <c r="CR110" s="59">
        <f t="shared" si="579"/>
        <v>0</v>
      </c>
      <c r="CS110" s="55">
        <f t="shared" si="580"/>
        <v>0</v>
      </c>
      <c r="CT110" s="59">
        <f t="shared" si="581"/>
        <v>0</v>
      </c>
      <c r="CU110" s="60">
        <f t="shared" si="582"/>
        <v>0</v>
      </c>
      <c r="CV110" s="59">
        <f t="shared" si="583"/>
        <v>0</v>
      </c>
      <c r="CW110" s="60">
        <f t="shared" si="584"/>
        <v>0</v>
      </c>
      <c r="CX110" s="59">
        <f t="shared" si="585"/>
        <v>0</v>
      </c>
      <c r="CY110" s="60">
        <f t="shared" si="586"/>
        <v>0</v>
      </c>
      <c r="CZ110" s="59">
        <f t="shared" si="587"/>
        <v>0</v>
      </c>
      <c r="DA110" s="55">
        <f t="shared" si="588"/>
        <v>0</v>
      </c>
      <c r="DB110" s="59">
        <f t="shared" si="589"/>
        <v>0</v>
      </c>
      <c r="DC110" s="60">
        <f t="shared" si="590"/>
        <v>0</v>
      </c>
      <c r="DD110" s="59">
        <f t="shared" si="591"/>
        <v>0</v>
      </c>
      <c r="DE110" s="60">
        <f t="shared" si="592"/>
        <v>0</v>
      </c>
      <c r="DF110" s="59">
        <f t="shared" si="593"/>
        <v>0</v>
      </c>
      <c r="DG110" s="60">
        <f t="shared" si="594"/>
        <v>0</v>
      </c>
      <c r="DH110" s="59">
        <f t="shared" si="595"/>
        <v>0</v>
      </c>
      <c r="DI110" s="60">
        <f t="shared" si="596"/>
        <v>0</v>
      </c>
      <c r="DJ110" s="59">
        <f t="shared" si="597"/>
        <v>0</v>
      </c>
      <c r="DK110" s="55">
        <f t="shared" si="598"/>
        <v>0</v>
      </c>
      <c r="DL110" s="59">
        <f t="shared" si="599"/>
        <v>0</v>
      </c>
      <c r="DM110" s="60">
        <f t="shared" si="600"/>
        <v>0</v>
      </c>
      <c r="DN110" s="59">
        <f t="shared" si="601"/>
        <v>0</v>
      </c>
      <c r="DO110" s="60">
        <f t="shared" si="602"/>
        <v>0</v>
      </c>
      <c r="DP110" s="59">
        <f t="shared" si="603"/>
        <v>0</v>
      </c>
      <c r="DQ110" s="55">
        <f t="shared" si="604"/>
        <v>0</v>
      </c>
      <c r="DR110" s="59">
        <f t="shared" si="605"/>
        <v>0</v>
      </c>
      <c r="DU110" s="55">
        <v>1</v>
      </c>
      <c r="DV110" s="55">
        <v>0.97</v>
      </c>
      <c r="DW110" s="55">
        <v>0.95</v>
      </c>
      <c r="DX110" s="55">
        <v>0.93</v>
      </c>
      <c r="DY110" s="55">
        <f t="shared" si="651"/>
        <v>0.91</v>
      </c>
      <c r="DZ110" s="55">
        <f t="shared" si="651"/>
        <v>0.89</v>
      </c>
      <c r="EA110" s="55">
        <f t="shared" si="651"/>
        <v>0.87</v>
      </c>
      <c r="EB110" s="55">
        <f t="shared" si="651"/>
        <v>0.85</v>
      </c>
      <c r="EC110" s="55">
        <f t="shared" si="651"/>
        <v>0.83</v>
      </c>
      <c r="ED110" s="55">
        <f t="shared" si="651"/>
        <v>0.80999999999999994</v>
      </c>
      <c r="EE110" s="55">
        <f t="shared" si="651"/>
        <v>0.78999999999999992</v>
      </c>
      <c r="EF110" s="55">
        <f t="shared" si="651"/>
        <v>0.76999999999999991</v>
      </c>
      <c r="EG110" s="55">
        <f t="shared" si="651"/>
        <v>0.74999999999999989</v>
      </c>
      <c r="EH110" s="55">
        <f t="shared" si="651"/>
        <v>0.72999999999999987</v>
      </c>
      <c r="EI110" s="55">
        <f t="shared" si="651"/>
        <v>0.70999999999999985</v>
      </c>
      <c r="EJ110" s="55">
        <f t="shared" si="651"/>
        <v>0.68999999999999984</v>
      </c>
      <c r="EK110" s="55">
        <f t="shared" si="651"/>
        <v>0.66999999999999982</v>
      </c>
      <c r="EL110" s="55">
        <f t="shared" si="651"/>
        <v>0.6499999999999998</v>
      </c>
      <c r="EM110" s="55">
        <f t="shared" si="651"/>
        <v>0.62999999999999978</v>
      </c>
      <c r="EN110" s="55">
        <f t="shared" si="651"/>
        <v>0.60999999999999976</v>
      </c>
      <c r="EO110" s="55">
        <f t="shared" si="651"/>
        <v>0.58999999999999975</v>
      </c>
      <c r="EP110" s="55">
        <f t="shared" si="651"/>
        <v>0.56999999999999973</v>
      </c>
      <c r="ER110" s="55">
        <f t="shared" si="652"/>
        <v>0</v>
      </c>
      <c r="ES110" s="55">
        <f t="shared" si="514"/>
        <v>0</v>
      </c>
      <c r="ET110" s="59">
        <f t="shared" si="606"/>
        <v>0</v>
      </c>
      <c r="EU110" s="55">
        <f t="shared" si="607"/>
        <v>0</v>
      </c>
      <c r="EV110" s="59">
        <f t="shared" si="608"/>
        <v>0</v>
      </c>
      <c r="EW110" s="55">
        <f t="shared" si="609"/>
        <v>0</v>
      </c>
      <c r="EX110" s="59">
        <f t="shared" si="610"/>
        <v>0</v>
      </c>
      <c r="EY110" s="55">
        <f t="shared" si="611"/>
        <v>0</v>
      </c>
      <c r="EZ110" s="59">
        <f t="shared" si="612"/>
        <v>0</v>
      </c>
      <c r="FA110" s="57">
        <f t="shared" si="613"/>
        <v>0</v>
      </c>
      <c r="FB110" s="59">
        <f t="shared" si="614"/>
        <v>0</v>
      </c>
      <c r="FC110" s="55">
        <f t="shared" si="615"/>
        <v>0</v>
      </c>
      <c r="FD110" s="59">
        <f t="shared" si="616"/>
        <v>0</v>
      </c>
      <c r="FE110" s="57">
        <f t="shared" si="617"/>
        <v>0</v>
      </c>
      <c r="FF110" s="59">
        <f t="shared" si="618"/>
        <v>0</v>
      </c>
      <c r="FG110" s="60">
        <f t="shared" si="619"/>
        <v>0</v>
      </c>
      <c r="FH110" s="59">
        <f t="shared" si="620"/>
        <v>0</v>
      </c>
      <c r="FI110" s="57">
        <f t="shared" si="621"/>
        <v>0</v>
      </c>
      <c r="FJ110" s="59">
        <f t="shared" si="622"/>
        <v>0</v>
      </c>
      <c r="FK110" s="55">
        <f t="shared" si="623"/>
        <v>0</v>
      </c>
      <c r="FL110" s="59">
        <f t="shared" si="624"/>
        <v>0</v>
      </c>
      <c r="FM110" s="60">
        <f t="shared" si="625"/>
        <v>0</v>
      </c>
      <c r="FN110" s="59">
        <f t="shared" si="626"/>
        <v>0</v>
      </c>
      <c r="FO110" s="60">
        <f t="shared" si="627"/>
        <v>0</v>
      </c>
      <c r="FP110" s="59">
        <f t="shared" si="628"/>
        <v>0</v>
      </c>
      <c r="FQ110" s="60">
        <f t="shared" si="629"/>
        <v>0</v>
      </c>
      <c r="FR110" s="59">
        <f t="shared" si="630"/>
        <v>0</v>
      </c>
      <c r="FS110" s="55">
        <f t="shared" si="631"/>
        <v>0</v>
      </c>
      <c r="FT110" s="59">
        <f t="shared" si="632"/>
        <v>0</v>
      </c>
      <c r="FU110" s="60">
        <f t="shared" si="633"/>
        <v>0</v>
      </c>
      <c r="FV110" s="59">
        <f t="shared" si="634"/>
        <v>0</v>
      </c>
      <c r="FW110" s="60">
        <f t="shared" si="635"/>
        <v>0</v>
      </c>
      <c r="FX110" s="59">
        <f t="shared" si="636"/>
        <v>0</v>
      </c>
      <c r="FY110" s="60">
        <f t="shared" si="637"/>
        <v>0</v>
      </c>
      <c r="FZ110" s="59">
        <f t="shared" si="638"/>
        <v>0</v>
      </c>
      <c r="GA110" s="60">
        <f t="shared" si="639"/>
        <v>0</v>
      </c>
      <c r="GB110" s="59">
        <f t="shared" si="640"/>
        <v>0</v>
      </c>
      <c r="GC110" s="55">
        <f t="shared" si="641"/>
        <v>0</v>
      </c>
      <c r="GD110" s="59">
        <f t="shared" si="642"/>
        <v>0</v>
      </c>
      <c r="GE110" s="60">
        <f t="shared" si="643"/>
        <v>0</v>
      </c>
      <c r="GF110" s="59">
        <f t="shared" si="644"/>
        <v>0</v>
      </c>
      <c r="GG110" s="60">
        <f t="shared" si="645"/>
        <v>0</v>
      </c>
      <c r="GH110" s="59">
        <f t="shared" si="646"/>
        <v>0</v>
      </c>
      <c r="GI110" s="55">
        <f t="shared" si="647"/>
        <v>0</v>
      </c>
      <c r="GJ110" s="59">
        <f t="shared" si="648"/>
        <v>0</v>
      </c>
      <c r="GK110" s="55"/>
      <c r="GL110" s="55"/>
      <c r="GM110" s="55">
        <v>1</v>
      </c>
      <c r="GN110" s="55">
        <v>0.97</v>
      </c>
      <c r="GO110" s="55">
        <v>0.95</v>
      </c>
      <c r="GP110" s="55">
        <v>0.93</v>
      </c>
      <c r="GQ110" s="55">
        <f t="shared" si="653"/>
        <v>0.91</v>
      </c>
      <c r="GR110" s="55">
        <f t="shared" si="653"/>
        <v>0.89</v>
      </c>
      <c r="GS110" s="55">
        <f t="shared" si="653"/>
        <v>0.87</v>
      </c>
      <c r="GT110" s="55">
        <f t="shared" si="653"/>
        <v>0.85</v>
      </c>
      <c r="GU110" s="55">
        <f t="shared" si="653"/>
        <v>0.83</v>
      </c>
      <c r="GV110" s="55">
        <f t="shared" si="653"/>
        <v>0.80999999999999994</v>
      </c>
      <c r="GW110" s="55">
        <f t="shared" si="653"/>
        <v>0.78999999999999992</v>
      </c>
      <c r="GX110" s="55">
        <f t="shared" si="653"/>
        <v>0.76999999999999991</v>
      </c>
      <c r="GY110" s="55">
        <f t="shared" si="653"/>
        <v>0.74999999999999989</v>
      </c>
      <c r="GZ110" s="55">
        <f t="shared" si="653"/>
        <v>0.72999999999999987</v>
      </c>
      <c r="HA110" s="55">
        <f t="shared" si="653"/>
        <v>0.70999999999999985</v>
      </c>
      <c r="HB110" s="55">
        <f t="shared" si="653"/>
        <v>0.68999999999999984</v>
      </c>
      <c r="HC110" s="55">
        <f t="shared" si="653"/>
        <v>0.66999999999999982</v>
      </c>
      <c r="HD110" s="55">
        <f t="shared" si="653"/>
        <v>0.6499999999999998</v>
      </c>
      <c r="HE110" s="55">
        <f t="shared" si="653"/>
        <v>0.62999999999999978</v>
      </c>
      <c r="HF110" s="55">
        <f t="shared" si="653"/>
        <v>0.60999999999999976</v>
      </c>
      <c r="HG110" s="55">
        <f t="shared" si="653"/>
        <v>0.58999999999999975</v>
      </c>
      <c r="HH110" s="55">
        <f t="shared" si="653"/>
        <v>0.56999999999999973</v>
      </c>
    </row>
    <row r="111" spans="1:216" x14ac:dyDescent="0.3">
      <c r="A111" s="2">
        <v>14</v>
      </c>
      <c r="C111" s="38" t="s">
        <v>129</v>
      </c>
      <c r="D111" s="42">
        <v>0</v>
      </c>
      <c r="E111" s="71">
        <f t="shared" si="519"/>
        <v>0</v>
      </c>
      <c r="H111" s="55">
        <f t="shared" si="509"/>
        <v>0</v>
      </c>
      <c r="I111" s="55">
        <f t="shared" si="510"/>
        <v>0</v>
      </c>
      <c r="J111" s="59">
        <f t="shared" si="511"/>
        <v>0</v>
      </c>
      <c r="K111" s="55">
        <f t="shared" si="520"/>
        <v>0</v>
      </c>
      <c r="L111" s="59">
        <f t="shared" si="521"/>
        <v>0</v>
      </c>
      <c r="M111" s="55">
        <f t="shared" si="522"/>
        <v>0</v>
      </c>
      <c r="N111" s="59">
        <f t="shared" si="523"/>
        <v>0</v>
      </c>
      <c r="O111" s="55">
        <f t="shared" si="524"/>
        <v>0</v>
      </c>
      <c r="P111" s="59">
        <f t="shared" si="525"/>
        <v>0</v>
      </c>
      <c r="Q111" s="57">
        <f t="shared" si="526"/>
        <v>0</v>
      </c>
      <c r="R111" s="59">
        <f t="shared" si="527"/>
        <v>0</v>
      </c>
      <c r="S111" s="55">
        <f t="shared" si="528"/>
        <v>0</v>
      </c>
      <c r="T111" s="59">
        <f t="shared" si="529"/>
        <v>0</v>
      </c>
      <c r="U111" s="57">
        <f t="shared" si="530"/>
        <v>0</v>
      </c>
      <c r="V111" s="59">
        <f t="shared" si="531"/>
        <v>0</v>
      </c>
      <c r="W111" s="60">
        <f t="shared" si="532"/>
        <v>0</v>
      </c>
      <c r="X111" s="59">
        <f t="shared" si="533"/>
        <v>0</v>
      </c>
      <c r="Y111" s="57">
        <f t="shared" si="534"/>
        <v>0</v>
      </c>
      <c r="Z111" s="59">
        <f t="shared" si="535"/>
        <v>0</v>
      </c>
      <c r="AA111" s="55">
        <f t="shared" si="536"/>
        <v>0</v>
      </c>
      <c r="AB111" s="59">
        <f t="shared" si="537"/>
        <v>0</v>
      </c>
      <c r="AC111" s="60">
        <f t="shared" si="538"/>
        <v>0</v>
      </c>
      <c r="AD111" s="59">
        <f t="shared" si="539"/>
        <v>0</v>
      </c>
      <c r="AE111" s="60">
        <f t="shared" si="540"/>
        <v>0</v>
      </c>
      <c r="AF111" s="59">
        <f t="shared" si="541"/>
        <v>0</v>
      </c>
      <c r="AG111" s="60">
        <f t="shared" si="542"/>
        <v>0</v>
      </c>
      <c r="AH111" s="59">
        <f t="shared" si="543"/>
        <v>0</v>
      </c>
      <c r="AI111" s="55">
        <f t="shared" si="544"/>
        <v>0</v>
      </c>
      <c r="AJ111" s="59">
        <f t="shared" si="545"/>
        <v>0</v>
      </c>
      <c r="AK111" s="60">
        <f t="shared" si="546"/>
        <v>0</v>
      </c>
      <c r="AL111" s="59">
        <f t="shared" si="547"/>
        <v>0</v>
      </c>
      <c r="AM111" s="60">
        <f t="shared" si="548"/>
        <v>0</v>
      </c>
      <c r="AN111" s="59">
        <f t="shared" si="549"/>
        <v>0</v>
      </c>
      <c r="AO111" s="60">
        <f t="shared" si="550"/>
        <v>0</v>
      </c>
      <c r="AP111" s="59">
        <f t="shared" si="551"/>
        <v>0</v>
      </c>
      <c r="AQ111" s="60">
        <f t="shared" si="552"/>
        <v>0</v>
      </c>
      <c r="AR111" s="59">
        <f t="shared" si="553"/>
        <v>0</v>
      </c>
      <c r="AS111" s="55">
        <f t="shared" si="554"/>
        <v>0</v>
      </c>
      <c r="AT111" s="59">
        <f t="shared" si="555"/>
        <v>0</v>
      </c>
      <c r="AU111" s="60">
        <f t="shared" si="556"/>
        <v>0</v>
      </c>
      <c r="AV111" s="59">
        <f t="shared" si="557"/>
        <v>0</v>
      </c>
      <c r="AW111" s="60">
        <f t="shared" si="558"/>
        <v>0</v>
      </c>
      <c r="AX111" s="59">
        <f t="shared" si="559"/>
        <v>0</v>
      </c>
      <c r="AY111" s="55">
        <f t="shared" si="560"/>
        <v>0</v>
      </c>
      <c r="AZ111" s="59">
        <f t="shared" si="561"/>
        <v>0</v>
      </c>
      <c r="BC111" s="55">
        <v>1</v>
      </c>
      <c r="BD111" s="55">
        <v>0.97</v>
      </c>
      <c r="BE111" s="55">
        <v>0.95</v>
      </c>
      <c r="BF111" s="55">
        <v>0.93</v>
      </c>
      <c r="BG111" s="55">
        <f t="shared" si="562"/>
        <v>0.91</v>
      </c>
      <c r="BH111" s="55">
        <f t="shared" si="562"/>
        <v>0.89</v>
      </c>
      <c r="BI111" s="55">
        <f t="shared" si="562"/>
        <v>0.87</v>
      </c>
      <c r="BJ111" s="55">
        <f t="shared" si="562"/>
        <v>0.85</v>
      </c>
      <c r="BK111" s="55">
        <f t="shared" si="562"/>
        <v>0.83</v>
      </c>
      <c r="BL111" s="55">
        <f t="shared" si="562"/>
        <v>0.80999999999999994</v>
      </c>
      <c r="BM111" s="55">
        <f t="shared" si="562"/>
        <v>0.78999999999999992</v>
      </c>
      <c r="BN111" s="55">
        <f t="shared" si="562"/>
        <v>0.76999999999999991</v>
      </c>
      <c r="BO111" s="55">
        <f t="shared" si="562"/>
        <v>0.74999999999999989</v>
      </c>
      <c r="BP111" s="55">
        <f t="shared" si="562"/>
        <v>0.72999999999999987</v>
      </c>
      <c r="BQ111" s="55">
        <f t="shared" si="562"/>
        <v>0.70999999999999985</v>
      </c>
      <c r="BR111" s="55">
        <f t="shared" si="562"/>
        <v>0.68999999999999984</v>
      </c>
      <c r="BS111" s="55">
        <f t="shared" si="562"/>
        <v>0.66999999999999982</v>
      </c>
      <c r="BT111" s="55">
        <f t="shared" si="562"/>
        <v>0.6499999999999998</v>
      </c>
      <c r="BU111" s="55">
        <f t="shared" si="562"/>
        <v>0.62999999999999978</v>
      </c>
      <c r="BV111" s="55">
        <f t="shared" si="562"/>
        <v>0.60999999999999976</v>
      </c>
      <c r="BW111" s="55">
        <f t="shared" si="562"/>
        <v>0.58999999999999975</v>
      </c>
      <c r="BX111" s="55">
        <f t="shared" si="562"/>
        <v>0.56999999999999973</v>
      </c>
      <c r="BZ111" s="55">
        <f t="shared" si="512"/>
        <v>0</v>
      </c>
      <c r="CA111" s="55">
        <f t="shared" si="513"/>
        <v>0</v>
      </c>
      <c r="CB111" s="59">
        <f t="shared" si="563"/>
        <v>0</v>
      </c>
      <c r="CC111" s="55">
        <f t="shared" si="564"/>
        <v>0</v>
      </c>
      <c r="CD111" s="59">
        <f t="shared" si="565"/>
        <v>0</v>
      </c>
      <c r="CE111" s="55">
        <f t="shared" si="566"/>
        <v>0</v>
      </c>
      <c r="CF111" s="59">
        <f t="shared" si="567"/>
        <v>0</v>
      </c>
      <c r="CG111" s="55">
        <f t="shared" si="568"/>
        <v>0</v>
      </c>
      <c r="CH111" s="59">
        <f t="shared" si="569"/>
        <v>0</v>
      </c>
      <c r="CI111" s="57">
        <f t="shared" si="570"/>
        <v>0</v>
      </c>
      <c r="CJ111" s="59">
        <f t="shared" si="571"/>
        <v>0</v>
      </c>
      <c r="CK111" s="55">
        <f t="shared" si="572"/>
        <v>0</v>
      </c>
      <c r="CL111" s="59">
        <f t="shared" si="573"/>
        <v>0</v>
      </c>
      <c r="CM111" s="57">
        <f t="shared" si="574"/>
        <v>0</v>
      </c>
      <c r="CN111" s="59">
        <f t="shared" si="575"/>
        <v>0</v>
      </c>
      <c r="CO111" s="60">
        <f t="shared" si="576"/>
        <v>0</v>
      </c>
      <c r="CP111" s="59">
        <f t="shared" si="577"/>
        <v>0</v>
      </c>
      <c r="CQ111" s="57">
        <f t="shared" si="578"/>
        <v>0</v>
      </c>
      <c r="CR111" s="59">
        <f t="shared" si="579"/>
        <v>0</v>
      </c>
      <c r="CS111" s="55">
        <f t="shared" si="580"/>
        <v>0</v>
      </c>
      <c r="CT111" s="59">
        <f t="shared" si="581"/>
        <v>0</v>
      </c>
      <c r="CU111" s="60">
        <f t="shared" si="582"/>
        <v>0</v>
      </c>
      <c r="CV111" s="59">
        <f t="shared" si="583"/>
        <v>0</v>
      </c>
      <c r="CW111" s="60">
        <f t="shared" si="584"/>
        <v>0</v>
      </c>
      <c r="CX111" s="59">
        <f t="shared" si="585"/>
        <v>0</v>
      </c>
      <c r="CY111" s="60">
        <f t="shared" si="586"/>
        <v>0</v>
      </c>
      <c r="CZ111" s="59">
        <f t="shared" si="587"/>
        <v>0</v>
      </c>
      <c r="DA111" s="55">
        <f t="shared" si="588"/>
        <v>0</v>
      </c>
      <c r="DB111" s="59">
        <f t="shared" si="589"/>
        <v>0</v>
      </c>
      <c r="DC111" s="60">
        <f t="shared" si="590"/>
        <v>0</v>
      </c>
      <c r="DD111" s="59">
        <f t="shared" si="591"/>
        <v>0</v>
      </c>
      <c r="DE111" s="60">
        <f t="shared" si="592"/>
        <v>0</v>
      </c>
      <c r="DF111" s="59">
        <f t="shared" si="593"/>
        <v>0</v>
      </c>
      <c r="DG111" s="60">
        <f t="shared" si="594"/>
        <v>0</v>
      </c>
      <c r="DH111" s="59">
        <f t="shared" si="595"/>
        <v>0</v>
      </c>
      <c r="DI111" s="60">
        <f t="shared" si="596"/>
        <v>0</v>
      </c>
      <c r="DJ111" s="59">
        <f t="shared" si="597"/>
        <v>0</v>
      </c>
      <c r="DK111" s="55">
        <f t="shared" si="598"/>
        <v>0</v>
      </c>
      <c r="DL111" s="59">
        <f t="shared" si="599"/>
        <v>0</v>
      </c>
      <c r="DM111" s="60">
        <f t="shared" si="600"/>
        <v>0</v>
      </c>
      <c r="DN111" s="59">
        <f t="shared" si="601"/>
        <v>0</v>
      </c>
      <c r="DO111" s="60">
        <f t="shared" si="602"/>
        <v>0</v>
      </c>
      <c r="DP111" s="59">
        <f t="shared" si="603"/>
        <v>0</v>
      </c>
      <c r="DQ111" s="55">
        <f t="shared" si="604"/>
        <v>0</v>
      </c>
      <c r="DR111" s="59">
        <f t="shared" si="605"/>
        <v>0</v>
      </c>
      <c r="DU111" s="55">
        <v>1</v>
      </c>
      <c r="DV111" s="55">
        <v>0.97</v>
      </c>
      <c r="DW111" s="55">
        <v>0.95</v>
      </c>
      <c r="DX111" s="55">
        <v>0.93</v>
      </c>
      <c r="DY111" s="55">
        <f t="shared" si="651"/>
        <v>0.91</v>
      </c>
      <c r="DZ111" s="55">
        <f t="shared" si="651"/>
        <v>0.89</v>
      </c>
      <c r="EA111" s="55">
        <f t="shared" si="651"/>
        <v>0.87</v>
      </c>
      <c r="EB111" s="55">
        <f t="shared" si="651"/>
        <v>0.85</v>
      </c>
      <c r="EC111" s="55">
        <f t="shared" si="651"/>
        <v>0.83</v>
      </c>
      <c r="ED111" s="55">
        <f t="shared" si="651"/>
        <v>0.80999999999999994</v>
      </c>
      <c r="EE111" s="55">
        <f t="shared" si="651"/>
        <v>0.78999999999999992</v>
      </c>
      <c r="EF111" s="55">
        <f t="shared" si="651"/>
        <v>0.76999999999999991</v>
      </c>
      <c r="EG111" s="55">
        <f t="shared" si="651"/>
        <v>0.74999999999999989</v>
      </c>
      <c r="EH111" s="55">
        <f t="shared" si="651"/>
        <v>0.72999999999999987</v>
      </c>
      <c r="EI111" s="55">
        <f t="shared" si="651"/>
        <v>0.70999999999999985</v>
      </c>
      <c r="EJ111" s="55">
        <f t="shared" si="651"/>
        <v>0.68999999999999984</v>
      </c>
      <c r="EK111" s="55">
        <f t="shared" si="651"/>
        <v>0.66999999999999982</v>
      </c>
      <c r="EL111" s="55">
        <f t="shared" si="651"/>
        <v>0.6499999999999998</v>
      </c>
      <c r="EM111" s="55">
        <f t="shared" si="651"/>
        <v>0.62999999999999978</v>
      </c>
      <c r="EN111" s="55">
        <f t="shared" si="651"/>
        <v>0.60999999999999976</v>
      </c>
      <c r="EO111" s="55">
        <f t="shared" si="651"/>
        <v>0.58999999999999975</v>
      </c>
      <c r="EP111" s="55">
        <f t="shared" si="651"/>
        <v>0.56999999999999973</v>
      </c>
      <c r="ER111" s="55">
        <f t="shared" si="652"/>
        <v>0</v>
      </c>
      <c r="ES111" s="55">
        <f t="shared" si="514"/>
        <v>0</v>
      </c>
      <c r="ET111" s="59">
        <f t="shared" si="606"/>
        <v>0</v>
      </c>
      <c r="EU111" s="55">
        <f t="shared" si="607"/>
        <v>0</v>
      </c>
      <c r="EV111" s="59">
        <f t="shared" si="608"/>
        <v>0</v>
      </c>
      <c r="EW111" s="55">
        <f t="shared" si="609"/>
        <v>0</v>
      </c>
      <c r="EX111" s="59">
        <f t="shared" si="610"/>
        <v>0</v>
      </c>
      <c r="EY111" s="55">
        <f t="shared" si="611"/>
        <v>0</v>
      </c>
      <c r="EZ111" s="59">
        <f t="shared" si="612"/>
        <v>0</v>
      </c>
      <c r="FA111" s="57">
        <f t="shared" si="613"/>
        <v>0</v>
      </c>
      <c r="FB111" s="59">
        <f t="shared" si="614"/>
        <v>0</v>
      </c>
      <c r="FC111" s="55">
        <f t="shared" si="615"/>
        <v>0</v>
      </c>
      <c r="FD111" s="59">
        <f t="shared" si="616"/>
        <v>0</v>
      </c>
      <c r="FE111" s="57">
        <f t="shared" si="617"/>
        <v>0</v>
      </c>
      <c r="FF111" s="59">
        <f t="shared" si="618"/>
        <v>0</v>
      </c>
      <c r="FG111" s="60">
        <f t="shared" si="619"/>
        <v>0</v>
      </c>
      <c r="FH111" s="59">
        <f t="shared" si="620"/>
        <v>0</v>
      </c>
      <c r="FI111" s="57">
        <f t="shared" si="621"/>
        <v>0</v>
      </c>
      <c r="FJ111" s="59">
        <f t="shared" si="622"/>
        <v>0</v>
      </c>
      <c r="FK111" s="55">
        <f t="shared" si="623"/>
        <v>0</v>
      </c>
      <c r="FL111" s="59">
        <f t="shared" si="624"/>
        <v>0</v>
      </c>
      <c r="FM111" s="60">
        <f t="shared" si="625"/>
        <v>0</v>
      </c>
      <c r="FN111" s="59">
        <f t="shared" si="626"/>
        <v>0</v>
      </c>
      <c r="FO111" s="60">
        <f t="shared" si="627"/>
        <v>0</v>
      </c>
      <c r="FP111" s="59">
        <f t="shared" si="628"/>
        <v>0</v>
      </c>
      <c r="FQ111" s="60">
        <f t="shared" si="629"/>
        <v>0</v>
      </c>
      <c r="FR111" s="59">
        <f t="shared" si="630"/>
        <v>0</v>
      </c>
      <c r="FS111" s="55">
        <f t="shared" si="631"/>
        <v>0</v>
      </c>
      <c r="FT111" s="59">
        <f t="shared" si="632"/>
        <v>0</v>
      </c>
      <c r="FU111" s="60">
        <f t="shared" si="633"/>
        <v>0</v>
      </c>
      <c r="FV111" s="59">
        <f t="shared" si="634"/>
        <v>0</v>
      </c>
      <c r="FW111" s="60">
        <f t="shared" si="635"/>
        <v>0</v>
      </c>
      <c r="FX111" s="59">
        <f t="shared" si="636"/>
        <v>0</v>
      </c>
      <c r="FY111" s="60">
        <f t="shared" si="637"/>
        <v>0</v>
      </c>
      <c r="FZ111" s="59">
        <f t="shared" si="638"/>
        <v>0</v>
      </c>
      <c r="GA111" s="60">
        <f t="shared" si="639"/>
        <v>0</v>
      </c>
      <c r="GB111" s="59">
        <f t="shared" si="640"/>
        <v>0</v>
      </c>
      <c r="GC111" s="55">
        <f t="shared" si="641"/>
        <v>0</v>
      </c>
      <c r="GD111" s="59">
        <f t="shared" si="642"/>
        <v>0</v>
      </c>
      <c r="GE111" s="60">
        <f t="shared" si="643"/>
        <v>0</v>
      </c>
      <c r="GF111" s="59">
        <f t="shared" si="644"/>
        <v>0</v>
      </c>
      <c r="GG111" s="60">
        <f t="shared" si="645"/>
        <v>0</v>
      </c>
      <c r="GH111" s="59">
        <f t="shared" si="646"/>
        <v>0</v>
      </c>
      <c r="GI111" s="55">
        <f t="shared" si="647"/>
        <v>0</v>
      </c>
      <c r="GJ111" s="59">
        <f t="shared" si="648"/>
        <v>0</v>
      </c>
      <c r="GK111" s="55"/>
      <c r="GL111" s="55"/>
      <c r="GM111" s="55">
        <v>1</v>
      </c>
      <c r="GN111" s="55">
        <v>0.97</v>
      </c>
      <c r="GO111" s="55">
        <v>0.95</v>
      </c>
      <c r="GP111" s="55">
        <v>0.93</v>
      </c>
      <c r="GQ111" s="55">
        <f t="shared" si="653"/>
        <v>0.91</v>
      </c>
      <c r="GR111" s="55">
        <f t="shared" si="653"/>
        <v>0.89</v>
      </c>
      <c r="GS111" s="55">
        <f t="shared" si="653"/>
        <v>0.87</v>
      </c>
      <c r="GT111" s="55">
        <f t="shared" si="653"/>
        <v>0.85</v>
      </c>
      <c r="GU111" s="55">
        <f t="shared" si="653"/>
        <v>0.83</v>
      </c>
      <c r="GV111" s="55">
        <f t="shared" si="653"/>
        <v>0.80999999999999994</v>
      </c>
      <c r="GW111" s="55">
        <f t="shared" si="653"/>
        <v>0.78999999999999992</v>
      </c>
      <c r="GX111" s="55">
        <f t="shared" si="653"/>
        <v>0.76999999999999991</v>
      </c>
      <c r="GY111" s="55">
        <f t="shared" si="653"/>
        <v>0.74999999999999989</v>
      </c>
      <c r="GZ111" s="55">
        <f t="shared" si="653"/>
        <v>0.72999999999999987</v>
      </c>
      <c r="HA111" s="55">
        <f t="shared" si="653"/>
        <v>0.70999999999999985</v>
      </c>
      <c r="HB111" s="55">
        <f t="shared" si="653"/>
        <v>0.68999999999999984</v>
      </c>
      <c r="HC111" s="55">
        <f t="shared" si="653"/>
        <v>0.66999999999999982</v>
      </c>
      <c r="HD111" s="55">
        <f t="shared" si="653"/>
        <v>0.6499999999999998</v>
      </c>
      <c r="HE111" s="55">
        <f t="shared" si="653"/>
        <v>0.62999999999999978</v>
      </c>
      <c r="HF111" s="55">
        <f t="shared" si="653"/>
        <v>0.60999999999999976</v>
      </c>
      <c r="HG111" s="55">
        <f t="shared" si="653"/>
        <v>0.58999999999999975</v>
      </c>
      <c r="HH111" s="55">
        <f t="shared" si="653"/>
        <v>0.56999999999999973</v>
      </c>
    </row>
    <row r="112" spans="1:216" x14ac:dyDescent="0.3">
      <c r="A112" s="2">
        <v>15</v>
      </c>
      <c r="C112" s="38" t="s">
        <v>132</v>
      </c>
      <c r="D112" s="42">
        <v>0</v>
      </c>
      <c r="E112" s="71">
        <f t="shared" si="519"/>
        <v>0</v>
      </c>
      <c r="H112" s="55">
        <f t="shared" si="509"/>
        <v>0</v>
      </c>
      <c r="I112" s="55">
        <f t="shared" si="510"/>
        <v>0</v>
      </c>
      <c r="J112" s="59">
        <f t="shared" si="511"/>
        <v>0</v>
      </c>
      <c r="K112" s="55">
        <f t="shared" si="520"/>
        <v>0</v>
      </c>
      <c r="L112" s="59">
        <f t="shared" si="521"/>
        <v>0</v>
      </c>
      <c r="M112" s="55">
        <f t="shared" si="522"/>
        <v>0</v>
      </c>
      <c r="N112" s="59">
        <f t="shared" si="523"/>
        <v>0</v>
      </c>
      <c r="O112" s="55">
        <f t="shared" si="524"/>
        <v>0</v>
      </c>
      <c r="P112" s="59">
        <f t="shared" si="525"/>
        <v>0</v>
      </c>
      <c r="Q112" s="57">
        <f t="shared" si="526"/>
        <v>0</v>
      </c>
      <c r="R112" s="59">
        <f t="shared" si="527"/>
        <v>0</v>
      </c>
      <c r="S112" s="55">
        <f t="shared" si="528"/>
        <v>0</v>
      </c>
      <c r="T112" s="59">
        <f t="shared" si="529"/>
        <v>0</v>
      </c>
      <c r="U112" s="57">
        <f t="shared" si="530"/>
        <v>0</v>
      </c>
      <c r="V112" s="59">
        <f t="shared" si="531"/>
        <v>0</v>
      </c>
      <c r="W112" s="60">
        <f t="shared" si="532"/>
        <v>0</v>
      </c>
      <c r="X112" s="59">
        <f t="shared" si="533"/>
        <v>0</v>
      </c>
      <c r="Y112" s="57">
        <f t="shared" si="534"/>
        <v>0</v>
      </c>
      <c r="Z112" s="59">
        <f t="shared" si="535"/>
        <v>0</v>
      </c>
      <c r="AA112" s="55">
        <f t="shared" si="536"/>
        <v>0</v>
      </c>
      <c r="AB112" s="59">
        <f t="shared" si="537"/>
        <v>0</v>
      </c>
      <c r="AC112" s="60">
        <f t="shared" si="538"/>
        <v>0</v>
      </c>
      <c r="AD112" s="59">
        <f t="shared" si="539"/>
        <v>0</v>
      </c>
      <c r="AE112" s="60">
        <f t="shared" si="540"/>
        <v>0</v>
      </c>
      <c r="AF112" s="59">
        <f t="shared" si="541"/>
        <v>0</v>
      </c>
      <c r="AG112" s="60">
        <f t="shared" si="542"/>
        <v>0</v>
      </c>
      <c r="AH112" s="59">
        <f t="shared" si="543"/>
        <v>0</v>
      </c>
      <c r="AI112" s="55">
        <f t="shared" si="544"/>
        <v>0</v>
      </c>
      <c r="AJ112" s="59">
        <f t="shared" si="545"/>
        <v>0</v>
      </c>
      <c r="AK112" s="60">
        <f t="shared" si="546"/>
        <v>0</v>
      </c>
      <c r="AL112" s="59">
        <f t="shared" si="547"/>
        <v>0</v>
      </c>
      <c r="AM112" s="60">
        <f t="shared" si="548"/>
        <v>0</v>
      </c>
      <c r="AN112" s="59">
        <f t="shared" si="549"/>
        <v>0</v>
      </c>
      <c r="AO112" s="60">
        <f t="shared" si="550"/>
        <v>0</v>
      </c>
      <c r="AP112" s="59">
        <f t="shared" si="551"/>
        <v>0</v>
      </c>
      <c r="AQ112" s="60">
        <f t="shared" si="552"/>
        <v>0</v>
      </c>
      <c r="AR112" s="59">
        <f t="shared" si="553"/>
        <v>0</v>
      </c>
      <c r="AS112" s="55">
        <f t="shared" si="554"/>
        <v>0</v>
      </c>
      <c r="AT112" s="59">
        <f t="shared" si="555"/>
        <v>0</v>
      </c>
      <c r="AU112" s="60">
        <f t="shared" si="556"/>
        <v>0</v>
      </c>
      <c r="AV112" s="59">
        <f t="shared" si="557"/>
        <v>0</v>
      </c>
      <c r="AW112" s="60">
        <f t="shared" si="558"/>
        <v>0</v>
      </c>
      <c r="AX112" s="59">
        <f t="shared" si="559"/>
        <v>0</v>
      </c>
      <c r="AY112" s="55">
        <f t="shared" si="560"/>
        <v>0</v>
      </c>
      <c r="AZ112" s="59">
        <f t="shared" si="561"/>
        <v>0</v>
      </c>
      <c r="BC112" s="55">
        <v>1</v>
      </c>
      <c r="BD112" s="55">
        <v>0.97</v>
      </c>
      <c r="BE112" s="55">
        <v>0.95</v>
      </c>
      <c r="BF112" s="55">
        <v>0.93</v>
      </c>
      <c r="BG112" s="55">
        <f t="shared" si="562"/>
        <v>0.91</v>
      </c>
      <c r="BH112" s="55">
        <f t="shared" si="562"/>
        <v>0.89</v>
      </c>
      <c r="BI112" s="55">
        <f t="shared" si="562"/>
        <v>0.87</v>
      </c>
      <c r="BJ112" s="55">
        <f t="shared" ref="BJ112:BX112" si="654">+BI112-0.02</f>
        <v>0.85</v>
      </c>
      <c r="BK112" s="55">
        <f t="shared" si="654"/>
        <v>0.83</v>
      </c>
      <c r="BL112" s="55">
        <f t="shared" si="654"/>
        <v>0.80999999999999994</v>
      </c>
      <c r="BM112" s="55">
        <f t="shared" si="654"/>
        <v>0.78999999999999992</v>
      </c>
      <c r="BN112" s="55">
        <f t="shared" si="654"/>
        <v>0.76999999999999991</v>
      </c>
      <c r="BO112" s="55">
        <f t="shared" si="654"/>
        <v>0.74999999999999989</v>
      </c>
      <c r="BP112" s="55">
        <f t="shared" si="654"/>
        <v>0.72999999999999987</v>
      </c>
      <c r="BQ112" s="55">
        <f t="shared" si="654"/>
        <v>0.70999999999999985</v>
      </c>
      <c r="BR112" s="55">
        <f t="shared" si="654"/>
        <v>0.68999999999999984</v>
      </c>
      <c r="BS112" s="55">
        <f t="shared" si="654"/>
        <v>0.66999999999999982</v>
      </c>
      <c r="BT112" s="55">
        <f t="shared" si="654"/>
        <v>0.6499999999999998</v>
      </c>
      <c r="BU112" s="55">
        <f t="shared" si="654"/>
        <v>0.62999999999999978</v>
      </c>
      <c r="BV112" s="55">
        <f t="shared" si="654"/>
        <v>0.60999999999999976</v>
      </c>
      <c r="BW112" s="55">
        <f t="shared" si="654"/>
        <v>0.58999999999999975</v>
      </c>
      <c r="BX112" s="55">
        <f t="shared" si="654"/>
        <v>0.56999999999999973</v>
      </c>
      <c r="BZ112" s="55">
        <f t="shared" si="512"/>
        <v>0</v>
      </c>
      <c r="CA112" s="55">
        <f t="shared" si="513"/>
        <v>0</v>
      </c>
      <c r="CB112" s="59">
        <f t="shared" si="563"/>
        <v>0</v>
      </c>
      <c r="CC112" s="55">
        <f t="shared" si="564"/>
        <v>0</v>
      </c>
      <c r="CD112" s="59">
        <f t="shared" si="565"/>
        <v>0</v>
      </c>
      <c r="CE112" s="55">
        <f t="shared" si="566"/>
        <v>0</v>
      </c>
      <c r="CF112" s="59">
        <f t="shared" si="567"/>
        <v>0</v>
      </c>
      <c r="CG112" s="55">
        <f t="shared" si="568"/>
        <v>0</v>
      </c>
      <c r="CH112" s="59">
        <f t="shared" si="569"/>
        <v>0</v>
      </c>
      <c r="CI112" s="57">
        <f t="shared" si="570"/>
        <v>0</v>
      </c>
      <c r="CJ112" s="59">
        <f t="shared" si="571"/>
        <v>0</v>
      </c>
      <c r="CK112" s="55">
        <f t="shared" si="572"/>
        <v>0</v>
      </c>
      <c r="CL112" s="59">
        <f t="shared" si="573"/>
        <v>0</v>
      </c>
      <c r="CM112" s="57">
        <f t="shared" si="574"/>
        <v>0</v>
      </c>
      <c r="CN112" s="59">
        <f t="shared" si="575"/>
        <v>0</v>
      </c>
      <c r="CO112" s="60">
        <f t="shared" si="576"/>
        <v>0</v>
      </c>
      <c r="CP112" s="59">
        <f t="shared" si="577"/>
        <v>0</v>
      </c>
      <c r="CQ112" s="57">
        <f t="shared" si="578"/>
        <v>0</v>
      </c>
      <c r="CR112" s="59">
        <f t="shared" si="579"/>
        <v>0</v>
      </c>
      <c r="CS112" s="55">
        <f t="shared" si="580"/>
        <v>0</v>
      </c>
      <c r="CT112" s="59">
        <f t="shared" si="581"/>
        <v>0</v>
      </c>
      <c r="CU112" s="60">
        <f t="shared" si="582"/>
        <v>0</v>
      </c>
      <c r="CV112" s="59">
        <f t="shared" si="583"/>
        <v>0</v>
      </c>
      <c r="CW112" s="60">
        <f t="shared" si="584"/>
        <v>0</v>
      </c>
      <c r="CX112" s="59">
        <f t="shared" si="585"/>
        <v>0</v>
      </c>
      <c r="CY112" s="60">
        <f t="shared" si="586"/>
        <v>0</v>
      </c>
      <c r="CZ112" s="59">
        <f t="shared" si="587"/>
        <v>0</v>
      </c>
      <c r="DA112" s="55">
        <f t="shared" si="588"/>
        <v>0</v>
      </c>
      <c r="DB112" s="59">
        <f t="shared" si="589"/>
        <v>0</v>
      </c>
      <c r="DC112" s="60">
        <f t="shared" si="590"/>
        <v>0</v>
      </c>
      <c r="DD112" s="59">
        <f t="shared" si="591"/>
        <v>0</v>
      </c>
      <c r="DE112" s="60">
        <f t="shared" si="592"/>
        <v>0</v>
      </c>
      <c r="DF112" s="59">
        <f t="shared" si="593"/>
        <v>0</v>
      </c>
      <c r="DG112" s="60">
        <f t="shared" si="594"/>
        <v>0</v>
      </c>
      <c r="DH112" s="59">
        <f t="shared" si="595"/>
        <v>0</v>
      </c>
      <c r="DI112" s="60">
        <f t="shared" si="596"/>
        <v>0</v>
      </c>
      <c r="DJ112" s="59">
        <f t="shared" si="597"/>
        <v>0</v>
      </c>
      <c r="DK112" s="55">
        <f t="shared" si="598"/>
        <v>0</v>
      </c>
      <c r="DL112" s="59">
        <f t="shared" si="599"/>
        <v>0</v>
      </c>
      <c r="DM112" s="60">
        <f t="shared" si="600"/>
        <v>0</v>
      </c>
      <c r="DN112" s="59">
        <f t="shared" si="601"/>
        <v>0</v>
      </c>
      <c r="DO112" s="60">
        <f t="shared" si="602"/>
        <v>0</v>
      </c>
      <c r="DP112" s="59">
        <f t="shared" si="603"/>
        <v>0</v>
      </c>
      <c r="DQ112" s="55">
        <f t="shared" si="604"/>
        <v>0</v>
      </c>
      <c r="DR112" s="59">
        <f t="shared" si="605"/>
        <v>0</v>
      </c>
      <c r="DU112" s="55">
        <v>1</v>
      </c>
      <c r="DV112" s="55">
        <v>0.97</v>
      </c>
      <c r="DW112" s="55">
        <v>0.95</v>
      </c>
      <c r="DX112" s="55">
        <v>0.93</v>
      </c>
      <c r="DY112" s="55">
        <f t="shared" si="651"/>
        <v>0.91</v>
      </c>
      <c r="DZ112" s="55">
        <f t="shared" si="651"/>
        <v>0.89</v>
      </c>
      <c r="EA112" s="55">
        <f t="shared" si="651"/>
        <v>0.87</v>
      </c>
      <c r="EB112" s="55">
        <f t="shared" si="651"/>
        <v>0.85</v>
      </c>
      <c r="EC112" s="55">
        <f t="shared" si="651"/>
        <v>0.83</v>
      </c>
      <c r="ED112" s="55">
        <f t="shared" si="651"/>
        <v>0.80999999999999994</v>
      </c>
      <c r="EE112" s="55">
        <f t="shared" si="651"/>
        <v>0.78999999999999992</v>
      </c>
      <c r="EF112" s="55">
        <f t="shared" si="651"/>
        <v>0.76999999999999991</v>
      </c>
      <c r="EG112" s="55">
        <f t="shared" si="651"/>
        <v>0.74999999999999989</v>
      </c>
      <c r="EH112" s="55">
        <f t="shared" si="651"/>
        <v>0.72999999999999987</v>
      </c>
      <c r="EI112" s="55">
        <f t="shared" si="651"/>
        <v>0.70999999999999985</v>
      </c>
      <c r="EJ112" s="55">
        <f t="shared" si="651"/>
        <v>0.68999999999999984</v>
      </c>
      <c r="EK112" s="55">
        <f t="shared" si="651"/>
        <v>0.66999999999999982</v>
      </c>
      <c r="EL112" s="55">
        <f t="shared" si="651"/>
        <v>0.6499999999999998</v>
      </c>
      <c r="EM112" s="55">
        <f t="shared" si="651"/>
        <v>0.62999999999999978</v>
      </c>
      <c r="EN112" s="55">
        <f t="shared" si="651"/>
        <v>0.60999999999999976</v>
      </c>
      <c r="EO112" s="55">
        <f t="shared" si="651"/>
        <v>0.58999999999999975</v>
      </c>
      <c r="EP112" s="55">
        <f t="shared" si="651"/>
        <v>0.56999999999999973</v>
      </c>
      <c r="ER112" s="55">
        <f t="shared" si="652"/>
        <v>0</v>
      </c>
      <c r="ES112" s="55">
        <f t="shared" si="514"/>
        <v>0</v>
      </c>
      <c r="ET112" s="59">
        <f t="shared" si="606"/>
        <v>0</v>
      </c>
      <c r="EU112" s="55">
        <f t="shared" si="607"/>
        <v>0</v>
      </c>
      <c r="EV112" s="59">
        <f t="shared" si="608"/>
        <v>0</v>
      </c>
      <c r="EW112" s="55">
        <f t="shared" si="609"/>
        <v>0</v>
      </c>
      <c r="EX112" s="59">
        <f t="shared" si="610"/>
        <v>0</v>
      </c>
      <c r="EY112" s="55">
        <f t="shared" si="611"/>
        <v>0</v>
      </c>
      <c r="EZ112" s="59">
        <f t="shared" si="612"/>
        <v>0</v>
      </c>
      <c r="FA112" s="57">
        <f t="shared" si="613"/>
        <v>0</v>
      </c>
      <c r="FB112" s="59">
        <f t="shared" si="614"/>
        <v>0</v>
      </c>
      <c r="FC112" s="55">
        <f t="shared" si="615"/>
        <v>0</v>
      </c>
      <c r="FD112" s="59">
        <f t="shared" si="616"/>
        <v>0</v>
      </c>
      <c r="FE112" s="57">
        <f t="shared" si="617"/>
        <v>0</v>
      </c>
      <c r="FF112" s="59">
        <f t="shared" si="618"/>
        <v>0</v>
      </c>
      <c r="FG112" s="60">
        <f t="shared" si="619"/>
        <v>0</v>
      </c>
      <c r="FH112" s="59">
        <f t="shared" si="620"/>
        <v>0</v>
      </c>
      <c r="FI112" s="57">
        <f t="shared" si="621"/>
        <v>0</v>
      </c>
      <c r="FJ112" s="59">
        <f t="shared" si="622"/>
        <v>0</v>
      </c>
      <c r="FK112" s="55">
        <f t="shared" si="623"/>
        <v>0</v>
      </c>
      <c r="FL112" s="59">
        <f t="shared" si="624"/>
        <v>0</v>
      </c>
      <c r="FM112" s="60">
        <f t="shared" si="625"/>
        <v>0</v>
      </c>
      <c r="FN112" s="59">
        <f t="shared" si="626"/>
        <v>0</v>
      </c>
      <c r="FO112" s="60">
        <f t="shared" si="627"/>
        <v>0</v>
      </c>
      <c r="FP112" s="59">
        <f t="shared" si="628"/>
        <v>0</v>
      </c>
      <c r="FQ112" s="60">
        <f t="shared" si="629"/>
        <v>0</v>
      </c>
      <c r="FR112" s="59">
        <f t="shared" si="630"/>
        <v>0</v>
      </c>
      <c r="FS112" s="55">
        <f t="shared" si="631"/>
        <v>0</v>
      </c>
      <c r="FT112" s="59">
        <f t="shared" si="632"/>
        <v>0</v>
      </c>
      <c r="FU112" s="60">
        <f t="shared" si="633"/>
        <v>0</v>
      </c>
      <c r="FV112" s="59">
        <f t="shared" si="634"/>
        <v>0</v>
      </c>
      <c r="FW112" s="60">
        <f t="shared" si="635"/>
        <v>0</v>
      </c>
      <c r="FX112" s="59">
        <f t="shared" si="636"/>
        <v>0</v>
      </c>
      <c r="FY112" s="60">
        <f t="shared" si="637"/>
        <v>0</v>
      </c>
      <c r="FZ112" s="59">
        <f t="shared" si="638"/>
        <v>0</v>
      </c>
      <c r="GA112" s="60">
        <f t="shared" si="639"/>
        <v>0</v>
      </c>
      <c r="GB112" s="59">
        <f t="shared" si="640"/>
        <v>0</v>
      </c>
      <c r="GC112" s="55">
        <f t="shared" si="641"/>
        <v>0</v>
      </c>
      <c r="GD112" s="59">
        <f t="shared" si="642"/>
        <v>0</v>
      </c>
      <c r="GE112" s="60">
        <f t="shared" si="643"/>
        <v>0</v>
      </c>
      <c r="GF112" s="59">
        <f t="shared" si="644"/>
        <v>0</v>
      </c>
      <c r="GG112" s="60">
        <f t="shared" si="645"/>
        <v>0</v>
      </c>
      <c r="GH112" s="59">
        <f t="shared" si="646"/>
        <v>0</v>
      </c>
      <c r="GI112" s="55">
        <f t="shared" si="647"/>
        <v>0</v>
      </c>
      <c r="GJ112" s="59">
        <f t="shared" si="648"/>
        <v>0</v>
      </c>
      <c r="GK112" s="55"/>
      <c r="GL112" s="55"/>
      <c r="GM112" s="55">
        <v>1</v>
      </c>
      <c r="GN112" s="55">
        <v>0.97</v>
      </c>
      <c r="GO112" s="55">
        <v>0.95</v>
      </c>
      <c r="GP112" s="55">
        <v>0.93</v>
      </c>
      <c r="GQ112" s="55">
        <f t="shared" si="653"/>
        <v>0.91</v>
      </c>
      <c r="GR112" s="55">
        <f t="shared" si="653"/>
        <v>0.89</v>
      </c>
      <c r="GS112" s="55">
        <f t="shared" si="653"/>
        <v>0.87</v>
      </c>
      <c r="GT112" s="55">
        <f t="shared" si="653"/>
        <v>0.85</v>
      </c>
      <c r="GU112" s="55">
        <f t="shared" si="653"/>
        <v>0.83</v>
      </c>
      <c r="GV112" s="55">
        <f t="shared" si="653"/>
        <v>0.80999999999999994</v>
      </c>
      <c r="GW112" s="55">
        <f t="shared" si="653"/>
        <v>0.78999999999999992</v>
      </c>
      <c r="GX112" s="55">
        <f t="shared" si="653"/>
        <v>0.76999999999999991</v>
      </c>
      <c r="GY112" s="55">
        <f t="shared" si="653"/>
        <v>0.74999999999999989</v>
      </c>
      <c r="GZ112" s="55">
        <f t="shared" si="653"/>
        <v>0.72999999999999987</v>
      </c>
      <c r="HA112" s="55">
        <f t="shared" si="653"/>
        <v>0.70999999999999985</v>
      </c>
      <c r="HB112" s="55">
        <f t="shared" si="653"/>
        <v>0.68999999999999984</v>
      </c>
      <c r="HC112" s="55">
        <f t="shared" si="653"/>
        <v>0.66999999999999982</v>
      </c>
      <c r="HD112" s="55">
        <f t="shared" si="653"/>
        <v>0.6499999999999998</v>
      </c>
      <c r="HE112" s="55">
        <f t="shared" si="653"/>
        <v>0.62999999999999978</v>
      </c>
      <c r="HF112" s="55">
        <f t="shared" si="653"/>
        <v>0.60999999999999976</v>
      </c>
      <c r="HG112" s="55">
        <f t="shared" si="653"/>
        <v>0.58999999999999975</v>
      </c>
      <c r="HH112" s="55">
        <f t="shared" si="653"/>
        <v>0.56999999999999973</v>
      </c>
    </row>
    <row r="113" spans="1:216" x14ac:dyDescent="0.3">
      <c r="A113" s="2">
        <v>16</v>
      </c>
      <c r="C113" s="38" t="s">
        <v>118</v>
      </c>
      <c r="D113" s="42">
        <v>0</v>
      </c>
      <c r="E113" s="71">
        <f t="shared" si="519"/>
        <v>0</v>
      </c>
      <c r="H113" s="55">
        <f t="shared" si="509"/>
        <v>0</v>
      </c>
      <c r="I113" s="55">
        <f t="shared" si="510"/>
        <v>0</v>
      </c>
      <c r="J113" s="59">
        <f t="shared" si="511"/>
        <v>0</v>
      </c>
      <c r="K113" s="55">
        <f t="shared" si="520"/>
        <v>0</v>
      </c>
      <c r="L113" s="59">
        <f t="shared" si="521"/>
        <v>0</v>
      </c>
      <c r="M113" s="55">
        <f t="shared" si="522"/>
        <v>0</v>
      </c>
      <c r="N113" s="59">
        <f t="shared" si="523"/>
        <v>0</v>
      </c>
      <c r="O113" s="55">
        <f t="shared" si="524"/>
        <v>0</v>
      </c>
      <c r="P113" s="59">
        <f t="shared" si="525"/>
        <v>0</v>
      </c>
      <c r="Q113" s="57">
        <f t="shared" si="526"/>
        <v>0</v>
      </c>
      <c r="R113" s="59">
        <f t="shared" si="527"/>
        <v>0</v>
      </c>
      <c r="S113" s="55">
        <f t="shared" si="528"/>
        <v>0</v>
      </c>
      <c r="T113" s="59">
        <f t="shared" si="529"/>
        <v>0</v>
      </c>
      <c r="U113" s="57">
        <f t="shared" si="530"/>
        <v>0</v>
      </c>
      <c r="V113" s="59">
        <f t="shared" si="531"/>
        <v>0</v>
      </c>
      <c r="W113" s="60">
        <f t="shared" si="532"/>
        <v>0</v>
      </c>
      <c r="X113" s="59">
        <f t="shared" si="533"/>
        <v>0</v>
      </c>
      <c r="Y113" s="57">
        <f t="shared" si="534"/>
        <v>0</v>
      </c>
      <c r="Z113" s="59">
        <f t="shared" si="535"/>
        <v>0</v>
      </c>
      <c r="AA113" s="55">
        <f t="shared" si="536"/>
        <v>0</v>
      </c>
      <c r="AB113" s="59">
        <f t="shared" si="537"/>
        <v>0</v>
      </c>
      <c r="AC113" s="60">
        <f t="shared" si="538"/>
        <v>0</v>
      </c>
      <c r="AD113" s="59">
        <f t="shared" si="539"/>
        <v>0</v>
      </c>
      <c r="AE113" s="60">
        <f t="shared" si="540"/>
        <v>0</v>
      </c>
      <c r="AF113" s="59">
        <f t="shared" si="541"/>
        <v>0</v>
      </c>
      <c r="AG113" s="60">
        <f t="shared" si="542"/>
        <v>0</v>
      </c>
      <c r="AH113" s="59">
        <f t="shared" si="543"/>
        <v>0</v>
      </c>
      <c r="AI113" s="55">
        <f t="shared" si="544"/>
        <v>0</v>
      </c>
      <c r="AJ113" s="59">
        <f t="shared" si="545"/>
        <v>0</v>
      </c>
      <c r="AK113" s="60">
        <f t="shared" si="546"/>
        <v>0</v>
      </c>
      <c r="AL113" s="59">
        <f t="shared" si="547"/>
        <v>0</v>
      </c>
      <c r="AM113" s="60">
        <f t="shared" si="548"/>
        <v>0</v>
      </c>
      <c r="AN113" s="59">
        <f t="shared" si="549"/>
        <v>0</v>
      </c>
      <c r="AO113" s="60">
        <f t="shared" si="550"/>
        <v>0</v>
      </c>
      <c r="AP113" s="59">
        <f t="shared" si="551"/>
        <v>0</v>
      </c>
      <c r="AQ113" s="60">
        <f t="shared" si="552"/>
        <v>0</v>
      </c>
      <c r="AR113" s="59">
        <f t="shared" si="553"/>
        <v>0</v>
      </c>
      <c r="AS113" s="55">
        <f t="shared" si="554"/>
        <v>0</v>
      </c>
      <c r="AT113" s="59">
        <f t="shared" si="555"/>
        <v>0</v>
      </c>
      <c r="AU113" s="60">
        <f t="shared" si="556"/>
        <v>0</v>
      </c>
      <c r="AV113" s="59">
        <f t="shared" si="557"/>
        <v>0</v>
      </c>
      <c r="AW113" s="60">
        <f t="shared" si="558"/>
        <v>0</v>
      </c>
      <c r="AX113" s="59">
        <f t="shared" si="559"/>
        <v>0</v>
      </c>
      <c r="AY113" s="55">
        <f t="shared" si="560"/>
        <v>0</v>
      </c>
      <c r="AZ113" s="59">
        <f t="shared" si="561"/>
        <v>0</v>
      </c>
      <c r="BC113" s="55">
        <v>1</v>
      </c>
      <c r="BD113" s="55">
        <v>0.97</v>
      </c>
      <c r="BE113" s="55">
        <v>0.95</v>
      </c>
      <c r="BF113" s="55">
        <v>0.93</v>
      </c>
      <c r="BG113" s="55">
        <f t="shared" ref="BG113:BX119" si="655">+BF113-0.02</f>
        <v>0.91</v>
      </c>
      <c r="BH113" s="55">
        <f t="shared" si="655"/>
        <v>0.89</v>
      </c>
      <c r="BI113" s="55">
        <f t="shared" si="655"/>
        <v>0.87</v>
      </c>
      <c r="BJ113" s="55">
        <f t="shared" si="655"/>
        <v>0.85</v>
      </c>
      <c r="BK113" s="55">
        <f t="shared" si="655"/>
        <v>0.83</v>
      </c>
      <c r="BL113" s="55">
        <f t="shared" si="655"/>
        <v>0.80999999999999994</v>
      </c>
      <c r="BM113" s="55">
        <f t="shared" si="655"/>
        <v>0.78999999999999992</v>
      </c>
      <c r="BN113" s="55">
        <f t="shared" si="655"/>
        <v>0.76999999999999991</v>
      </c>
      <c r="BO113" s="55">
        <f t="shared" si="655"/>
        <v>0.74999999999999989</v>
      </c>
      <c r="BP113" s="55">
        <f t="shared" si="655"/>
        <v>0.72999999999999987</v>
      </c>
      <c r="BQ113" s="55">
        <f t="shared" si="655"/>
        <v>0.70999999999999985</v>
      </c>
      <c r="BR113" s="55">
        <f t="shared" si="655"/>
        <v>0.68999999999999984</v>
      </c>
      <c r="BS113" s="55">
        <f t="shared" si="655"/>
        <v>0.66999999999999982</v>
      </c>
      <c r="BT113" s="55">
        <f t="shared" si="655"/>
        <v>0.6499999999999998</v>
      </c>
      <c r="BU113" s="55">
        <f t="shared" si="655"/>
        <v>0.62999999999999978</v>
      </c>
      <c r="BV113" s="55">
        <f t="shared" si="655"/>
        <v>0.60999999999999976</v>
      </c>
      <c r="BW113" s="55">
        <f t="shared" si="655"/>
        <v>0.58999999999999975</v>
      </c>
      <c r="BX113" s="55">
        <f t="shared" si="655"/>
        <v>0.56999999999999973</v>
      </c>
      <c r="BZ113" s="55">
        <f t="shared" si="512"/>
        <v>0</v>
      </c>
      <c r="CA113" s="55">
        <f t="shared" si="513"/>
        <v>0</v>
      </c>
      <c r="CB113" s="59">
        <f t="shared" si="563"/>
        <v>0</v>
      </c>
      <c r="CC113" s="55">
        <f t="shared" si="564"/>
        <v>0</v>
      </c>
      <c r="CD113" s="59">
        <f t="shared" si="565"/>
        <v>0</v>
      </c>
      <c r="CE113" s="55">
        <f t="shared" si="566"/>
        <v>0</v>
      </c>
      <c r="CF113" s="59">
        <f t="shared" si="567"/>
        <v>0</v>
      </c>
      <c r="CG113" s="55">
        <f t="shared" si="568"/>
        <v>0</v>
      </c>
      <c r="CH113" s="59">
        <f t="shared" si="569"/>
        <v>0</v>
      </c>
      <c r="CI113" s="57">
        <f t="shared" si="570"/>
        <v>0</v>
      </c>
      <c r="CJ113" s="59">
        <f t="shared" si="571"/>
        <v>0</v>
      </c>
      <c r="CK113" s="55">
        <f t="shared" si="572"/>
        <v>0</v>
      </c>
      <c r="CL113" s="59">
        <f t="shared" si="573"/>
        <v>0</v>
      </c>
      <c r="CM113" s="57">
        <f t="shared" si="574"/>
        <v>0</v>
      </c>
      <c r="CN113" s="59">
        <f t="shared" si="575"/>
        <v>0</v>
      </c>
      <c r="CO113" s="60">
        <f t="shared" si="576"/>
        <v>0</v>
      </c>
      <c r="CP113" s="59">
        <f t="shared" si="577"/>
        <v>0</v>
      </c>
      <c r="CQ113" s="57">
        <f t="shared" si="578"/>
        <v>0</v>
      </c>
      <c r="CR113" s="59">
        <f t="shared" si="579"/>
        <v>0</v>
      </c>
      <c r="CS113" s="55">
        <f t="shared" si="580"/>
        <v>0</v>
      </c>
      <c r="CT113" s="59">
        <f t="shared" si="581"/>
        <v>0</v>
      </c>
      <c r="CU113" s="60">
        <f t="shared" si="582"/>
        <v>0</v>
      </c>
      <c r="CV113" s="59">
        <f t="shared" si="583"/>
        <v>0</v>
      </c>
      <c r="CW113" s="60">
        <f t="shared" si="584"/>
        <v>0</v>
      </c>
      <c r="CX113" s="59">
        <f t="shared" si="585"/>
        <v>0</v>
      </c>
      <c r="CY113" s="60">
        <f t="shared" si="586"/>
        <v>0</v>
      </c>
      <c r="CZ113" s="59">
        <f t="shared" si="587"/>
        <v>0</v>
      </c>
      <c r="DA113" s="55">
        <f t="shared" si="588"/>
        <v>0</v>
      </c>
      <c r="DB113" s="59">
        <f t="shared" si="589"/>
        <v>0</v>
      </c>
      <c r="DC113" s="60">
        <f t="shared" si="590"/>
        <v>0</v>
      </c>
      <c r="DD113" s="59">
        <f t="shared" si="591"/>
        <v>0</v>
      </c>
      <c r="DE113" s="60">
        <f t="shared" si="592"/>
        <v>0</v>
      </c>
      <c r="DF113" s="59">
        <f t="shared" si="593"/>
        <v>0</v>
      </c>
      <c r="DG113" s="60">
        <f t="shared" si="594"/>
        <v>0</v>
      </c>
      <c r="DH113" s="59">
        <f t="shared" si="595"/>
        <v>0</v>
      </c>
      <c r="DI113" s="60">
        <f t="shared" si="596"/>
        <v>0</v>
      </c>
      <c r="DJ113" s="59">
        <f t="shared" si="597"/>
        <v>0</v>
      </c>
      <c r="DK113" s="55">
        <f t="shared" si="598"/>
        <v>0</v>
      </c>
      <c r="DL113" s="59">
        <f t="shared" si="599"/>
        <v>0</v>
      </c>
      <c r="DM113" s="60">
        <f t="shared" si="600"/>
        <v>0</v>
      </c>
      <c r="DN113" s="59">
        <f t="shared" si="601"/>
        <v>0</v>
      </c>
      <c r="DO113" s="60">
        <f t="shared" si="602"/>
        <v>0</v>
      </c>
      <c r="DP113" s="59">
        <f t="shared" si="603"/>
        <v>0</v>
      </c>
      <c r="DQ113" s="55">
        <f t="shared" si="604"/>
        <v>0</v>
      </c>
      <c r="DR113" s="59">
        <f t="shared" si="605"/>
        <v>0</v>
      </c>
      <c r="DU113" s="55">
        <v>1</v>
      </c>
      <c r="DV113" s="55">
        <v>0.97</v>
      </c>
      <c r="DW113" s="55">
        <v>0.95</v>
      </c>
      <c r="DX113" s="55">
        <v>0.93</v>
      </c>
      <c r="DY113" s="55">
        <f t="shared" si="651"/>
        <v>0.91</v>
      </c>
      <c r="DZ113" s="55">
        <f t="shared" si="651"/>
        <v>0.89</v>
      </c>
      <c r="EA113" s="55">
        <f t="shared" si="651"/>
        <v>0.87</v>
      </c>
      <c r="EB113" s="55">
        <f t="shared" si="651"/>
        <v>0.85</v>
      </c>
      <c r="EC113" s="55">
        <f t="shared" si="651"/>
        <v>0.83</v>
      </c>
      <c r="ED113" s="55">
        <f t="shared" si="651"/>
        <v>0.80999999999999994</v>
      </c>
      <c r="EE113" s="55">
        <f t="shared" si="651"/>
        <v>0.78999999999999992</v>
      </c>
      <c r="EF113" s="55">
        <f t="shared" si="651"/>
        <v>0.76999999999999991</v>
      </c>
      <c r="EG113" s="55">
        <f t="shared" si="651"/>
        <v>0.74999999999999989</v>
      </c>
      <c r="EH113" s="55">
        <f t="shared" si="651"/>
        <v>0.72999999999999987</v>
      </c>
      <c r="EI113" s="55">
        <f t="shared" si="651"/>
        <v>0.70999999999999985</v>
      </c>
      <c r="EJ113" s="55">
        <f t="shared" si="651"/>
        <v>0.68999999999999984</v>
      </c>
      <c r="EK113" s="55">
        <f t="shared" si="651"/>
        <v>0.66999999999999982</v>
      </c>
      <c r="EL113" s="55">
        <f t="shared" si="651"/>
        <v>0.6499999999999998</v>
      </c>
      <c r="EM113" s="55">
        <f t="shared" si="651"/>
        <v>0.62999999999999978</v>
      </c>
      <c r="EN113" s="55">
        <f t="shared" si="651"/>
        <v>0.60999999999999976</v>
      </c>
      <c r="EO113" s="55">
        <f t="shared" si="651"/>
        <v>0.58999999999999975</v>
      </c>
      <c r="EP113" s="55">
        <f t="shared" si="651"/>
        <v>0.56999999999999973</v>
      </c>
      <c r="ER113" s="55">
        <f t="shared" si="652"/>
        <v>0</v>
      </c>
      <c r="ES113" s="55">
        <f t="shared" si="514"/>
        <v>0</v>
      </c>
      <c r="ET113" s="59">
        <f t="shared" si="606"/>
        <v>0</v>
      </c>
      <c r="EU113" s="55">
        <f t="shared" si="607"/>
        <v>0</v>
      </c>
      <c r="EV113" s="59">
        <f t="shared" si="608"/>
        <v>0</v>
      </c>
      <c r="EW113" s="55">
        <f t="shared" si="609"/>
        <v>0</v>
      </c>
      <c r="EX113" s="59">
        <f t="shared" si="610"/>
        <v>0</v>
      </c>
      <c r="EY113" s="55">
        <f t="shared" si="611"/>
        <v>0</v>
      </c>
      <c r="EZ113" s="59">
        <f t="shared" si="612"/>
        <v>0</v>
      </c>
      <c r="FA113" s="57">
        <f t="shared" si="613"/>
        <v>0</v>
      </c>
      <c r="FB113" s="59">
        <f t="shared" si="614"/>
        <v>0</v>
      </c>
      <c r="FC113" s="55">
        <f t="shared" si="615"/>
        <v>0</v>
      </c>
      <c r="FD113" s="59">
        <f t="shared" si="616"/>
        <v>0</v>
      </c>
      <c r="FE113" s="57">
        <f t="shared" si="617"/>
        <v>0</v>
      </c>
      <c r="FF113" s="59">
        <f t="shared" si="618"/>
        <v>0</v>
      </c>
      <c r="FG113" s="60">
        <f t="shared" si="619"/>
        <v>0</v>
      </c>
      <c r="FH113" s="59">
        <f t="shared" si="620"/>
        <v>0</v>
      </c>
      <c r="FI113" s="57">
        <f t="shared" si="621"/>
        <v>0</v>
      </c>
      <c r="FJ113" s="59">
        <f t="shared" si="622"/>
        <v>0</v>
      </c>
      <c r="FK113" s="55">
        <f t="shared" si="623"/>
        <v>0</v>
      </c>
      <c r="FL113" s="59">
        <f t="shared" si="624"/>
        <v>0</v>
      </c>
      <c r="FM113" s="60">
        <f t="shared" si="625"/>
        <v>0</v>
      </c>
      <c r="FN113" s="59">
        <f t="shared" si="626"/>
        <v>0</v>
      </c>
      <c r="FO113" s="60">
        <f t="shared" si="627"/>
        <v>0</v>
      </c>
      <c r="FP113" s="59">
        <f t="shared" si="628"/>
        <v>0</v>
      </c>
      <c r="FQ113" s="60">
        <f t="shared" si="629"/>
        <v>0</v>
      </c>
      <c r="FR113" s="59">
        <f t="shared" si="630"/>
        <v>0</v>
      </c>
      <c r="FS113" s="55">
        <f t="shared" si="631"/>
        <v>0</v>
      </c>
      <c r="FT113" s="59">
        <f t="shared" si="632"/>
        <v>0</v>
      </c>
      <c r="FU113" s="60">
        <f t="shared" si="633"/>
        <v>0</v>
      </c>
      <c r="FV113" s="59">
        <f t="shared" si="634"/>
        <v>0</v>
      </c>
      <c r="FW113" s="60">
        <f t="shared" si="635"/>
        <v>0</v>
      </c>
      <c r="FX113" s="59">
        <f t="shared" si="636"/>
        <v>0</v>
      </c>
      <c r="FY113" s="60">
        <f t="shared" si="637"/>
        <v>0</v>
      </c>
      <c r="FZ113" s="59">
        <f t="shared" si="638"/>
        <v>0</v>
      </c>
      <c r="GA113" s="60">
        <f t="shared" si="639"/>
        <v>0</v>
      </c>
      <c r="GB113" s="59">
        <f t="shared" si="640"/>
        <v>0</v>
      </c>
      <c r="GC113" s="55">
        <f t="shared" si="641"/>
        <v>0</v>
      </c>
      <c r="GD113" s="59">
        <f t="shared" si="642"/>
        <v>0</v>
      </c>
      <c r="GE113" s="60">
        <f t="shared" si="643"/>
        <v>0</v>
      </c>
      <c r="GF113" s="59">
        <f t="shared" si="644"/>
        <v>0</v>
      </c>
      <c r="GG113" s="60">
        <f t="shared" si="645"/>
        <v>0</v>
      </c>
      <c r="GH113" s="59">
        <f t="shared" si="646"/>
        <v>0</v>
      </c>
      <c r="GI113" s="55">
        <f t="shared" si="647"/>
        <v>0</v>
      </c>
      <c r="GJ113" s="59">
        <f t="shared" si="648"/>
        <v>0</v>
      </c>
      <c r="GK113" s="55"/>
      <c r="GL113" s="55"/>
      <c r="GM113" s="55">
        <v>1</v>
      </c>
      <c r="GN113" s="55">
        <v>0.97</v>
      </c>
      <c r="GO113" s="55">
        <v>0.95</v>
      </c>
      <c r="GP113" s="55">
        <v>0.93</v>
      </c>
      <c r="GQ113" s="55">
        <f t="shared" si="653"/>
        <v>0.91</v>
      </c>
      <c r="GR113" s="55">
        <f t="shared" si="653"/>
        <v>0.89</v>
      </c>
      <c r="GS113" s="55">
        <f t="shared" si="653"/>
        <v>0.87</v>
      </c>
      <c r="GT113" s="55">
        <f t="shared" si="653"/>
        <v>0.85</v>
      </c>
      <c r="GU113" s="55">
        <f t="shared" si="653"/>
        <v>0.83</v>
      </c>
      <c r="GV113" s="55">
        <f t="shared" si="653"/>
        <v>0.80999999999999994</v>
      </c>
      <c r="GW113" s="55">
        <f t="shared" si="653"/>
        <v>0.78999999999999992</v>
      </c>
      <c r="GX113" s="55">
        <f t="shared" si="653"/>
        <v>0.76999999999999991</v>
      </c>
      <c r="GY113" s="55">
        <f t="shared" si="653"/>
        <v>0.74999999999999989</v>
      </c>
      <c r="GZ113" s="55">
        <f t="shared" si="653"/>
        <v>0.72999999999999987</v>
      </c>
      <c r="HA113" s="55">
        <f t="shared" si="653"/>
        <v>0.70999999999999985</v>
      </c>
      <c r="HB113" s="55">
        <f t="shared" si="653"/>
        <v>0.68999999999999984</v>
      </c>
      <c r="HC113" s="55">
        <f t="shared" si="653"/>
        <v>0.66999999999999982</v>
      </c>
      <c r="HD113" s="55">
        <f t="shared" si="653"/>
        <v>0.6499999999999998</v>
      </c>
      <c r="HE113" s="55">
        <f t="shared" si="653"/>
        <v>0.62999999999999978</v>
      </c>
      <c r="HF113" s="55">
        <f t="shared" si="653"/>
        <v>0.60999999999999976</v>
      </c>
      <c r="HG113" s="55">
        <f t="shared" si="653"/>
        <v>0.58999999999999975</v>
      </c>
      <c r="HH113" s="55">
        <f t="shared" si="653"/>
        <v>0.56999999999999973</v>
      </c>
    </row>
    <row r="114" spans="1:216" x14ac:dyDescent="0.3">
      <c r="A114" s="2">
        <v>17</v>
      </c>
      <c r="C114" s="38" t="s">
        <v>130</v>
      </c>
      <c r="D114" s="42">
        <f>TRUNC(4477,-1)</f>
        <v>4470</v>
      </c>
      <c r="E114" s="71">
        <f t="shared" si="519"/>
        <v>14770</v>
      </c>
      <c r="H114" s="55">
        <f t="shared" si="509"/>
        <v>16247.000000000002</v>
      </c>
      <c r="I114" s="55">
        <f t="shared" si="510"/>
        <v>16247.000000000002</v>
      </c>
      <c r="J114" s="59">
        <f t="shared" si="511"/>
        <v>53709.332600000009</v>
      </c>
      <c r="K114" s="55">
        <f t="shared" si="520"/>
        <v>15759.590000000002</v>
      </c>
      <c r="L114" s="59">
        <f t="shared" si="521"/>
        <v>52098.05262200001</v>
      </c>
      <c r="M114" s="55">
        <f t="shared" si="522"/>
        <v>15434.650000000001</v>
      </c>
      <c r="N114" s="59">
        <f t="shared" si="523"/>
        <v>51023.865970000006</v>
      </c>
      <c r="O114" s="55">
        <f t="shared" si="524"/>
        <v>15109.710000000003</v>
      </c>
      <c r="P114" s="59">
        <f t="shared" si="525"/>
        <v>49949.67931800001</v>
      </c>
      <c r="Q114" s="57">
        <f t="shared" si="526"/>
        <v>14784.770000000002</v>
      </c>
      <c r="R114" s="59">
        <f t="shared" si="527"/>
        <v>48875.492666000006</v>
      </c>
      <c r="S114" s="55">
        <f t="shared" si="528"/>
        <v>14459.830000000002</v>
      </c>
      <c r="T114" s="59">
        <f t="shared" si="529"/>
        <v>47801.306014000009</v>
      </c>
      <c r="U114" s="57">
        <f t="shared" si="530"/>
        <v>14134.890000000001</v>
      </c>
      <c r="V114" s="59">
        <f t="shared" si="531"/>
        <v>46727.119362000005</v>
      </c>
      <c r="W114" s="60">
        <f t="shared" si="532"/>
        <v>13809.95</v>
      </c>
      <c r="X114" s="59">
        <f t="shared" si="533"/>
        <v>45652.932710000001</v>
      </c>
      <c r="Y114" s="57">
        <f t="shared" si="534"/>
        <v>13485.01</v>
      </c>
      <c r="Z114" s="59">
        <f t="shared" si="535"/>
        <v>44578.746058000004</v>
      </c>
      <c r="AA114" s="55">
        <f t="shared" si="536"/>
        <v>13160.07</v>
      </c>
      <c r="AB114" s="59">
        <f t="shared" si="537"/>
        <v>43504.559406</v>
      </c>
      <c r="AC114" s="60">
        <f t="shared" si="538"/>
        <v>12835.130000000001</v>
      </c>
      <c r="AD114" s="59">
        <f t="shared" si="539"/>
        <v>42430.372754000004</v>
      </c>
      <c r="AE114" s="60">
        <f t="shared" si="540"/>
        <v>12510.19</v>
      </c>
      <c r="AF114" s="59">
        <f t="shared" si="541"/>
        <v>41356.186102</v>
      </c>
      <c r="AG114" s="60">
        <f t="shared" si="542"/>
        <v>12185.25</v>
      </c>
      <c r="AH114" s="59">
        <f t="shared" si="543"/>
        <v>40281.999450000003</v>
      </c>
      <c r="AI114" s="55">
        <f t="shared" si="544"/>
        <v>11860.31</v>
      </c>
      <c r="AJ114" s="59">
        <f t="shared" si="545"/>
        <v>39207.812797999999</v>
      </c>
      <c r="AK114" s="60">
        <f t="shared" si="546"/>
        <v>11535.369999999999</v>
      </c>
      <c r="AL114" s="59">
        <f t="shared" si="547"/>
        <v>38133.626145999995</v>
      </c>
      <c r="AM114" s="60">
        <f t="shared" si="548"/>
        <v>11210.429999999998</v>
      </c>
      <c r="AN114" s="59">
        <f t="shared" si="549"/>
        <v>37059.439493999998</v>
      </c>
      <c r="AO114" s="60">
        <f t="shared" si="550"/>
        <v>10885.489999999998</v>
      </c>
      <c r="AP114" s="59">
        <f t="shared" si="551"/>
        <v>35985.252841999994</v>
      </c>
      <c r="AQ114" s="60">
        <f t="shared" si="552"/>
        <v>10560.549999999997</v>
      </c>
      <c r="AR114" s="59">
        <f t="shared" si="553"/>
        <v>34911.06618999999</v>
      </c>
      <c r="AS114" s="55">
        <f t="shared" si="554"/>
        <v>10235.609999999997</v>
      </c>
      <c r="AT114" s="59">
        <f t="shared" si="555"/>
        <v>33836.879537999994</v>
      </c>
      <c r="AU114" s="60">
        <f t="shared" si="556"/>
        <v>9910.6699999999964</v>
      </c>
      <c r="AV114" s="59">
        <f t="shared" si="557"/>
        <v>32762.69288599999</v>
      </c>
      <c r="AW114" s="60">
        <f t="shared" si="558"/>
        <v>9585.7299999999977</v>
      </c>
      <c r="AX114" s="59">
        <f t="shared" si="559"/>
        <v>31688.506233999993</v>
      </c>
      <c r="AY114" s="55">
        <f t="shared" si="560"/>
        <v>9260.7899999999972</v>
      </c>
      <c r="AZ114" s="59">
        <f t="shared" si="561"/>
        <v>30614.319581999993</v>
      </c>
      <c r="BC114" s="55">
        <v>1</v>
      </c>
      <c r="BD114" s="55">
        <v>0.97</v>
      </c>
      <c r="BE114" s="55">
        <v>0.95</v>
      </c>
      <c r="BF114" s="55">
        <v>0.93</v>
      </c>
      <c r="BG114" s="55">
        <f t="shared" si="655"/>
        <v>0.91</v>
      </c>
      <c r="BH114" s="55">
        <f t="shared" si="655"/>
        <v>0.89</v>
      </c>
      <c r="BI114" s="55">
        <f t="shared" si="655"/>
        <v>0.87</v>
      </c>
      <c r="BJ114" s="55">
        <f t="shared" si="655"/>
        <v>0.85</v>
      </c>
      <c r="BK114" s="55">
        <f t="shared" si="655"/>
        <v>0.83</v>
      </c>
      <c r="BL114" s="55">
        <f t="shared" si="655"/>
        <v>0.80999999999999994</v>
      </c>
      <c r="BM114" s="55">
        <f t="shared" si="655"/>
        <v>0.78999999999999992</v>
      </c>
      <c r="BN114" s="55">
        <f t="shared" si="655"/>
        <v>0.76999999999999991</v>
      </c>
      <c r="BO114" s="55">
        <f t="shared" si="655"/>
        <v>0.74999999999999989</v>
      </c>
      <c r="BP114" s="55">
        <f t="shared" si="655"/>
        <v>0.72999999999999987</v>
      </c>
      <c r="BQ114" s="55">
        <f t="shared" si="655"/>
        <v>0.70999999999999985</v>
      </c>
      <c r="BR114" s="55">
        <f t="shared" si="655"/>
        <v>0.68999999999999984</v>
      </c>
      <c r="BS114" s="55">
        <f t="shared" si="655"/>
        <v>0.66999999999999982</v>
      </c>
      <c r="BT114" s="55">
        <f t="shared" si="655"/>
        <v>0.6499999999999998</v>
      </c>
      <c r="BU114" s="55">
        <f t="shared" si="655"/>
        <v>0.62999999999999978</v>
      </c>
      <c r="BV114" s="55">
        <f t="shared" si="655"/>
        <v>0.60999999999999976</v>
      </c>
      <c r="BW114" s="55">
        <f t="shared" si="655"/>
        <v>0.58999999999999975</v>
      </c>
      <c r="BX114" s="55">
        <f t="shared" si="655"/>
        <v>0.56999999999999973</v>
      </c>
      <c r="BZ114" s="55">
        <f t="shared" si="512"/>
        <v>14784.770000000002</v>
      </c>
      <c r="CA114" s="55">
        <f t="shared" si="513"/>
        <v>14784.770000000002</v>
      </c>
      <c r="CB114" s="59">
        <f t="shared" si="563"/>
        <v>48875.492666000006</v>
      </c>
      <c r="CC114" s="55">
        <f t="shared" si="564"/>
        <v>14341.226900000001</v>
      </c>
      <c r="CD114" s="59">
        <f t="shared" si="565"/>
        <v>47409.227886020009</v>
      </c>
      <c r="CE114" s="55">
        <f t="shared" si="566"/>
        <v>14045.531500000001</v>
      </c>
      <c r="CF114" s="59">
        <f t="shared" si="567"/>
        <v>46431.718032700002</v>
      </c>
      <c r="CG114" s="55">
        <f t="shared" si="568"/>
        <v>13749.836100000002</v>
      </c>
      <c r="CH114" s="59">
        <f t="shared" si="569"/>
        <v>45454.20817938001</v>
      </c>
      <c r="CI114" s="57">
        <f t="shared" si="570"/>
        <v>13454.140700000002</v>
      </c>
      <c r="CJ114" s="59">
        <f t="shared" si="571"/>
        <v>44476.69832606001</v>
      </c>
      <c r="CK114" s="55">
        <f t="shared" si="572"/>
        <v>13158.445300000003</v>
      </c>
      <c r="CL114" s="59">
        <f t="shared" si="573"/>
        <v>43499.18847274001</v>
      </c>
      <c r="CM114" s="57">
        <f t="shared" si="574"/>
        <v>12862.749900000003</v>
      </c>
      <c r="CN114" s="59">
        <f t="shared" si="575"/>
        <v>42521.67861942001</v>
      </c>
      <c r="CO114" s="60">
        <f t="shared" si="576"/>
        <v>12567.054500000002</v>
      </c>
      <c r="CP114" s="59">
        <f t="shared" si="577"/>
        <v>41544.168766100011</v>
      </c>
      <c r="CQ114" s="57">
        <f t="shared" si="578"/>
        <v>12271.359100000001</v>
      </c>
      <c r="CR114" s="59">
        <f t="shared" si="579"/>
        <v>40566.658912780003</v>
      </c>
      <c r="CS114" s="55">
        <f t="shared" si="580"/>
        <v>11975.663700000001</v>
      </c>
      <c r="CT114" s="59">
        <f t="shared" si="581"/>
        <v>39589.149059460004</v>
      </c>
      <c r="CU114" s="60">
        <f t="shared" si="582"/>
        <v>11679.9683</v>
      </c>
      <c r="CV114" s="59">
        <f t="shared" si="583"/>
        <v>38611.639206140004</v>
      </c>
      <c r="CW114" s="60">
        <f t="shared" si="584"/>
        <v>11384.2729</v>
      </c>
      <c r="CX114" s="59">
        <f t="shared" si="585"/>
        <v>37634.129352820004</v>
      </c>
      <c r="CY114" s="60">
        <f t="shared" si="586"/>
        <v>11088.577499999999</v>
      </c>
      <c r="CZ114" s="59">
        <f t="shared" si="587"/>
        <v>36656.619499499997</v>
      </c>
      <c r="DA114" s="55">
        <f t="shared" si="588"/>
        <v>10792.882099999999</v>
      </c>
      <c r="DB114" s="59">
        <f t="shared" si="589"/>
        <v>35679.109646179997</v>
      </c>
      <c r="DC114" s="60">
        <f t="shared" si="590"/>
        <v>10497.1867</v>
      </c>
      <c r="DD114" s="59">
        <f t="shared" si="591"/>
        <v>34701.599792860005</v>
      </c>
      <c r="DE114" s="60">
        <f t="shared" si="592"/>
        <v>10201.4913</v>
      </c>
      <c r="DF114" s="59">
        <f t="shared" si="593"/>
        <v>33724.089939539997</v>
      </c>
      <c r="DG114" s="60">
        <f t="shared" si="594"/>
        <v>9905.7958999999992</v>
      </c>
      <c r="DH114" s="59">
        <f t="shared" si="595"/>
        <v>32746.580086219998</v>
      </c>
      <c r="DI114" s="60">
        <f t="shared" si="596"/>
        <v>9610.1004999999986</v>
      </c>
      <c r="DJ114" s="59">
        <f t="shared" si="597"/>
        <v>31769.070232899998</v>
      </c>
      <c r="DK114" s="55">
        <f t="shared" si="598"/>
        <v>9314.4050999999981</v>
      </c>
      <c r="DL114" s="59">
        <f t="shared" si="599"/>
        <v>30791.560379579994</v>
      </c>
      <c r="DM114" s="60">
        <f t="shared" si="600"/>
        <v>9018.7096999999976</v>
      </c>
      <c r="DN114" s="59">
        <f t="shared" si="601"/>
        <v>29814.050526259995</v>
      </c>
      <c r="DO114" s="60">
        <f t="shared" si="602"/>
        <v>8723.0142999999971</v>
      </c>
      <c r="DP114" s="59">
        <f t="shared" si="603"/>
        <v>28836.540672939991</v>
      </c>
      <c r="DQ114" s="55">
        <f t="shared" si="604"/>
        <v>8427.3188999999966</v>
      </c>
      <c r="DR114" s="59">
        <f t="shared" si="605"/>
        <v>27859.030819619988</v>
      </c>
      <c r="DU114" s="55">
        <v>1</v>
      </c>
      <c r="DV114" s="55">
        <v>0.97</v>
      </c>
      <c r="DW114" s="55">
        <v>0.95</v>
      </c>
      <c r="DX114" s="55">
        <v>0.93</v>
      </c>
      <c r="DY114" s="55">
        <f t="shared" si="651"/>
        <v>0.91</v>
      </c>
      <c r="DZ114" s="55">
        <f t="shared" si="651"/>
        <v>0.89</v>
      </c>
      <c r="EA114" s="55">
        <f t="shared" si="651"/>
        <v>0.87</v>
      </c>
      <c r="EB114" s="55">
        <f t="shared" ref="EB114:EP114" si="656">+EA114-0.02</f>
        <v>0.85</v>
      </c>
      <c r="EC114" s="55">
        <f t="shared" si="656"/>
        <v>0.83</v>
      </c>
      <c r="ED114" s="55">
        <f t="shared" si="656"/>
        <v>0.80999999999999994</v>
      </c>
      <c r="EE114" s="55">
        <f t="shared" si="656"/>
        <v>0.78999999999999992</v>
      </c>
      <c r="EF114" s="55">
        <f t="shared" si="656"/>
        <v>0.76999999999999991</v>
      </c>
      <c r="EG114" s="55">
        <f t="shared" si="656"/>
        <v>0.74999999999999989</v>
      </c>
      <c r="EH114" s="55">
        <f t="shared" si="656"/>
        <v>0.72999999999999987</v>
      </c>
      <c r="EI114" s="55">
        <f t="shared" si="656"/>
        <v>0.70999999999999985</v>
      </c>
      <c r="EJ114" s="55">
        <f t="shared" si="656"/>
        <v>0.68999999999999984</v>
      </c>
      <c r="EK114" s="55">
        <f t="shared" si="656"/>
        <v>0.66999999999999982</v>
      </c>
      <c r="EL114" s="55">
        <f t="shared" si="656"/>
        <v>0.6499999999999998</v>
      </c>
      <c r="EM114" s="55">
        <f t="shared" si="656"/>
        <v>0.62999999999999978</v>
      </c>
      <c r="EN114" s="55">
        <f t="shared" si="656"/>
        <v>0.60999999999999976</v>
      </c>
      <c r="EO114" s="55">
        <f t="shared" si="656"/>
        <v>0.58999999999999975</v>
      </c>
      <c r="EP114" s="55">
        <f t="shared" si="656"/>
        <v>0.56999999999999973</v>
      </c>
      <c r="ER114" s="55">
        <f t="shared" si="652"/>
        <v>13454.140700000002</v>
      </c>
      <c r="ES114" s="55">
        <f t="shared" si="514"/>
        <v>13454.140700000002</v>
      </c>
      <c r="ET114" s="59">
        <f t="shared" si="606"/>
        <v>44476.69832606001</v>
      </c>
      <c r="EU114" s="55">
        <f t="shared" si="607"/>
        <v>13050.516479000002</v>
      </c>
      <c r="EV114" s="59">
        <f t="shared" si="608"/>
        <v>43142.397376278204</v>
      </c>
      <c r="EW114" s="55">
        <f t="shared" si="609"/>
        <v>12781.433665</v>
      </c>
      <c r="EX114" s="59">
        <f t="shared" si="610"/>
        <v>42252.863409757003</v>
      </c>
      <c r="EY114" s="55">
        <f t="shared" si="611"/>
        <v>12512.350851000003</v>
      </c>
      <c r="EZ114" s="59">
        <f t="shared" si="612"/>
        <v>41363.329443235809</v>
      </c>
      <c r="FA114" s="57">
        <f t="shared" si="613"/>
        <v>12243.268037000002</v>
      </c>
      <c r="FB114" s="59">
        <f t="shared" si="614"/>
        <v>40473.795476714608</v>
      </c>
      <c r="FC114" s="55">
        <f t="shared" si="615"/>
        <v>11974.185223000002</v>
      </c>
      <c r="FD114" s="59">
        <f t="shared" si="616"/>
        <v>39584.261510193406</v>
      </c>
      <c r="FE114" s="57">
        <f t="shared" si="617"/>
        <v>11705.102409000001</v>
      </c>
      <c r="FF114" s="59">
        <f t="shared" si="618"/>
        <v>38694.727543672205</v>
      </c>
      <c r="FG114" s="60">
        <f t="shared" si="619"/>
        <v>11436.019595000002</v>
      </c>
      <c r="FH114" s="59">
        <f t="shared" si="620"/>
        <v>37805.193577151003</v>
      </c>
      <c r="FI114" s="57">
        <f t="shared" si="621"/>
        <v>11166.936781</v>
      </c>
      <c r="FJ114" s="59">
        <f t="shared" si="622"/>
        <v>36915.659610629802</v>
      </c>
      <c r="FK114" s="55">
        <f t="shared" si="623"/>
        <v>10897.853967000001</v>
      </c>
      <c r="FL114" s="59">
        <f t="shared" si="624"/>
        <v>36026.125644108601</v>
      </c>
      <c r="FM114" s="60">
        <f t="shared" si="625"/>
        <v>10628.771153</v>
      </c>
      <c r="FN114" s="59">
        <f t="shared" si="626"/>
        <v>35136.591677587399</v>
      </c>
      <c r="FO114" s="60">
        <f t="shared" si="627"/>
        <v>10359.688339</v>
      </c>
      <c r="FP114" s="59">
        <f t="shared" si="628"/>
        <v>34247.057711066205</v>
      </c>
      <c r="FQ114" s="60">
        <f t="shared" si="629"/>
        <v>10090.605524999999</v>
      </c>
      <c r="FR114" s="59">
        <f t="shared" si="630"/>
        <v>33357.523744544997</v>
      </c>
      <c r="FS114" s="55">
        <f t="shared" si="631"/>
        <v>9821.5227109999996</v>
      </c>
      <c r="FT114" s="59">
        <f t="shared" si="632"/>
        <v>32467.989778023799</v>
      </c>
      <c r="FU114" s="60">
        <f t="shared" si="633"/>
        <v>9552.4398969999984</v>
      </c>
      <c r="FV114" s="59">
        <f t="shared" si="634"/>
        <v>31578.455811502594</v>
      </c>
      <c r="FW114" s="60">
        <f t="shared" si="635"/>
        <v>9283.357082999999</v>
      </c>
      <c r="FX114" s="59">
        <f t="shared" si="636"/>
        <v>30688.921844981396</v>
      </c>
      <c r="FY114" s="60">
        <f t="shared" si="637"/>
        <v>9014.2742689999995</v>
      </c>
      <c r="FZ114" s="59">
        <f t="shared" si="638"/>
        <v>29799.387878460198</v>
      </c>
      <c r="GA114" s="60">
        <f t="shared" si="639"/>
        <v>8745.1914549999983</v>
      </c>
      <c r="GB114" s="59">
        <f t="shared" si="640"/>
        <v>28909.853911938993</v>
      </c>
      <c r="GC114" s="55">
        <f t="shared" si="641"/>
        <v>8476.1086409999989</v>
      </c>
      <c r="GD114" s="59">
        <f t="shared" si="642"/>
        <v>28020.319945417796</v>
      </c>
      <c r="GE114" s="60">
        <f t="shared" si="643"/>
        <v>8207.0258269999977</v>
      </c>
      <c r="GF114" s="59">
        <f t="shared" si="644"/>
        <v>27130.785978896594</v>
      </c>
      <c r="GG114" s="60">
        <f t="shared" si="645"/>
        <v>7937.9430129999973</v>
      </c>
      <c r="GH114" s="59">
        <f t="shared" si="646"/>
        <v>26241.252012375393</v>
      </c>
      <c r="GI114" s="55">
        <f t="shared" si="647"/>
        <v>7668.860198999997</v>
      </c>
      <c r="GJ114" s="59">
        <f t="shared" si="648"/>
        <v>25351.718045854192</v>
      </c>
      <c r="GK114" s="55"/>
      <c r="GL114" s="55"/>
      <c r="GM114" s="55">
        <v>1</v>
      </c>
      <c r="GN114" s="55">
        <v>0.97</v>
      </c>
      <c r="GO114" s="55">
        <v>0.95</v>
      </c>
      <c r="GP114" s="55">
        <v>0.93</v>
      </c>
      <c r="GQ114" s="55">
        <f t="shared" si="653"/>
        <v>0.91</v>
      </c>
      <c r="GR114" s="55">
        <f t="shared" si="653"/>
        <v>0.89</v>
      </c>
      <c r="GS114" s="55">
        <f t="shared" si="653"/>
        <v>0.87</v>
      </c>
      <c r="GT114" s="55">
        <f t="shared" ref="GT114:HH114" si="657">+GS114-0.02</f>
        <v>0.85</v>
      </c>
      <c r="GU114" s="55">
        <f t="shared" si="657"/>
        <v>0.83</v>
      </c>
      <c r="GV114" s="55">
        <f t="shared" si="657"/>
        <v>0.80999999999999994</v>
      </c>
      <c r="GW114" s="55">
        <f t="shared" si="657"/>
        <v>0.78999999999999992</v>
      </c>
      <c r="GX114" s="55">
        <f t="shared" si="657"/>
        <v>0.76999999999999991</v>
      </c>
      <c r="GY114" s="55">
        <f t="shared" si="657"/>
        <v>0.74999999999999989</v>
      </c>
      <c r="GZ114" s="55">
        <f t="shared" si="657"/>
        <v>0.72999999999999987</v>
      </c>
      <c r="HA114" s="55">
        <f t="shared" si="657"/>
        <v>0.70999999999999985</v>
      </c>
      <c r="HB114" s="55">
        <f t="shared" si="657"/>
        <v>0.68999999999999984</v>
      </c>
      <c r="HC114" s="55">
        <f t="shared" si="657"/>
        <v>0.66999999999999982</v>
      </c>
      <c r="HD114" s="55">
        <f t="shared" si="657"/>
        <v>0.6499999999999998</v>
      </c>
      <c r="HE114" s="55">
        <f t="shared" si="657"/>
        <v>0.62999999999999978</v>
      </c>
      <c r="HF114" s="55">
        <f t="shared" si="657"/>
        <v>0.60999999999999976</v>
      </c>
      <c r="HG114" s="55">
        <f t="shared" si="657"/>
        <v>0.58999999999999975</v>
      </c>
      <c r="HH114" s="55">
        <f t="shared" si="657"/>
        <v>0.56999999999999973</v>
      </c>
    </row>
    <row r="115" spans="1:216" x14ac:dyDescent="0.3">
      <c r="A115" s="2">
        <v>18</v>
      </c>
      <c r="C115" s="38" t="s">
        <v>116</v>
      </c>
      <c r="D115" s="42">
        <v>0</v>
      </c>
      <c r="E115" s="71">
        <f t="shared" si="519"/>
        <v>0</v>
      </c>
      <c r="H115" s="55">
        <f t="shared" si="509"/>
        <v>0</v>
      </c>
      <c r="I115" s="55">
        <f t="shared" si="510"/>
        <v>0</v>
      </c>
      <c r="J115" s="59">
        <f t="shared" si="511"/>
        <v>0</v>
      </c>
      <c r="K115" s="55">
        <f t="shared" si="520"/>
        <v>0</v>
      </c>
      <c r="L115" s="59">
        <f t="shared" si="521"/>
        <v>0</v>
      </c>
      <c r="M115" s="55">
        <f t="shared" si="522"/>
        <v>0</v>
      </c>
      <c r="N115" s="59">
        <f t="shared" si="523"/>
        <v>0</v>
      </c>
      <c r="O115" s="55">
        <f t="shared" si="524"/>
        <v>0</v>
      </c>
      <c r="P115" s="59">
        <f t="shared" si="525"/>
        <v>0</v>
      </c>
      <c r="Q115" s="57">
        <f t="shared" si="526"/>
        <v>0</v>
      </c>
      <c r="R115" s="59">
        <f t="shared" si="527"/>
        <v>0</v>
      </c>
      <c r="S115" s="55">
        <f t="shared" si="528"/>
        <v>0</v>
      </c>
      <c r="T115" s="59">
        <f t="shared" si="529"/>
        <v>0</v>
      </c>
      <c r="U115" s="57">
        <f t="shared" si="530"/>
        <v>0</v>
      </c>
      <c r="V115" s="59">
        <f t="shared" si="531"/>
        <v>0</v>
      </c>
      <c r="W115" s="60">
        <f t="shared" si="532"/>
        <v>0</v>
      </c>
      <c r="X115" s="59">
        <f t="shared" si="533"/>
        <v>0</v>
      </c>
      <c r="Y115" s="57">
        <f t="shared" si="534"/>
        <v>0</v>
      </c>
      <c r="Z115" s="59">
        <f t="shared" si="535"/>
        <v>0</v>
      </c>
      <c r="AA115" s="55">
        <f t="shared" si="536"/>
        <v>0</v>
      </c>
      <c r="AB115" s="59">
        <f t="shared" si="537"/>
        <v>0</v>
      </c>
      <c r="AC115" s="60">
        <f t="shared" si="538"/>
        <v>0</v>
      </c>
      <c r="AD115" s="59">
        <f t="shared" si="539"/>
        <v>0</v>
      </c>
      <c r="AE115" s="60">
        <f t="shared" si="540"/>
        <v>0</v>
      </c>
      <c r="AF115" s="59">
        <f t="shared" si="541"/>
        <v>0</v>
      </c>
      <c r="AG115" s="60">
        <f t="shared" si="542"/>
        <v>0</v>
      </c>
      <c r="AH115" s="59">
        <f t="shared" si="543"/>
        <v>0</v>
      </c>
      <c r="AI115" s="55">
        <f t="shared" si="544"/>
        <v>0</v>
      </c>
      <c r="AJ115" s="59">
        <f t="shared" si="545"/>
        <v>0</v>
      </c>
      <c r="AK115" s="60">
        <f t="shared" si="546"/>
        <v>0</v>
      </c>
      <c r="AL115" s="59">
        <f t="shared" si="547"/>
        <v>0</v>
      </c>
      <c r="AM115" s="60">
        <f t="shared" si="548"/>
        <v>0</v>
      </c>
      <c r="AN115" s="59">
        <f t="shared" si="549"/>
        <v>0</v>
      </c>
      <c r="AO115" s="60">
        <f t="shared" si="550"/>
        <v>0</v>
      </c>
      <c r="AP115" s="59">
        <f t="shared" si="551"/>
        <v>0</v>
      </c>
      <c r="AQ115" s="60">
        <f t="shared" si="552"/>
        <v>0</v>
      </c>
      <c r="AR115" s="59">
        <f t="shared" si="553"/>
        <v>0</v>
      </c>
      <c r="AS115" s="55">
        <f t="shared" si="554"/>
        <v>0</v>
      </c>
      <c r="AT115" s="59">
        <f t="shared" si="555"/>
        <v>0</v>
      </c>
      <c r="AU115" s="60">
        <f t="shared" si="556"/>
        <v>0</v>
      </c>
      <c r="AV115" s="59">
        <f t="shared" si="557"/>
        <v>0</v>
      </c>
      <c r="AW115" s="60">
        <f t="shared" si="558"/>
        <v>0</v>
      </c>
      <c r="AX115" s="59">
        <f t="shared" si="559"/>
        <v>0</v>
      </c>
      <c r="AY115" s="55">
        <f t="shared" si="560"/>
        <v>0</v>
      </c>
      <c r="AZ115" s="59">
        <f t="shared" si="561"/>
        <v>0</v>
      </c>
      <c r="BC115" s="55">
        <v>1</v>
      </c>
      <c r="BD115" s="55">
        <v>0.97</v>
      </c>
      <c r="BE115" s="55">
        <v>0.95</v>
      </c>
      <c r="BF115" s="55">
        <v>0.93</v>
      </c>
      <c r="BG115" s="55">
        <f t="shared" si="655"/>
        <v>0.91</v>
      </c>
      <c r="BH115" s="55">
        <f t="shared" si="655"/>
        <v>0.89</v>
      </c>
      <c r="BI115" s="55">
        <f t="shared" si="655"/>
        <v>0.87</v>
      </c>
      <c r="BJ115" s="55">
        <f t="shared" si="655"/>
        <v>0.85</v>
      </c>
      <c r="BK115" s="55">
        <f t="shared" si="655"/>
        <v>0.83</v>
      </c>
      <c r="BL115" s="55">
        <f t="shared" si="655"/>
        <v>0.80999999999999994</v>
      </c>
      <c r="BM115" s="55">
        <f t="shared" si="655"/>
        <v>0.78999999999999992</v>
      </c>
      <c r="BN115" s="55">
        <f t="shared" si="655"/>
        <v>0.76999999999999991</v>
      </c>
      <c r="BO115" s="55">
        <f t="shared" si="655"/>
        <v>0.74999999999999989</v>
      </c>
      <c r="BP115" s="55">
        <f t="shared" si="655"/>
        <v>0.72999999999999987</v>
      </c>
      <c r="BQ115" s="55">
        <f t="shared" si="655"/>
        <v>0.70999999999999985</v>
      </c>
      <c r="BR115" s="55">
        <f t="shared" si="655"/>
        <v>0.68999999999999984</v>
      </c>
      <c r="BS115" s="55">
        <f t="shared" si="655"/>
        <v>0.66999999999999982</v>
      </c>
      <c r="BT115" s="55">
        <f t="shared" si="655"/>
        <v>0.6499999999999998</v>
      </c>
      <c r="BU115" s="55">
        <f t="shared" si="655"/>
        <v>0.62999999999999978</v>
      </c>
      <c r="BV115" s="55">
        <f t="shared" si="655"/>
        <v>0.60999999999999976</v>
      </c>
      <c r="BW115" s="55">
        <f t="shared" si="655"/>
        <v>0.58999999999999975</v>
      </c>
      <c r="BX115" s="55">
        <f t="shared" si="655"/>
        <v>0.56999999999999973</v>
      </c>
      <c r="BZ115" s="55">
        <f t="shared" si="512"/>
        <v>0</v>
      </c>
      <c r="CA115" s="55">
        <f t="shared" si="513"/>
        <v>0</v>
      </c>
      <c r="CB115" s="59">
        <f t="shared" si="563"/>
        <v>0</v>
      </c>
      <c r="CC115" s="55">
        <f t="shared" si="564"/>
        <v>0</v>
      </c>
      <c r="CD115" s="59">
        <f t="shared" si="565"/>
        <v>0</v>
      </c>
      <c r="CE115" s="55">
        <f t="shared" si="566"/>
        <v>0</v>
      </c>
      <c r="CF115" s="59">
        <f t="shared" si="567"/>
        <v>0</v>
      </c>
      <c r="CG115" s="55">
        <f t="shared" si="568"/>
        <v>0</v>
      </c>
      <c r="CH115" s="59">
        <f t="shared" si="569"/>
        <v>0</v>
      </c>
      <c r="CI115" s="57">
        <f t="shared" si="570"/>
        <v>0</v>
      </c>
      <c r="CJ115" s="59">
        <f t="shared" si="571"/>
        <v>0</v>
      </c>
      <c r="CK115" s="55">
        <f t="shared" si="572"/>
        <v>0</v>
      </c>
      <c r="CL115" s="59">
        <f t="shared" si="573"/>
        <v>0</v>
      </c>
      <c r="CM115" s="57">
        <f t="shared" si="574"/>
        <v>0</v>
      </c>
      <c r="CN115" s="59">
        <f t="shared" si="575"/>
        <v>0</v>
      </c>
      <c r="CO115" s="60">
        <f t="shared" si="576"/>
        <v>0</v>
      </c>
      <c r="CP115" s="59">
        <f t="shared" si="577"/>
        <v>0</v>
      </c>
      <c r="CQ115" s="57">
        <f t="shared" si="578"/>
        <v>0</v>
      </c>
      <c r="CR115" s="59">
        <f t="shared" si="579"/>
        <v>0</v>
      </c>
      <c r="CS115" s="55">
        <f t="shared" si="580"/>
        <v>0</v>
      </c>
      <c r="CT115" s="59">
        <f t="shared" si="581"/>
        <v>0</v>
      </c>
      <c r="CU115" s="60">
        <f t="shared" si="582"/>
        <v>0</v>
      </c>
      <c r="CV115" s="59">
        <f t="shared" si="583"/>
        <v>0</v>
      </c>
      <c r="CW115" s="60">
        <f t="shared" si="584"/>
        <v>0</v>
      </c>
      <c r="CX115" s="59">
        <f t="shared" si="585"/>
        <v>0</v>
      </c>
      <c r="CY115" s="60">
        <f t="shared" si="586"/>
        <v>0</v>
      </c>
      <c r="CZ115" s="59">
        <f t="shared" si="587"/>
        <v>0</v>
      </c>
      <c r="DA115" s="55">
        <f t="shared" si="588"/>
        <v>0</v>
      </c>
      <c r="DB115" s="59">
        <f t="shared" si="589"/>
        <v>0</v>
      </c>
      <c r="DC115" s="60">
        <f t="shared" si="590"/>
        <v>0</v>
      </c>
      <c r="DD115" s="59">
        <f t="shared" si="591"/>
        <v>0</v>
      </c>
      <c r="DE115" s="60">
        <f t="shared" si="592"/>
        <v>0</v>
      </c>
      <c r="DF115" s="59">
        <f t="shared" si="593"/>
        <v>0</v>
      </c>
      <c r="DG115" s="60">
        <f t="shared" si="594"/>
        <v>0</v>
      </c>
      <c r="DH115" s="59">
        <f t="shared" si="595"/>
        <v>0</v>
      </c>
      <c r="DI115" s="60">
        <f t="shared" si="596"/>
        <v>0</v>
      </c>
      <c r="DJ115" s="59">
        <f t="shared" si="597"/>
        <v>0</v>
      </c>
      <c r="DK115" s="55">
        <f t="shared" si="598"/>
        <v>0</v>
      </c>
      <c r="DL115" s="59">
        <f t="shared" si="599"/>
        <v>0</v>
      </c>
      <c r="DM115" s="60">
        <f t="shared" si="600"/>
        <v>0</v>
      </c>
      <c r="DN115" s="59">
        <f t="shared" si="601"/>
        <v>0</v>
      </c>
      <c r="DO115" s="60">
        <f t="shared" si="602"/>
        <v>0</v>
      </c>
      <c r="DP115" s="59">
        <f t="shared" si="603"/>
        <v>0</v>
      </c>
      <c r="DQ115" s="55">
        <f t="shared" si="604"/>
        <v>0</v>
      </c>
      <c r="DR115" s="59">
        <f t="shared" si="605"/>
        <v>0</v>
      </c>
      <c r="DU115" s="55">
        <v>1</v>
      </c>
      <c r="DV115" s="55">
        <v>0.97</v>
      </c>
      <c r="DW115" s="55">
        <v>0.95</v>
      </c>
      <c r="DX115" s="55">
        <v>0.93</v>
      </c>
      <c r="DY115" s="55">
        <f t="shared" ref="DY115:EP129" si="658">+DX115-0.02</f>
        <v>0.91</v>
      </c>
      <c r="DZ115" s="55">
        <f t="shared" si="658"/>
        <v>0.89</v>
      </c>
      <c r="EA115" s="55">
        <f t="shared" si="658"/>
        <v>0.87</v>
      </c>
      <c r="EB115" s="55">
        <f t="shared" si="658"/>
        <v>0.85</v>
      </c>
      <c r="EC115" s="55">
        <f t="shared" si="658"/>
        <v>0.83</v>
      </c>
      <c r="ED115" s="55">
        <f t="shared" si="658"/>
        <v>0.80999999999999994</v>
      </c>
      <c r="EE115" s="55">
        <f t="shared" si="658"/>
        <v>0.78999999999999992</v>
      </c>
      <c r="EF115" s="55">
        <f t="shared" si="658"/>
        <v>0.76999999999999991</v>
      </c>
      <c r="EG115" s="55">
        <f t="shared" si="658"/>
        <v>0.74999999999999989</v>
      </c>
      <c r="EH115" s="55">
        <f t="shared" si="658"/>
        <v>0.72999999999999987</v>
      </c>
      <c r="EI115" s="55">
        <f t="shared" si="658"/>
        <v>0.70999999999999985</v>
      </c>
      <c r="EJ115" s="55">
        <f t="shared" si="658"/>
        <v>0.68999999999999984</v>
      </c>
      <c r="EK115" s="55">
        <f t="shared" si="658"/>
        <v>0.66999999999999982</v>
      </c>
      <c r="EL115" s="55">
        <f t="shared" si="658"/>
        <v>0.6499999999999998</v>
      </c>
      <c r="EM115" s="55">
        <f t="shared" si="658"/>
        <v>0.62999999999999978</v>
      </c>
      <c r="EN115" s="55">
        <f t="shared" si="658"/>
        <v>0.60999999999999976</v>
      </c>
      <c r="EO115" s="55">
        <f t="shared" si="658"/>
        <v>0.58999999999999975</v>
      </c>
      <c r="EP115" s="55">
        <f t="shared" si="658"/>
        <v>0.56999999999999973</v>
      </c>
      <c r="ER115" s="55">
        <f t="shared" si="652"/>
        <v>0</v>
      </c>
      <c r="ES115" s="55">
        <f t="shared" si="514"/>
        <v>0</v>
      </c>
      <c r="ET115" s="59">
        <f t="shared" si="606"/>
        <v>0</v>
      </c>
      <c r="EU115" s="55">
        <f t="shared" si="607"/>
        <v>0</v>
      </c>
      <c r="EV115" s="59">
        <f t="shared" si="608"/>
        <v>0</v>
      </c>
      <c r="EW115" s="55">
        <f t="shared" si="609"/>
        <v>0</v>
      </c>
      <c r="EX115" s="59">
        <f t="shared" si="610"/>
        <v>0</v>
      </c>
      <c r="EY115" s="55">
        <f t="shared" si="611"/>
        <v>0</v>
      </c>
      <c r="EZ115" s="59">
        <f t="shared" si="612"/>
        <v>0</v>
      </c>
      <c r="FA115" s="57">
        <f t="shared" si="613"/>
        <v>0</v>
      </c>
      <c r="FB115" s="59">
        <f t="shared" si="614"/>
        <v>0</v>
      </c>
      <c r="FC115" s="55">
        <f t="shared" si="615"/>
        <v>0</v>
      </c>
      <c r="FD115" s="59">
        <f t="shared" si="616"/>
        <v>0</v>
      </c>
      <c r="FE115" s="57">
        <f t="shared" si="617"/>
        <v>0</v>
      </c>
      <c r="FF115" s="59">
        <f t="shared" si="618"/>
        <v>0</v>
      </c>
      <c r="FG115" s="60">
        <f t="shared" si="619"/>
        <v>0</v>
      </c>
      <c r="FH115" s="59">
        <f t="shared" si="620"/>
        <v>0</v>
      </c>
      <c r="FI115" s="57">
        <f t="shared" si="621"/>
        <v>0</v>
      </c>
      <c r="FJ115" s="59">
        <f t="shared" si="622"/>
        <v>0</v>
      </c>
      <c r="FK115" s="55">
        <f t="shared" si="623"/>
        <v>0</v>
      </c>
      <c r="FL115" s="59">
        <f t="shared" si="624"/>
        <v>0</v>
      </c>
      <c r="FM115" s="60">
        <f t="shared" si="625"/>
        <v>0</v>
      </c>
      <c r="FN115" s="59">
        <f t="shared" si="626"/>
        <v>0</v>
      </c>
      <c r="FO115" s="60">
        <f t="shared" si="627"/>
        <v>0</v>
      </c>
      <c r="FP115" s="59">
        <f t="shared" si="628"/>
        <v>0</v>
      </c>
      <c r="FQ115" s="60">
        <f t="shared" si="629"/>
        <v>0</v>
      </c>
      <c r="FR115" s="59">
        <f t="shared" si="630"/>
        <v>0</v>
      </c>
      <c r="FS115" s="55">
        <f t="shared" si="631"/>
        <v>0</v>
      </c>
      <c r="FT115" s="59">
        <f t="shared" si="632"/>
        <v>0</v>
      </c>
      <c r="FU115" s="60">
        <f t="shared" si="633"/>
        <v>0</v>
      </c>
      <c r="FV115" s="59">
        <f t="shared" si="634"/>
        <v>0</v>
      </c>
      <c r="FW115" s="60">
        <f t="shared" si="635"/>
        <v>0</v>
      </c>
      <c r="FX115" s="59">
        <f t="shared" si="636"/>
        <v>0</v>
      </c>
      <c r="FY115" s="60">
        <f t="shared" si="637"/>
        <v>0</v>
      </c>
      <c r="FZ115" s="59">
        <f t="shared" si="638"/>
        <v>0</v>
      </c>
      <c r="GA115" s="60">
        <f t="shared" si="639"/>
        <v>0</v>
      </c>
      <c r="GB115" s="59">
        <f t="shared" si="640"/>
        <v>0</v>
      </c>
      <c r="GC115" s="55">
        <f t="shared" si="641"/>
        <v>0</v>
      </c>
      <c r="GD115" s="59">
        <f t="shared" si="642"/>
        <v>0</v>
      </c>
      <c r="GE115" s="60">
        <f t="shared" si="643"/>
        <v>0</v>
      </c>
      <c r="GF115" s="59">
        <f t="shared" si="644"/>
        <v>0</v>
      </c>
      <c r="GG115" s="60">
        <f t="shared" si="645"/>
        <v>0</v>
      </c>
      <c r="GH115" s="59">
        <f t="shared" si="646"/>
        <v>0</v>
      </c>
      <c r="GI115" s="55">
        <f t="shared" si="647"/>
        <v>0</v>
      </c>
      <c r="GJ115" s="59">
        <f t="shared" si="648"/>
        <v>0</v>
      </c>
      <c r="GK115" s="55"/>
      <c r="GL115" s="55"/>
      <c r="GM115" s="55">
        <v>1</v>
      </c>
      <c r="GN115" s="55">
        <v>0.97</v>
      </c>
      <c r="GO115" s="55">
        <v>0.95</v>
      </c>
      <c r="GP115" s="55">
        <v>0.93</v>
      </c>
      <c r="GQ115" s="55">
        <f t="shared" ref="GQ115:HH129" si="659">+GP115-0.02</f>
        <v>0.91</v>
      </c>
      <c r="GR115" s="55">
        <f t="shared" si="659"/>
        <v>0.89</v>
      </c>
      <c r="GS115" s="55">
        <f t="shared" si="659"/>
        <v>0.87</v>
      </c>
      <c r="GT115" s="55">
        <f t="shared" si="659"/>
        <v>0.85</v>
      </c>
      <c r="GU115" s="55">
        <f t="shared" si="659"/>
        <v>0.83</v>
      </c>
      <c r="GV115" s="55">
        <f t="shared" si="659"/>
        <v>0.80999999999999994</v>
      </c>
      <c r="GW115" s="55">
        <f t="shared" si="659"/>
        <v>0.78999999999999992</v>
      </c>
      <c r="GX115" s="55">
        <f t="shared" si="659"/>
        <v>0.76999999999999991</v>
      </c>
      <c r="GY115" s="55">
        <f t="shared" si="659"/>
        <v>0.74999999999999989</v>
      </c>
      <c r="GZ115" s="55">
        <f t="shared" si="659"/>
        <v>0.72999999999999987</v>
      </c>
      <c r="HA115" s="55">
        <f t="shared" si="659"/>
        <v>0.70999999999999985</v>
      </c>
      <c r="HB115" s="55">
        <f t="shared" si="659"/>
        <v>0.68999999999999984</v>
      </c>
      <c r="HC115" s="55">
        <f t="shared" si="659"/>
        <v>0.66999999999999982</v>
      </c>
      <c r="HD115" s="55">
        <f t="shared" si="659"/>
        <v>0.6499999999999998</v>
      </c>
      <c r="HE115" s="55">
        <f t="shared" si="659"/>
        <v>0.62999999999999978</v>
      </c>
      <c r="HF115" s="55">
        <f t="shared" si="659"/>
        <v>0.60999999999999976</v>
      </c>
      <c r="HG115" s="55">
        <f t="shared" si="659"/>
        <v>0.58999999999999975</v>
      </c>
      <c r="HH115" s="55">
        <f t="shared" si="659"/>
        <v>0.56999999999999973</v>
      </c>
    </row>
    <row r="116" spans="1:216" x14ac:dyDescent="0.3">
      <c r="A116" s="2">
        <v>19</v>
      </c>
      <c r="C116" s="38" t="s">
        <v>115</v>
      </c>
      <c r="D116" s="42">
        <f>TRUNC(2886,-1)</f>
        <v>2880</v>
      </c>
      <c r="E116" s="71">
        <f t="shared" si="519"/>
        <v>9520</v>
      </c>
      <c r="F116" s="2" t="s">
        <v>311</v>
      </c>
      <c r="H116" s="55">
        <f t="shared" si="509"/>
        <v>10472</v>
      </c>
      <c r="I116" s="55">
        <f t="shared" si="510"/>
        <v>10472</v>
      </c>
      <c r="J116" s="59">
        <f t="shared" si="511"/>
        <v>34618.337599999999</v>
      </c>
      <c r="K116" s="55">
        <f t="shared" si="520"/>
        <v>10157.84</v>
      </c>
      <c r="L116" s="59">
        <f t="shared" si="521"/>
        <v>33579.787472000004</v>
      </c>
      <c r="M116" s="55">
        <f t="shared" si="522"/>
        <v>9948.4</v>
      </c>
      <c r="N116" s="59">
        <f t="shared" si="523"/>
        <v>32887.420720000002</v>
      </c>
      <c r="O116" s="55">
        <f t="shared" si="524"/>
        <v>9738.9600000000009</v>
      </c>
      <c r="P116" s="59">
        <f t="shared" si="525"/>
        <v>32195.053968000004</v>
      </c>
      <c r="Q116" s="57">
        <f t="shared" si="526"/>
        <v>9529.52</v>
      </c>
      <c r="R116" s="59">
        <f t="shared" si="527"/>
        <v>31502.687216000002</v>
      </c>
      <c r="S116" s="55">
        <f t="shared" si="528"/>
        <v>9320.08</v>
      </c>
      <c r="T116" s="59">
        <f t="shared" si="529"/>
        <v>30810.320464</v>
      </c>
      <c r="U116" s="57">
        <f t="shared" si="530"/>
        <v>9110.64</v>
      </c>
      <c r="V116" s="59">
        <f t="shared" si="531"/>
        <v>30117.953711999999</v>
      </c>
      <c r="W116" s="60">
        <f t="shared" si="532"/>
        <v>8901.1999999999989</v>
      </c>
      <c r="X116" s="59">
        <f t="shared" si="533"/>
        <v>29425.586959999997</v>
      </c>
      <c r="Y116" s="57">
        <f t="shared" si="534"/>
        <v>8691.76</v>
      </c>
      <c r="Z116" s="59">
        <f t="shared" si="535"/>
        <v>28733.220208000002</v>
      </c>
      <c r="AA116" s="55">
        <f t="shared" si="536"/>
        <v>8482.32</v>
      </c>
      <c r="AB116" s="59">
        <f t="shared" si="537"/>
        <v>28040.853456000001</v>
      </c>
      <c r="AC116" s="60">
        <f t="shared" si="538"/>
        <v>8272.8799999999992</v>
      </c>
      <c r="AD116" s="59">
        <f t="shared" si="539"/>
        <v>27348.486703999999</v>
      </c>
      <c r="AE116" s="60">
        <f t="shared" si="540"/>
        <v>8063.4399999999987</v>
      </c>
      <c r="AF116" s="59">
        <f t="shared" si="541"/>
        <v>26656.119951999997</v>
      </c>
      <c r="AG116" s="60">
        <f t="shared" si="542"/>
        <v>7853.9999999999991</v>
      </c>
      <c r="AH116" s="59">
        <f t="shared" si="543"/>
        <v>25963.753199999999</v>
      </c>
      <c r="AI116" s="55">
        <f t="shared" si="544"/>
        <v>7644.5599999999986</v>
      </c>
      <c r="AJ116" s="59">
        <f t="shared" si="545"/>
        <v>25271.386447999997</v>
      </c>
      <c r="AK116" s="60">
        <f t="shared" si="546"/>
        <v>7435.1199999999981</v>
      </c>
      <c r="AL116" s="59">
        <f t="shared" si="547"/>
        <v>24579.019695999996</v>
      </c>
      <c r="AM116" s="60">
        <f t="shared" si="548"/>
        <v>7225.6799999999985</v>
      </c>
      <c r="AN116" s="59">
        <f t="shared" si="549"/>
        <v>23886.652943999994</v>
      </c>
      <c r="AO116" s="60">
        <f t="shared" si="550"/>
        <v>7016.239999999998</v>
      </c>
      <c r="AP116" s="59">
        <f t="shared" si="551"/>
        <v>23194.286191999992</v>
      </c>
      <c r="AQ116" s="60">
        <f t="shared" si="552"/>
        <v>6806.7999999999975</v>
      </c>
      <c r="AR116" s="59">
        <f t="shared" si="553"/>
        <v>22501.919439999991</v>
      </c>
      <c r="AS116" s="55">
        <f t="shared" si="554"/>
        <v>6597.3599999999979</v>
      </c>
      <c r="AT116" s="59">
        <f t="shared" si="555"/>
        <v>21809.552687999992</v>
      </c>
      <c r="AU116" s="60">
        <f t="shared" si="556"/>
        <v>6387.9199999999973</v>
      </c>
      <c r="AV116" s="59">
        <f t="shared" si="557"/>
        <v>21117.185935999991</v>
      </c>
      <c r="AW116" s="60">
        <f t="shared" si="558"/>
        <v>6178.4799999999977</v>
      </c>
      <c r="AX116" s="59">
        <f t="shared" si="559"/>
        <v>20424.819183999993</v>
      </c>
      <c r="AY116" s="55">
        <f t="shared" si="560"/>
        <v>5969.0399999999972</v>
      </c>
      <c r="AZ116" s="59">
        <f t="shared" si="561"/>
        <v>19732.452431999991</v>
      </c>
      <c r="BC116" s="55">
        <v>1</v>
      </c>
      <c r="BD116" s="55">
        <v>0.97</v>
      </c>
      <c r="BE116" s="55">
        <v>0.95</v>
      </c>
      <c r="BF116" s="55">
        <v>0.93</v>
      </c>
      <c r="BG116" s="55">
        <f t="shared" si="655"/>
        <v>0.91</v>
      </c>
      <c r="BH116" s="55">
        <f t="shared" si="655"/>
        <v>0.89</v>
      </c>
      <c r="BI116" s="55">
        <f t="shared" si="655"/>
        <v>0.87</v>
      </c>
      <c r="BJ116" s="55">
        <f t="shared" si="655"/>
        <v>0.85</v>
      </c>
      <c r="BK116" s="55">
        <f t="shared" si="655"/>
        <v>0.83</v>
      </c>
      <c r="BL116" s="55">
        <f t="shared" si="655"/>
        <v>0.80999999999999994</v>
      </c>
      <c r="BM116" s="55">
        <f t="shared" si="655"/>
        <v>0.78999999999999992</v>
      </c>
      <c r="BN116" s="55">
        <f t="shared" si="655"/>
        <v>0.76999999999999991</v>
      </c>
      <c r="BO116" s="55">
        <f t="shared" si="655"/>
        <v>0.74999999999999989</v>
      </c>
      <c r="BP116" s="55">
        <f t="shared" si="655"/>
        <v>0.72999999999999987</v>
      </c>
      <c r="BQ116" s="55">
        <f t="shared" si="655"/>
        <v>0.70999999999999985</v>
      </c>
      <c r="BR116" s="55">
        <f t="shared" si="655"/>
        <v>0.68999999999999984</v>
      </c>
      <c r="BS116" s="55">
        <f t="shared" si="655"/>
        <v>0.66999999999999982</v>
      </c>
      <c r="BT116" s="55">
        <f t="shared" si="655"/>
        <v>0.6499999999999998</v>
      </c>
      <c r="BU116" s="55">
        <f t="shared" si="655"/>
        <v>0.62999999999999978</v>
      </c>
      <c r="BV116" s="55">
        <f t="shared" si="655"/>
        <v>0.60999999999999976</v>
      </c>
      <c r="BW116" s="55">
        <f t="shared" si="655"/>
        <v>0.58999999999999975</v>
      </c>
      <c r="BX116" s="55">
        <f t="shared" si="655"/>
        <v>0.56999999999999973</v>
      </c>
      <c r="BZ116" s="55">
        <f t="shared" si="512"/>
        <v>9529.52</v>
      </c>
      <c r="CA116" s="55">
        <f t="shared" si="513"/>
        <v>9529.52</v>
      </c>
      <c r="CB116" s="59">
        <f t="shared" si="563"/>
        <v>31502.687216000002</v>
      </c>
      <c r="CC116" s="55">
        <f t="shared" si="564"/>
        <v>9243.6344000000008</v>
      </c>
      <c r="CD116" s="59">
        <f t="shared" si="565"/>
        <v>30557.606599520004</v>
      </c>
      <c r="CE116" s="55">
        <f t="shared" si="566"/>
        <v>9053.0439999999999</v>
      </c>
      <c r="CF116" s="59">
        <f t="shared" si="567"/>
        <v>29927.5528552</v>
      </c>
      <c r="CG116" s="55">
        <f t="shared" si="568"/>
        <v>8862.4536000000007</v>
      </c>
      <c r="CH116" s="59">
        <f t="shared" si="569"/>
        <v>29297.499110880002</v>
      </c>
      <c r="CI116" s="57">
        <f t="shared" si="570"/>
        <v>8671.8632000000016</v>
      </c>
      <c r="CJ116" s="59">
        <f t="shared" si="571"/>
        <v>28667.445366560005</v>
      </c>
      <c r="CK116" s="55">
        <f t="shared" si="572"/>
        <v>8481.2728000000006</v>
      </c>
      <c r="CL116" s="59">
        <f t="shared" si="573"/>
        <v>28037.391622240004</v>
      </c>
      <c r="CM116" s="57">
        <f t="shared" si="574"/>
        <v>8290.6823999999997</v>
      </c>
      <c r="CN116" s="59">
        <f t="shared" si="575"/>
        <v>27407.337877919999</v>
      </c>
      <c r="CO116" s="60">
        <f t="shared" si="576"/>
        <v>8100.0920000000006</v>
      </c>
      <c r="CP116" s="59">
        <f t="shared" si="577"/>
        <v>26777.284133600002</v>
      </c>
      <c r="CQ116" s="57">
        <f t="shared" si="578"/>
        <v>7909.5015999999996</v>
      </c>
      <c r="CR116" s="59">
        <f t="shared" si="579"/>
        <v>26147.230389280001</v>
      </c>
      <c r="CS116" s="55">
        <f t="shared" si="580"/>
        <v>7718.9111999999996</v>
      </c>
      <c r="CT116" s="59">
        <f t="shared" si="581"/>
        <v>25517.17664496</v>
      </c>
      <c r="CU116" s="60">
        <f t="shared" si="582"/>
        <v>7528.3207999999995</v>
      </c>
      <c r="CV116" s="59">
        <f t="shared" si="583"/>
        <v>24887.122900639999</v>
      </c>
      <c r="CW116" s="60">
        <f t="shared" si="584"/>
        <v>7337.7303999999995</v>
      </c>
      <c r="CX116" s="59">
        <f t="shared" si="585"/>
        <v>24257.069156319998</v>
      </c>
      <c r="CY116" s="60">
        <f t="shared" si="586"/>
        <v>7147.1399999999994</v>
      </c>
      <c r="CZ116" s="59">
        <f t="shared" si="587"/>
        <v>23627.015411999997</v>
      </c>
      <c r="DA116" s="55">
        <f t="shared" si="588"/>
        <v>6956.5495999999994</v>
      </c>
      <c r="DB116" s="59">
        <f t="shared" si="589"/>
        <v>22996.96166768</v>
      </c>
      <c r="DC116" s="60">
        <f t="shared" si="590"/>
        <v>6765.9591999999993</v>
      </c>
      <c r="DD116" s="59">
        <f t="shared" si="591"/>
        <v>22366.907923359999</v>
      </c>
      <c r="DE116" s="60">
        <f t="shared" si="592"/>
        <v>6575.3687999999984</v>
      </c>
      <c r="DF116" s="59">
        <f t="shared" si="593"/>
        <v>21736.854179039994</v>
      </c>
      <c r="DG116" s="60">
        <f t="shared" si="594"/>
        <v>6384.7783999999983</v>
      </c>
      <c r="DH116" s="59">
        <f t="shared" si="595"/>
        <v>21106.800434719997</v>
      </c>
      <c r="DI116" s="60">
        <f t="shared" si="596"/>
        <v>6194.1879999999983</v>
      </c>
      <c r="DJ116" s="59">
        <f t="shared" si="597"/>
        <v>20476.746690399996</v>
      </c>
      <c r="DK116" s="55">
        <f t="shared" si="598"/>
        <v>6003.5975999999982</v>
      </c>
      <c r="DL116" s="59">
        <f t="shared" si="599"/>
        <v>19846.692946079995</v>
      </c>
      <c r="DM116" s="60">
        <f t="shared" si="600"/>
        <v>5813.0071999999982</v>
      </c>
      <c r="DN116" s="59">
        <f t="shared" si="601"/>
        <v>19216.639201759994</v>
      </c>
      <c r="DO116" s="60">
        <f t="shared" si="602"/>
        <v>5622.4167999999981</v>
      </c>
      <c r="DP116" s="59">
        <f t="shared" si="603"/>
        <v>18586.585457439993</v>
      </c>
      <c r="DQ116" s="55">
        <f t="shared" si="604"/>
        <v>5431.8263999999981</v>
      </c>
      <c r="DR116" s="59">
        <f t="shared" si="605"/>
        <v>17956.531713119995</v>
      </c>
      <c r="DU116" s="55">
        <v>1</v>
      </c>
      <c r="DV116" s="55">
        <v>0.97</v>
      </c>
      <c r="DW116" s="55">
        <v>0.95</v>
      </c>
      <c r="DX116" s="55">
        <v>0.93</v>
      </c>
      <c r="DY116" s="55">
        <f t="shared" si="658"/>
        <v>0.91</v>
      </c>
      <c r="DZ116" s="55">
        <f t="shared" si="658"/>
        <v>0.89</v>
      </c>
      <c r="EA116" s="55">
        <f t="shared" si="658"/>
        <v>0.87</v>
      </c>
      <c r="EB116" s="55">
        <f t="shared" si="658"/>
        <v>0.85</v>
      </c>
      <c r="EC116" s="55">
        <f t="shared" si="658"/>
        <v>0.83</v>
      </c>
      <c r="ED116" s="55">
        <f t="shared" si="658"/>
        <v>0.80999999999999994</v>
      </c>
      <c r="EE116" s="55">
        <f t="shared" si="658"/>
        <v>0.78999999999999992</v>
      </c>
      <c r="EF116" s="55">
        <f t="shared" si="658"/>
        <v>0.76999999999999991</v>
      </c>
      <c r="EG116" s="55">
        <f t="shared" si="658"/>
        <v>0.74999999999999989</v>
      </c>
      <c r="EH116" s="55">
        <f t="shared" si="658"/>
        <v>0.72999999999999987</v>
      </c>
      <c r="EI116" s="55">
        <f t="shared" si="658"/>
        <v>0.70999999999999985</v>
      </c>
      <c r="EJ116" s="55">
        <f t="shared" si="658"/>
        <v>0.68999999999999984</v>
      </c>
      <c r="EK116" s="55">
        <f t="shared" si="658"/>
        <v>0.66999999999999982</v>
      </c>
      <c r="EL116" s="55">
        <f t="shared" si="658"/>
        <v>0.6499999999999998</v>
      </c>
      <c r="EM116" s="55">
        <f t="shared" si="658"/>
        <v>0.62999999999999978</v>
      </c>
      <c r="EN116" s="55">
        <f t="shared" si="658"/>
        <v>0.60999999999999976</v>
      </c>
      <c r="EO116" s="55">
        <f t="shared" si="658"/>
        <v>0.58999999999999975</v>
      </c>
      <c r="EP116" s="55">
        <f t="shared" si="658"/>
        <v>0.56999999999999973</v>
      </c>
      <c r="ER116" s="55">
        <f t="shared" si="652"/>
        <v>8671.8632000000016</v>
      </c>
      <c r="ES116" s="55">
        <f t="shared" si="514"/>
        <v>8671.8632000000016</v>
      </c>
      <c r="ET116" s="59">
        <f t="shared" si="606"/>
        <v>28667.445366560005</v>
      </c>
      <c r="EU116" s="55">
        <f t="shared" si="607"/>
        <v>8411.7073040000014</v>
      </c>
      <c r="EV116" s="59">
        <f t="shared" si="608"/>
        <v>27807.422005563207</v>
      </c>
      <c r="EW116" s="55">
        <f t="shared" si="609"/>
        <v>8238.2700400000012</v>
      </c>
      <c r="EX116" s="59">
        <f t="shared" si="610"/>
        <v>27234.073098232006</v>
      </c>
      <c r="EY116" s="55">
        <f t="shared" si="611"/>
        <v>8064.832776000002</v>
      </c>
      <c r="EZ116" s="59">
        <f t="shared" si="612"/>
        <v>26660.724190900808</v>
      </c>
      <c r="FA116" s="57">
        <f t="shared" si="613"/>
        <v>7891.3955120000019</v>
      </c>
      <c r="FB116" s="59">
        <f t="shared" si="614"/>
        <v>26087.375283569607</v>
      </c>
      <c r="FC116" s="55">
        <f t="shared" si="615"/>
        <v>7717.9582480000017</v>
      </c>
      <c r="FD116" s="59">
        <f t="shared" si="616"/>
        <v>25514.026376238406</v>
      </c>
      <c r="FE116" s="57">
        <f t="shared" si="617"/>
        <v>7544.5209840000016</v>
      </c>
      <c r="FF116" s="59">
        <f t="shared" si="618"/>
        <v>24940.677468907204</v>
      </c>
      <c r="FG116" s="60">
        <f t="shared" si="619"/>
        <v>7371.0837200000014</v>
      </c>
      <c r="FH116" s="59">
        <f t="shared" si="620"/>
        <v>24367.328561576007</v>
      </c>
      <c r="FI116" s="57">
        <f t="shared" si="621"/>
        <v>7197.6464560000013</v>
      </c>
      <c r="FJ116" s="59">
        <f t="shared" si="622"/>
        <v>23793.979654244806</v>
      </c>
      <c r="FK116" s="55">
        <f t="shared" si="623"/>
        <v>7024.2091920000012</v>
      </c>
      <c r="FL116" s="59">
        <f t="shared" si="624"/>
        <v>23220.630746913605</v>
      </c>
      <c r="FM116" s="60">
        <f t="shared" si="625"/>
        <v>6850.771928000001</v>
      </c>
      <c r="FN116" s="59">
        <f t="shared" si="626"/>
        <v>22647.281839582403</v>
      </c>
      <c r="FO116" s="60">
        <f t="shared" si="627"/>
        <v>6677.334664</v>
      </c>
      <c r="FP116" s="59">
        <f t="shared" si="628"/>
        <v>22073.932932251202</v>
      </c>
      <c r="FQ116" s="60">
        <f t="shared" si="629"/>
        <v>6503.8973999999998</v>
      </c>
      <c r="FR116" s="59">
        <f t="shared" si="630"/>
        <v>21500.584024920001</v>
      </c>
      <c r="FS116" s="55">
        <f t="shared" si="631"/>
        <v>6330.4601359999997</v>
      </c>
      <c r="FT116" s="59">
        <f t="shared" si="632"/>
        <v>20927.2351175888</v>
      </c>
      <c r="FU116" s="60">
        <f t="shared" si="633"/>
        <v>6157.0228719999996</v>
      </c>
      <c r="FV116" s="59">
        <f t="shared" si="634"/>
        <v>20353.886210257599</v>
      </c>
      <c r="FW116" s="60">
        <f t="shared" si="635"/>
        <v>5983.5856079999994</v>
      </c>
      <c r="FX116" s="59">
        <f t="shared" si="636"/>
        <v>19780.537302926397</v>
      </c>
      <c r="FY116" s="60">
        <f t="shared" si="637"/>
        <v>5810.1483439999993</v>
      </c>
      <c r="FZ116" s="59">
        <f t="shared" si="638"/>
        <v>19207.188395595196</v>
      </c>
      <c r="GA116" s="60">
        <f t="shared" si="639"/>
        <v>5636.7110799999991</v>
      </c>
      <c r="GB116" s="59">
        <f t="shared" si="640"/>
        <v>18633.839488263999</v>
      </c>
      <c r="GC116" s="55">
        <f t="shared" si="641"/>
        <v>5463.273815999999</v>
      </c>
      <c r="GD116" s="59">
        <f t="shared" si="642"/>
        <v>18060.490580932797</v>
      </c>
      <c r="GE116" s="60">
        <f t="shared" si="643"/>
        <v>5289.8365519999988</v>
      </c>
      <c r="GF116" s="59">
        <f t="shared" si="644"/>
        <v>17487.141673601596</v>
      </c>
      <c r="GG116" s="60">
        <f t="shared" si="645"/>
        <v>5116.3992879999987</v>
      </c>
      <c r="GH116" s="59">
        <f t="shared" si="646"/>
        <v>16913.792766270395</v>
      </c>
      <c r="GI116" s="55">
        <f t="shared" si="647"/>
        <v>4942.9620239999986</v>
      </c>
      <c r="GJ116" s="59">
        <f t="shared" si="648"/>
        <v>16340.443858939196</v>
      </c>
      <c r="GK116" s="55"/>
      <c r="GL116" s="55"/>
      <c r="GM116" s="55">
        <v>1</v>
      </c>
      <c r="GN116" s="55">
        <v>0.97</v>
      </c>
      <c r="GO116" s="55">
        <v>0.95</v>
      </c>
      <c r="GP116" s="55">
        <v>0.93</v>
      </c>
      <c r="GQ116" s="55">
        <f t="shared" si="659"/>
        <v>0.91</v>
      </c>
      <c r="GR116" s="55">
        <f t="shared" si="659"/>
        <v>0.89</v>
      </c>
      <c r="GS116" s="55">
        <f t="shared" si="659"/>
        <v>0.87</v>
      </c>
      <c r="GT116" s="55">
        <f t="shared" si="659"/>
        <v>0.85</v>
      </c>
      <c r="GU116" s="55">
        <f t="shared" si="659"/>
        <v>0.83</v>
      </c>
      <c r="GV116" s="55">
        <f t="shared" si="659"/>
        <v>0.80999999999999994</v>
      </c>
      <c r="GW116" s="55">
        <f t="shared" si="659"/>
        <v>0.78999999999999992</v>
      </c>
      <c r="GX116" s="55">
        <f t="shared" si="659"/>
        <v>0.76999999999999991</v>
      </c>
      <c r="GY116" s="55">
        <f t="shared" si="659"/>
        <v>0.74999999999999989</v>
      </c>
      <c r="GZ116" s="55">
        <f t="shared" si="659"/>
        <v>0.72999999999999987</v>
      </c>
      <c r="HA116" s="55">
        <f t="shared" si="659"/>
        <v>0.70999999999999985</v>
      </c>
      <c r="HB116" s="55">
        <f t="shared" si="659"/>
        <v>0.68999999999999984</v>
      </c>
      <c r="HC116" s="55">
        <f t="shared" si="659"/>
        <v>0.66999999999999982</v>
      </c>
      <c r="HD116" s="55">
        <f t="shared" si="659"/>
        <v>0.6499999999999998</v>
      </c>
      <c r="HE116" s="55">
        <f t="shared" si="659"/>
        <v>0.62999999999999978</v>
      </c>
      <c r="HF116" s="55">
        <f t="shared" si="659"/>
        <v>0.60999999999999976</v>
      </c>
      <c r="HG116" s="55">
        <f t="shared" si="659"/>
        <v>0.58999999999999975</v>
      </c>
      <c r="HH116" s="55">
        <f t="shared" si="659"/>
        <v>0.56999999999999973</v>
      </c>
    </row>
    <row r="117" spans="1:216" x14ac:dyDescent="0.3">
      <c r="A117" s="2">
        <v>20</v>
      </c>
      <c r="C117" s="38" t="s">
        <v>149</v>
      </c>
      <c r="D117" s="42">
        <f>TRUNC(118137,-1)</f>
        <v>118130</v>
      </c>
      <c r="E117" s="71">
        <f t="shared" si="519"/>
        <v>390510</v>
      </c>
      <c r="H117" s="55">
        <f t="shared" si="509"/>
        <v>429561.00000000006</v>
      </c>
      <c r="I117" s="55">
        <f t="shared" si="510"/>
        <v>429561.00000000006</v>
      </c>
      <c r="J117" s="59">
        <f t="shared" si="511"/>
        <v>1420042.7538000003</v>
      </c>
      <c r="K117" s="55">
        <f t="shared" si="520"/>
        <v>416674.17000000004</v>
      </c>
      <c r="L117" s="59">
        <f t="shared" si="521"/>
        <v>1377441.4711860002</v>
      </c>
      <c r="M117" s="55">
        <f t="shared" si="522"/>
        <v>408082.95</v>
      </c>
      <c r="N117" s="59">
        <f t="shared" si="523"/>
        <v>1349040.6161100001</v>
      </c>
      <c r="O117" s="55">
        <f t="shared" si="524"/>
        <v>399491.7300000001</v>
      </c>
      <c r="P117" s="59">
        <f t="shared" si="525"/>
        <v>1320639.7610340004</v>
      </c>
      <c r="Q117" s="57">
        <f t="shared" si="526"/>
        <v>390900.51000000007</v>
      </c>
      <c r="R117" s="59">
        <f t="shared" si="527"/>
        <v>1292238.9059580003</v>
      </c>
      <c r="S117" s="55">
        <f t="shared" si="528"/>
        <v>382309.29000000004</v>
      </c>
      <c r="T117" s="59">
        <f t="shared" si="529"/>
        <v>1263838.0508820002</v>
      </c>
      <c r="U117" s="57">
        <f t="shared" si="530"/>
        <v>373718.07000000007</v>
      </c>
      <c r="V117" s="59">
        <f t="shared" si="531"/>
        <v>1235437.1958060001</v>
      </c>
      <c r="W117" s="60">
        <f t="shared" si="532"/>
        <v>365126.85000000003</v>
      </c>
      <c r="X117" s="59">
        <f t="shared" si="533"/>
        <v>1207036.3407300001</v>
      </c>
      <c r="Y117" s="57">
        <f t="shared" si="534"/>
        <v>356535.63</v>
      </c>
      <c r="Z117" s="59">
        <f t="shared" si="535"/>
        <v>1178635.485654</v>
      </c>
      <c r="AA117" s="55">
        <f t="shared" si="536"/>
        <v>347944.41000000003</v>
      </c>
      <c r="AB117" s="59">
        <f t="shared" si="537"/>
        <v>1150234.6305780001</v>
      </c>
      <c r="AC117" s="60">
        <f t="shared" si="538"/>
        <v>339353.19</v>
      </c>
      <c r="AD117" s="59">
        <f t="shared" si="539"/>
        <v>1121833.775502</v>
      </c>
      <c r="AE117" s="60">
        <f t="shared" si="540"/>
        <v>330761.97000000003</v>
      </c>
      <c r="AF117" s="59">
        <f t="shared" si="541"/>
        <v>1093432.9204260001</v>
      </c>
      <c r="AG117" s="60">
        <f t="shared" si="542"/>
        <v>322170.75</v>
      </c>
      <c r="AH117" s="59">
        <f t="shared" si="543"/>
        <v>1065032.06535</v>
      </c>
      <c r="AI117" s="55">
        <f t="shared" si="544"/>
        <v>313579.52999999997</v>
      </c>
      <c r="AJ117" s="59">
        <f t="shared" si="545"/>
        <v>1036631.210274</v>
      </c>
      <c r="AK117" s="60">
        <f t="shared" si="546"/>
        <v>304988.31</v>
      </c>
      <c r="AL117" s="59">
        <f t="shared" si="547"/>
        <v>1008230.355198</v>
      </c>
      <c r="AM117" s="60">
        <f t="shared" si="548"/>
        <v>296397.08999999997</v>
      </c>
      <c r="AN117" s="59">
        <f t="shared" si="549"/>
        <v>979829.50012199988</v>
      </c>
      <c r="AO117" s="60">
        <f t="shared" si="550"/>
        <v>287805.86999999994</v>
      </c>
      <c r="AP117" s="59">
        <f t="shared" si="551"/>
        <v>951428.64504599979</v>
      </c>
      <c r="AQ117" s="60">
        <f t="shared" si="552"/>
        <v>279214.64999999997</v>
      </c>
      <c r="AR117" s="59">
        <f t="shared" si="553"/>
        <v>923027.78996999993</v>
      </c>
      <c r="AS117" s="55">
        <f t="shared" si="554"/>
        <v>270623.42999999993</v>
      </c>
      <c r="AT117" s="59">
        <f t="shared" si="555"/>
        <v>894626.93489399983</v>
      </c>
      <c r="AU117" s="60">
        <f t="shared" si="556"/>
        <v>262032.20999999993</v>
      </c>
      <c r="AV117" s="59">
        <f t="shared" si="557"/>
        <v>866226.07981799985</v>
      </c>
      <c r="AW117" s="60">
        <f t="shared" si="558"/>
        <v>253440.98999999993</v>
      </c>
      <c r="AX117" s="59">
        <f t="shared" si="559"/>
        <v>837825.22474199976</v>
      </c>
      <c r="AY117" s="55">
        <f t="shared" si="560"/>
        <v>244849.76999999993</v>
      </c>
      <c r="AZ117" s="59">
        <f t="shared" si="561"/>
        <v>809424.36966599978</v>
      </c>
      <c r="BC117" s="55">
        <v>1</v>
      </c>
      <c r="BD117" s="55">
        <v>0.97</v>
      </c>
      <c r="BE117" s="55">
        <v>0.95</v>
      </c>
      <c r="BF117" s="55">
        <v>0.93</v>
      </c>
      <c r="BG117" s="55">
        <f t="shared" si="655"/>
        <v>0.91</v>
      </c>
      <c r="BH117" s="55">
        <f t="shared" si="655"/>
        <v>0.89</v>
      </c>
      <c r="BI117" s="55">
        <f t="shared" si="655"/>
        <v>0.87</v>
      </c>
      <c r="BJ117" s="55">
        <f t="shared" si="655"/>
        <v>0.85</v>
      </c>
      <c r="BK117" s="55">
        <f t="shared" si="655"/>
        <v>0.83</v>
      </c>
      <c r="BL117" s="55">
        <f t="shared" si="655"/>
        <v>0.80999999999999994</v>
      </c>
      <c r="BM117" s="55">
        <f t="shared" si="655"/>
        <v>0.78999999999999992</v>
      </c>
      <c r="BN117" s="55">
        <f t="shared" si="655"/>
        <v>0.76999999999999991</v>
      </c>
      <c r="BO117" s="55">
        <f t="shared" si="655"/>
        <v>0.74999999999999989</v>
      </c>
      <c r="BP117" s="55">
        <f t="shared" si="655"/>
        <v>0.72999999999999987</v>
      </c>
      <c r="BQ117" s="55">
        <f t="shared" si="655"/>
        <v>0.70999999999999985</v>
      </c>
      <c r="BR117" s="55">
        <f t="shared" si="655"/>
        <v>0.68999999999999984</v>
      </c>
      <c r="BS117" s="55">
        <f t="shared" si="655"/>
        <v>0.66999999999999982</v>
      </c>
      <c r="BT117" s="55">
        <f t="shared" si="655"/>
        <v>0.6499999999999998</v>
      </c>
      <c r="BU117" s="55">
        <f t="shared" si="655"/>
        <v>0.62999999999999978</v>
      </c>
      <c r="BV117" s="55">
        <f t="shared" si="655"/>
        <v>0.60999999999999976</v>
      </c>
      <c r="BW117" s="55">
        <f t="shared" si="655"/>
        <v>0.58999999999999975</v>
      </c>
      <c r="BX117" s="55">
        <f t="shared" si="655"/>
        <v>0.56999999999999973</v>
      </c>
      <c r="BZ117" s="55">
        <f t="shared" si="512"/>
        <v>390900.51000000007</v>
      </c>
      <c r="CA117" s="55">
        <f t="shared" si="513"/>
        <v>390900.51000000007</v>
      </c>
      <c r="CB117" s="59">
        <f t="shared" si="563"/>
        <v>1292238.9059580003</v>
      </c>
      <c r="CC117" s="55">
        <f t="shared" si="564"/>
        <v>379173.49470000004</v>
      </c>
      <c r="CD117" s="59">
        <f t="shared" si="565"/>
        <v>1253471.7387792601</v>
      </c>
      <c r="CE117" s="55">
        <f t="shared" si="566"/>
        <v>371355.48450000002</v>
      </c>
      <c r="CF117" s="59">
        <f t="shared" si="567"/>
        <v>1227626.9606601</v>
      </c>
      <c r="CG117" s="55">
        <f t="shared" si="568"/>
        <v>363537.47430000006</v>
      </c>
      <c r="CH117" s="59">
        <f t="shared" si="569"/>
        <v>1201782.1825409401</v>
      </c>
      <c r="CI117" s="57">
        <f t="shared" si="570"/>
        <v>355719.4641000001</v>
      </c>
      <c r="CJ117" s="59">
        <f t="shared" si="571"/>
        <v>1175937.4044217803</v>
      </c>
      <c r="CK117" s="55">
        <f t="shared" si="572"/>
        <v>347901.45390000008</v>
      </c>
      <c r="CL117" s="59">
        <f t="shared" si="573"/>
        <v>1150092.6263026204</v>
      </c>
      <c r="CM117" s="57">
        <f t="shared" si="574"/>
        <v>340083.44370000006</v>
      </c>
      <c r="CN117" s="59">
        <f t="shared" si="575"/>
        <v>1124247.8481834603</v>
      </c>
      <c r="CO117" s="60">
        <f t="shared" si="576"/>
        <v>332265.43350000004</v>
      </c>
      <c r="CP117" s="59">
        <f t="shared" si="577"/>
        <v>1098403.0700643002</v>
      </c>
      <c r="CQ117" s="57">
        <f t="shared" si="578"/>
        <v>324447.42330000002</v>
      </c>
      <c r="CR117" s="59">
        <f t="shared" si="579"/>
        <v>1072558.2919451401</v>
      </c>
      <c r="CS117" s="55">
        <f t="shared" si="580"/>
        <v>316629.41310000001</v>
      </c>
      <c r="CT117" s="59">
        <f t="shared" si="581"/>
        <v>1046713.51382598</v>
      </c>
      <c r="CU117" s="60">
        <f t="shared" si="582"/>
        <v>308811.40290000004</v>
      </c>
      <c r="CV117" s="59">
        <f t="shared" si="583"/>
        <v>1020868.7357068202</v>
      </c>
      <c r="CW117" s="60">
        <f t="shared" si="584"/>
        <v>300993.39270000003</v>
      </c>
      <c r="CX117" s="59">
        <f t="shared" si="585"/>
        <v>995023.95758766006</v>
      </c>
      <c r="CY117" s="60">
        <f t="shared" si="586"/>
        <v>293175.38250000001</v>
      </c>
      <c r="CZ117" s="59">
        <f t="shared" si="587"/>
        <v>969179.17946850008</v>
      </c>
      <c r="DA117" s="55">
        <f t="shared" si="588"/>
        <v>285357.37229999999</v>
      </c>
      <c r="DB117" s="59">
        <f t="shared" si="589"/>
        <v>943334.40134933998</v>
      </c>
      <c r="DC117" s="60">
        <f t="shared" si="590"/>
        <v>277539.36209999997</v>
      </c>
      <c r="DD117" s="59">
        <f t="shared" si="591"/>
        <v>917489.62323017989</v>
      </c>
      <c r="DE117" s="60">
        <f t="shared" si="592"/>
        <v>269721.35190000001</v>
      </c>
      <c r="DF117" s="59">
        <f t="shared" si="593"/>
        <v>891644.84511102003</v>
      </c>
      <c r="DG117" s="60">
        <f t="shared" si="594"/>
        <v>261903.34169999996</v>
      </c>
      <c r="DH117" s="59">
        <f t="shared" si="595"/>
        <v>865800.06699185993</v>
      </c>
      <c r="DI117" s="60">
        <f t="shared" si="596"/>
        <v>254085.33149999997</v>
      </c>
      <c r="DJ117" s="59">
        <f t="shared" si="597"/>
        <v>839955.28887269995</v>
      </c>
      <c r="DK117" s="55">
        <f t="shared" si="598"/>
        <v>246267.32129999995</v>
      </c>
      <c r="DL117" s="59">
        <f t="shared" si="599"/>
        <v>814110.51075353986</v>
      </c>
      <c r="DM117" s="60">
        <f t="shared" si="600"/>
        <v>238449.31109999996</v>
      </c>
      <c r="DN117" s="59">
        <f t="shared" si="601"/>
        <v>788265.73263437988</v>
      </c>
      <c r="DO117" s="60">
        <f t="shared" si="602"/>
        <v>230631.30089999994</v>
      </c>
      <c r="DP117" s="59">
        <f t="shared" si="603"/>
        <v>762420.95451521978</v>
      </c>
      <c r="DQ117" s="55">
        <f t="shared" si="604"/>
        <v>222813.29069999992</v>
      </c>
      <c r="DR117" s="59">
        <f t="shared" si="605"/>
        <v>736576.1763960598</v>
      </c>
      <c r="DU117" s="55">
        <v>1</v>
      </c>
      <c r="DV117" s="55">
        <v>0.97</v>
      </c>
      <c r="DW117" s="55">
        <v>0.95</v>
      </c>
      <c r="DX117" s="55">
        <v>0.93</v>
      </c>
      <c r="DY117" s="55">
        <f t="shared" si="658"/>
        <v>0.91</v>
      </c>
      <c r="DZ117" s="55">
        <f t="shared" si="658"/>
        <v>0.89</v>
      </c>
      <c r="EA117" s="55">
        <f t="shared" si="658"/>
        <v>0.87</v>
      </c>
      <c r="EB117" s="55">
        <f t="shared" si="658"/>
        <v>0.85</v>
      </c>
      <c r="EC117" s="55">
        <f t="shared" si="658"/>
        <v>0.83</v>
      </c>
      <c r="ED117" s="55">
        <f t="shared" si="658"/>
        <v>0.80999999999999994</v>
      </c>
      <c r="EE117" s="55">
        <f t="shared" si="658"/>
        <v>0.78999999999999992</v>
      </c>
      <c r="EF117" s="55">
        <f t="shared" si="658"/>
        <v>0.76999999999999991</v>
      </c>
      <c r="EG117" s="55">
        <f t="shared" si="658"/>
        <v>0.74999999999999989</v>
      </c>
      <c r="EH117" s="55">
        <f t="shared" si="658"/>
        <v>0.72999999999999987</v>
      </c>
      <c r="EI117" s="55">
        <f t="shared" si="658"/>
        <v>0.70999999999999985</v>
      </c>
      <c r="EJ117" s="55">
        <f t="shared" si="658"/>
        <v>0.68999999999999984</v>
      </c>
      <c r="EK117" s="55">
        <f t="shared" si="658"/>
        <v>0.66999999999999982</v>
      </c>
      <c r="EL117" s="55">
        <f t="shared" si="658"/>
        <v>0.6499999999999998</v>
      </c>
      <c r="EM117" s="55">
        <f t="shared" si="658"/>
        <v>0.62999999999999978</v>
      </c>
      <c r="EN117" s="55">
        <f t="shared" si="658"/>
        <v>0.60999999999999976</v>
      </c>
      <c r="EO117" s="55">
        <f t="shared" si="658"/>
        <v>0.58999999999999975</v>
      </c>
      <c r="EP117" s="55">
        <f t="shared" si="658"/>
        <v>0.56999999999999973</v>
      </c>
      <c r="ER117" s="55">
        <f t="shared" si="652"/>
        <v>355719.4641000001</v>
      </c>
      <c r="ES117" s="55">
        <f t="shared" si="514"/>
        <v>355719.4641000001</v>
      </c>
      <c r="ET117" s="59">
        <f t="shared" si="606"/>
        <v>1175937.4044217803</v>
      </c>
      <c r="EU117" s="55">
        <f t="shared" si="607"/>
        <v>345047.88017700007</v>
      </c>
      <c r="EV117" s="59">
        <f t="shared" si="608"/>
        <v>1140659.2822891269</v>
      </c>
      <c r="EW117" s="55">
        <f t="shared" si="609"/>
        <v>337933.49089500005</v>
      </c>
      <c r="EX117" s="59">
        <f t="shared" si="610"/>
        <v>1117140.5342006912</v>
      </c>
      <c r="EY117" s="55">
        <f t="shared" si="611"/>
        <v>330819.10161300009</v>
      </c>
      <c r="EZ117" s="59">
        <f t="shared" si="612"/>
        <v>1093621.7861122556</v>
      </c>
      <c r="FA117" s="57">
        <f t="shared" si="613"/>
        <v>323704.71233100008</v>
      </c>
      <c r="FB117" s="59">
        <f t="shared" si="614"/>
        <v>1070103.0380238201</v>
      </c>
      <c r="FC117" s="55">
        <f t="shared" si="615"/>
        <v>316590.32304900012</v>
      </c>
      <c r="FD117" s="59">
        <f t="shared" si="616"/>
        <v>1046584.2899353846</v>
      </c>
      <c r="FE117" s="57">
        <f t="shared" si="617"/>
        <v>309475.9337670001</v>
      </c>
      <c r="FF117" s="59">
        <f t="shared" si="618"/>
        <v>1023065.5418469489</v>
      </c>
      <c r="FG117" s="60">
        <f t="shared" si="619"/>
        <v>302361.54448500008</v>
      </c>
      <c r="FH117" s="59">
        <f t="shared" si="620"/>
        <v>999546.79375851329</v>
      </c>
      <c r="FI117" s="57">
        <f t="shared" si="621"/>
        <v>295247.15520300006</v>
      </c>
      <c r="FJ117" s="59">
        <f t="shared" si="622"/>
        <v>976028.04567007767</v>
      </c>
      <c r="FK117" s="55">
        <f t="shared" si="623"/>
        <v>288132.76592100004</v>
      </c>
      <c r="FL117" s="59">
        <f t="shared" si="624"/>
        <v>952509.29758164193</v>
      </c>
      <c r="FM117" s="60">
        <f t="shared" si="625"/>
        <v>281018.37663900002</v>
      </c>
      <c r="FN117" s="59">
        <f t="shared" si="626"/>
        <v>928990.54949320632</v>
      </c>
      <c r="FO117" s="60">
        <f t="shared" si="627"/>
        <v>273903.98735700006</v>
      </c>
      <c r="FP117" s="59">
        <f t="shared" si="628"/>
        <v>905471.80140477081</v>
      </c>
      <c r="FQ117" s="60">
        <f t="shared" si="629"/>
        <v>266789.59807500005</v>
      </c>
      <c r="FR117" s="59">
        <f t="shared" si="630"/>
        <v>881953.05331633519</v>
      </c>
      <c r="FS117" s="55">
        <f t="shared" si="631"/>
        <v>259675.20879300003</v>
      </c>
      <c r="FT117" s="59">
        <f t="shared" si="632"/>
        <v>858434.30522789946</v>
      </c>
      <c r="FU117" s="60">
        <f t="shared" si="633"/>
        <v>252560.81951100001</v>
      </c>
      <c r="FV117" s="59">
        <f t="shared" si="634"/>
        <v>834915.55713946384</v>
      </c>
      <c r="FW117" s="60">
        <f t="shared" si="635"/>
        <v>245446.43022900002</v>
      </c>
      <c r="FX117" s="59">
        <f t="shared" si="636"/>
        <v>811396.80905102834</v>
      </c>
      <c r="FY117" s="60">
        <f t="shared" si="637"/>
        <v>238332.040947</v>
      </c>
      <c r="FZ117" s="59">
        <f t="shared" si="638"/>
        <v>787878.0609625926</v>
      </c>
      <c r="GA117" s="60">
        <f t="shared" si="639"/>
        <v>231217.65166499998</v>
      </c>
      <c r="GB117" s="59">
        <f t="shared" si="640"/>
        <v>764359.31287415698</v>
      </c>
      <c r="GC117" s="55">
        <f t="shared" si="641"/>
        <v>224103.26238299999</v>
      </c>
      <c r="GD117" s="59">
        <f t="shared" si="642"/>
        <v>740840.56478572136</v>
      </c>
      <c r="GE117" s="60">
        <f t="shared" si="643"/>
        <v>216988.87310099998</v>
      </c>
      <c r="GF117" s="59">
        <f t="shared" si="644"/>
        <v>717321.81669728574</v>
      </c>
      <c r="GG117" s="60">
        <f t="shared" si="645"/>
        <v>209874.48381899996</v>
      </c>
      <c r="GH117" s="59">
        <f t="shared" si="646"/>
        <v>693803.06860885012</v>
      </c>
      <c r="GI117" s="55">
        <f t="shared" si="647"/>
        <v>202760.09453699997</v>
      </c>
      <c r="GJ117" s="59">
        <f t="shared" si="648"/>
        <v>670284.32052041451</v>
      </c>
      <c r="GK117" s="55"/>
      <c r="GL117" s="55"/>
      <c r="GM117" s="55">
        <v>1</v>
      </c>
      <c r="GN117" s="55">
        <v>0.97</v>
      </c>
      <c r="GO117" s="55">
        <v>0.95</v>
      </c>
      <c r="GP117" s="55">
        <v>0.93</v>
      </c>
      <c r="GQ117" s="55">
        <f t="shared" si="659"/>
        <v>0.91</v>
      </c>
      <c r="GR117" s="55">
        <f t="shared" si="659"/>
        <v>0.89</v>
      </c>
      <c r="GS117" s="55">
        <f t="shared" si="659"/>
        <v>0.87</v>
      </c>
      <c r="GT117" s="55">
        <f t="shared" si="659"/>
        <v>0.85</v>
      </c>
      <c r="GU117" s="55">
        <f t="shared" si="659"/>
        <v>0.83</v>
      </c>
      <c r="GV117" s="55">
        <f t="shared" si="659"/>
        <v>0.80999999999999994</v>
      </c>
      <c r="GW117" s="55">
        <f t="shared" si="659"/>
        <v>0.78999999999999992</v>
      </c>
      <c r="GX117" s="55">
        <f t="shared" si="659"/>
        <v>0.76999999999999991</v>
      </c>
      <c r="GY117" s="55">
        <f t="shared" si="659"/>
        <v>0.74999999999999989</v>
      </c>
      <c r="GZ117" s="55">
        <f t="shared" si="659"/>
        <v>0.72999999999999987</v>
      </c>
      <c r="HA117" s="55">
        <f t="shared" si="659"/>
        <v>0.70999999999999985</v>
      </c>
      <c r="HB117" s="55">
        <f t="shared" si="659"/>
        <v>0.68999999999999984</v>
      </c>
      <c r="HC117" s="55">
        <f t="shared" si="659"/>
        <v>0.66999999999999982</v>
      </c>
      <c r="HD117" s="55">
        <f t="shared" si="659"/>
        <v>0.6499999999999998</v>
      </c>
      <c r="HE117" s="55">
        <f t="shared" si="659"/>
        <v>0.62999999999999978</v>
      </c>
      <c r="HF117" s="55">
        <f t="shared" si="659"/>
        <v>0.60999999999999976</v>
      </c>
      <c r="HG117" s="55">
        <f t="shared" si="659"/>
        <v>0.58999999999999975</v>
      </c>
      <c r="HH117" s="55">
        <f t="shared" si="659"/>
        <v>0.56999999999999973</v>
      </c>
    </row>
    <row r="118" spans="1:216" ht="17.25" thickBot="1" x14ac:dyDescent="0.35">
      <c r="A118" s="2">
        <v>21</v>
      </c>
      <c r="C118" s="38" t="s">
        <v>47</v>
      </c>
      <c r="D118" s="43">
        <f>TRUNC(3675,-1)</f>
        <v>3670</v>
      </c>
      <c r="E118" s="72">
        <f t="shared" si="519"/>
        <v>12130</v>
      </c>
      <c r="F118" s="2" t="s">
        <v>312</v>
      </c>
      <c r="H118" s="55">
        <f t="shared" si="509"/>
        <v>13343.000000000002</v>
      </c>
      <c r="I118" s="55">
        <f t="shared" si="510"/>
        <v>13343.000000000002</v>
      </c>
      <c r="J118" s="59">
        <f t="shared" si="511"/>
        <v>44109.289400000009</v>
      </c>
      <c r="K118" s="55">
        <f t="shared" si="520"/>
        <v>12942.710000000001</v>
      </c>
      <c r="L118" s="59">
        <f t="shared" si="521"/>
        <v>42786.010718000005</v>
      </c>
      <c r="M118" s="55">
        <f t="shared" si="522"/>
        <v>12675.85</v>
      </c>
      <c r="N118" s="59">
        <f t="shared" si="523"/>
        <v>41903.824930000002</v>
      </c>
      <c r="O118" s="55">
        <f t="shared" si="524"/>
        <v>12408.990000000002</v>
      </c>
      <c r="P118" s="59">
        <f t="shared" si="525"/>
        <v>41021.639142000007</v>
      </c>
      <c r="Q118" s="57">
        <f t="shared" si="526"/>
        <v>12142.130000000003</v>
      </c>
      <c r="R118" s="59">
        <f t="shared" si="527"/>
        <v>40139.453354000012</v>
      </c>
      <c r="S118" s="55">
        <f t="shared" si="528"/>
        <v>11875.270000000002</v>
      </c>
      <c r="T118" s="59">
        <f t="shared" si="529"/>
        <v>39257.26756600001</v>
      </c>
      <c r="U118" s="57">
        <f t="shared" si="530"/>
        <v>11608.410000000002</v>
      </c>
      <c r="V118" s="59">
        <f t="shared" si="531"/>
        <v>38375.081778000007</v>
      </c>
      <c r="W118" s="60">
        <f t="shared" si="532"/>
        <v>11341.550000000001</v>
      </c>
      <c r="X118" s="59">
        <f t="shared" si="533"/>
        <v>37492.895990000005</v>
      </c>
      <c r="Y118" s="57">
        <f t="shared" si="534"/>
        <v>11074.69</v>
      </c>
      <c r="Z118" s="59">
        <f t="shared" si="535"/>
        <v>36610.710202000002</v>
      </c>
      <c r="AA118" s="55">
        <f t="shared" si="536"/>
        <v>10807.83</v>
      </c>
      <c r="AB118" s="59">
        <f t="shared" si="537"/>
        <v>35728.524414</v>
      </c>
      <c r="AC118" s="60">
        <f t="shared" si="538"/>
        <v>10540.970000000001</v>
      </c>
      <c r="AD118" s="59">
        <f t="shared" si="539"/>
        <v>34846.338626000004</v>
      </c>
      <c r="AE118" s="60">
        <f t="shared" si="540"/>
        <v>10274.11</v>
      </c>
      <c r="AF118" s="59">
        <f t="shared" si="541"/>
        <v>33964.152838000002</v>
      </c>
      <c r="AG118" s="60">
        <f t="shared" si="542"/>
        <v>10007.25</v>
      </c>
      <c r="AH118" s="59">
        <f t="shared" si="543"/>
        <v>33081.967049999999</v>
      </c>
      <c r="AI118" s="55">
        <f t="shared" si="544"/>
        <v>9740.39</v>
      </c>
      <c r="AJ118" s="59">
        <f t="shared" si="545"/>
        <v>32199.781262</v>
      </c>
      <c r="AK118" s="60">
        <f t="shared" si="546"/>
        <v>9473.5299999999988</v>
      </c>
      <c r="AL118" s="59">
        <f t="shared" si="547"/>
        <v>31317.595473999998</v>
      </c>
      <c r="AM118" s="60">
        <f t="shared" si="548"/>
        <v>9206.6699999999983</v>
      </c>
      <c r="AN118" s="59">
        <f t="shared" si="549"/>
        <v>30435.409685999995</v>
      </c>
      <c r="AO118" s="60">
        <f t="shared" si="550"/>
        <v>8939.81</v>
      </c>
      <c r="AP118" s="59">
        <f t="shared" si="551"/>
        <v>29553.223898</v>
      </c>
      <c r="AQ118" s="60">
        <f t="shared" si="552"/>
        <v>8672.9499999999989</v>
      </c>
      <c r="AR118" s="59">
        <f t="shared" si="553"/>
        <v>28671.038109999998</v>
      </c>
      <c r="AS118" s="55">
        <f t="shared" si="554"/>
        <v>8406.0899999999983</v>
      </c>
      <c r="AT118" s="59">
        <f t="shared" si="555"/>
        <v>27788.852321999995</v>
      </c>
      <c r="AU118" s="60">
        <f t="shared" si="556"/>
        <v>8139.2299999999977</v>
      </c>
      <c r="AV118" s="59">
        <f t="shared" si="557"/>
        <v>26906.666533999993</v>
      </c>
      <c r="AW118" s="60">
        <f t="shared" si="558"/>
        <v>7872.3699999999981</v>
      </c>
      <c r="AX118" s="59">
        <f t="shared" si="559"/>
        <v>26024.480745999994</v>
      </c>
      <c r="AY118" s="55">
        <f t="shared" si="560"/>
        <v>7605.5099999999975</v>
      </c>
      <c r="AZ118" s="59">
        <f t="shared" si="561"/>
        <v>25142.294957999991</v>
      </c>
      <c r="BC118" s="55">
        <v>1</v>
      </c>
      <c r="BD118" s="55">
        <v>0.97</v>
      </c>
      <c r="BE118" s="55">
        <v>0.95</v>
      </c>
      <c r="BF118" s="55">
        <v>0.93</v>
      </c>
      <c r="BG118" s="55">
        <f t="shared" si="655"/>
        <v>0.91</v>
      </c>
      <c r="BH118" s="55">
        <f t="shared" si="655"/>
        <v>0.89</v>
      </c>
      <c r="BI118" s="55">
        <f t="shared" si="655"/>
        <v>0.87</v>
      </c>
      <c r="BJ118" s="55">
        <f t="shared" si="655"/>
        <v>0.85</v>
      </c>
      <c r="BK118" s="55">
        <f t="shared" si="655"/>
        <v>0.83</v>
      </c>
      <c r="BL118" s="55">
        <f t="shared" si="655"/>
        <v>0.80999999999999994</v>
      </c>
      <c r="BM118" s="55">
        <f t="shared" si="655"/>
        <v>0.78999999999999992</v>
      </c>
      <c r="BN118" s="55">
        <f t="shared" si="655"/>
        <v>0.76999999999999991</v>
      </c>
      <c r="BO118" s="55">
        <f t="shared" si="655"/>
        <v>0.74999999999999989</v>
      </c>
      <c r="BP118" s="55">
        <f t="shared" si="655"/>
        <v>0.72999999999999987</v>
      </c>
      <c r="BQ118" s="55">
        <f t="shared" si="655"/>
        <v>0.70999999999999985</v>
      </c>
      <c r="BR118" s="55">
        <f t="shared" si="655"/>
        <v>0.68999999999999984</v>
      </c>
      <c r="BS118" s="55">
        <f t="shared" si="655"/>
        <v>0.66999999999999982</v>
      </c>
      <c r="BT118" s="55">
        <f t="shared" si="655"/>
        <v>0.6499999999999998</v>
      </c>
      <c r="BU118" s="55">
        <f t="shared" si="655"/>
        <v>0.62999999999999978</v>
      </c>
      <c r="BV118" s="55">
        <f t="shared" si="655"/>
        <v>0.60999999999999976</v>
      </c>
      <c r="BW118" s="55">
        <f t="shared" si="655"/>
        <v>0.58999999999999975</v>
      </c>
      <c r="BX118" s="55">
        <f t="shared" si="655"/>
        <v>0.56999999999999973</v>
      </c>
      <c r="BZ118" s="55">
        <f t="shared" si="512"/>
        <v>12142.130000000003</v>
      </c>
      <c r="CA118" s="55">
        <f t="shared" si="513"/>
        <v>12142.130000000003</v>
      </c>
      <c r="CB118" s="59">
        <f t="shared" si="563"/>
        <v>40139.453354000012</v>
      </c>
      <c r="CC118" s="55">
        <f t="shared" si="564"/>
        <v>11777.866100000003</v>
      </c>
      <c r="CD118" s="59">
        <f t="shared" si="565"/>
        <v>38935.269753380009</v>
      </c>
      <c r="CE118" s="55">
        <f t="shared" si="566"/>
        <v>11535.023500000003</v>
      </c>
      <c r="CF118" s="59">
        <f t="shared" si="567"/>
        <v>38132.480686300012</v>
      </c>
      <c r="CG118" s="55">
        <f t="shared" si="568"/>
        <v>11292.180900000003</v>
      </c>
      <c r="CH118" s="59">
        <f t="shared" si="569"/>
        <v>37329.691619220008</v>
      </c>
      <c r="CI118" s="57">
        <f t="shared" si="570"/>
        <v>11049.338300000003</v>
      </c>
      <c r="CJ118" s="59">
        <f t="shared" si="571"/>
        <v>36526.902552140011</v>
      </c>
      <c r="CK118" s="55">
        <f t="shared" si="572"/>
        <v>10806.495700000003</v>
      </c>
      <c r="CL118" s="59">
        <f t="shared" si="573"/>
        <v>35724.113485060014</v>
      </c>
      <c r="CM118" s="57">
        <f t="shared" si="574"/>
        <v>10563.653100000003</v>
      </c>
      <c r="CN118" s="59">
        <f t="shared" si="575"/>
        <v>34921.324417980009</v>
      </c>
      <c r="CO118" s="60">
        <f t="shared" si="576"/>
        <v>10320.810500000001</v>
      </c>
      <c r="CP118" s="59">
        <f t="shared" si="577"/>
        <v>34118.535350900005</v>
      </c>
      <c r="CQ118" s="57">
        <f t="shared" si="578"/>
        <v>10077.967900000001</v>
      </c>
      <c r="CR118" s="59">
        <f t="shared" si="579"/>
        <v>33315.746283820008</v>
      </c>
      <c r="CS118" s="55">
        <f t="shared" si="580"/>
        <v>9835.1253000000015</v>
      </c>
      <c r="CT118" s="59">
        <f t="shared" si="581"/>
        <v>32512.957216740007</v>
      </c>
      <c r="CU118" s="60">
        <f t="shared" si="582"/>
        <v>9592.2827000000016</v>
      </c>
      <c r="CV118" s="59">
        <f t="shared" si="583"/>
        <v>31710.168149660007</v>
      </c>
      <c r="CW118" s="60">
        <f t="shared" si="584"/>
        <v>9349.4401000000016</v>
      </c>
      <c r="CX118" s="59">
        <f t="shared" si="585"/>
        <v>30907.379082580006</v>
      </c>
      <c r="CY118" s="60">
        <f t="shared" si="586"/>
        <v>9106.5975000000017</v>
      </c>
      <c r="CZ118" s="59">
        <f t="shared" si="587"/>
        <v>30104.590015500005</v>
      </c>
      <c r="DA118" s="55">
        <f t="shared" si="588"/>
        <v>8863.7548999999999</v>
      </c>
      <c r="DB118" s="59">
        <f t="shared" si="589"/>
        <v>29301.800948420001</v>
      </c>
      <c r="DC118" s="60">
        <f t="shared" si="590"/>
        <v>8620.9123</v>
      </c>
      <c r="DD118" s="59">
        <f t="shared" si="591"/>
        <v>28499.01188134</v>
      </c>
      <c r="DE118" s="60">
        <f t="shared" si="592"/>
        <v>8378.0697</v>
      </c>
      <c r="DF118" s="59">
        <f t="shared" si="593"/>
        <v>27696.22281426</v>
      </c>
      <c r="DG118" s="60">
        <f t="shared" si="594"/>
        <v>8135.2271000000001</v>
      </c>
      <c r="DH118" s="59">
        <f t="shared" si="595"/>
        <v>26893.433747179999</v>
      </c>
      <c r="DI118" s="60">
        <f t="shared" si="596"/>
        <v>7892.3844999999992</v>
      </c>
      <c r="DJ118" s="59">
        <f t="shared" si="597"/>
        <v>26090.644680099998</v>
      </c>
      <c r="DK118" s="55">
        <f t="shared" si="598"/>
        <v>7649.5418999999993</v>
      </c>
      <c r="DL118" s="59">
        <f t="shared" si="599"/>
        <v>25287.855613019998</v>
      </c>
      <c r="DM118" s="60">
        <f t="shared" si="600"/>
        <v>7406.6992999999993</v>
      </c>
      <c r="DN118" s="59">
        <f t="shared" si="601"/>
        <v>24485.066545939997</v>
      </c>
      <c r="DO118" s="60">
        <f t="shared" si="602"/>
        <v>7163.8566999999985</v>
      </c>
      <c r="DP118" s="59">
        <f t="shared" si="603"/>
        <v>23682.277478859996</v>
      </c>
      <c r="DQ118" s="55">
        <f t="shared" si="604"/>
        <v>6921.0140999999985</v>
      </c>
      <c r="DR118" s="59">
        <f t="shared" si="605"/>
        <v>22879.488411779996</v>
      </c>
      <c r="DU118" s="55">
        <v>1</v>
      </c>
      <c r="DV118" s="55">
        <v>0.97</v>
      </c>
      <c r="DW118" s="55">
        <v>0.95</v>
      </c>
      <c r="DX118" s="55">
        <v>0.93</v>
      </c>
      <c r="DY118" s="55">
        <f t="shared" si="658"/>
        <v>0.91</v>
      </c>
      <c r="DZ118" s="55">
        <f t="shared" si="658"/>
        <v>0.89</v>
      </c>
      <c r="EA118" s="55">
        <f t="shared" si="658"/>
        <v>0.87</v>
      </c>
      <c r="EB118" s="55">
        <f t="shared" si="658"/>
        <v>0.85</v>
      </c>
      <c r="EC118" s="55">
        <f t="shared" si="658"/>
        <v>0.83</v>
      </c>
      <c r="ED118" s="55">
        <f t="shared" si="658"/>
        <v>0.80999999999999994</v>
      </c>
      <c r="EE118" s="55">
        <f t="shared" si="658"/>
        <v>0.78999999999999992</v>
      </c>
      <c r="EF118" s="55">
        <f t="shared" si="658"/>
        <v>0.76999999999999991</v>
      </c>
      <c r="EG118" s="55">
        <f t="shared" si="658"/>
        <v>0.74999999999999989</v>
      </c>
      <c r="EH118" s="55">
        <f t="shared" si="658"/>
        <v>0.72999999999999987</v>
      </c>
      <c r="EI118" s="55">
        <f t="shared" si="658"/>
        <v>0.70999999999999985</v>
      </c>
      <c r="EJ118" s="55">
        <f t="shared" si="658"/>
        <v>0.68999999999999984</v>
      </c>
      <c r="EK118" s="55">
        <f t="shared" si="658"/>
        <v>0.66999999999999982</v>
      </c>
      <c r="EL118" s="55">
        <f t="shared" si="658"/>
        <v>0.6499999999999998</v>
      </c>
      <c r="EM118" s="55">
        <f t="shared" si="658"/>
        <v>0.62999999999999978</v>
      </c>
      <c r="EN118" s="55">
        <f t="shared" si="658"/>
        <v>0.60999999999999976</v>
      </c>
      <c r="EO118" s="55">
        <f t="shared" si="658"/>
        <v>0.58999999999999975</v>
      </c>
      <c r="EP118" s="55">
        <f t="shared" si="658"/>
        <v>0.56999999999999973</v>
      </c>
      <c r="ER118" s="55">
        <f t="shared" si="652"/>
        <v>11049.338300000003</v>
      </c>
      <c r="ES118" s="55">
        <f t="shared" si="514"/>
        <v>11049.338300000003</v>
      </c>
      <c r="ET118" s="59">
        <f t="shared" si="606"/>
        <v>36526.902552140011</v>
      </c>
      <c r="EU118" s="55">
        <f t="shared" si="607"/>
        <v>10717.858151000002</v>
      </c>
      <c r="EV118" s="59">
        <f t="shared" si="608"/>
        <v>35431.095475575807</v>
      </c>
      <c r="EW118" s="55">
        <f t="shared" si="609"/>
        <v>10496.871385000002</v>
      </c>
      <c r="EX118" s="59">
        <f t="shared" si="610"/>
        <v>34700.557424533006</v>
      </c>
      <c r="EY118" s="55">
        <f t="shared" si="611"/>
        <v>10275.884619000004</v>
      </c>
      <c r="EZ118" s="59">
        <f t="shared" si="612"/>
        <v>33970.019373490213</v>
      </c>
      <c r="FA118" s="57">
        <f t="shared" si="613"/>
        <v>10054.897853000004</v>
      </c>
      <c r="FB118" s="59">
        <f t="shared" si="614"/>
        <v>33239.481322447413</v>
      </c>
      <c r="FC118" s="55">
        <f t="shared" si="615"/>
        <v>9833.9110870000022</v>
      </c>
      <c r="FD118" s="59">
        <f t="shared" si="616"/>
        <v>32508.943271404609</v>
      </c>
      <c r="FE118" s="57">
        <f t="shared" si="617"/>
        <v>9612.9243210000022</v>
      </c>
      <c r="FF118" s="59">
        <f t="shared" si="618"/>
        <v>31778.405220361808</v>
      </c>
      <c r="FG118" s="60">
        <f t="shared" si="619"/>
        <v>9391.9375550000022</v>
      </c>
      <c r="FH118" s="59">
        <f t="shared" si="620"/>
        <v>31047.867169319008</v>
      </c>
      <c r="FI118" s="57">
        <f t="shared" si="621"/>
        <v>9170.9507890000023</v>
      </c>
      <c r="FJ118" s="59">
        <f t="shared" si="622"/>
        <v>30317.329118276208</v>
      </c>
      <c r="FK118" s="55">
        <f t="shared" si="623"/>
        <v>8949.9640230000023</v>
      </c>
      <c r="FL118" s="59">
        <f t="shared" si="624"/>
        <v>29586.791067233407</v>
      </c>
      <c r="FM118" s="60">
        <f t="shared" si="625"/>
        <v>8728.9772570000023</v>
      </c>
      <c r="FN118" s="59">
        <f t="shared" si="626"/>
        <v>28856.253016190607</v>
      </c>
      <c r="FO118" s="60">
        <f t="shared" si="627"/>
        <v>8507.9904910000005</v>
      </c>
      <c r="FP118" s="59">
        <f t="shared" si="628"/>
        <v>28125.714965147803</v>
      </c>
      <c r="FQ118" s="60">
        <f t="shared" si="629"/>
        <v>8287.0037250000005</v>
      </c>
      <c r="FR118" s="59">
        <f t="shared" si="630"/>
        <v>27395.176914105003</v>
      </c>
      <c r="FS118" s="55">
        <f t="shared" si="631"/>
        <v>8066.0169590000005</v>
      </c>
      <c r="FT118" s="59">
        <f t="shared" si="632"/>
        <v>26664.638863062202</v>
      </c>
      <c r="FU118" s="60">
        <f t="shared" si="633"/>
        <v>7845.0301930000005</v>
      </c>
      <c r="FV118" s="59">
        <f t="shared" si="634"/>
        <v>25934.100812019402</v>
      </c>
      <c r="FW118" s="60">
        <f t="shared" si="635"/>
        <v>7624.0434270000005</v>
      </c>
      <c r="FX118" s="59">
        <f t="shared" si="636"/>
        <v>25203.562760976602</v>
      </c>
      <c r="FY118" s="60">
        <f t="shared" si="637"/>
        <v>7403.0566609999996</v>
      </c>
      <c r="FZ118" s="59">
        <f t="shared" si="638"/>
        <v>24473.024709933798</v>
      </c>
      <c r="GA118" s="60">
        <f t="shared" si="639"/>
        <v>7182.0698949999996</v>
      </c>
      <c r="GB118" s="59">
        <f t="shared" si="640"/>
        <v>23742.486658891001</v>
      </c>
      <c r="GC118" s="55">
        <f t="shared" si="641"/>
        <v>6961.0831289999996</v>
      </c>
      <c r="GD118" s="59">
        <f t="shared" si="642"/>
        <v>23011.9486078482</v>
      </c>
      <c r="GE118" s="60">
        <f t="shared" si="643"/>
        <v>6740.0963629999997</v>
      </c>
      <c r="GF118" s="59">
        <f t="shared" si="644"/>
        <v>22281.4105568054</v>
      </c>
      <c r="GG118" s="60">
        <f t="shared" si="645"/>
        <v>6519.1095969999988</v>
      </c>
      <c r="GH118" s="59">
        <f t="shared" si="646"/>
        <v>21550.872505762596</v>
      </c>
      <c r="GI118" s="55">
        <f t="shared" si="647"/>
        <v>6298.1228309999988</v>
      </c>
      <c r="GJ118" s="59">
        <f t="shared" si="648"/>
        <v>20820.334454719796</v>
      </c>
      <c r="GK118" s="55"/>
      <c r="GL118" s="55"/>
      <c r="GM118" s="55">
        <v>1</v>
      </c>
      <c r="GN118" s="55">
        <v>0.97</v>
      </c>
      <c r="GO118" s="55">
        <v>0.95</v>
      </c>
      <c r="GP118" s="55">
        <v>0.93</v>
      </c>
      <c r="GQ118" s="55">
        <f t="shared" si="659"/>
        <v>0.91</v>
      </c>
      <c r="GR118" s="55">
        <f t="shared" si="659"/>
        <v>0.89</v>
      </c>
      <c r="GS118" s="55">
        <f t="shared" si="659"/>
        <v>0.87</v>
      </c>
      <c r="GT118" s="55">
        <f t="shared" si="659"/>
        <v>0.85</v>
      </c>
      <c r="GU118" s="55">
        <f t="shared" si="659"/>
        <v>0.83</v>
      </c>
      <c r="GV118" s="55">
        <f t="shared" si="659"/>
        <v>0.80999999999999994</v>
      </c>
      <c r="GW118" s="55">
        <f t="shared" si="659"/>
        <v>0.78999999999999992</v>
      </c>
      <c r="GX118" s="55">
        <f t="shared" si="659"/>
        <v>0.76999999999999991</v>
      </c>
      <c r="GY118" s="55">
        <f t="shared" si="659"/>
        <v>0.74999999999999989</v>
      </c>
      <c r="GZ118" s="55">
        <f t="shared" si="659"/>
        <v>0.72999999999999987</v>
      </c>
      <c r="HA118" s="55">
        <f t="shared" si="659"/>
        <v>0.70999999999999985</v>
      </c>
      <c r="HB118" s="55">
        <f t="shared" si="659"/>
        <v>0.68999999999999984</v>
      </c>
      <c r="HC118" s="55">
        <f t="shared" si="659"/>
        <v>0.66999999999999982</v>
      </c>
      <c r="HD118" s="55">
        <f t="shared" si="659"/>
        <v>0.6499999999999998</v>
      </c>
      <c r="HE118" s="55">
        <f t="shared" si="659"/>
        <v>0.62999999999999978</v>
      </c>
      <c r="HF118" s="55">
        <f t="shared" si="659"/>
        <v>0.60999999999999976</v>
      </c>
      <c r="HG118" s="55">
        <f t="shared" si="659"/>
        <v>0.58999999999999975</v>
      </c>
      <c r="HH118" s="55">
        <f t="shared" si="659"/>
        <v>0.56999999999999973</v>
      </c>
    </row>
    <row r="119" spans="1:216" x14ac:dyDescent="0.3">
      <c r="A119" s="2">
        <v>22</v>
      </c>
      <c r="C119" s="27" t="s">
        <v>112</v>
      </c>
      <c r="D119" s="39">
        <f>SUM(D98:D118)</f>
        <v>201600</v>
      </c>
      <c r="E119" s="39">
        <f>SUM(E98:E118)</f>
        <v>666380</v>
      </c>
      <c r="H119" s="55">
        <f t="shared" si="509"/>
        <v>733018.00000000012</v>
      </c>
      <c r="I119" s="55">
        <f t="shared" si="510"/>
        <v>733018.00000000012</v>
      </c>
      <c r="J119" s="59">
        <f t="shared" si="511"/>
        <v>2423210.9044000003</v>
      </c>
      <c r="K119" s="55">
        <f t="shared" si="520"/>
        <v>711027.46000000008</v>
      </c>
      <c r="L119" s="59">
        <f t="shared" si="521"/>
        <v>2350514.5772680002</v>
      </c>
      <c r="M119" s="55">
        <f t="shared" si="522"/>
        <v>696367.10000000009</v>
      </c>
      <c r="N119" s="59">
        <f t="shared" si="523"/>
        <v>2302050.3591800001</v>
      </c>
      <c r="O119" s="55">
        <f t="shared" si="524"/>
        <v>681706.74000000011</v>
      </c>
      <c r="P119" s="59">
        <f t="shared" si="525"/>
        <v>2253586.1410920005</v>
      </c>
      <c r="Q119" s="57">
        <f t="shared" si="526"/>
        <v>667046.38000000012</v>
      </c>
      <c r="R119" s="59">
        <f t="shared" si="527"/>
        <v>2205121.9230040004</v>
      </c>
      <c r="S119" s="55">
        <f t="shared" si="528"/>
        <v>652386.02000000014</v>
      </c>
      <c r="T119" s="59">
        <f t="shared" si="529"/>
        <v>2156657.7049160004</v>
      </c>
      <c r="U119" s="57">
        <f t="shared" si="530"/>
        <v>637725.66000000015</v>
      </c>
      <c r="V119" s="59">
        <f t="shared" si="531"/>
        <v>2108193.4868280008</v>
      </c>
      <c r="W119" s="60">
        <f t="shared" si="532"/>
        <v>623065.30000000005</v>
      </c>
      <c r="X119" s="59">
        <f t="shared" si="533"/>
        <v>2059729.2687400002</v>
      </c>
      <c r="Y119" s="57">
        <f t="shared" si="534"/>
        <v>608404.94000000006</v>
      </c>
      <c r="Z119" s="59">
        <f t="shared" si="535"/>
        <v>2011265.0506520004</v>
      </c>
      <c r="AA119" s="55">
        <f t="shared" si="536"/>
        <v>593744.58000000007</v>
      </c>
      <c r="AB119" s="59">
        <f t="shared" si="537"/>
        <v>1962800.8325640003</v>
      </c>
      <c r="AC119" s="60">
        <f t="shared" si="538"/>
        <v>579084.22000000009</v>
      </c>
      <c r="AD119" s="59">
        <f t="shared" si="539"/>
        <v>1914336.6144760004</v>
      </c>
      <c r="AE119" s="60">
        <f t="shared" si="540"/>
        <v>564423.86</v>
      </c>
      <c r="AF119" s="59">
        <f t="shared" si="541"/>
        <v>1865872.3963880001</v>
      </c>
      <c r="AG119" s="60">
        <f t="shared" si="542"/>
        <v>549763.5</v>
      </c>
      <c r="AH119" s="59">
        <f t="shared" si="543"/>
        <v>1817408.1783</v>
      </c>
      <c r="AI119" s="55">
        <f t="shared" si="544"/>
        <v>535103.14</v>
      </c>
      <c r="AJ119" s="59">
        <f t="shared" si="545"/>
        <v>1768943.9602120002</v>
      </c>
      <c r="AK119" s="60">
        <f t="shared" si="546"/>
        <v>520442.77999999997</v>
      </c>
      <c r="AL119" s="59">
        <f t="shared" si="547"/>
        <v>1720479.7421239999</v>
      </c>
      <c r="AM119" s="60">
        <f t="shared" si="548"/>
        <v>505782.42</v>
      </c>
      <c r="AN119" s="59">
        <f t="shared" si="549"/>
        <v>1672015.524036</v>
      </c>
      <c r="AO119" s="60">
        <f t="shared" si="550"/>
        <v>491122.05999999994</v>
      </c>
      <c r="AP119" s="59">
        <f t="shared" si="551"/>
        <v>1623551.3059479999</v>
      </c>
      <c r="AQ119" s="60">
        <f t="shared" si="552"/>
        <v>476461.69999999995</v>
      </c>
      <c r="AR119" s="59">
        <f t="shared" si="553"/>
        <v>1575087.0878599999</v>
      </c>
      <c r="AS119" s="55">
        <f t="shared" si="554"/>
        <v>461801.33999999991</v>
      </c>
      <c r="AT119" s="59">
        <f t="shared" si="555"/>
        <v>1526622.8697719998</v>
      </c>
      <c r="AU119" s="60">
        <f t="shared" si="556"/>
        <v>447140.97999999992</v>
      </c>
      <c r="AV119" s="59">
        <f t="shared" si="557"/>
        <v>1478158.6516839997</v>
      </c>
      <c r="AW119" s="60">
        <f t="shared" si="558"/>
        <v>432480.61999999988</v>
      </c>
      <c r="AX119" s="59">
        <f t="shared" si="559"/>
        <v>1429694.4335959996</v>
      </c>
      <c r="AY119" s="55">
        <f t="shared" si="560"/>
        <v>417820.25999999989</v>
      </c>
      <c r="AZ119" s="59">
        <f t="shared" si="561"/>
        <v>1381230.2155079998</v>
      </c>
      <c r="BC119" s="55">
        <v>1</v>
      </c>
      <c r="BD119" s="55">
        <v>0.97</v>
      </c>
      <c r="BE119" s="55">
        <v>0.95</v>
      </c>
      <c r="BF119" s="55">
        <v>0.93</v>
      </c>
      <c r="BG119" s="55">
        <f t="shared" si="655"/>
        <v>0.91</v>
      </c>
      <c r="BH119" s="55">
        <f t="shared" si="655"/>
        <v>0.89</v>
      </c>
      <c r="BI119" s="55">
        <f t="shared" si="655"/>
        <v>0.87</v>
      </c>
      <c r="BJ119" s="55">
        <f t="shared" si="655"/>
        <v>0.85</v>
      </c>
      <c r="BK119" s="55">
        <f t="shared" si="655"/>
        <v>0.83</v>
      </c>
      <c r="BL119" s="55">
        <f t="shared" si="655"/>
        <v>0.80999999999999994</v>
      </c>
      <c r="BM119" s="55">
        <f t="shared" si="655"/>
        <v>0.78999999999999992</v>
      </c>
      <c r="BN119" s="55">
        <f t="shared" si="655"/>
        <v>0.76999999999999991</v>
      </c>
      <c r="BO119" s="55">
        <f t="shared" si="655"/>
        <v>0.74999999999999989</v>
      </c>
      <c r="BP119" s="55">
        <f t="shared" si="655"/>
        <v>0.72999999999999987</v>
      </c>
      <c r="BQ119" s="55">
        <f t="shared" si="655"/>
        <v>0.70999999999999985</v>
      </c>
      <c r="BR119" s="55">
        <f t="shared" si="655"/>
        <v>0.68999999999999984</v>
      </c>
      <c r="BS119" s="55">
        <f t="shared" si="655"/>
        <v>0.66999999999999982</v>
      </c>
      <c r="BT119" s="55">
        <f t="shared" si="655"/>
        <v>0.6499999999999998</v>
      </c>
      <c r="BU119" s="55">
        <f t="shared" si="655"/>
        <v>0.62999999999999978</v>
      </c>
      <c r="BV119" s="55">
        <f t="shared" si="655"/>
        <v>0.60999999999999976</v>
      </c>
      <c r="BW119" s="55">
        <f t="shared" si="655"/>
        <v>0.58999999999999975</v>
      </c>
      <c r="BX119" s="55">
        <f t="shared" si="655"/>
        <v>0.56999999999999973</v>
      </c>
      <c r="BZ119" s="55">
        <f t="shared" si="512"/>
        <v>667046.38000000012</v>
      </c>
      <c r="CA119" s="55">
        <f t="shared" si="513"/>
        <v>667046.38000000012</v>
      </c>
      <c r="CB119" s="59">
        <f t="shared" si="563"/>
        <v>2205121.9230040004</v>
      </c>
      <c r="CC119" s="55">
        <f t="shared" si="564"/>
        <v>647034.98860000016</v>
      </c>
      <c r="CD119" s="59">
        <f t="shared" si="565"/>
        <v>2138968.2653138805</v>
      </c>
      <c r="CE119" s="55">
        <f t="shared" si="566"/>
        <v>633694.0610000001</v>
      </c>
      <c r="CF119" s="59">
        <f t="shared" si="567"/>
        <v>2094865.8268538003</v>
      </c>
      <c r="CG119" s="55">
        <f t="shared" si="568"/>
        <v>620353.13340000017</v>
      </c>
      <c r="CH119" s="59">
        <f t="shared" si="569"/>
        <v>2050763.3883937206</v>
      </c>
      <c r="CI119" s="57">
        <f t="shared" si="570"/>
        <v>607012.20580000011</v>
      </c>
      <c r="CJ119" s="59">
        <f t="shared" si="571"/>
        <v>2006660.9499336404</v>
      </c>
      <c r="CK119" s="55">
        <f t="shared" si="572"/>
        <v>593671.27820000006</v>
      </c>
      <c r="CL119" s="59">
        <f t="shared" si="573"/>
        <v>1962558.5114735602</v>
      </c>
      <c r="CM119" s="57">
        <f t="shared" si="574"/>
        <v>580330.35060000012</v>
      </c>
      <c r="CN119" s="59">
        <f t="shared" si="575"/>
        <v>1918456.0730134805</v>
      </c>
      <c r="CO119" s="60">
        <f t="shared" si="576"/>
        <v>566989.42300000007</v>
      </c>
      <c r="CP119" s="59">
        <f t="shared" si="577"/>
        <v>1874353.6345534003</v>
      </c>
      <c r="CQ119" s="57">
        <f t="shared" si="578"/>
        <v>553648.49540000013</v>
      </c>
      <c r="CR119" s="59">
        <f t="shared" si="579"/>
        <v>1830251.1960933204</v>
      </c>
      <c r="CS119" s="55">
        <f t="shared" si="580"/>
        <v>540307.56780000008</v>
      </c>
      <c r="CT119" s="59">
        <f t="shared" si="581"/>
        <v>1786148.7576332402</v>
      </c>
      <c r="CU119" s="60">
        <f t="shared" si="582"/>
        <v>526966.64020000002</v>
      </c>
      <c r="CV119" s="59">
        <f t="shared" si="583"/>
        <v>1742046.31917316</v>
      </c>
      <c r="CW119" s="60">
        <f t="shared" si="584"/>
        <v>513625.71260000003</v>
      </c>
      <c r="CX119" s="59">
        <f t="shared" si="585"/>
        <v>1697943.8807130801</v>
      </c>
      <c r="CY119" s="60">
        <f t="shared" si="586"/>
        <v>500284.78500000003</v>
      </c>
      <c r="CZ119" s="59">
        <f t="shared" si="587"/>
        <v>1653841.4422530001</v>
      </c>
      <c r="DA119" s="55">
        <f t="shared" si="588"/>
        <v>486943.85739999998</v>
      </c>
      <c r="DB119" s="59">
        <f t="shared" si="589"/>
        <v>1609739.0037929199</v>
      </c>
      <c r="DC119" s="60">
        <f t="shared" si="590"/>
        <v>473602.92979999998</v>
      </c>
      <c r="DD119" s="59">
        <f t="shared" si="591"/>
        <v>1565636.56533284</v>
      </c>
      <c r="DE119" s="60">
        <f t="shared" si="592"/>
        <v>460262.00219999999</v>
      </c>
      <c r="DF119" s="59">
        <f t="shared" si="593"/>
        <v>1521534.12687276</v>
      </c>
      <c r="DG119" s="60">
        <f t="shared" si="594"/>
        <v>446921.07459999993</v>
      </c>
      <c r="DH119" s="59">
        <f t="shared" si="595"/>
        <v>1477431.6884126798</v>
      </c>
      <c r="DI119" s="60">
        <f t="shared" si="596"/>
        <v>433580.14699999994</v>
      </c>
      <c r="DJ119" s="59">
        <f t="shared" si="597"/>
        <v>1433329.2499525999</v>
      </c>
      <c r="DK119" s="55">
        <f t="shared" si="598"/>
        <v>420239.21939999994</v>
      </c>
      <c r="DL119" s="59">
        <f t="shared" si="599"/>
        <v>1389226.8114925199</v>
      </c>
      <c r="DM119" s="60">
        <f t="shared" si="600"/>
        <v>406898.29179999989</v>
      </c>
      <c r="DN119" s="59">
        <f t="shared" si="601"/>
        <v>1345124.3730324397</v>
      </c>
      <c r="DO119" s="60">
        <f t="shared" si="602"/>
        <v>393557.36419999989</v>
      </c>
      <c r="DP119" s="59">
        <f t="shared" si="603"/>
        <v>1301021.9345723598</v>
      </c>
      <c r="DQ119" s="55">
        <f t="shared" si="604"/>
        <v>380216.4365999999</v>
      </c>
      <c r="DR119" s="59">
        <f t="shared" si="605"/>
        <v>1256919.4961122796</v>
      </c>
      <c r="DU119" s="55">
        <v>1</v>
      </c>
      <c r="DV119" s="55">
        <v>0.97</v>
      </c>
      <c r="DW119" s="55">
        <v>0.95</v>
      </c>
      <c r="DX119" s="55">
        <v>0.93</v>
      </c>
      <c r="DY119" s="55">
        <f t="shared" si="658"/>
        <v>0.91</v>
      </c>
      <c r="DZ119" s="55">
        <f t="shared" si="658"/>
        <v>0.89</v>
      </c>
      <c r="EA119" s="55">
        <f t="shared" si="658"/>
        <v>0.87</v>
      </c>
      <c r="EB119" s="55">
        <f t="shared" si="658"/>
        <v>0.85</v>
      </c>
      <c r="EC119" s="55">
        <f t="shared" si="658"/>
        <v>0.83</v>
      </c>
      <c r="ED119" s="55">
        <f t="shared" si="658"/>
        <v>0.80999999999999994</v>
      </c>
      <c r="EE119" s="55">
        <f t="shared" si="658"/>
        <v>0.78999999999999992</v>
      </c>
      <c r="EF119" s="55">
        <f t="shared" si="658"/>
        <v>0.76999999999999991</v>
      </c>
      <c r="EG119" s="55">
        <f t="shared" si="658"/>
        <v>0.74999999999999989</v>
      </c>
      <c r="EH119" s="55">
        <f t="shared" si="658"/>
        <v>0.72999999999999987</v>
      </c>
      <c r="EI119" s="55">
        <f t="shared" si="658"/>
        <v>0.70999999999999985</v>
      </c>
      <c r="EJ119" s="55">
        <f t="shared" si="658"/>
        <v>0.68999999999999984</v>
      </c>
      <c r="EK119" s="55">
        <f t="shared" si="658"/>
        <v>0.66999999999999982</v>
      </c>
      <c r="EL119" s="55">
        <f t="shared" si="658"/>
        <v>0.6499999999999998</v>
      </c>
      <c r="EM119" s="55">
        <f t="shared" si="658"/>
        <v>0.62999999999999978</v>
      </c>
      <c r="EN119" s="55">
        <f t="shared" si="658"/>
        <v>0.60999999999999976</v>
      </c>
      <c r="EO119" s="55">
        <f t="shared" si="658"/>
        <v>0.58999999999999975</v>
      </c>
      <c r="EP119" s="55">
        <f t="shared" si="658"/>
        <v>0.56999999999999973</v>
      </c>
      <c r="ER119" s="55">
        <f t="shared" si="652"/>
        <v>607012.20580000011</v>
      </c>
      <c r="ES119" s="55">
        <f t="shared" si="514"/>
        <v>607012.20580000011</v>
      </c>
      <c r="ET119" s="59">
        <f t="shared" si="606"/>
        <v>2006660.9499336404</v>
      </c>
      <c r="EU119" s="55">
        <f t="shared" si="607"/>
        <v>588801.83962600015</v>
      </c>
      <c r="EV119" s="59">
        <f t="shared" si="608"/>
        <v>1946461.1214356313</v>
      </c>
      <c r="EW119" s="55">
        <f t="shared" si="609"/>
        <v>576661.59551000013</v>
      </c>
      <c r="EX119" s="59">
        <f t="shared" si="610"/>
        <v>1906327.9024369584</v>
      </c>
      <c r="EY119" s="55">
        <f t="shared" si="611"/>
        <v>564521.35139400011</v>
      </c>
      <c r="EZ119" s="59">
        <f t="shared" si="612"/>
        <v>1866194.6834382857</v>
      </c>
      <c r="FA119" s="57">
        <f t="shared" si="613"/>
        <v>552381.1072780001</v>
      </c>
      <c r="FB119" s="59">
        <f t="shared" si="614"/>
        <v>1826061.4644396128</v>
      </c>
      <c r="FC119" s="55">
        <f t="shared" si="615"/>
        <v>540240.86316200008</v>
      </c>
      <c r="FD119" s="59">
        <f t="shared" si="616"/>
        <v>1785928.2454409399</v>
      </c>
      <c r="FE119" s="57">
        <f t="shared" si="617"/>
        <v>528100.61904600007</v>
      </c>
      <c r="FF119" s="59">
        <f t="shared" si="618"/>
        <v>1745795.026442267</v>
      </c>
      <c r="FG119" s="60">
        <f t="shared" si="619"/>
        <v>515960.37493000011</v>
      </c>
      <c r="FH119" s="59">
        <f t="shared" si="620"/>
        <v>1705661.8074435943</v>
      </c>
      <c r="FI119" s="57">
        <f t="shared" si="621"/>
        <v>503820.13081400009</v>
      </c>
      <c r="FJ119" s="59">
        <f t="shared" si="622"/>
        <v>1665528.5884449214</v>
      </c>
      <c r="FK119" s="55">
        <f t="shared" si="623"/>
        <v>491679.88669800007</v>
      </c>
      <c r="FL119" s="59">
        <f t="shared" si="624"/>
        <v>1625395.3694462487</v>
      </c>
      <c r="FM119" s="60">
        <f t="shared" si="625"/>
        <v>479539.64258200006</v>
      </c>
      <c r="FN119" s="59">
        <f t="shared" si="626"/>
        <v>1585262.1504475758</v>
      </c>
      <c r="FO119" s="60">
        <f t="shared" si="627"/>
        <v>467399.39846600004</v>
      </c>
      <c r="FP119" s="59">
        <f t="shared" si="628"/>
        <v>1545128.9314489029</v>
      </c>
      <c r="FQ119" s="60">
        <f t="shared" si="629"/>
        <v>455259.15435000003</v>
      </c>
      <c r="FR119" s="59">
        <f t="shared" si="630"/>
        <v>1504995.71245023</v>
      </c>
      <c r="FS119" s="55">
        <f t="shared" si="631"/>
        <v>443118.91023400001</v>
      </c>
      <c r="FT119" s="59">
        <f t="shared" si="632"/>
        <v>1464862.4934515574</v>
      </c>
      <c r="FU119" s="60">
        <f t="shared" si="633"/>
        <v>430978.66611799999</v>
      </c>
      <c r="FV119" s="59">
        <f t="shared" si="634"/>
        <v>1424729.2744528844</v>
      </c>
      <c r="FW119" s="60">
        <f t="shared" si="635"/>
        <v>418838.42200199998</v>
      </c>
      <c r="FX119" s="59">
        <f t="shared" si="636"/>
        <v>1384596.0554542115</v>
      </c>
      <c r="FY119" s="60">
        <f t="shared" si="637"/>
        <v>406698.17788599996</v>
      </c>
      <c r="FZ119" s="59">
        <f t="shared" si="638"/>
        <v>1344462.8364555386</v>
      </c>
      <c r="GA119" s="60">
        <f t="shared" si="639"/>
        <v>394557.93376999995</v>
      </c>
      <c r="GB119" s="59">
        <f t="shared" si="640"/>
        <v>1304329.617456866</v>
      </c>
      <c r="GC119" s="55">
        <f t="shared" si="641"/>
        <v>382417.68965399993</v>
      </c>
      <c r="GD119" s="59">
        <f t="shared" si="642"/>
        <v>1264196.3984581931</v>
      </c>
      <c r="GE119" s="60">
        <f t="shared" si="643"/>
        <v>370277.44553799991</v>
      </c>
      <c r="GF119" s="59">
        <f t="shared" si="644"/>
        <v>1224063.1794595201</v>
      </c>
      <c r="GG119" s="60">
        <f t="shared" si="645"/>
        <v>358137.2014219999</v>
      </c>
      <c r="GH119" s="59">
        <f t="shared" si="646"/>
        <v>1183929.9604608472</v>
      </c>
      <c r="GI119" s="55">
        <f t="shared" si="647"/>
        <v>345996.95730599988</v>
      </c>
      <c r="GJ119" s="59">
        <f t="shared" si="648"/>
        <v>1143796.7414621743</v>
      </c>
      <c r="GK119" s="55"/>
      <c r="GL119" s="55"/>
      <c r="GM119" s="55">
        <v>1</v>
      </c>
      <c r="GN119" s="55">
        <v>0.97</v>
      </c>
      <c r="GO119" s="55">
        <v>0.95</v>
      </c>
      <c r="GP119" s="55">
        <v>0.93</v>
      </c>
      <c r="GQ119" s="55">
        <f t="shared" si="659"/>
        <v>0.91</v>
      </c>
      <c r="GR119" s="55">
        <f t="shared" si="659"/>
        <v>0.89</v>
      </c>
      <c r="GS119" s="55">
        <f t="shared" si="659"/>
        <v>0.87</v>
      </c>
      <c r="GT119" s="55">
        <f t="shared" si="659"/>
        <v>0.85</v>
      </c>
      <c r="GU119" s="55">
        <f t="shared" si="659"/>
        <v>0.83</v>
      </c>
      <c r="GV119" s="55">
        <f t="shared" si="659"/>
        <v>0.80999999999999994</v>
      </c>
      <c r="GW119" s="55">
        <f t="shared" si="659"/>
        <v>0.78999999999999992</v>
      </c>
      <c r="GX119" s="55">
        <f t="shared" si="659"/>
        <v>0.76999999999999991</v>
      </c>
      <c r="GY119" s="55">
        <f t="shared" si="659"/>
        <v>0.74999999999999989</v>
      </c>
      <c r="GZ119" s="55">
        <f t="shared" si="659"/>
        <v>0.72999999999999987</v>
      </c>
      <c r="HA119" s="55">
        <f t="shared" si="659"/>
        <v>0.70999999999999985</v>
      </c>
      <c r="HB119" s="55">
        <f t="shared" si="659"/>
        <v>0.68999999999999984</v>
      </c>
      <c r="HC119" s="55">
        <f t="shared" si="659"/>
        <v>0.66999999999999982</v>
      </c>
      <c r="HD119" s="55">
        <f t="shared" si="659"/>
        <v>0.6499999999999998</v>
      </c>
      <c r="HE119" s="55">
        <f t="shared" si="659"/>
        <v>0.62999999999999978</v>
      </c>
      <c r="HF119" s="55">
        <f t="shared" si="659"/>
        <v>0.60999999999999976</v>
      </c>
      <c r="HG119" s="55">
        <f t="shared" si="659"/>
        <v>0.58999999999999975</v>
      </c>
      <c r="HH119" s="55">
        <f t="shared" si="659"/>
        <v>0.56999999999999973</v>
      </c>
    </row>
    <row r="120" spans="1:216" s="64" customFormat="1" x14ac:dyDescent="0.3">
      <c r="C120" s="65"/>
      <c r="D120" s="65"/>
      <c r="E120" s="65"/>
      <c r="G120" s="61"/>
      <c r="H120" s="61"/>
      <c r="I120" s="61"/>
      <c r="J120" s="61"/>
      <c r="K120" s="61"/>
      <c r="L120" s="61"/>
      <c r="M120" s="61"/>
      <c r="N120" s="61"/>
      <c r="O120" s="61"/>
      <c r="P120" s="62"/>
      <c r="Q120" s="61"/>
      <c r="R120" s="61"/>
      <c r="S120" s="61"/>
      <c r="T120" s="62"/>
      <c r="U120" s="61"/>
      <c r="V120" s="63"/>
      <c r="W120" s="61"/>
      <c r="X120" s="62"/>
      <c r="Y120" s="61"/>
      <c r="Z120" s="61"/>
      <c r="AA120" s="61"/>
      <c r="AB120" s="63"/>
      <c r="AC120" s="61"/>
      <c r="AD120" s="63"/>
      <c r="AE120" s="61"/>
      <c r="AF120" s="63"/>
      <c r="AG120" s="61"/>
      <c r="AH120" s="61"/>
      <c r="AI120" s="61"/>
      <c r="AJ120" s="63"/>
      <c r="AK120" s="61"/>
      <c r="AL120" s="63"/>
      <c r="AM120" s="61"/>
      <c r="AN120" s="63"/>
      <c r="AO120" s="61"/>
      <c r="AP120" s="63"/>
      <c r="AQ120" s="61"/>
      <c r="AR120" s="61"/>
      <c r="AS120" s="61"/>
      <c r="AT120" s="63"/>
      <c r="AU120" s="61"/>
      <c r="AV120" s="63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61"/>
      <c r="BJ120" s="61"/>
      <c r="BK120" s="61"/>
      <c r="BL120" s="61"/>
      <c r="BM120" s="61"/>
      <c r="BN120" s="61"/>
      <c r="BO120" s="61"/>
      <c r="BP120" s="61"/>
      <c r="BQ120" s="61"/>
      <c r="BR120" s="61"/>
      <c r="BS120" s="61"/>
      <c r="BT120" s="61"/>
      <c r="BU120" s="61"/>
      <c r="BV120" s="61"/>
      <c r="BW120" s="61"/>
      <c r="BX120" s="61"/>
      <c r="BY120" s="61">
        <f t="shared" ref="BY120:BY121" si="660">+G120*0.91</f>
        <v>0</v>
      </c>
      <c r="BZ120" s="61"/>
      <c r="CA120" s="61"/>
      <c r="CB120" s="61"/>
      <c r="CC120" s="61"/>
      <c r="CD120" s="61"/>
      <c r="CE120" s="61"/>
      <c r="CF120" s="61"/>
      <c r="CG120" s="61"/>
      <c r="CH120" s="62"/>
      <c r="CI120" s="61"/>
      <c r="CJ120" s="61"/>
      <c r="CK120" s="61"/>
      <c r="CL120" s="62"/>
      <c r="CM120" s="61"/>
      <c r="CN120" s="63"/>
      <c r="CO120" s="61"/>
      <c r="CP120" s="62"/>
      <c r="CQ120" s="61"/>
      <c r="CR120" s="61"/>
      <c r="CS120" s="61"/>
      <c r="CT120" s="63"/>
      <c r="CU120" s="61"/>
      <c r="CV120" s="63"/>
      <c r="CW120" s="61"/>
      <c r="CX120" s="63"/>
      <c r="CY120" s="61"/>
      <c r="CZ120" s="61"/>
      <c r="DA120" s="61"/>
      <c r="DB120" s="63"/>
      <c r="DC120" s="61"/>
      <c r="DD120" s="63"/>
      <c r="DE120" s="61"/>
      <c r="DF120" s="63"/>
      <c r="DG120" s="61"/>
      <c r="DH120" s="63"/>
      <c r="DI120" s="61"/>
      <c r="DJ120" s="61"/>
      <c r="DK120" s="61"/>
      <c r="DL120" s="63"/>
      <c r="DM120" s="61"/>
      <c r="DN120" s="63"/>
      <c r="DO120" s="61"/>
      <c r="DP120" s="61"/>
      <c r="DQ120" s="61"/>
      <c r="DR120" s="61"/>
      <c r="DS120" s="61"/>
      <c r="DT120" s="61">
        <v>1</v>
      </c>
      <c r="DU120" s="61">
        <v>0.97</v>
      </c>
      <c r="DV120" s="61">
        <v>0.95</v>
      </c>
      <c r="DW120" s="61">
        <v>0.93</v>
      </c>
      <c r="DX120" s="61">
        <f t="shared" ref="DX120:EO121" si="661">+DW120-0.02</f>
        <v>0.91</v>
      </c>
      <c r="DY120" s="61">
        <f t="shared" si="661"/>
        <v>0.89</v>
      </c>
      <c r="DZ120" s="61">
        <f t="shared" si="661"/>
        <v>0.87</v>
      </c>
      <c r="EA120" s="61">
        <f t="shared" si="661"/>
        <v>0.85</v>
      </c>
      <c r="EB120" s="61">
        <f t="shared" si="661"/>
        <v>0.83</v>
      </c>
      <c r="EC120" s="61">
        <f t="shared" si="661"/>
        <v>0.80999999999999994</v>
      </c>
      <c r="ED120" s="61">
        <f t="shared" si="661"/>
        <v>0.78999999999999992</v>
      </c>
      <c r="EE120" s="61">
        <f t="shared" si="661"/>
        <v>0.76999999999999991</v>
      </c>
      <c r="EF120" s="61">
        <f t="shared" si="661"/>
        <v>0.74999999999999989</v>
      </c>
      <c r="EG120" s="61">
        <f t="shared" si="661"/>
        <v>0.72999999999999987</v>
      </c>
      <c r="EH120" s="61">
        <f t="shared" si="661"/>
        <v>0.70999999999999985</v>
      </c>
      <c r="EI120" s="61">
        <f t="shared" si="661"/>
        <v>0.68999999999999984</v>
      </c>
      <c r="EJ120" s="61">
        <f t="shared" si="661"/>
        <v>0.66999999999999982</v>
      </c>
      <c r="EK120" s="61">
        <f t="shared" si="661"/>
        <v>0.6499999999999998</v>
      </c>
      <c r="EL120" s="61">
        <f t="shared" si="661"/>
        <v>0.62999999999999978</v>
      </c>
      <c r="EM120" s="61">
        <f t="shared" si="661"/>
        <v>0.60999999999999976</v>
      </c>
      <c r="EN120" s="61">
        <f t="shared" si="661"/>
        <v>0.58999999999999975</v>
      </c>
      <c r="EO120" s="61">
        <f t="shared" si="661"/>
        <v>0.56999999999999973</v>
      </c>
      <c r="EQ120" s="61">
        <f t="shared" ref="EQ120:EQ121" si="662">+BY120*0.91</f>
        <v>0</v>
      </c>
      <c r="ER120" s="61"/>
      <c r="ES120" s="61"/>
      <c r="ET120" s="61"/>
      <c r="EU120" s="61"/>
      <c r="EV120" s="61"/>
      <c r="EW120" s="61"/>
      <c r="EX120" s="61"/>
      <c r="EY120" s="61"/>
      <c r="EZ120" s="62"/>
      <c r="FA120" s="61"/>
      <c r="FB120" s="61"/>
      <c r="FC120" s="61"/>
      <c r="FD120" s="62"/>
      <c r="FE120" s="61"/>
      <c r="FF120" s="63"/>
      <c r="FG120" s="61"/>
      <c r="FH120" s="62"/>
      <c r="FI120" s="61"/>
      <c r="FJ120" s="61"/>
      <c r="FK120" s="61"/>
      <c r="FL120" s="63"/>
      <c r="FM120" s="61"/>
      <c r="FN120" s="63"/>
      <c r="FO120" s="61"/>
      <c r="FP120" s="63"/>
      <c r="FQ120" s="61"/>
      <c r="FR120" s="61"/>
      <c r="FS120" s="61"/>
      <c r="FT120" s="63"/>
      <c r="FU120" s="61"/>
      <c r="FV120" s="63"/>
      <c r="FW120" s="61"/>
      <c r="FX120" s="63"/>
      <c r="FY120" s="61"/>
      <c r="FZ120" s="63"/>
      <c r="GA120" s="61"/>
      <c r="GB120" s="61"/>
      <c r="GC120" s="61"/>
      <c r="GD120" s="63"/>
      <c r="GE120" s="61"/>
      <c r="GF120" s="63"/>
      <c r="GG120" s="61"/>
      <c r="GH120" s="61"/>
      <c r="GI120" s="61"/>
      <c r="GJ120" s="61"/>
      <c r="GK120" s="61"/>
      <c r="GL120" s="61">
        <v>1</v>
      </c>
      <c r="GM120" s="61">
        <v>0.97</v>
      </c>
      <c r="GN120" s="61">
        <v>0.95</v>
      </c>
      <c r="GO120" s="61">
        <v>0.93</v>
      </c>
      <c r="GP120" s="61">
        <f t="shared" ref="GP120:HG121" si="663">+GO120-0.02</f>
        <v>0.91</v>
      </c>
      <c r="GQ120" s="61">
        <f t="shared" si="663"/>
        <v>0.89</v>
      </c>
      <c r="GR120" s="61">
        <f t="shared" si="663"/>
        <v>0.87</v>
      </c>
      <c r="GS120" s="61">
        <f t="shared" si="663"/>
        <v>0.85</v>
      </c>
      <c r="GT120" s="61">
        <f t="shared" si="663"/>
        <v>0.83</v>
      </c>
      <c r="GU120" s="61">
        <f t="shared" si="663"/>
        <v>0.80999999999999994</v>
      </c>
      <c r="GV120" s="61">
        <f t="shared" si="663"/>
        <v>0.78999999999999992</v>
      </c>
      <c r="GW120" s="61">
        <f t="shared" si="663"/>
        <v>0.76999999999999991</v>
      </c>
      <c r="GX120" s="61">
        <f t="shared" si="663"/>
        <v>0.74999999999999989</v>
      </c>
      <c r="GY120" s="61">
        <f t="shared" si="663"/>
        <v>0.72999999999999987</v>
      </c>
      <c r="GZ120" s="61">
        <f t="shared" si="663"/>
        <v>0.70999999999999985</v>
      </c>
      <c r="HA120" s="61">
        <f t="shared" si="663"/>
        <v>0.68999999999999984</v>
      </c>
      <c r="HB120" s="61">
        <f t="shared" si="663"/>
        <v>0.66999999999999982</v>
      </c>
      <c r="HC120" s="61">
        <f t="shared" si="663"/>
        <v>0.6499999999999998</v>
      </c>
      <c r="HD120" s="61">
        <f t="shared" si="663"/>
        <v>0.62999999999999978</v>
      </c>
      <c r="HE120" s="61">
        <f t="shared" si="663"/>
        <v>0.60999999999999976</v>
      </c>
      <c r="HF120" s="61">
        <f t="shared" si="663"/>
        <v>0.58999999999999975</v>
      </c>
      <c r="HG120" s="61">
        <f t="shared" si="663"/>
        <v>0.56999999999999973</v>
      </c>
    </row>
    <row r="121" spans="1:216" s="64" customFormat="1" ht="17.25" thickBot="1" x14ac:dyDescent="0.35">
      <c r="B121" s="64" t="s">
        <v>299</v>
      </c>
      <c r="C121" s="64" t="s">
        <v>297</v>
      </c>
      <c r="D121" s="65" t="s">
        <v>271</v>
      </c>
      <c r="E121" s="65" t="s">
        <v>154</v>
      </c>
      <c r="G121" s="61"/>
      <c r="H121" s="61"/>
      <c r="I121" s="61"/>
      <c r="J121" s="61"/>
      <c r="K121" s="61"/>
      <c r="L121" s="61"/>
      <c r="M121" s="61"/>
      <c r="N121" s="61"/>
      <c r="O121" s="61"/>
      <c r="P121" s="62"/>
      <c r="Q121" s="61"/>
      <c r="R121" s="61"/>
      <c r="S121" s="61"/>
      <c r="T121" s="62"/>
      <c r="U121" s="61"/>
      <c r="V121" s="63"/>
      <c r="W121" s="61"/>
      <c r="X121" s="62"/>
      <c r="Y121" s="61"/>
      <c r="Z121" s="61"/>
      <c r="AA121" s="61"/>
      <c r="AB121" s="63"/>
      <c r="AC121" s="61"/>
      <c r="AD121" s="63"/>
      <c r="AE121" s="61"/>
      <c r="AF121" s="63"/>
      <c r="AG121" s="61"/>
      <c r="AH121" s="61"/>
      <c r="AI121" s="61"/>
      <c r="AJ121" s="63"/>
      <c r="AK121" s="61"/>
      <c r="AL121" s="63"/>
      <c r="AM121" s="61"/>
      <c r="AN121" s="63"/>
      <c r="AO121" s="61"/>
      <c r="AP121" s="63"/>
      <c r="AQ121" s="61"/>
      <c r="AR121" s="61"/>
      <c r="AS121" s="61"/>
      <c r="AT121" s="63"/>
      <c r="AU121" s="61"/>
      <c r="AV121" s="63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  <c r="BV121" s="61"/>
      <c r="BW121" s="61"/>
      <c r="BX121" s="61"/>
      <c r="BY121" s="61">
        <f t="shared" si="660"/>
        <v>0</v>
      </c>
      <c r="BZ121" s="61"/>
      <c r="CA121" s="61"/>
      <c r="CB121" s="61"/>
      <c r="CC121" s="61"/>
      <c r="CD121" s="61"/>
      <c r="CE121" s="61"/>
      <c r="CF121" s="61"/>
      <c r="CG121" s="61"/>
      <c r="CH121" s="62"/>
      <c r="CI121" s="61"/>
      <c r="CJ121" s="61"/>
      <c r="CK121" s="61"/>
      <c r="CL121" s="62"/>
      <c r="CM121" s="61"/>
      <c r="CN121" s="63"/>
      <c r="CO121" s="61"/>
      <c r="CP121" s="62"/>
      <c r="CQ121" s="61"/>
      <c r="CR121" s="61"/>
      <c r="CS121" s="61"/>
      <c r="CT121" s="63"/>
      <c r="CU121" s="61"/>
      <c r="CV121" s="63"/>
      <c r="CW121" s="61"/>
      <c r="CX121" s="63"/>
      <c r="CY121" s="61"/>
      <c r="CZ121" s="61"/>
      <c r="DA121" s="61"/>
      <c r="DB121" s="63"/>
      <c r="DC121" s="61"/>
      <c r="DD121" s="63"/>
      <c r="DE121" s="61"/>
      <c r="DF121" s="63"/>
      <c r="DG121" s="61"/>
      <c r="DH121" s="63"/>
      <c r="DI121" s="61"/>
      <c r="DJ121" s="61"/>
      <c r="DK121" s="61"/>
      <c r="DL121" s="63"/>
      <c r="DM121" s="61"/>
      <c r="DN121" s="63"/>
      <c r="DO121" s="61"/>
      <c r="DP121" s="61"/>
      <c r="DQ121" s="61"/>
      <c r="DR121" s="61"/>
      <c r="DS121" s="61"/>
      <c r="DT121" s="61">
        <v>1</v>
      </c>
      <c r="DU121" s="61">
        <v>0.97</v>
      </c>
      <c r="DV121" s="61">
        <v>0.95</v>
      </c>
      <c r="DW121" s="61">
        <v>0.93</v>
      </c>
      <c r="DX121" s="61">
        <f t="shared" si="661"/>
        <v>0.91</v>
      </c>
      <c r="DY121" s="61">
        <f t="shared" si="661"/>
        <v>0.89</v>
      </c>
      <c r="DZ121" s="61">
        <f t="shared" si="661"/>
        <v>0.87</v>
      </c>
      <c r="EA121" s="61">
        <f t="shared" si="661"/>
        <v>0.85</v>
      </c>
      <c r="EB121" s="61">
        <f t="shared" si="661"/>
        <v>0.83</v>
      </c>
      <c r="EC121" s="61">
        <f t="shared" si="661"/>
        <v>0.80999999999999994</v>
      </c>
      <c r="ED121" s="61">
        <f t="shared" si="661"/>
        <v>0.78999999999999992</v>
      </c>
      <c r="EE121" s="61">
        <f t="shared" si="661"/>
        <v>0.76999999999999991</v>
      </c>
      <c r="EF121" s="61">
        <f t="shared" si="661"/>
        <v>0.74999999999999989</v>
      </c>
      <c r="EG121" s="61">
        <f t="shared" si="661"/>
        <v>0.72999999999999987</v>
      </c>
      <c r="EH121" s="61">
        <f t="shared" si="661"/>
        <v>0.70999999999999985</v>
      </c>
      <c r="EI121" s="61">
        <f t="shared" si="661"/>
        <v>0.68999999999999984</v>
      </c>
      <c r="EJ121" s="61">
        <f t="shared" si="661"/>
        <v>0.66999999999999982</v>
      </c>
      <c r="EK121" s="61">
        <f t="shared" si="661"/>
        <v>0.6499999999999998</v>
      </c>
      <c r="EL121" s="61">
        <f t="shared" si="661"/>
        <v>0.62999999999999978</v>
      </c>
      <c r="EM121" s="61">
        <f t="shared" si="661"/>
        <v>0.60999999999999976</v>
      </c>
      <c r="EN121" s="61">
        <f t="shared" si="661"/>
        <v>0.58999999999999975</v>
      </c>
      <c r="EO121" s="61">
        <f t="shared" si="661"/>
        <v>0.56999999999999973</v>
      </c>
      <c r="EQ121" s="61">
        <f t="shared" si="662"/>
        <v>0</v>
      </c>
      <c r="ER121" s="61"/>
      <c r="ES121" s="61"/>
      <c r="ET121" s="61"/>
      <c r="EU121" s="61"/>
      <c r="EV121" s="61"/>
      <c r="EW121" s="61"/>
      <c r="EX121" s="61"/>
      <c r="EY121" s="61"/>
      <c r="EZ121" s="62"/>
      <c r="FA121" s="61"/>
      <c r="FB121" s="61"/>
      <c r="FC121" s="61"/>
      <c r="FD121" s="62"/>
      <c r="FE121" s="61"/>
      <c r="FF121" s="63"/>
      <c r="FG121" s="61"/>
      <c r="FH121" s="62"/>
      <c r="FI121" s="61"/>
      <c r="FJ121" s="61"/>
      <c r="FK121" s="61"/>
      <c r="FL121" s="63"/>
      <c r="FM121" s="61"/>
      <c r="FN121" s="63"/>
      <c r="FO121" s="61"/>
      <c r="FP121" s="63"/>
      <c r="FQ121" s="61"/>
      <c r="FR121" s="61"/>
      <c r="FS121" s="61"/>
      <c r="FT121" s="63"/>
      <c r="FU121" s="61"/>
      <c r="FV121" s="63"/>
      <c r="FW121" s="61"/>
      <c r="FX121" s="63"/>
      <c r="FY121" s="61"/>
      <c r="FZ121" s="63"/>
      <c r="GA121" s="61"/>
      <c r="GB121" s="61"/>
      <c r="GC121" s="61"/>
      <c r="GD121" s="63"/>
      <c r="GE121" s="61"/>
      <c r="GF121" s="63"/>
      <c r="GG121" s="61"/>
      <c r="GH121" s="61"/>
      <c r="GI121" s="61"/>
      <c r="GJ121" s="61"/>
      <c r="GK121" s="61"/>
      <c r="GL121" s="61">
        <v>1</v>
      </c>
      <c r="GM121" s="61">
        <v>0.97</v>
      </c>
      <c r="GN121" s="61">
        <v>0.95</v>
      </c>
      <c r="GO121" s="61">
        <v>0.93</v>
      </c>
      <c r="GP121" s="61">
        <f t="shared" si="663"/>
        <v>0.91</v>
      </c>
      <c r="GQ121" s="61">
        <f t="shared" si="663"/>
        <v>0.89</v>
      </c>
      <c r="GR121" s="61">
        <f t="shared" si="663"/>
        <v>0.87</v>
      </c>
      <c r="GS121" s="61">
        <f t="shared" si="663"/>
        <v>0.85</v>
      </c>
      <c r="GT121" s="61">
        <f t="shared" si="663"/>
        <v>0.83</v>
      </c>
      <c r="GU121" s="61">
        <f t="shared" si="663"/>
        <v>0.80999999999999994</v>
      </c>
      <c r="GV121" s="61">
        <f t="shared" si="663"/>
        <v>0.78999999999999992</v>
      </c>
      <c r="GW121" s="61">
        <f t="shared" si="663"/>
        <v>0.76999999999999991</v>
      </c>
      <c r="GX121" s="61">
        <f t="shared" si="663"/>
        <v>0.74999999999999989</v>
      </c>
      <c r="GY121" s="61">
        <f t="shared" si="663"/>
        <v>0.72999999999999987</v>
      </c>
      <c r="GZ121" s="61">
        <f t="shared" si="663"/>
        <v>0.70999999999999985</v>
      </c>
      <c r="HA121" s="61">
        <f t="shared" si="663"/>
        <v>0.68999999999999984</v>
      </c>
      <c r="HB121" s="61">
        <f t="shared" si="663"/>
        <v>0.66999999999999982</v>
      </c>
      <c r="HC121" s="61">
        <f t="shared" si="663"/>
        <v>0.6499999999999998</v>
      </c>
      <c r="HD121" s="61">
        <f t="shared" si="663"/>
        <v>0.62999999999999978</v>
      </c>
      <c r="HE121" s="61">
        <f t="shared" si="663"/>
        <v>0.60999999999999976</v>
      </c>
      <c r="HF121" s="61">
        <f t="shared" si="663"/>
        <v>0.58999999999999975</v>
      </c>
      <c r="HG121" s="61">
        <f t="shared" si="663"/>
        <v>0.56999999999999973</v>
      </c>
    </row>
    <row r="122" spans="1:216" x14ac:dyDescent="0.3">
      <c r="A122" s="2">
        <v>1</v>
      </c>
      <c r="C122" s="38" t="s">
        <v>55</v>
      </c>
      <c r="D122" s="40">
        <v>0</v>
      </c>
      <c r="E122" s="70">
        <f t="shared" ref="E122:E132" si="664">TRUNC(+D122*3.3058,-1)</f>
        <v>0</v>
      </c>
      <c r="H122" s="55">
        <f t="shared" si="509"/>
        <v>0</v>
      </c>
      <c r="I122" s="55">
        <f t="shared" si="510"/>
        <v>0</v>
      </c>
      <c r="J122" s="59">
        <f t="shared" si="511"/>
        <v>0</v>
      </c>
      <c r="K122" s="55">
        <f t="shared" ref="K122:K133" si="665">+I122*BD122</f>
        <v>0</v>
      </c>
      <c r="L122" s="59">
        <f t="shared" ref="L122:L133" si="666">+K122*3.3058</f>
        <v>0</v>
      </c>
      <c r="M122" s="55">
        <f t="shared" ref="M122:M133" si="667">+I122*BE122</f>
        <v>0</v>
      </c>
      <c r="N122" s="59">
        <f t="shared" ref="N122:N133" si="668">+M122*3.3058</f>
        <v>0</v>
      </c>
      <c r="O122" s="55">
        <f t="shared" ref="O122:O133" si="669">+I122*BF122</f>
        <v>0</v>
      </c>
      <c r="P122" s="59">
        <f t="shared" ref="P122:P133" si="670">+O122*3.3058</f>
        <v>0</v>
      </c>
      <c r="Q122" s="57">
        <f t="shared" ref="Q122:Q133" si="671">+I122*BG122</f>
        <v>0</v>
      </c>
      <c r="R122" s="59">
        <f t="shared" ref="R122:R133" si="672">+Q122*3.3058</f>
        <v>0</v>
      </c>
      <c r="S122" s="55">
        <f t="shared" ref="S122:S133" si="673">+I122*BH122</f>
        <v>0</v>
      </c>
      <c r="T122" s="59">
        <f t="shared" ref="T122:T133" si="674">+S122*3.3058</f>
        <v>0</v>
      </c>
      <c r="U122" s="57">
        <f t="shared" ref="U122:U133" si="675">+I122*BI122</f>
        <v>0</v>
      </c>
      <c r="V122" s="59">
        <f t="shared" ref="V122:V133" si="676">+U122*3.3058</f>
        <v>0</v>
      </c>
      <c r="W122" s="60">
        <f t="shared" ref="W122:W133" si="677">+I122*BJ122</f>
        <v>0</v>
      </c>
      <c r="X122" s="59">
        <f t="shared" ref="X122:X133" si="678">+W122*3.3058</f>
        <v>0</v>
      </c>
      <c r="Y122" s="57">
        <f t="shared" ref="Y122:Y133" si="679">+I122*BK122</f>
        <v>0</v>
      </c>
      <c r="Z122" s="59">
        <f t="shared" ref="Z122:Z133" si="680">+Y122*3.3058</f>
        <v>0</v>
      </c>
      <c r="AA122" s="55">
        <f t="shared" ref="AA122:AA133" si="681">+I122*BL122</f>
        <v>0</v>
      </c>
      <c r="AB122" s="59">
        <f t="shared" ref="AB122:AB133" si="682">+AA122*3.3058</f>
        <v>0</v>
      </c>
      <c r="AC122" s="60">
        <f t="shared" ref="AC122:AC133" si="683">+I122*BM122</f>
        <v>0</v>
      </c>
      <c r="AD122" s="59">
        <f t="shared" ref="AD122:AD133" si="684">+AC122*3.3058</f>
        <v>0</v>
      </c>
      <c r="AE122" s="60">
        <f t="shared" ref="AE122:AE133" si="685">+I122*BN122</f>
        <v>0</v>
      </c>
      <c r="AF122" s="59">
        <f t="shared" ref="AF122:AF133" si="686">+AE122*3.3058</f>
        <v>0</v>
      </c>
      <c r="AG122" s="60">
        <f t="shared" ref="AG122:AG133" si="687">+I122*BO122</f>
        <v>0</v>
      </c>
      <c r="AH122" s="59">
        <f t="shared" ref="AH122:AH133" si="688">+AG122*3.3058</f>
        <v>0</v>
      </c>
      <c r="AI122" s="55">
        <f t="shared" ref="AI122:AI133" si="689">+I122*BP122</f>
        <v>0</v>
      </c>
      <c r="AJ122" s="59">
        <f t="shared" ref="AJ122:AJ133" si="690">+AI122*3.3058</f>
        <v>0</v>
      </c>
      <c r="AK122" s="60">
        <f t="shared" ref="AK122:AK133" si="691">+I122*BQ122</f>
        <v>0</v>
      </c>
      <c r="AL122" s="59">
        <f t="shared" ref="AL122:AL133" si="692">+AK122*3.3058</f>
        <v>0</v>
      </c>
      <c r="AM122" s="60">
        <f t="shared" ref="AM122:AM133" si="693">+I122*BR122</f>
        <v>0</v>
      </c>
      <c r="AN122" s="59">
        <f t="shared" ref="AN122:AN133" si="694">+AM122*3.3058</f>
        <v>0</v>
      </c>
      <c r="AO122" s="60">
        <f t="shared" ref="AO122:AO133" si="695">+I122*BS122</f>
        <v>0</v>
      </c>
      <c r="AP122" s="59">
        <f t="shared" ref="AP122:AP133" si="696">+AO122*3.3058</f>
        <v>0</v>
      </c>
      <c r="AQ122" s="60">
        <f t="shared" ref="AQ122:AQ133" si="697">+I122*BT122</f>
        <v>0</v>
      </c>
      <c r="AR122" s="59">
        <f t="shared" ref="AR122:AR133" si="698">+AQ122*3.3058</f>
        <v>0</v>
      </c>
      <c r="AS122" s="55">
        <f t="shared" ref="AS122:AS133" si="699">+I122*BU122</f>
        <v>0</v>
      </c>
      <c r="AT122" s="59">
        <f t="shared" ref="AT122:AT133" si="700">+AS122*3.3058</f>
        <v>0</v>
      </c>
      <c r="AU122" s="60">
        <f t="shared" ref="AU122:AU133" si="701">+I122*BV122</f>
        <v>0</v>
      </c>
      <c r="AV122" s="59">
        <f t="shared" ref="AV122:AV133" si="702">+AU122*3.3058</f>
        <v>0</v>
      </c>
      <c r="AW122" s="60">
        <f t="shared" ref="AW122:AW133" si="703">+I122*BW122</f>
        <v>0</v>
      </c>
      <c r="AX122" s="59">
        <f t="shared" ref="AX122:AX133" si="704">+AW122*3.3058</f>
        <v>0</v>
      </c>
      <c r="AY122" s="55">
        <f t="shared" ref="AY122:AY133" si="705">+I122*BX122</f>
        <v>0</v>
      </c>
      <c r="AZ122" s="59">
        <f t="shared" ref="AZ122:AZ133" si="706">+AY122*3.3058</f>
        <v>0</v>
      </c>
      <c r="BC122" s="55">
        <v>1</v>
      </c>
      <c r="BD122" s="55">
        <v>0.97</v>
      </c>
      <c r="BE122" s="55">
        <v>0.95</v>
      </c>
      <c r="BF122" s="55">
        <v>0.93</v>
      </c>
      <c r="BG122" s="55">
        <f t="shared" ref="BG122:BX133" si="707">+BF122-0.02</f>
        <v>0.91</v>
      </c>
      <c r="BH122" s="55">
        <f t="shared" si="707"/>
        <v>0.89</v>
      </c>
      <c r="BI122" s="55">
        <f t="shared" si="707"/>
        <v>0.87</v>
      </c>
      <c r="BJ122" s="55">
        <f t="shared" si="707"/>
        <v>0.85</v>
      </c>
      <c r="BK122" s="55">
        <f t="shared" si="707"/>
        <v>0.83</v>
      </c>
      <c r="BL122" s="55">
        <f t="shared" si="707"/>
        <v>0.80999999999999994</v>
      </c>
      <c r="BM122" s="55">
        <f t="shared" si="707"/>
        <v>0.78999999999999992</v>
      </c>
      <c r="BN122" s="55">
        <f t="shared" si="707"/>
        <v>0.76999999999999991</v>
      </c>
      <c r="BO122" s="55">
        <f t="shared" si="707"/>
        <v>0.74999999999999989</v>
      </c>
      <c r="BP122" s="55">
        <f t="shared" si="707"/>
        <v>0.72999999999999987</v>
      </c>
      <c r="BQ122" s="55">
        <f t="shared" si="707"/>
        <v>0.70999999999999985</v>
      </c>
      <c r="BR122" s="55">
        <f t="shared" si="707"/>
        <v>0.68999999999999984</v>
      </c>
      <c r="BS122" s="55">
        <f t="shared" si="707"/>
        <v>0.66999999999999982</v>
      </c>
      <c r="BT122" s="55">
        <f t="shared" si="707"/>
        <v>0.6499999999999998</v>
      </c>
      <c r="BU122" s="55">
        <f t="shared" si="707"/>
        <v>0.62999999999999978</v>
      </c>
      <c r="BV122" s="55">
        <f t="shared" si="707"/>
        <v>0.60999999999999976</v>
      </c>
      <c r="BW122" s="55">
        <f t="shared" si="707"/>
        <v>0.58999999999999975</v>
      </c>
      <c r="BX122" s="55">
        <f t="shared" si="707"/>
        <v>0.56999999999999973</v>
      </c>
      <c r="BZ122" s="55">
        <f t="shared" si="512"/>
        <v>0</v>
      </c>
      <c r="CA122" s="55">
        <f t="shared" si="513"/>
        <v>0</v>
      </c>
      <c r="CB122" s="59">
        <f t="shared" ref="CB122:CB133" si="708">+CA122*3.3058</f>
        <v>0</v>
      </c>
      <c r="CC122" s="55">
        <f t="shared" ref="CC122:CC133" si="709">+CA122*DV122</f>
        <v>0</v>
      </c>
      <c r="CD122" s="59">
        <f t="shared" ref="CD122:CD133" si="710">+CC122*3.3058</f>
        <v>0</v>
      </c>
      <c r="CE122" s="55">
        <f t="shared" ref="CE122:CE133" si="711">+CA122*DW122</f>
        <v>0</v>
      </c>
      <c r="CF122" s="59">
        <f t="shared" ref="CF122:CF133" si="712">+CE122*3.3058</f>
        <v>0</v>
      </c>
      <c r="CG122" s="55">
        <f t="shared" ref="CG122:CG133" si="713">+CA122*DX122</f>
        <v>0</v>
      </c>
      <c r="CH122" s="59">
        <f t="shared" ref="CH122:CH133" si="714">+CG122*3.3058</f>
        <v>0</v>
      </c>
      <c r="CI122" s="57">
        <f t="shared" ref="CI122:CI133" si="715">+CA122*DY122</f>
        <v>0</v>
      </c>
      <c r="CJ122" s="59">
        <f t="shared" ref="CJ122:CJ133" si="716">+CI122*3.3058</f>
        <v>0</v>
      </c>
      <c r="CK122" s="55">
        <f t="shared" ref="CK122:CK133" si="717">+CA122*DZ122</f>
        <v>0</v>
      </c>
      <c r="CL122" s="59">
        <f t="shared" ref="CL122:CL133" si="718">+CK122*3.3058</f>
        <v>0</v>
      </c>
      <c r="CM122" s="57">
        <f t="shared" ref="CM122:CM133" si="719">+CA122*EA122</f>
        <v>0</v>
      </c>
      <c r="CN122" s="59">
        <f t="shared" ref="CN122:CN133" si="720">+CM122*3.3058</f>
        <v>0</v>
      </c>
      <c r="CO122" s="60">
        <f t="shared" ref="CO122:CO133" si="721">+CA122*EB122</f>
        <v>0</v>
      </c>
      <c r="CP122" s="59">
        <f t="shared" ref="CP122:CP133" si="722">+CO122*3.3058</f>
        <v>0</v>
      </c>
      <c r="CQ122" s="57">
        <f t="shared" ref="CQ122:CQ133" si="723">+CA122*EC122</f>
        <v>0</v>
      </c>
      <c r="CR122" s="59">
        <f t="shared" ref="CR122:CR133" si="724">+CQ122*3.3058</f>
        <v>0</v>
      </c>
      <c r="CS122" s="55">
        <f t="shared" ref="CS122:CS133" si="725">+CA122*ED122</f>
        <v>0</v>
      </c>
      <c r="CT122" s="59">
        <f t="shared" ref="CT122:CT133" si="726">+CS122*3.3058</f>
        <v>0</v>
      </c>
      <c r="CU122" s="60">
        <f t="shared" ref="CU122:CU133" si="727">+CA122*EE122</f>
        <v>0</v>
      </c>
      <c r="CV122" s="59">
        <f t="shared" ref="CV122:CV133" si="728">+CU122*3.3058</f>
        <v>0</v>
      </c>
      <c r="CW122" s="60">
        <f t="shared" ref="CW122:CW133" si="729">+CA122*EF122</f>
        <v>0</v>
      </c>
      <c r="CX122" s="59">
        <f t="shared" ref="CX122:CX133" si="730">+CW122*3.3058</f>
        <v>0</v>
      </c>
      <c r="CY122" s="60">
        <f t="shared" ref="CY122:CY133" si="731">+CA122*EG122</f>
        <v>0</v>
      </c>
      <c r="CZ122" s="59">
        <f t="shared" ref="CZ122:CZ133" si="732">+CY122*3.3058</f>
        <v>0</v>
      </c>
      <c r="DA122" s="55">
        <f t="shared" ref="DA122:DA133" si="733">+CA122*EH122</f>
        <v>0</v>
      </c>
      <c r="DB122" s="59">
        <f t="shared" ref="DB122:DB133" si="734">+DA122*3.3058</f>
        <v>0</v>
      </c>
      <c r="DC122" s="60">
        <f t="shared" ref="DC122:DC133" si="735">+CA122*EI122</f>
        <v>0</v>
      </c>
      <c r="DD122" s="59">
        <f t="shared" ref="DD122:DD133" si="736">+DC122*3.3058</f>
        <v>0</v>
      </c>
      <c r="DE122" s="60">
        <f t="shared" ref="DE122:DE133" si="737">+CA122*EJ122</f>
        <v>0</v>
      </c>
      <c r="DF122" s="59">
        <f t="shared" ref="DF122:DF133" si="738">+DE122*3.3058</f>
        <v>0</v>
      </c>
      <c r="DG122" s="60">
        <f t="shared" ref="DG122:DG133" si="739">+CA122*EK122</f>
        <v>0</v>
      </c>
      <c r="DH122" s="59">
        <f t="shared" ref="DH122:DH133" si="740">+DG122*3.3058</f>
        <v>0</v>
      </c>
      <c r="DI122" s="60">
        <f t="shared" ref="DI122:DI133" si="741">+CA122*EL122</f>
        <v>0</v>
      </c>
      <c r="DJ122" s="59">
        <f t="shared" ref="DJ122:DJ133" si="742">+DI122*3.3058</f>
        <v>0</v>
      </c>
      <c r="DK122" s="55">
        <f t="shared" ref="DK122:DK133" si="743">+CA122*EM122</f>
        <v>0</v>
      </c>
      <c r="DL122" s="59">
        <f t="shared" ref="DL122:DL133" si="744">+DK122*3.3058</f>
        <v>0</v>
      </c>
      <c r="DM122" s="60">
        <f t="shared" ref="DM122:DM133" si="745">+CA122*EN122</f>
        <v>0</v>
      </c>
      <c r="DN122" s="59">
        <f t="shared" ref="DN122:DN133" si="746">+DM122*3.3058</f>
        <v>0</v>
      </c>
      <c r="DO122" s="60">
        <f t="shared" ref="DO122:DO133" si="747">+CA122*EO122</f>
        <v>0</v>
      </c>
      <c r="DP122" s="59">
        <f t="shared" ref="DP122:DP133" si="748">+DO122*3.3058</f>
        <v>0</v>
      </c>
      <c r="DQ122" s="55">
        <f t="shared" ref="DQ122:DQ133" si="749">+CA122*EP122</f>
        <v>0</v>
      </c>
      <c r="DR122" s="59">
        <f t="shared" ref="DR122:DR133" si="750">+DQ122*3.3058</f>
        <v>0</v>
      </c>
      <c r="DU122" s="55">
        <v>1</v>
      </c>
      <c r="DV122" s="55">
        <v>0.97</v>
      </c>
      <c r="DW122" s="55">
        <v>0.95</v>
      </c>
      <c r="DX122" s="55">
        <v>0.93</v>
      </c>
      <c r="DY122" s="55">
        <f t="shared" si="658"/>
        <v>0.91</v>
      </c>
      <c r="DZ122" s="55">
        <f t="shared" si="658"/>
        <v>0.89</v>
      </c>
      <c r="EA122" s="55">
        <f t="shared" si="658"/>
        <v>0.87</v>
      </c>
      <c r="EB122" s="55">
        <f t="shared" si="658"/>
        <v>0.85</v>
      </c>
      <c r="EC122" s="55">
        <f t="shared" si="658"/>
        <v>0.83</v>
      </c>
      <c r="ED122" s="55">
        <f t="shared" si="658"/>
        <v>0.80999999999999994</v>
      </c>
      <c r="EE122" s="55">
        <f t="shared" si="658"/>
        <v>0.78999999999999992</v>
      </c>
      <c r="EF122" s="55">
        <f t="shared" si="658"/>
        <v>0.76999999999999991</v>
      </c>
      <c r="EG122" s="55">
        <f t="shared" si="658"/>
        <v>0.74999999999999989</v>
      </c>
      <c r="EH122" s="55">
        <f t="shared" si="658"/>
        <v>0.72999999999999987</v>
      </c>
      <c r="EI122" s="55">
        <f t="shared" si="658"/>
        <v>0.70999999999999985</v>
      </c>
      <c r="EJ122" s="55">
        <f t="shared" si="658"/>
        <v>0.68999999999999984</v>
      </c>
      <c r="EK122" s="55">
        <f t="shared" si="658"/>
        <v>0.66999999999999982</v>
      </c>
      <c r="EL122" s="55">
        <f t="shared" si="658"/>
        <v>0.6499999999999998</v>
      </c>
      <c r="EM122" s="55">
        <f t="shared" si="658"/>
        <v>0.62999999999999978</v>
      </c>
      <c r="EN122" s="55">
        <f t="shared" si="658"/>
        <v>0.60999999999999976</v>
      </c>
      <c r="EO122" s="55">
        <f t="shared" si="658"/>
        <v>0.58999999999999975</v>
      </c>
      <c r="EP122" s="55">
        <f t="shared" si="658"/>
        <v>0.56999999999999973</v>
      </c>
      <c r="ER122" s="55">
        <f t="shared" si="652"/>
        <v>0</v>
      </c>
      <c r="ES122" s="55">
        <f t="shared" si="514"/>
        <v>0</v>
      </c>
      <c r="ET122" s="59">
        <f t="shared" ref="ET122:ET133" si="751">+ES122*3.3058</f>
        <v>0</v>
      </c>
      <c r="EU122" s="55">
        <f t="shared" ref="EU122:EU133" si="752">+ES122*GN122</f>
        <v>0</v>
      </c>
      <c r="EV122" s="59">
        <f t="shared" ref="EV122:EV133" si="753">+EU122*3.3058</f>
        <v>0</v>
      </c>
      <c r="EW122" s="55">
        <f t="shared" ref="EW122:EW133" si="754">+ES122*GO122</f>
        <v>0</v>
      </c>
      <c r="EX122" s="59">
        <f t="shared" ref="EX122:EX133" si="755">+EW122*3.3058</f>
        <v>0</v>
      </c>
      <c r="EY122" s="55">
        <f t="shared" ref="EY122:EY133" si="756">+ES122*GP122</f>
        <v>0</v>
      </c>
      <c r="EZ122" s="59">
        <f t="shared" ref="EZ122:EZ133" si="757">+EY122*3.3058</f>
        <v>0</v>
      </c>
      <c r="FA122" s="57">
        <f t="shared" ref="FA122:FA133" si="758">+ES122*GQ122</f>
        <v>0</v>
      </c>
      <c r="FB122" s="59">
        <f t="shared" ref="FB122:FB133" si="759">+FA122*3.3058</f>
        <v>0</v>
      </c>
      <c r="FC122" s="55">
        <f t="shared" ref="FC122:FC133" si="760">+ES122*GR122</f>
        <v>0</v>
      </c>
      <c r="FD122" s="59">
        <f t="shared" ref="FD122:FD133" si="761">+FC122*3.3058</f>
        <v>0</v>
      </c>
      <c r="FE122" s="57">
        <f t="shared" ref="FE122:FE133" si="762">+ES122*GS122</f>
        <v>0</v>
      </c>
      <c r="FF122" s="59">
        <f t="shared" ref="FF122:FF133" si="763">+FE122*3.3058</f>
        <v>0</v>
      </c>
      <c r="FG122" s="60">
        <f t="shared" ref="FG122:FG133" si="764">+ES122*GT122</f>
        <v>0</v>
      </c>
      <c r="FH122" s="59">
        <f t="shared" ref="FH122:FH133" si="765">+FG122*3.3058</f>
        <v>0</v>
      </c>
      <c r="FI122" s="57">
        <f t="shared" ref="FI122:FI133" si="766">+ES122*GU122</f>
        <v>0</v>
      </c>
      <c r="FJ122" s="59">
        <f t="shared" ref="FJ122:FJ133" si="767">+FI122*3.3058</f>
        <v>0</v>
      </c>
      <c r="FK122" s="55">
        <f t="shared" ref="FK122:FK133" si="768">+ES122*GV122</f>
        <v>0</v>
      </c>
      <c r="FL122" s="59">
        <f t="shared" ref="FL122:FL133" si="769">+FK122*3.3058</f>
        <v>0</v>
      </c>
      <c r="FM122" s="60">
        <f t="shared" ref="FM122:FM133" si="770">+ES122*GW122</f>
        <v>0</v>
      </c>
      <c r="FN122" s="59">
        <f t="shared" ref="FN122:FN133" si="771">+FM122*3.3058</f>
        <v>0</v>
      </c>
      <c r="FO122" s="60">
        <f t="shared" ref="FO122:FO133" si="772">+ES122*GX122</f>
        <v>0</v>
      </c>
      <c r="FP122" s="59">
        <f t="shared" ref="FP122:FP133" si="773">+FO122*3.3058</f>
        <v>0</v>
      </c>
      <c r="FQ122" s="60">
        <f t="shared" ref="FQ122:FQ133" si="774">+ES122*GY122</f>
        <v>0</v>
      </c>
      <c r="FR122" s="59">
        <f t="shared" ref="FR122:FR133" si="775">+FQ122*3.3058</f>
        <v>0</v>
      </c>
      <c r="FS122" s="55">
        <f t="shared" ref="FS122:FS133" si="776">+ES122*GZ122</f>
        <v>0</v>
      </c>
      <c r="FT122" s="59">
        <f t="shared" ref="FT122:FT133" si="777">+FS122*3.3058</f>
        <v>0</v>
      </c>
      <c r="FU122" s="60">
        <f t="shared" ref="FU122:FU133" si="778">+ES122*HA122</f>
        <v>0</v>
      </c>
      <c r="FV122" s="59">
        <f t="shared" ref="FV122:FV133" si="779">+FU122*3.3058</f>
        <v>0</v>
      </c>
      <c r="FW122" s="60">
        <f t="shared" ref="FW122:FW133" si="780">+ES122*HB122</f>
        <v>0</v>
      </c>
      <c r="FX122" s="59">
        <f t="shared" ref="FX122:FX133" si="781">+FW122*3.3058</f>
        <v>0</v>
      </c>
      <c r="FY122" s="60">
        <f t="shared" ref="FY122:FY133" si="782">+ES122*HC122</f>
        <v>0</v>
      </c>
      <c r="FZ122" s="59">
        <f t="shared" ref="FZ122:FZ133" si="783">+FY122*3.3058</f>
        <v>0</v>
      </c>
      <c r="GA122" s="60">
        <f t="shared" ref="GA122:GA133" si="784">+ES122*HD122</f>
        <v>0</v>
      </c>
      <c r="GB122" s="59">
        <f t="shared" ref="GB122:GB133" si="785">+GA122*3.3058</f>
        <v>0</v>
      </c>
      <c r="GC122" s="55">
        <f t="shared" ref="GC122:GC133" si="786">+ES122*HE122</f>
        <v>0</v>
      </c>
      <c r="GD122" s="59">
        <f t="shared" ref="GD122:GD133" si="787">+GC122*3.3058</f>
        <v>0</v>
      </c>
      <c r="GE122" s="60">
        <f t="shared" ref="GE122:GE133" si="788">+ES122*HF122</f>
        <v>0</v>
      </c>
      <c r="GF122" s="59">
        <f t="shared" ref="GF122:GF133" si="789">+GE122*3.3058</f>
        <v>0</v>
      </c>
      <c r="GG122" s="60">
        <f t="shared" ref="GG122:GG133" si="790">+ES122*HG122</f>
        <v>0</v>
      </c>
      <c r="GH122" s="59">
        <f t="shared" ref="GH122:GH133" si="791">+GG122*3.3058</f>
        <v>0</v>
      </c>
      <c r="GI122" s="55">
        <f t="shared" ref="GI122:GI133" si="792">+ES122*HH122</f>
        <v>0</v>
      </c>
      <c r="GJ122" s="59">
        <f t="shared" ref="GJ122:GJ133" si="793">+GI122*3.3058</f>
        <v>0</v>
      </c>
      <c r="GK122" s="55"/>
      <c r="GL122" s="55"/>
      <c r="GM122" s="55">
        <v>1</v>
      </c>
      <c r="GN122" s="55">
        <v>0.97</v>
      </c>
      <c r="GO122" s="55">
        <v>0.95</v>
      </c>
      <c r="GP122" s="55">
        <v>0.93</v>
      </c>
      <c r="GQ122" s="55">
        <f t="shared" si="659"/>
        <v>0.91</v>
      </c>
      <c r="GR122" s="55">
        <f t="shared" si="659"/>
        <v>0.89</v>
      </c>
      <c r="GS122" s="55">
        <f t="shared" si="659"/>
        <v>0.87</v>
      </c>
      <c r="GT122" s="55">
        <f t="shared" si="659"/>
        <v>0.85</v>
      </c>
      <c r="GU122" s="55">
        <f t="shared" si="659"/>
        <v>0.83</v>
      </c>
      <c r="GV122" s="55">
        <f t="shared" si="659"/>
        <v>0.80999999999999994</v>
      </c>
      <c r="GW122" s="55">
        <f t="shared" si="659"/>
        <v>0.78999999999999992</v>
      </c>
      <c r="GX122" s="55">
        <f t="shared" si="659"/>
        <v>0.76999999999999991</v>
      </c>
      <c r="GY122" s="55">
        <f t="shared" si="659"/>
        <v>0.74999999999999989</v>
      </c>
      <c r="GZ122" s="55">
        <f t="shared" si="659"/>
        <v>0.72999999999999987</v>
      </c>
      <c r="HA122" s="55">
        <f t="shared" si="659"/>
        <v>0.70999999999999985</v>
      </c>
      <c r="HB122" s="55">
        <f t="shared" si="659"/>
        <v>0.68999999999999984</v>
      </c>
      <c r="HC122" s="55">
        <f t="shared" si="659"/>
        <v>0.66999999999999982</v>
      </c>
      <c r="HD122" s="55">
        <f t="shared" si="659"/>
        <v>0.6499999999999998</v>
      </c>
      <c r="HE122" s="55">
        <f t="shared" si="659"/>
        <v>0.62999999999999978</v>
      </c>
      <c r="HF122" s="55">
        <f t="shared" si="659"/>
        <v>0.60999999999999976</v>
      </c>
      <c r="HG122" s="55">
        <f t="shared" si="659"/>
        <v>0.58999999999999975</v>
      </c>
      <c r="HH122" s="55">
        <f t="shared" si="659"/>
        <v>0.56999999999999973</v>
      </c>
    </row>
    <row r="123" spans="1:216" x14ac:dyDescent="0.3">
      <c r="A123" s="2">
        <v>2</v>
      </c>
      <c r="C123" s="38" t="s">
        <v>124</v>
      </c>
      <c r="D123" s="42">
        <v>0</v>
      </c>
      <c r="E123" s="71">
        <f t="shared" si="664"/>
        <v>0</v>
      </c>
      <c r="H123" s="55">
        <f t="shared" si="509"/>
        <v>0</v>
      </c>
      <c r="I123" s="55">
        <f t="shared" si="510"/>
        <v>0</v>
      </c>
      <c r="J123" s="59">
        <f t="shared" si="511"/>
        <v>0</v>
      </c>
      <c r="K123" s="55">
        <f t="shared" si="665"/>
        <v>0</v>
      </c>
      <c r="L123" s="59">
        <f t="shared" si="666"/>
        <v>0</v>
      </c>
      <c r="M123" s="55">
        <f t="shared" si="667"/>
        <v>0</v>
      </c>
      <c r="N123" s="59">
        <f t="shared" si="668"/>
        <v>0</v>
      </c>
      <c r="O123" s="55">
        <f t="shared" si="669"/>
        <v>0</v>
      </c>
      <c r="P123" s="59">
        <f t="shared" si="670"/>
        <v>0</v>
      </c>
      <c r="Q123" s="57">
        <f t="shared" si="671"/>
        <v>0</v>
      </c>
      <c r="R123" s="59">
        <f t="shared" si="672"/>
        <v>0</v>
      </c>
      <c r="S123" s="55">
        <f t="shared" si="673"/>
        <v>0</v>
      </c>
      <c r="T123" s="59">
        <f t="shared" si="674"/>
        <v>0</v>
      </c>
      <c r="U123" s="57">
        <f t="shared" si="675"/>
        <v>0</v>
      </c>
      <c r="V123" s="59">
        <f t="shared" si="676"/>
        <v>0</v>
      </c>
      <c r="W123" s="60">
        <f t="shared" si="677"/>
        <v>0</v>
      </c>
      <c r="X123" s="59">
        <f t="shared" si="678"/>
        <v>0</v>
      </c>
      <c r="Y123" s="57">
        <f t="shared" si="679"/>
        <v>0</v>
      </c>
      <c r="Z123" s="59">
        <f t="shared" si="680"/>
        <v>0</v>
      </c>
      <c r="AA123" s="55">
        <f t="shared" si="681"/>
        <v>0</v>
      </c>
      <c r="AB123" s="59">
        <f t="shared" si="682"/>
        <v>0</v>
      </c>
      <c r="AC123" s="60">
        <f t="shared" si="683"/>
        <v>0</v>
      </c>
      <c r="AD123" s="59">
        <f t="shared" si="684"/>
        <v>0</v>
      </c>
      <c r="AE123" s="60">
        <f t="shared" si="685"/>
        <v>0</v>
      </c>
      <c r="AF123" s="59">
        <f t="shared" si="686"/>
        <v>0</v>
      </c>
      <c r="AG123" s="60">
        <f t="shared" si="687"/>
        <v>0</v>
      </c>
      <c r="AH123" s="59">
        <f t="shared" si="688"/>
        <v>0</v>
      </c>
      <c r="AI123" s="55">
        <f t="shared" si="689"/>
        <v>0</v>
      </c>
      <c r="AJ123" s="59">
        <f t="shared" si="690"/>
        <v>0</v>
      </c>
      <c r="AK123" s="60">
        <f t="shared" si="691"/>
        <v>0</v>
      </c>
      <c r="AL123" s="59">
        <f t="shared" si="692"/>
        <v>0</v>
      </c>
      <c r="AM123" s="60">
        <f t="shared" si="693"/>
        <v>0</v>
      </c>
      <c r="AN123" s="59">
        <f t="shared" si="694"/>
        <v>0</v>
      </c>
      <c r="AO123" s="60">
        <f t="shared" si="695"/>
        <v>0</v>
      </c>
      <c r="AP123" s="59">
        <f t="shared" si="696"/>
        <v>0</v>
      </c>
      <c r="AQ123" s="60">
        <f t="shared" si="697"/>
        <v>0</v>
      </c>
      <c r="AR123" s="59">
        <f t="shared" si="698"/>
        <v>0</v>
      </c>
      <c r="AS123" s="55">
        <f t="shared" si="699"/>
        <v>0</v>
      </c>
      <c r="AT123" s="59">
        <f t="shared" si="700"/>
        <v>0</v>
      </c>
      <c r="AU123" s="60">
        <f t="shared" si="701"/>
        <v>0</v>
      </c>
      <c r="AV123" s="59">
        <f t="shared" si="702"/>
        <v>0</v>
      </c>
      <c r="AW123" s="60">
        <f t="shared" si="703"/>
        <v>0</v>
      </c>
      <c r="AX123" s="59">
        <f t="shared" si="704"/>
        <v>0</v>
      </c>
      <c r="AY123" s="55">
        <f t="shared" si="705"/>
        <v>0</v>
      </c>
      <c r="AZ123" s="59">
        <f t="shared" si="706"/>
        <v>0</v>
      </c>
      <c r="BC123" s="55">
        <v>1</v>
      </c>
      <c r="BD123" s="55">
        <v>0.97</v>
      </c>
      <c r="BE123" s="55">
        <v>0.95</v>
      </c>
      <c r="BF123" s="55">
        <v>0.93</v>
      </c>
      <c r="BG123" s="55">
        <f t="shared" si="707"/>
        <v>0.91</v>
      </c>
      <c r="BH123" s="55">
        <f t="shared" si="707"/>
        <v>0.89</v>
      </c>
      <c r="BI123" s="55">
        <f t="shared" si="707"/>
        <v>0.87</v>
      </c>
      <c r="BJ123" s="55">
        <f t="shared" si="707"/>
        <v>0.85</v>
      </c>
      <c r="BK123" s="55">
        <f t="shared" si="707"/>
        <v>0.83</v>
      </c>
      <c r="BL123" s="55">
        <f t="shared" si="707"/>
        <v>0.80999999999999994</v>
      </c>
      <c r="BM123" s="55">
        <f t="shared" si="707"/>
        <v>0.78999999999999992</v>
      </c>
      <c r="BN123" s="55">
        <f t="shared" si="707"/>
        <v>0.76999999999999991</v>
      </c>
      <c r="BO123" s="55">
        <f t="shared" si="707"/>
        <v>0.74999999999999989</v>
      </c>
      <c r="BP123" s="55">
        <f t="shared" si="707"/>
        <v>0.72999999999999987</v>
      </c>
      <c r="BQ123" s="55">
        <f t="shared" si="707"/>
        <v>0.70999999999999985</v>
      </c>
      <c r="BR123" s="55">
        <f t="shared" si="707"/>
        <v>0.68999999999999984</v>
      </c>
      <c r="BS123" s="55">
        <f t="shared" si="707"/>
        <v>0.66999999999999982</v>
      </c>
      <c r="BT123" s="55">
        <f t="shared" si="707"/>
        <v>0.6499999999999998</v>
      </c>
      <c r="BU123" s="55">
        <f t="shared" si="707"/>
        <v>0.62999999999999978</v>
      </c>
      <c r="BV123" s="55">
        <f t="shared" si="707"/>
        <v>0.60999999999999976</v>
      </c>
      <c r="BW123" s="55">
        <f t="shared" si="707"/>
        <v>0.58999999999999975</v>
      </c>
      <c r="BX123" s="55">
        <f t="shared" si="707"/>
        <v>0.56999999999999973</v>
      </c>
      <c r="BZ123" s="55">
        <f t="shared" si="512"/>
        <v>0</v>
      </c>
      <c r="CA123" s="55">
        <f t="shared" si="513"/>
        <v>0</v>
      </c>
      <c r="CB123" s="59">
        <f t="shared" si="708"/>
        <v>0</v>
      </c>
      <c r="CC123" s="55">
        <f t="shared" si="709"/>
        <v>0</v>
      </c>
      <c r="CD123" s="59">
        <f t="shared" si="710"/>
        <v>0</v>
      </c>
      <c r="CE123" s="55">
        <f t="shared" si="711"/>
        <v>0</v>
      </c>
      <c r="CF123" s="59">
        <f t="shared" si="712"/>
        <v>0</v>
      </c>
      <c r="CG123" s="55">
        <f t="shared" si="713"/>
        <v>0</v>
      </c>
      <c r="CH123" s="59">
        <f t="shared" si="714"/>
        <v>0</v>
      </c>
      <c r="CI123" s="57">
        <f t="shared" si="715"/>
        <v>0</v>
      </c>
      <c r="CJ123" s="59">
        <f t="shared" si="716"/>
        <v>0</v>
      </c>
      <c r="CK123" s="55">
        <f t="shared" si="717"/>
        <v>0</v>
      </c>
      <c r="CL123" s="59">
        <f t="shared" si="718"/>
        <v>0</v>
      </c>
      <c r="CM123" s="57">
        <f t="shared" si="719"/>
        <v>0</v>
      </c>
      <c r="CN123" s="59">
        <f t="shared" si="720"/>
        <v>0</v>
      </c>
      <c r="CO123" s="60">
        <f t="shared" si="721"/>
        <v>0</v>
      </c>
      <c r="CP123" s="59">
        <f t="shared" si="722"/>
        <v>0</v>
      </c>
      <c r="CQ123" s="57">
        <f t="shared" si="723"/>
        <v>0</v>
      </c>
      <c r="CR123" s="59">
        <f t="shared" si="724"/>
        <v>0</v>
      </c>
      <c r="CS123" s="55">
        <f t="shared" si="725"/>
        <v>0</v>
      </c>
      <c r="CT123" s="59">
        <f t="shared" si="726"/>
        <v>0</v>
      </c>
      <c r="CU123" s="60">
        <f t="shared" si="727"/>
        <v>0</v>
      </c>
      <c r="CV123" s="59">
        <f t="shared" si="728"/>
        <v>0</v>
      </c>
      <c r="CW123" s="60">
        <f t="shared" si="729"/>
        <v>0</v>
      </c>
      <c r="CX123" s="59">
        <f t="shared" si="730"/>
        <v>0</v>
      </c>
      <c r="CY123" s="60">
        <f t="shared" si="731"/>
        <v>0</v>
      </c>
      <c r="CZ123" s="59">
        <f t="shared" si="732"/>
        <v>0</v>
      </c>
      <c r="DA123" s="55">
        <f t="shared" si="733"/>
        <v>0</v>
      </c>
      <c r="DB123" s="59">
        <f t="shared" si="734"/>
        <v>0</v>
      </c>
      <c r="DC123" s="60">
        <f t="shared" si="735"/>
        <v>0</v>
      </c>
      <c r="DD123" s="59">
        <f t="shared" si="736"/>
        <v>0</v>
      </c>
      <c r="DE123" s="60">
        <f t="shared" si="737"/>
        <v>0</v>
      </c>
      <c r="DF123" s="59">
        <f t="shared" si="738"/>
        <v>0</v>
      </c>
      <c r="DG123" s="60">
        <f t="shared" si="739"/>
        <v>0</v>
      </c>
      <c r="DH123" s="59">
        <f t="shared" si="740"/>
        <v>0</v>
      </c>
      <c r="DI123" s="60">
        <f t="shared" si="741"/>
        <v>0</v>
      </c>
      <c r="DJ123" s="59">
        <f t="shared" si="742"/>
        <v>0</v>
      </c>
      <c r="DK123" s="55">
        <f t="shared" si="743"/>
        <v>0</v>
      </c>
      <c r="DL123" s="59">
        <f t="shared" si="744"/>
        <v>0</v>
      </c>
      <c r="DM123" s="60">
        <f t="shared" si="745"/>
        <v>0</v>
      </c>
      <c r="DN123" s="59">
        <f t="shared" si="746"/>
        <v>0</v>
      </c>
      <c r="DO123" s="60">
        <f t="shared" si="747"/>
        <v>0</v>
      </c>
      <c r="DP123" s="59">
        <f t="shared" si="748"/>
        <v>0</v>
      </c>
      <c r="DQ123" s="55">
        <f t="shared" si="749"/>
        <v>0</v>
      </c>
      <c r="DR123" s="59">
        <f t="shared" si="750"/>
        <v>0</v>
      </c>
      <c r="DU123" s="55">
        <v>1</v>
      </c>
      <c r="DV123" s="55">
        <v>0.97</v>
      </c>
      <c r="DW123" s="55">
        <v>0.95</v>
      </c>
      <c r="DX123" s="55">
        <v>0.93</v>
      </c>
      <c r="DY123" s="55">
        <f t="shared" si="658"/>
        <v>0.91</v>
      </c>
      <c r="DZ123" s="55">
        <f t="shared" si="658"/>
        <v>0.89</v>
      </c>
      <c r="EA123" s="55">
        <f t="shared" si="658"/>
        <v>0.87</v>
      </c>
      <c r="EB123" s="55">
        <f t="shared" si="658"/>
        <v>0.85</v>
      </c>
      <c r="EC123" s="55">
        <f t="shared" si="658"/>
        <v>0.83</v>
      </c>
      <c r="ED123" s="55">
        <f t="shared" si="658"/>
        <v>0.80999999999999994</v>
      </c>
      <c r="EE123" s="55">
        <f t="shared" si="658"/>
        <v>0.78999999999999992</v>
      </c>
      <c r="EF123" s="55">
        <f t="shared" si="658"/>
        <v>0.76999999999999991</v>
      </c>
      <c r="EG123" s="55">
        <f t="shared" si="658"/>
        <v>0.74999999999999989</v>
      </c>
      <c r="EH123" s="55">
        <f t="shared" si="658"/>
        <v>0.72999999999999987</v>
      </c>
      <c r="EI123" s="55">
        <f t="shared" si="658"/>
        <v>0.70999999999999985</v>
      </c>
      <c r="EJ123" s="55">
        <f t="shared" si="658"/>
        <v>0.68999999999999984</v>
      </c>
      <c r="EK123" s="55">
        <f t="shared" si="658"/>
        <v>0.66999999999999982</v>
      </c>
      <c r="EL123" s="55">
        <f t="shared" si="658"/>
        <v>0.6499999999999998</v>
      </c>
      <c r="EM123" s="55">
        <f t="shared" si="658"/>
        <v>0.62999999999999978</v>
      </c>
      <c r="EN123" s="55">
        <f t="shared" si="658"/>
        <v>0.60999999999999976</v>
      </c>
      <c r="EO123" s="55">
        <f t="shared" si="658"/>
        <v>0.58999999999999975</v>
      </c>
      <c r="EP123" s="55">
        <f t="shared" si="658"/>
        <v>0.56999999999999973</v>
      </c>
      <c r="ER123" s="55">
        <f t="shared" si="652"/>
        <v>0</v>
      </c>
      <c r="ES123" s="55">
        <f t="shared" si="514"/>
        <v>0</v>
      </c>
      <c r="ET123" s="59">
        <f t="shared" si="751"/>
        <v>0</v>
      </c>
      <c r="EU123" s="55">
        <f t="shared" si="752"/>
        <v>0</v>
      </c>
      <c r="EV123" s="59">
        <f t="shared" si="753"/>
        <v>0</v>
      </c>
      <c r="EW123" s="55">
        <f t="shared" si="754"/>
        <v>0</v>
      </c>
      <c r="EX123" s="59">
        <f t="shared" si="755"/>
        <v>0</v>
      </c>
      <c r="EY123" s="55">
        <f t="shared" si="756"/>
        <v>0</v>
      </c>
      <c r="EZ123" s="59">
        <f t="shared" si="757"/>
        <v>0</v>
      </c>
      <c r="FA123" s="57">
        <f t="shared" si="758"/>
        <v>0</v>
      </c>
      <c r="FB123" s="59">
        <f t="shared" si="759"/>
        <v>0</v>
      </c>
      <c r="FC123" s="55">
        <f t="shared" si="760"/>
        <v>0</v>
      </c>
      <c r="FD123" s="59">
        <f t="shared" si="761"/>
        <v>0</v>
      </c>
      <c r="FE123" s="57">
        <f t="shared" si="762"/>
        <v>0</v>
      </c>
      <c r="FF123" s="59">
        <f t="shared" si="763"/>
        <v>0</v>
      </c>
      <c r="FG123" s="60">
        <f t="shared" si="764"/>
        <v>0</v>
      </c>
      <c r="FH123" s="59">
        <f t="shared" si="765"/>
        <v>0</v>
      </c>
      <c r="FI123" s="57">
        <f t="shared" si="766"/>
        <v>0</v>
      </c>
      <c r="FJ123" s="59">
        <f t="shared" si="767"/>
        <v>0</v>
      </c>
      <c r="FK123" s="55">
        <f t="shared" si="768"/>
        <v>0</v>
      </c>
      <c r="FL123" s="59">
        <f t="shared" si="769"/>
        <v>0</v>
      </c>
      <c r="FM123" s="60">
        <f t="shared" si="770"/>
        <v>0</v>
      </c>
      <c r="FN123" s="59">
        <f t="shared" si="771"/>
        <v>0</v>
      </c>
      <c r="FO123" s="60">
        <f t="shared" si="772"/>
        <v>0</v>
      </c>
      <c r="FP123" s="59">
        <f t="shared" si="773"/>
        <v>0</v>
      </c>
      <c r="FQ123" s="60">
        <f t="shared" si="774"/>
        <v>0</v>
      </c>
      <c r="FR123" s="59">
        <f t="shared" si="775"/>
        <v>0</v>
      </c>
      <c r="FS123" s="55">
        <f t="shared" si="776"/>
        <v>0</v>
      </c>
      <c r="FT123" s="59">
        <f t="shared" si="777"/>
        <v>0</v>
      </c>
      <c r="FU123" s="60">
        <f t="shared" si="778"/>
        <v>0</v>
      </c>
      <c r="FV123" s="59">
        <f t="shared" si="779"/>
        <v>0</v>
      </c>
      <c r="FW123" s="60">
        <f t="shared" si="780"/>
        <v>0</v>
      </c>
      <c r="FX123" s="59">
        <f t="shared" si="781"/>
        <v>0</v>
      </c>
      <c r="FY123" s="60">
        <f t="shared" si="782"/>
        <v>0</v>
      </c>
      <c r="FZ123" s="59">
        <f t="shared" si="783"/>
        <v>0</v>
      </c>
      <c r="GA123" s="60">
        <f t="shared" si="784"/>
        <v>0</v>
      </c>
      <c r="GB123" s="59">
        <f t="shared" si="785"/>
        <v>0</v>
      </c>
      <c r="GC123" s="55">
        <f t="shared" si="786"/>
        <v>0</v>
      </c>
      <c r="GD123" s="59">
        <f t="shared" si="787"/>
        <v>0</v>
      </c>
      <c r="GE123" s="60">
        <f t="shared" si="788"/>
        <v>0</v>
      </c>
      <c r="GF123" s="59">
        <f t="shared" si="789"/>
        <v>0</v>
      </c>
      <c r="GG123" s="60">
        <f t="shared" si="790"/>
        <v>0</v>
      </c>
      <c r="GH123" s="59">
        <f t="shared" si="791"/>
        <v>0</v>
      </c>
      <c r="GI123" s="55">
        <f t="shared" si="792"/>
        <v>0</v>
      </c>
      <c r="GJ123" s="59">
        <f t="shared" si="793"/>
        <v>0</v>
      </c>
      <c r="GK123" s="55"/>
      <c r="GL123" s="55"/>
      <c r="GM123" s="55">
        <v>1</v>
      </c>
      <c r="GN123" s="55">
        <v>0.97</v>
      </c>
      <c r="GO123" s="55">
        <v>0.95</v>
      </c>
      <c r="GP123" s="55">
        <v>0.93</v>
      </c>
      <c r="GQ123" s="55">
        <f t="shared" si="659"/>
        <v>0.91</v>
      </c>
      <c r="GR123" s="55">
        <f t="shared" si="659"/>
        <v>0.89</v>
      </c>
      <c r="GS123" s="55">
        <f t="shared" si="659"/>
        <v>0.87</v>
      </c>
      <c r="GT123" s="55">
        <f t="shared" si="659"/>
        <v>0.85</v>
      </c>
      <c r="GU123" s="55">
        <f t="shared" si="659"/>
        <v>0.83</v>
      </c>
      <c r="GV123" s="55">
        <f t="shared" si="659"/>
        <v>0.80999999999999994</v>
      </c>
      <c r="GW123" s="55">
        <f t="shared" si="659"/>
        <v>0.78999999999999992</v>
      </c>
      <c r="GX123" s="55">
        <f t="shared" si="659"/>
        <v>0.76999999999999991</v>
      </c>
      <c r="GY123" s="55">
        <f t="shared" si="659"/>
        <v>0.74999999999999989</v>
      </c>
      <c r="GZ123" s="55">
        <f t="shared" si="659"/>
        <v>0.72999999999999987</v>
      </c>
      <c r="HA123" s="55">
        <f t="shared" si="659"/>
        <v>0.70999999999999985</v>
      </c>
      <c r="HB123" s="55">
        <f t="shared" si="659"/>
        <v>0.68999999999999984</v>
      </c>
      <c r="HC123" s="55">
        <f t="shared" si="659"/>
        <v>0.66999999999999982</v>
      </c>
      <c r="HD123" s="55">
        <f t="shared" si="659"/>
        <v>0.6499999999999998</v>
      </c>
      <c r="HE123" s="55">
        <f t="shared" si="659"/>
        <v>0.62999999999999978</v>
      </c>
      <c r="HF123" s="55">
        <f t="shared" si="659"/>
        <v>0.60999999999999976</v>
      </c>
      <c r="HG123" s="55">
        <f t="shared" si="659"/>
        <v>0.58999999999999975</v>
      </c>
      <c r="HH123" s="55">
        <f t="shared" si="659"/>
        <v>0.56999999999999973</v>
      </c>
    </row>
    <row r="124" spans="1:216" x14ac:dyDescent="0.3">
      <c r="A124" s="2">
        <v>3</v>
      </c>
      <c r="C124" s="38" t="s">
        <v>152</v>
      </c>
      <c r="D124" s="42">
        <f>TRUNC(576,-1)</f>
        <v>570</v>
      </c>
      <c r="E124" s="71">
        <f t="shared" si="664"/>
        <v>1880</v>
      </c>
      <c r="H124" s="55">
        <f t="shared" si="509"/>
        <v>2068</v>
      </c>
      <c r="I124" s="55">
        <f t="shared" si="510"/>
        <v>2068</v>
      </c>
      <c r="J124" s="59">
        <f t="shared" si="511"/>
        <v>6836.3944000000001</v>
      </c>
      <c r="K124" s="55">
        <f t="shared" si="665"/>
        <v>2005.96</v>
      </c>
      <c r="L124" s="59">
        <f t="shared" si="666"/>
        <v>6631.3025680000001</v>
      </c>
      <c r="M124" s="55">
        <f t="shared" si="667"/>
        <v>1964.6</v>
      </c>
      <c r="N124" s="59">
        <f t="shared" si="668"/>
        <v>6494.5746799999997</v>
      </c>
      <c r="O124" s="55">
        <f t="shared" si="669"/>
        <v>1923.24</v>
      </c>
      <c r="P124" s="59">
        <f t="shared" si="670"/>
        <v>6357.8467920000003</v>
      </c>
      <c r="Q124" s="57">
        <f t="shared" si="671"/>
        <v>1881.88</v>
      </c>
      <c r="R124" s="59">
        <f t="shared" si="672"/>
        <v>6221.1189040000008</v>
      </c>
      <c r="S124" s="55">
        <f t="shared" si="673"/>
        <v>1840.52</v>
      </c>
      <c r="T124" s="59">
        <f t="shared" si="674"/>
        <v>6084.3910160000005</v>
      </c>
      <c r="U124" s="57">
        <f t="shared" si="675"/>
        <v>1799.16</v>
      </c>
      <c r="V124" s="59">
        <f t="shared" si="676"/>
        <v>5947.6631280000001</v>
      </c>
      <c r="W124" s="60">
        <f t="shared" si="677"/>
        <v>1757.8</v>
      </c>
      <c r="X124" s="59">
        <f t="shared" si="678"/>
        <v>5810.9352399999998</v>
      </c>
      <c r="Y124" s="57">
        <f t="shared" si="679"/>
        <v>1716.4399999999998</v>
      </c>
      <c r="Z124" s="59">
        <f t="shared" si="680"/>
        <v>5674.2073519999994</v>
      </c>
      <c r="AA124" s="55">
        <f t="shared" si="681"/>
        <v>1675.08</v>
      </c>
      <c r="AB124" s="59">
        <f t="shared" si="682"/>
        <v>5537.479464</v>
      </c>
      <c r="AC124" s="60">
        <f t="shared" si="683"/>
        <v>1633.7199999999998</v>
      </c>
      <c r="AD124" s="59">
        <f t="shared" si="684"/>
        <v>5400.7515759999997</v>
      </c>
      <c r="AE124" s="60">
        <f t="shared" si="685"/>
        <v>1592.36</v>
      </c>
      <c r="AF124" s="59">
        <f t="shared" si="686"/>
        <v>5264.0236880000002</v>
      </c>
      <c r="AG124" s="60">
        <f t="shared" si="687"/>
        <v>1550.9999999999998</v>
      </c>
      <c r="AH124" s="59">
        <f t="shared" si="688"/>
        <v>5127.295799999999</v>
      </c>
      <c r="AI124" s="55">
        <f t="shared" si="689"/>
        <v>1509.6399999999996</v>
      </c>
      <c r="AJ124" s="59">
        <f t="shared" si="690"/>
        <v>4990.5679119999986</v>
      </c>
      <c r="AK124" s="60">
        <f t="shared" si="691"/>
        <v>1468.2799999999997</v>
      </c>
      <c r="AL124" s="59">
        <f t="shared" si="692"/>
        <v>4853.8400239999992</v>
      </c>
      <c r="AM124" s="60">
        <f t="shared" si="693"/>
        <v>1426.9199999999996</v>
      </c>
      <c r="AN124" s="59">
        <f t="shared" si="694"/>
        <v>4717.1121359999988</v>
      </c>
      <c r="AO124" s="60">
        <f t="shared" si="695"/>
        <v>1385.5599999999997</v>
      </c>
      <c r="AP124" s="59">
        <f t="shared" si="696"/>
        <v>4580.3842479999994</v>
      </c>
      <c r="AQ124" s="60">
        <f t="shared" si="697"/>
        <v>1344.1999999999996</v>
      </c>
      <c r="AR124" s="59">
        <f t="shared" si="698"/>
        <v>4443.656359999999</v>
      </c>
      <c r="AS124" s="55">
        <f t="shared" si="699"/>
        <v>1302.8399999999995</v>
      </c>
      <c r="AT124" s="59">
        <f t="shared" si="700"/>
        <v>4306.9284719999987</v>
      </c>
      <c r="AU124" s="60">
        <f t="shared" si="701"/>
        <v>1261.4799999999996</v>
      </c>
      <c r="AV124" s="59">
        <f t="shared" si="702"/>
        <v>4170.2005839999983</v>
      </c>
      <c r="AW124" s="60">
        <f t="shared" si="703"/>
        <v>1220.1199999999994</v>
      </c>
      <c r="AX124" s="59">
        <f t="shared" si="704"/>
        <v>4033.4726959999985</v>
      </c>
      <c r="AY124" s="55">
        <f t="shared" si="705"/>
        <v>1178.7599999999995</v>
      </c>
      <c r="AZ124" s="59">
        <f t="shared" si="706"/>
        <v>3896.7448079999986</v>
      </c>
      <c r="BC124" s="55">
        <v>1</v>
      </c>
      <c r="BD124" s="55">
        <v>0.97</v>
      </c>
      <c r="BE124" s="55">
        <v>0.95</v>
      </c>
      <c r="BF124" s="55">
        <v>0.93</v>
      </c>
      <c r="BG124" s="55">
        <f t="shared" si="707"/>
        <v>0.91</v>
      </c>
      <c r="BH124" s="55">
        <f t="shared" si="707"/>
        <v>0.89</v>
      </c>
      <c r="BI124" s="55">
        <f t="shared" si="707"/>
        <v>0.87</v>
      </c>
      <c r="BJ124" s="55">
        <f t="shared" si="707"/>
        <v>0.85</v>
      </c>
      <c r="BK124" s="55">
        <f t="shared" si="707"/>
        <v>0.83</v>
      </c>
      <c r="BL124" s="55">
        <f t="shared" si="707"/>
        <v>0.80999999999999994</v>
      </c>
      <c r="BM124" s="55">
        <f t="shared" si="707"/>
        <v>0.78999999999999992</v>
      </c>
      <c r="BN124" s="55">
        <f t="shared" si="707"/>
        <v>0.76999999999999991</v>
      </c>
      <c r="BO124" s="55">
        <f t="shared" si="707"/>
        <v>0.74999999999999989</v>
      </c>
      <c r="BP124" s="55">
        <f t="shared" si="707"/>
        <v>0.72999999999999987</v>
      </c>
      <c r="BQ124" s="55">
        <f t="shared" si="707"/>
        <v>0.70999999999999985</v>
      </c>
      <c r="BR124" s="55">
        <f t="shared" si="707"/>
        <v>0.68999999999999984</v>
      </c>
      <c r="BS124" s="55">
        <f t="shared" si="707"/>
        <v>0.66999999999999982</v>
      </c>
      <c r="BT124" s="55">
        <f t="shared" si="707"/>
        <v>0.6499999999999998</v>
      </c>
      <c r="BU124" s="55">
        <f t="shared" si="707"/>
        <v>0.62999999999999978</v>
      </c>
      <c r="BV124" s="55">
        <f t="shared" si="707"/>
        <v>0.60999999999999976</v>
      </c>
      <c r="BW124" s="55">
        <f t="shared" si="707"/>
        <v>0.58999999999999975</v>
      </c>
      <c r="BX124" s="55">
        <f t="shared" si="707"/>
        <v>0.56999999999999973</v>
      </c>
      <c r="BZ124" s="55">
        <f t="shared" si="512"/>
        <v>1881.88</v>
      </c>
      <c r="CA124" s="55">
        <f t="shared" si="513"/>
        <v>1881.88</v>
      </c>
      <c r="CB124" s="59">
        <f t="shared" si="708"/>
        <v>6221.1189040000008</v>
      </c>
      <c r="CC124" s="55">
        <f t="shared" si="709"/>
        <v>1825.4236000000001</v>
      </c>
      <c r="CD124" s="59">
        <f t="shared" si="710"/>
        <v>6034.4853368800004</v>
      </c>
      <c r="CE124" s="55">
        <f t="shared" si="711"/>
        <v>1787.7860000000001</v>
      </c>
      <c r="CF124" s="59">
        <f t="shared" si="712"/>
        <v>5910.0629588000002</v>
      </c>
      <c r="CG124" s="55">
        <f t="shared" si="713"/>
        <v>1750.1484000000003</v>
      </c>
      <c r="CH124" s="59">
        <f t="shared" si="714"/>
        <v>5785.6405807200008</v>
      </c>
      <c r="CI124" s="57">
        <f t="shared" si="715"/>
        <v>1712.5108000000002</v>
      </c>
      <c r="CJ124" s="59">
        <f t="shared" si="716"/>
        <v>5661.2182026400005</v>
      </c>
      <c r="CK124" s="55">
        <f t="shared" si="717"/>
        <v>1674.8732000000002</v>
      </c>
      <c r="CL124" s="59">
        <f t="shared" si="718"/>
        <v>5536.7958245600012</v>
      </c>
      <c r="CM124" s="57">
        <f t="shared" si="719"/>
        <v>1637.2356</v>
      </c>
      <c r="CN124" s="59">
        <f t="shared" si="720"/>
        <v>5412.37344648</v>
      </c>
      <c r="CO124" s="60">
        <f t="shared" si="721"/>
        <v>1599.598</v>
      </c>
      <c r="CP124" s="59">
        <f t="shared" si="722"/>
        <v>5287.9510683999997</v>
      </c>
      <c r="CQ124" s="57">
        <f t="shared" si="723"/>
        <v>1561.9603999999999</v>
      </c>
      <c r="CR124" s="59">
        <f t="shared" si="724"/>
        <v>5163.5286903200004</v>
      </c>
      <c r="CS124" s="55">
        <f t="shared" si="725"/>
        <v>1524.3227999999999</v>
      </c>
      <c r="CT124" s="59">
        <f t="shared" si="726"/>
        <v>5039.1063122400001</v>
      </c>
      <c r="CU124" s="60">
        <f t="shared" si="727"/>
        <v>1486.6851999999999</v>
      </c>
      <c r="CV124" s="59">
        <f t="shared" si="728"/>
        <v>4914.6839341599998</v>
      </c>
      <c r="CW124" s="60">
        <f t="shared" si="729"/>
        <v>1449.0475999999999</v>
      </c>
      <c r="CX124" s="59">
        <f t="shared" si="730"/>
        <v>4790.2615560799995</v>
      </c>
      <c r="CY124" s="60">
        <f t="shared" si="731"/>
        <v>1411.4099999999999</v>
      </c>
      <c r="CZ124" s="59">
        <f t="shared" si="732"/>
        <v>4665.8391779999993</v>
      </c>
      <c r="DA124" s="55">
        <f t="shared" si="733"/>
        <v>1373.7723999999998</v>
      </c>
      <c r="DB124" s="59">
        <f t="shared" si="734"/>
        <v>4541.4167999199999</v>
      </c>
      <c r="DC124" s="60">
        <f t="shared" si="735"/>
        <v>1336.1347999999998</v>
      </c>
      <c r="DD124" s="59">
        <f t="shared" si="736"/>
        <v>4416.9944218399996</v>
      </c>
      <c r="DE124" s="60">
        <f t="shared" si="737"/>
        <v>1298.4971999999998</v>
      </c>
      <c r="DF124" s="59">
        <f t="shared" si="738"/>
        <v>4292.5720437599994</v>
      </c>
      <c r="DG124" s="60">
        <f t="shared" si="739"/>
        <v>1260.8595999999998</v>
      </c>
      <c r="DH124" s="59">
        <f t="shared" si="740"/>
        <v>4168.1496656799991</v>
      </c>
      <c r="DI124" s="60">
        <f t="shared" si="741"/>
        <v>1223.2219999999998</v>
      </c>
      <c r="DJ124" s="59">
        <f t="shared" si="742"/>
        <v>4043.7272875999993</v>
      </c>
      <c r="DK124" s="55">
        <f t="shared" si="743"/>
        <v>1185.5843999999997</v>
      </c>
      <c r="DL124" s="59">
        <f t="shared" si="744"/>
        <v>3919.304909519999</v>
      </c>
      <c r="DM124" s="60">
        <f t="shared" si="745"/>
        <v>1147.9467999999997</v>
      </c>
      <c r="DN124" s="59">
        <f t="shared" si="746"/>
        <v>3794.8825314399992</v>
      </c>
      <c r="DO124" s="60">
        <f t="shared" si="747"/>
        <v>1110.3091999999997</v>
      </c>
      <c r="DP124" s="59">
        <f t="shared" si="748"/>
        <v>3670.4601533599989</v>
      </c>
      <c r="DQ124" s="55">
        <f t="shared" si="749"/>
        <v>1072.6715999999994</v>
      </c>
      <c r="DR124" s="59">
        <f t="shared" si="750"/>
        <v>3546.0377752799982</v>
      </c>
      <c r="DU124" s="55">
        <v>1</v>
      </c>
      <c r="DV124" s="55">
        <v>0.97</v>
      </c>
      <c r="DW124" s="55">
        <v>0.95</v>
      </c>
      <c r="DX124" s="55">
        <v>0.93</v>
      </c>
      <c r="DY124" s="55">
        <f t="shared" si="658"/>
        <v>0.91</v>
      </c>
      <c r="DZ124" s="55">
        <f t="shared" si="658"/>
        <v>0.89</v>
      </c>
      <c r="EA124" s="55">
        <f t="shared" si="658"/>
        <v>0.87</v>
      </c>
      <c r="EB124" s="55">
        <f t="shared" si="658"/>
        <v>0.85</v>
      </c>
      <c r="EC124" s="55">
        <f t="shared" si="658"/>
        <v>0.83</v>
      </c>
      <c r="ED124" s="55">
        <f t="shared" si="658"/>
        <v>0.80999999999999994</v>
      </c>
      <c r="EE124" s="55">
        <f t="shared" si="658"/>
        <v>0.78999999999999992</v>
      </c>
      <c r="EF124" s="55">
        <f t="shared" si="658"/>
        <v>0.76999999999999991</v>
      </c>
      <c r="EG124" s="55">
        <f t="shared" si="658"/>
        <v>0.74999999999999989</v>
      </c>
      <c r="EH124" s="55">
        <f t="shared" si="658"/>
        <v>0.72999999999999987</v>
      </c>
      <c r="EI124" s="55">
        <f t="shared" si="658"/>
        <v>0.70999999999999985</v>
      </c>
      <c r="EJ124" s="55">
        <f t="shared" si="658"/>
        <v>0.68999999999999984</v>
      </c>
      <c r="EK124" s="55">
        <f t="shared" si="658"/>
        <v>0.66999999999999982</v>
      </c>
      <c r="EL124" s="55">
        <f t="shared" si="658"/>
        <v>0.6499999999999998</v>
      </c>
      <c r="EM124" s="55">
        <f t="shared" si="658"/>
        <v>0.62999999999999978</v>
      </c>
      <c r="EN124" s="55">
        <f t="shared" si="658"/>
        <v>0.60999999999999976</v>
      </c>
      <c r="EO124" s="55">
        <f t="shared" si="658"/>
        <v>0.58999999999999975</v>
      </c>
      <c r="EP124" s="55">
        <f t="shared" si="658"/>
        <v>0.56999999999999973</v>
      </c>
      <c r="ER124" s="55">
        <f t="shared" si="652"/>
        <v>1712.5108000000002</v>
      </c>
      <c r="ES124" s="55">
        <f t="shared" si="514"/>
        <v>1712.5108000000002</v>
      </c>
      <c r="ET124" s="59">
        <f t="shared" si="751"/>
        <v>5661.2182026400005</v>
      </c>
      <c r="EU124" s="55">
        <f t="shared" si="752"/>
        <v>1661.1354760000002</v>
      </c>
      <c r="EV124" s="59">
        <f t="shared" si="753"/>
        <v>5491.3816565608004</v>
      </c>
      <c r="EW124" s="55">
        <f t="shared" si="754"/>
        <v>1626.8852600000002</v>
      </c>
      <c r="EX124" s="59">
        <f t="shared" si="755"/>
        <v>5378.1572925080009</v>
      </c>
      <c r="EY124" s="55">
        <f t="shared" si="756"/>
        <v>1592.6350440000003</v>
      </c>
      <c r="EZ124" s="59">
        <f t="shared" si="757"/>
        <v>5264.9329284552014</v>
      </c>
      <c r="FA124" s="57">
        <f t="shared" si="758"/>
        <v>1558.3848280000002</v>
      </c>
      <c r="FB124" s="59">
        <f t="shared" si="759"/>
        <v>5151.708564402401</v>
      </c>
      <c r="FC124" s="55">
        <f t="shared" si="760"/>
        <v>1524.1346120000003</v>
      </c>
      <c r="FD124" s="59">
        <f t="shared" si="761"/>
        <v>5038.4842003496015</v>
      </c>
      <c r="FE124" s="57">
        <f t="shared" si="762"/>
        <v>1489.8843960000002</v>
      </c>
      <c r="FF124" s="59">
        <f t="shared" si="763"/>
        <v>4925.259836296801</v>
      </c>
      <c r="FG124" s="60">
        <f t="shared" si="764"/>
        <v>1455.6341800000002</v>
      </c>
      <c r="FH124" s="59">
        <f t="shared" si="765"/>
        <v>4812.0354722440006</v>
      </c>
      <c r="FI124" s="57">
        <f t="shared" si="766"/>
        <v>1421.3839640000001</v>
      </c>
      <c r="FJ124" s="59">
        <f t="shared" si="767"/>
        <v>4698.8111081912002</v>
      </c>
      <c r="FK124" s="55">
        <f t="shared" si="768"/>
        <v>1387.1337480000002</v>
      </c>
      <c r="FL124" s="59">
        <f t="shared" si="769"/>
        <v>4585.5867441384007</v>
      </c>
      <c r="FM124" s="60">
        <f t="shared" si="770"/>
        <v>1352.8835320000001</v>
      </c>
      <c r="FN124" s="59">
        <f t="shared" si="771"/>
        <v>4472.3623800856003</v>
      </c>
      <c r="FO124" s="60">
        <f t="shared" si="772"/>
        <v>1318.6333159999999</v>
      </c>
      <c r="FP124" s="59">
        <f t="shared" si="773"/>
        <v>4359.1380160327999</v>
      </c>
      <c r="FQ124" s="60">
        <f t="shared" si="774"/>
        <v>1284.3831</v>
      </c>
      <c r="FR124" s="59">
        <f t="shared" si="775"/>
        <v>4245.9136519800004</v>
      </c>
      <c r="FS124" s="55">
        <f t="shared" si="776"/>
        <v>1250.1328839999999</v>
      </c>
      <c r="FT124" s="59">
        <f t="shared" si="777"/>
        <v>4132.6892879272</v>
      </c>
      <c r="FU124" s="60">
        <f t="shared" si="778"/>
        <v>1215.882668</v>
      </c>
      <c r="FV124" s="59">
        <f t="shared" si="779"/>
        <v>4019.4649238744</v>
      </c>
      <c r="FW124" s="60">
        <f t="shared" si="780"/>
        <v>1181.6324519999998</v>
      </c>
      <c r="FX124" s="59">
        <f t="shared" si="781"/>
        <v>3906.2405598215996</v>
      </c>
      <c r="FY124" s="60">
        <f t="shared" si="782"/>
        <v>1147.3822359999999</v>
      </c>
      <c r="FZ124" s="59">
        <f t="shared" si="783"/>
        <v>3793.0161957687997</v>
      </c>
      <c r="GA124" s="60">
        <f t="shared" si="784"/>
        <v>1113.1320199999998</v>
      </c>
      <c r="GB124" s="59">
        <f t="shared" si="785"/>
        <v>3679.7918317159993</v>
      </c>
      <c r="GC124" s="55">
        <f t="shared" si="786"/>
        <v>1078.8818039999999</v>
      </c>
      <c r="GD124" s="59">
        <f t="shared" si="787"/>
        <v>3566.5674676631997</v>
      </c>
      <c r="GE124" s="60">
        <f t="shared" si="788"/>
        <v>1044.6315879999997</v>
      </c>
      <c r="GF124" s="59">
        <f t="shared" si="789"/>
        <v>3453.3431036103993</v>
      </c>
      <c r="GG124" s="60">
        <f t="shared" si="790"/>
        <v>1010.3813719999997</v>
      </c>
      <c r="GH124" s="59">
        <f t="shared" si="791"/>
        <v>3340.1187395575989</v>
      </c>
      <c r="GI124" s="55">
        <f t="shared" si="792"/>
        <v>976.13115599999969</v>
      </c>
      <c r="GJ124" s="59">
        <f t="shared" si="793"/>
        <v>3226.894375504799</v>
      </c>
      <c r="GK124" s="55"/>
      <c r="GL124" s="55"/>
      <c r="GM124" s="55">
        <v>1</v>
      </c>
      <c r="GN124" s="55">
        <v>0.97</v>
      </c>
      <c r="GO124" s="55">
        <v>0.95</v>
      </c>
      <c r="GP124" s="55">
        <v>0.93</v>
      </c>
      <c r="GQ124" s="55">
        <f t="shared" si="659"/>
        <v>0.91</v>
      </c>
      <c r="GR124" s="55">
        <f t="shared" si="659"/>
        <v>0.89</v>
      </c>
      <c r="GS124" s="55">
        <f t="shared" si="659"/>
        <v>0.87</v>
      </c>
      <c r="GT124" s="55">
        <f t="shared" si="659"/>
        <v>0.85</v>
      </c>
      <c r="GU124" s="55">
        <f t="shared" si="659"/>
        <v>0.83</v>
      </c>
      <c r="GV124" s="55">
        <f t="shared" si="659"/>
        <v>0.80999999999999994</v>
      </c>
      <c r="GW124" s="55">
        <f t="shared" si="659"/>
        <v>0.78999999999999992</v>
      </c>
      <c r="GX124" s="55">
        <f t="shared" si="659"/>
        <v>0.76999999999999991</v>
      </c>
      <c r="GY124" s="55">
        <f t="shared" si="659"/>
        <v>0.74999999999999989</v>
      </c>
      <c r="GZ124" s="55">
        <f t="shared" si="659"/>
        <v>0.72999999999999987</v>
      </c>
      <c r="HA124" s="55">
        <f t="shared" si="659"/>
        <v>0.70999999999999985</v>
      </c>
      <c r="HB124" s="55">
        <f t="shared" si="659"/>
        <v>0.68999999999999984</v>
      </c>
      <c r="HC124" s="55">
        <f t="shared" si="659"/>
        <v>0.66999999999999982</v>
      </c>
      <c r="HD124" s="55">
        <f t="shared" si="659"/>
        <v>0.6499999999999998</v>
      </c>
      <c r="HE124" s="55">
        <f t="shared" si="659"/>
        <v>0.62999999999999978</v>
      </c>
      <c r="HF124" s="55">
        <f t="shared" si="659"/>
        <v>0.60999999999999976</v>
      </c>
      <c r="HG124" s="55">
        <f t="shared" si="659"/>
        <v>0.58999999999999975</v>
      </c>
      <c r="HH124" s="55">
        <f t="shared" si="659"/>
        <v>0.56999999999999973</v>
      </c>
    </row>
    <row r="125" spans="1:216" x14ac:dyDescent="0.3">
      <c r="A125" s="2">
        <v>4</v>
      </c>
      <c r="C125" s="38" t="s">
        <v>138</v>
      </c>
      <c r="D125" s="42">
        <f>TRUNC(7303,-1)</f>
        <v>7300</v>
      </c>
      <c r="E125" s="71">
        <f t="shared" si="664"/>
        <v>24130</v>
      </c>
      <c r="H125" s="55">
        <f t="shared" si="509"/>
        <v>26543.000000000004</v>
      </c>
      <c r="I125" s="55">
        <f t="shared" si="510"/>
        <v>26543.000000000004</v>
      </c>
      <c r="J125" s="59">
        <f t="shared" si="511"/>
        <v>87745.849400000021</v>
      </c>
      <c r="K125" s="55">
        <f t="shared" si="665"/>
        <v>25746.710000000003</v>
      </c>
      <c r="L125" s="59">
        <f t="shared" si="666"/>
        <v>85113.473918000018</v>
      </c>
      <c r="M125" s="55">
        <f t="shared" si="667"/>
        <v>25215.850000000002</v>
      </c>
      <c r="N125" s="59">
        <f t="shared" si="668"/>
        <v>83358.556930000006</v>
      </c>
      <c r="O125" s="55">
        <f t="shared" si="669"/>
        <v>24684.990000000005</v>
      </c>
      <c r="P125" s="59">
        <f t="shared" si="670"/>
        <v>81603.639942000023</v>
      </c>
      <c r="Q125" s="57">
        <f t="shared" si="671"/>
        <v>24154.130000000005</v>
      </c>
      <c r="R125" s="59">
        <f t="shared" si="672"/>
        <v>79848.722954000012</v>
      </c>
      <c r="S125" s="55">
        <f t="shared" si="673"/>
        <v>23623.270000000004</v>
      </c>
      <c r="T125" s="59">
        <f t="shared" si="674"/>
        <v>78093.805966000014</v>
      </c>
      <c r="U125" s="57">
        <f t="shared" si="675"/>
        <v>23092.410000000003</v>
      </c>
      <c r="V125" s="59">
        <f t="shared" si="676"/>
        <v>76338.888978000017</v>
      </c>
      <c r="W125" s="60">
        <f t="shared" si="677"/>
        <v>22561.550000000003</v>
      </c>
      <c r="X125" s="59">
        <f t="shared" si="678"/>
        <v>74583.971990000005</v>
      </c>
      <c r="Y125" s="57">
        <f t="shared" si="679"/>
        <v>22030.690000000002</v>
      </c>
      <c r="Z125" s="59">
        <f t="shared" si="680"/>
        <v>72829.055002000008</v>
      </c>
      <c r="AA125" s="55">
        <f t="shared" si="681"/>
        <v>21499.83</v>
      </c>
      <c r="AB125" s="59">
        <f t="shared" si="682"/>
        <v>71074.138014000011</v>
      </c>
      <c r="AC125" s="60">
        <f t="shared" si="683"/>
        <v>20968.97</v>
      </c>
      <c r="AD125" s="59">
        <f t="shared" si="684"/>
        <v>69319.221025999999</v>
      </c>
      <c r="AE125" s="60">
        <f t="shared" si="685"/>
        <v>20438.11</v>
      </c>
      <c r="AF125" s="59">
        <f t="shared" si="686"/>
        <v>67564.304038000002</v>
      </c>
      <c r="AG125" s="60">
        <f t="shared" si="687"/>
        <v>19907.25</v>
      </c>
      <c r="AH125" s="59">
        <f t="shared" si="688"/>
        <v>65809.387050000005</v>
      </c>
      <c r="AI125" s="55">
        <f t="shared" si="689"/>
        <v>19376.39</v>
      </c>
      <c r="AJ125" s="59">
        <f t="shared" si="690"/>
        <v>64054.470062</v>
      </c>
      <c r="AK125" s="60">
        <f t="shared" si="691"/>
        <v>18845.53</v>
      </c>
      <c r="AL125" s="59">
        <f t="shared" si="692"/>
        <v>62299.553073999996</v>
      </c>
      <c r="AM125" s="60">
        <f t="shared" si="693"/>
        <v>18314.669999999998</v>
      </c>
      <c r="AN125" s="59">
        <f t="shared" si="694"/>
        <v>60544.636085999999</v>
      </c>
      <c r="AO125" s="60">
        <f t="shared" si="695"/>
        <v>17783.809999999998</v>
      </c>
      <c r="AP125" s="59">
        <f t="shared" si="696"/>
        <v>58789.719097999994</v>
      </c>
      <c r="AQ125" s="60">
        <f t="shared" si="697"/>
        <v>17252.949999999997</v>
      </c>
      <c r="AR125" s="59">
        <f t="shared" si="698"/>
        <v>57034.80210999999</v>
      </c>
      <c r="AS125" s="55">
        <f t="shared" si="699"/>
        <v>16722.089999999997</v>
      </c>
      <c r="AT125" s="59">
        <f t="shared" si="700"/>
        <v>55279.885121999992</v>
      </c>
      <c r="AU125" s="60">
        <f t="shared" si="701"/>
        <v>16191.229999999996</v>
      </c>
      <c r="AV125" s="59">
        <f t="shared" si="702"/>
        <v>53524.968133999988</v>
      </c>
      <c r="AW125" s="60">
        <f t="shared" si="703"/>
        <v>15660.369999999995</v>
      </c>
      <c r="AX125" s="59">
        <f t="shared" si="704"/>
        <v>51770.051145999983</v>
      </c>
      <c r="AY125" s="55">
        <f t="shared" si="705"/>
        <v>15129.509999999995</v>
      </c>
      <c r="AZ125" s="59">
        <f t="shared" si="706"/>
        <v>50015.134157999986</v>
      </c>
      <c r="BC125" s="55">
        <v>1</v>
      </c>
      <c r="BD125" s="55">
        <v>0.97</v>
      </c>
      <c r="BE125" s="55">
        <v>0.95</v>
      </c>
      <c r="BF125" s="55">
        <v>0.93</v>
      </c>
      <c r="BG125" s="55">
        <f t="shared" si="707"/>
        <v>0.91</v>
      </c>
      <c r="BH125" s="55">
        <f t="shared" si="707"/>
        <v>0.89</v>
      </c>
      <c r="BI125" s="55">
        <f t="shared" si="707"/>
        <v>0.87</v>
      </c>
      <c r="BJ125" s="55">
        <f t="shared" si="707"/>
        <v>0.85</v>
      </c>
      <c r="BK125" s="55">
        <f t="shared" si="707"/>
        <v>0.83</v>
      </c>
      <c r="BL125" s="55">
        <f t="shared" si="707"/>
        <v>0.80999999999999994</v>
      </c>
      <c r="BM125" s="55">
        <f t="shared" si="707"/>
        <v>0.78999999999999992</v>
      </c>
      <c r="BN125" s="55">
        <f t="shared" si="707"/>
        <v>0.76999999999999991</v>
      </c>
      <c r="BO125" s="55">
        <f t="shared" si="707"/>
        <v>0.74999999999999989</v>
      </c>
      <c r="BP125" s="55">
        <f t="shared" si="707"/>
        <v>0.72999999999999987</v>
      </c>
      <c r="BQ125" s="55">
        <f t="shared" si="707"/>
        <v>0.70999999999999985</v>
      </c>
      <c r="BR125" s="55">
        <f t="shared" si="707"/>
        <v>0.68999999999999984</v>
      </c>
      <c r="BS125" s="55">
        <f t="shared" si="707"/>
        <v>0.66999999999999982</v>
      </c>
      <c r="BT125" s="55">
        <f t="shared" si="707"/>
        <v>0.6499999999999998</v>
      </c>
      <c r="BU125" s="55">
        <f t="shared" si="707"/>
        <v>0.62999999999999978</v>
      </c>
      <c r="BV125" s="55">
        <f t="shared" si="707"/>
        <v>0.60999999999999976</v>
      </c>
      <c r="BW125" s="55">
        <f t="shared" si="707"/>
        <v>0.58999999999999975</v>
      </c>
      <c r="BX125" s="55">
        <f t="shared" si="707"/>
        <v>0.56999999999999973</v>
      </c>
      <c r="BZ125" s="55">
        <f t="shared" si="512"/>
        <v>24154.130000000005</v>
      </c>
      <c r="CA125" s="55">
        <f t="shared" si="513"/>
        <v>24154.130000000005</v>
      </c>
      <c r="CB125" s="59">
        <f t="shared" si="708"/>
        <v>79848.722954000012</v>
      </c>
      <c r="CC125" s="55">
        <f t="shared" si="709"/>
        <v>23429.506100000002</v>
      </c>
      <c r="CD125" s="59">
        <f t="shared" si="710"/>
        <v>77453.261265380002</v>
      </c>
      <c r="CE125" s="55">
        <f t="shared" si="711"/>
        <v>22946.423500000004</v>
      </c>
      <c r="CF125" s="59">
        <f t="shared" si="712"/>
        <v>75856.286806300021</v>
      </c>
      <c r="CG125" s="55">
        <f t="shared" si="713"/>
        <v>22463.340900000007</v>
      </c>
      <c r="CH125" s="59">
        <f t="shared" si="714"/>
        <v>74259.312347220024</v>
      </c>
      <c r="CI125" s="57">
        <f t="shared" si="715"/>
        <v>21980.258300000005</v>
      </c>
      <c r="CJ125" s="59">
        <f t="shared" si="716"/>
        <v>72662.337888140013</v>
      </c>
      <c r="CK125" s="55">
        <f t="shared" si="717"/>
        <v>21497.175700000003</v>
      </c>
      <c r="CL125" s="59">
        <f t="shared" si="718"/>
        <v>71065.363429060017</v>
      </c>
      <c r="CM125" s="57">
        <f t="shared" si="719"/>
        <v>21014.093100000006</v>
      </c>
      <c r="CN125" s="59">
        <f t="shared" si="720"/>
        <v>69468.38896998002</v>
      </c>
      <c r="CO125" s="60">
        <f t="shared" si="721"/>
        <v>20531.010500000004</v>
      </c>
      <c r="CP125" s="59">
        <f t="shared" si="722"/>
        <v>67871.414510900009</v>
      </c>
      <c r="CQ125" s="57">
        <f t="shared" si="723"/>
        <v>20047.927900000002</v>
      </c>
      <c r="CR125" s="59">
        <f t="shared" si="724"/>
        <v>66274.440051820013</v>
      </c>
      <c r="CS125" s="55">
        <f t="shared" si="725"/>
        <v>19564.845300000001</v>
      </c>
      <c r="CT125" s="59">
        <f t="shared" si="726"/>
        <v>64677.465592740002</v>
      </c>
      <c r="CU125" s="60">
        <f t="shared" si="727"/>
        <v>19081.762700000003</v>
      </c>
      <c r="CV125" s="59">
        <f t="shared" si="728"/>
        <v>63080.491133660013</v>
      </c>
      <c r="CW125" s="60">
        <f t="shared" si="729"/>
        <v>18598.680100000001</v>
      </c>
      <c r="CX125" s="59">
        <f t="shared" si="730"/>
        <v>61483.516674580009</v>
      </c>
      <c r="CY125" s="60">
        <f t="shared" si="731"/>
        <v>18115.5975</v>
      </c>
      <c r="CZ125" s="59">
        <f t="shared" si="732"/>
        <v>59886.542215499998</v>
      </c>
      <c r="DA125" s="55">
        <f t="shared" si="733"/>
        <v>17632.514900000002</v>
      </c>
      <c r="DB125" s="59">
        <f t="shared" si="734"/>
        <v>58289.567756420009</v>
      </c>
      <c r="DC125" s="60">
        <f t="shared" si="735"/>
        <v>17149.4323</v>
      </c>
      <c r="DD125" s="59">
        <f t="shared" si="736"/>
        <v>56692.593297340005</v>
      </c>
      <c r="DE125" s="60">
        <f t="shared" si="737"/>
        <v>16666.349699999999</v>
      </c>
      <c r="DF125" s="59">
        <f t="shared" si="738"/>
        <v>55095.618838259994</v>
      </c>
      <c r="DG125" s="60">
        <f t="shared" si="739"/>
        <v>16183.267099999999</v>
      </c>
      <c r="DH125" s="59">
        <f t="shared" si="740"/>
        <v>53498.644379179997</v>
      </c>
      <c r="DI125" s="60">
        <f t="shared" si="741"/>
        <v>15700.184499999998</v>
      </c>
      <c r="DJ125" s="59">
        <f t="shared" si="742"/>
        <v>51901.669920099994</v>
      </c>
      <c r="DK125" s="55">
        <f t="shared" si="743"/>
        <v>15217.101899999998</v>
      </c>
      <c r="DL125" s="59">
        <f t="shared" si="744"/>
        <v>50304.695461019997</v>
      </c>
      <c r="DM125" s="60">
        <f t="shared" si="745"/>
        <v>14734.019299999996</v>
      </c>
      <c r="DN125" s="59">
        <f t="shared" si="746"/>
        <v>48707.721001939986</v>
      </c>
      <c r="DO125" s="60">
        <f t="shared" si="747"/>
        <v>14250.936699999997</v>
      </c>
      <c r="DP125" s="59">
        <f t="shared" si="748"/>
        <v>47110.74654285999</v>
      </c>
      <c r="DQ125" s="55">
        <f t="shared" si="749"/>
        <v>13767.854099999997</v>
      </c>
      <c r="DR125" s="59">
        <f t="shared" si="750"/>
        <v>45513.772083779993</v>
      </c>
      <c r="DU125" s="55">
        <v>1</v>
      </c>
      <c r="DV125" s="55">
        <v>0.97</v>
      </c>
      <c r="DW125" s="55">
        <v>0.95</v>
      </c>
      <c r="DX125" s="55">
        <v>0.93</v>
      </c>
      <c r="DY125" s="55">
        <f t="shared" si="658"/>
        <v>0.91</v>
      </c>
      <c r="DZ125" s="55">
        <f t="shared" si="658"/>
        <v>0.89</v>
      </c>
      <c r="EA125" s="55">
        <f t="shared" si="658"/>
        <v>0.87</v>
      </c>
      <c r="EB125" s="55">
        <f t="shared" si="658"/>
        <v>0.85</v>
      </c>
      <c r="EC125" s="55">
        <f t="shared" si="658"/>
        <v>0.83</v>
      </c>
      <c r="ED125" s="55">
        <f t="shared" si="658"/>
        <v>0.80999999999999994</v>
      </c>
      <c r="EE125" s="55">
        <f t="shared" si="658"/>
        <v>0.78999999999999992</v>
      </c>
      <c r="EF125" s="55">
        <f t="shared" si="658"/>
        <v>0.76999999999999991</v>
      </c>
      <c r="EG125" s="55">
        <f t="shared" si="658"/>
        <v>0.74999999999999989</v>
      </c>
      <c r="EH125" s="55">
        <f t="shared" si="658"/>
        <v>0.72999999999999987</v>
      </c>
      <c r="EI125" s="55">
        <f t="shared" si="658"/>
        <v>0.70999999999999985</v>
      </c>
      <c r="EJ125" s="55">
        <f t="shared" si="658"/>
        <v>0.68999999999999984</v>
      </c>
      <c r="EK125" s="55">
        <f t="shared" si="658"/>
        <v>0.66999999999999982</v>
      </c>
      <c r="EL125" s="55">
        <f t="shared" si="658"/>
        <v>0.6499999999999998</v>
      </c>
      <c r="EM125" s="55">
        <f t="shared" si="658"/>
        <v>0.62999999999999978</v>
      </c>
      <c r="EN125" s="55">
        <f t="shared" si="658"/>
        <v>0.60999999999999976</v>
      </c>
      <c r="EO125" s="55">
        <f t="shared" si="658"/>
        <v>0.58999999999999975</v>
      </c>
      <c r="EP125" s="55">
        <f t="shared" si="658"/>
        <v>0.56999999999999973</v>
      </c>
      <c r="ER125" s="55">
        <f t="shared" si="652"/>
        <v>21980.258300000005</v>
      </c>
      <c r="ES125" s="55">
        <f t="shared" si="514"/>
        <v>21980.258300000005</v>
      </c>
      <c r="ET125" s="59">
        <f t="shared" si="751"/>
        <v>72662.337888140013</v>
      </c>
      <c r="EU125" s="55">
        <f t="shared" si="752"/>
        <v>21320.850551000003</v>
      </c>
      <c r="EV125" s="59">
        <f t="shared" si="753"/>
        <v>70482.467751495817</v>
      </c>
      <c r="EW125" s="55">
        <f t="shared" si="754"/>
        <v>20881.245385000002</v>
      </c>
      <c r="EX125" s="59">
        <f t="shared" si="755"/>
        <v>69029.220993733004</v>
      </c>
      <c r="EY125" s="55">
        <f t="shared" si="756"/>
        <v>20441.640219000004</v>
      </c>
      <c r="EZ125" s="59">
        <f t="shared" si="757"/>
        <v>67575.974235970221</v>
      </c>
      <c r="FA125" s="57">
        <f t="shared" si="758"/>
        <v>20002.035053000007</v>
      </c>
      <c r="FB125" s="59">
        <f t="shared" si="759"/>
        <v>66122.727478207424</v>
      </c>
      <c r="FC125" s="55">
        <f t="shared" si="760"/>
        <v>19562.429887000006</v>
      </c>
      <c r="FD125" s="59">
        <f t="shared" si="761"/>
        <v>64669.480720444619</v>
      </c>
      <c r="FE125" s="57">
        <f t="shared" si="762"/>
        <v>19122.824721000005</v>
      </c>
      <c r="FF125" s="59">
        <f t="shared" si="763"/>
        <v>63216.233962681814</v>
      </c>
      <c r="FG125" s="60">
        <f t="shared" si="764"/>
        <v>18683.219555000003</v>
      </c>
      <c r="FH125" s="59">
        <f t="shared" si="765"/>
        <v>61762.987204919009</v>
      </c>
      <c r="FI125" s="57">
        <f t="shared" si="766"/>
        <v>18243.614389000002</v>
      </c>
      <c r="FJ125" s="59">
        <f t="shared" si="767"/>
        <v>60309.740447156211</v>
      </c>
      <c r="FK125" s="55">
        <f t="shared" si="768"/>
        <v>17804.009223000005</v>
      </c>
      <c r="FL125" s="59">
        <f t="shared" si="769"/>
        <v>58856.493689393414</v>
      </c>
      <c r="FM125" s="60">
        <f t="shared" si="770"/>
        <v>17364.404057000003</v>
      </c>
      <c r="FN125" s="59">
        <f t="shared" si="771"/>
        <v>57403.246931630616</v>
      </c>
      <c r="FO125" s="60">
        <f t="shared" si="772"/>
        <v>16924.798891000002</v>
      </c>
      <c r="FP125" s="59">
        <f t="shared" si="773"/>
        <v>55950.000173867811</v>
      </c>
      <c r="FQ125" s="60">
        <f t="shared" si="774"/>
        <v>16485.193725000001</v>
      </c>
      <c r="FR125" s="59">
        <f t="shared" si="775"/>
        <v>54496.753416105006</v>
      </c>
      <c r="FS125" s="55">
        <f t="shared" si="776"/>
        <v>16045.588559000002</v>
      </c>
      <c r="FT125" s="59">
        <f t="shared" si="777"/>
        <v>53043.506658342209</v>
      </c>
      <c r="FU125" s="60">
        <f t="shared" si="778"/>
        <v>15605.983393</v>
      </c>
      <c r="FV125" s="59">
        <f t="shared" si="779"/>
        <v>51590.259900579404</v>
      </c>
      <c r="FW125" s="60">
        <f t="shared" si="780"/>
        <v>15166.378226999999</v>
      </c>
      <c r="FX125" s="59">
        <f t="shared" si="781"/>
        <v>50137.013142816599</v>
      </c>
      <c r="FY125" s="60">
        <f t="shared" si="782"/>
        <v>14726.773061</v>
      </c>
      <c r="FZ125" s="59">
        <f t="shared" si="783"/>
        <v>48683.766385053801</v>
      </c>
      <c r="GA125" s="60">
        <f t="shared" si="784"/>
        <v>14287.167894999999</v>
      </c>
      <c r="GB125" s="59">
        <f t="shared" si="785"/>
        <v>47230.519627290996</v>
      </c>
      <c r="GC125" s="55">
        <f t="shared" si="786"/>
        <v>13847.562728999997</v>
      </c>
      <c r="GD125" s="59">
        <f t="shared" si="787"/>
        <v>45777.272869528191</v>
      </c>
      <c r="GE125" s="60">
        <f t="shared" si="788"/>
        <v>13407.957562999998</v>
      </c>
      <c r="GF125" s="59">
        <f t="shared" si="789"/>
        <v>44324.026111765394</v>
      </c>
      <c r="GG125" s="60">
        <f t="shared" si="790"/>
        <v>12968.352396999997</v>
      </c>
      <c r="GH125" s="59">
        <f t="shared" si="791"/>
        <v>42870.779354002589</v>
      </c>
      <c r="GI125" s="55">
        <f t="shared" si="792"/>
        <v>12528.747230999998</v>
      </c>
      <c r="GJ125" s="59">
        <f t="shared" si="793"/>
        <v>41417.532596239791</v>
      </c>
      <c r="GK125" s="55"/>
      <c r="GL125" s="55"/>
      <c r="GM125" s="55">
        <v>1</v>
      </c>
      <c r="GN125" s="55">
        <v>0.97</v>
      </c>
      <c r="GO125" s="55">
        <v>0.95</v>
      </c>
      <c r="GP125" s="55">
        <v>0.93</v>
      </c>
      <c r="GQ125" s="55">
        <f t="shared" si="659"/>
        <v>0.91</v>
      </c>
      <c r="GR125" s="55">
        <f t="shared" si="659"/>
        <v>0.89</v>
      </c>
      <c r="GS125" s="55">
        <f t="shared" si="659"/>
        <v>0.87</v>
      </c>
      <c r="GT125" s="55">
        <f t="shared" si="659"/>
        <v>0.85</v>
      </c>
      <c r="GU125" s="55">
        <f t="shared" si="659"/>
        <v>0.83</v>
      </c>
      <c r="GV125" s="55">
        <f t="shared" si="659"/>
        <v>0.80999999999999994</v>
      </c>
      <c r="GW125" s="55">
        <f t="shared" si="659"/>
        <v>0.78999999999999992</v>
      </c>
      <c r="GX125" s="55">
        <f t="shared" si="659"/>
        <v>0.76999999999999991</v>
      </c>
      <c r="GY125" s="55">
        <f t="shared" si="659"/>
        <v>0.74999999999999989</v>
      </c>
      <c r="GZ125" s="55">
        <f t="shared" si="659"/>
        <v>0.72999999999999987</v>
      </c>
      <c r="HA125" s="55">
        <f t="shared" si="659"/>
        <v>0.70999999999999985</v>
      </c>
      <c r="HB125" s="55">
        <f t="shared" si="659"/>
        <v>0.68999999999999984</v>
      </c>
      <c r="HC125" s="55">
        <f t="shared" si="659"/>
        <v>0.66999999999999982</v>
      </c>
      <c r="HD125" s="55">
        <f t="shared" si="659"/>
        <v>0.6499999999999998</v>
      </c>
      <c r="HE125" s="55">
        <f t="shared" si="659"/>
        <v>0.62999999999999978</v>
      </c>
      <c r="HF125" s="55">
        <f t="shared" si="659"/>
        <v>0.60999999999999976</v>
      </c>
      <c r="HG125" s="55">
        <f t="shared" si="659"/>
        <v>0.58999999999999975</v>
      </c>
      <c r="HH125" s="55">
        <f t="shared" si="659"/>
        <v>0.56999999999999973</v>
      </c>
    </row>
    <row r="126" spans="1:216" x14ac:dyDescent="0.3">
      <c r="A126" s="2">
        <v>5</v>
      </c>
      <c r="C126" s="38" t="s">
        <v>53</v>
      </c>
      <c r="D126" s="42">
        <f>TRUNC(1453,-1)</f>
        <v>1450</v>
      </c>
      <c r="E126" s="71">
        <f t="shared" si="664"/>
        <v>4790</v>
      </c>
      <c r="H126" s="55">
        <f t="shared" si="509"/>
        <v>5269</v>
      </c>
      <c r="I126" s="55">
        <f t="shared" si="510"/>
        <v>5269</v>
      </c>
      <c r="J126" s="59">
        <f t="shared" si="511"/>
        <v>17418.260200000001</v>
      </c>
      <c r="K126" s="55">
        <f t="shared" si="665"/>
        <v>5110.93</v>
      </c>
      <c r="L126" s="59">
        <f t="shared" si="666"/>
        <v>16895.712394000002</v>
      </c>
      <c r="M126" s="55">
        <f t="shared" si="667"/>
        <v>5005.55</v>
      </c>
      <c r="N126" s="59">
        <f t="shared" si="668"/>
        <v>16547.34719</v>
      </c>
      <c r="O126" s="55">
        <f t="shared" si="669"/>
        <v>4900.17</v>
      </c>
      <c r="P126" s="59">
        <f t="shared" si="670"/>
        <v>16198.981986000001</v>
      </c>
      <c r="Q126" s="57">
        <f t="shared" si="671"/>
        <v>4794.79</v>
      </c>
      <c r="R126" s="59">
        <f t="shared" si="672"/>
        <v>15850.616782000001</v>
      </c>
      <c r="S126" s="55">
        <f t="shared" si="673"/>
        <v>4689.41</v>
      </c>
      <c r="T126" s="59">
        <f t="shared" si="674"/>
        <v>15502.251577999999</v>
      </c>
      <c r="U126" s="57">
        <f t="shared" si="675"/>
        <v>4584.03</v>
      </c>
      <c r="V126" s="59">
        <f t="shared" si="676"/>
        <v>15153.886374</v>
      </c>
      <c r="W126" s="60">
        <f t="shared" si="677"/>
        <v>4478.6499999999996</v>
      </c>
      <c r="X126" s="59">
        <f t="shared" si="678"/>
        <v>14805.52117</v>
      </c>
      <c r="Y126" s="57">
        <f t="shared" si="679"/>
        <v>4373.2699999999995</v>
      </c>
      <c r="Z126" s="59">
        <f t="shared" si="680"/>
        <v>14457.155965999998</v>
      </c>
      <c r="AA126" s="55">
        <f t="shared" si="681"/>
        <v>4267.8899999999994</v>
      </c>
      <c r="AB126" s="59">
        <f t="shared" si="682"/>
        <v>14108.790761999999</v>
      </c>
      <c r="AC126" s="60">
        <f t="shared" si="683"/>
        <v>4162.5099999999993</v>
      </c>
      <c r="AD126" s="59">
        <f t="shared" si="684"/>
        <v>13760.425557999997</v>
      </c>
      <c r="AE126" s="60">
        <f t="shared" si="685"/>
        <v>4057.1299999999997</v>
      </c>
      <c r="AF126" s="59">
        <f t="shared" si="686"/>
        <v>13412.060353999999</v>
      </c>
      <c r="AG126" s="60">
        <f t="shared" si="687"/>
        <v>3951.7499999999995</v>
      </c>
      <c r="AH126" s="59">
        <f t="shared" si="688"/>
        <v>13063.69515</v>
      </c>
      <c r="AI126" s="55">
        <f t="shared" si="689"/>
        <v>3846.3699999999994</v>
      </c>
      <c r="AJ126" s="59">
        <f t="shared" si="690"/>
        <v>12715.329945999998</v>
      </c>
      <c r="AK126" s="60">
        <f t="shared" si="691"/>
        <v>3740.9899999999993</v>
      </c>
      <c r="AL126" s="59">
        <f t="shared" si="692"/>
        <v>12366.964741999998</v>
      </c>
      <c r="AM126" s="60">
        <f t="shared" si="693"/>
        <v>3635.6099999999992</v>
      </c>
      <c r="AN126" s="59">
        <f t="shared" si="694"/>
        <v>12018.599537999999</v>
      </c>
      <c r="AO126" s="60">
        <f t="shared" si="695"/>
        <v>3530.2299999999991</v>
      </c>
      <c r="AP126" s="59">
        <f t="shared" si="696"/>
        <v>11670.234333999997</v>
      </c>
      <c r="AQ126" s="60">
        <f t="shared" si="697"/>
        <v>3424.849999999999</v>
      </c>
      <c r="AR126" s="59">
        <f t="shared" si="698"/>
        <v>11321.869129999997</v>
      </c>
      <c r="AS126" s="55">
        <f t="shared" si="699"/>
        <v>3319.4699999999989</v>
      </c>
      <c r="AT126" s="59">
        <f t="shared" si="700"/>
        <v>10973.503925999996</v>
      </c>
      <c r="AU126" s="60">
        <f t="shared" si="701"/>
        <v>3214.0899999999988</v>
      </c>
      <c r="AV126" s="59">
        <f t="shared" si="702"/>
        <v>10625.138721999996</v>
      </c>
      <c r="AW126" s="60">
        <f t="shared" si="703"/>
        <v>3108.7099999999987</v>
      </c>
      <c r="AX126" s="59">
        <f t="shared" si="704"/>
        <v>10276.773517999996</v>
      </c>
      <c r="AY126" s="55">
        <f t="shared" si="705"/>
        <v>3003.3299999999986</v>
      </c>
      <c r="AZ126" s="59">
        <f t="shared" si="706"/>
        <v>9928.4083139999948</v>
      </c>
      <c r="BC126" s="55">
        <v>1</v>
      </c>
      <c r="BD126" s="55">
        <v>0.97</v>
      </c>
      <c r="BE126" s="55">
        <v>0.95</v>
      </c>
      <c r="BF126" s="55">
        <v>0.93</v>
      </c>
      <c r="BG126" s="55">
        <f t="shared" si="707"/>
        <v>0.91</v>
      </c>
      <c r="BH126" s="55">
        <f t="shared" si="707"/>
        <v>0.89</v>
      </c>
      <c r="BI126" s="55">
        <f t="shared" si="707"/>
        <v>0.87</v>
      </c>
      <c r="BJ126" s="55">
        <f t="shared" si="707"/>
        <v>0.85</v>
      </c>
      <c r="BK126" s="55">
        <f t="shared" si="707"/>
        <v>0.83</v>
      </c>
      <c r="BL126" s="55">
        <f t="shared" si="707"/>
        <v>0.80999999999999994</v>
      </c>
      <c r="BM126" s="55">
        <f t="shared" si="707"/>
        <v>0.78999999999999992</v>
      </c>
      <c r="BN126" s="55">
        <f t="shared" si="707"/>
        <v>0.76999999999999991</v>
      </c>
      <c r="BO126" s="55">
        <f t="shared" si="707"/>
        <v>0.74999999999999989</v>
      </c>
      <c r="BP126" s="55">
        <f t="shared" si="707"/>
        <v>0.72999999999999987</v>
      </c>
      <c r="BQ126" s="55">
        <f t="shared" si="707"/>
        <v>0.70999999999999985</v>
      </c>
      <c r="BR126" s="55">
        <f t="shared" si="707"/>
        <v>0.68999999999999984</v>
      </c>
      <c r="BS126" s="55">
        <f t="shared" si="707"/>
        <v>0.66999999999999982</v>
      </c>
      <c r="BT126" s="55">
        <f t="shared" si="707"/>
        <v>0.6499999999999998</v>
      </c>
      <c r="BU126" s="55">
        <f t="shared" si="707"/>
        <v>0.62999999999999978</v>
      </c>
      <c r="BV126" s="55">
        <f t="shared" si="707"/>
        <v>0.60999999999999976</v>
      </c>
      <c r="BW126" s="55">
        <f t="shared" si="707"/>
        <v>0.58999999999999975</v>
      </c>
      <c r="BX126" s="55">
        <f t="shared" si="707"/>
        <v>0.56999999999999973</v>
      </c>
      <c r="BZ126" s="55">
        <f t="shared" si="512"/>
        <v>4794.79</v>
      </c>
      <c r="CA126" s="55">
        <f t="shared" si="513"/>
        <v>4794.79</v>
      </c>
      <c r="CB126" s="59">
        <f t="shared" si="708"/>
        <v>15850.616782000001</v>
      </c>
      <c r="CC126" s="55">
        <f t="shared" si="709"/>
        <v>4650.9462999999996</v>
      </c>
      <c r="CD126" s="59">
        <f t="shared" si="710"/>
        <v>15375.098278539999</v>
      </c>
      <c r="CE126" s="55">
        <f t="shared" si="711"/>
        <v>4555.0504999999994</v>
      </c>
      <c r="CF126" s="59">
        <f t="shared" si="712"/>
        <v>15058.085942899997</v>
      </c>
      <c r="CG126" s="55">
        <f t="shared" si="713"/>
        <v>4459.1547</v>
      </c>
      <c r="CH126" s="59">
        <f t="shared" si="714"/>
        <v>14741.073607260001</v>
      </c>
      <c r="CI126" s="57">
        <f t="shared" si="715"/>
        <v>4363.2588999999998</v>
      </c>
      <c r="CJ126" s="59">
        <f t="shared" si="716"/>
        <v>14424.061271619999</v>
      </c>
      <c r="CK126" s="55">
        <f t="shared" si="717"/>
        <v>4267.3631000000005</v>
      </c>
      <c r="CL126" s="59">
        <f t="shared" si="718"/>
        <v>14107.048935980001</v>
      </c>
      <c r="CM126" s="57">
        <f t="shared" si="719"/>
        <v>4171.4673000000003</v>
      </c>
      <c r="CN126" s="59">
        <f t="shared" si="720"/>
        <v>13790.036600340001</v>
      </c>
      <c r="CO126" s="60">
        <f t="shared" si="721"/>
        <v>4075.5715</v>
      </c>
      <c r="CP126" s="59">
        <f t="shared" si="722"/>
        <v>13473.0242647</v>
      </c>
      <c r="CQ126" s="57">
        <f t="shared" si="723"/>
        <v>3979.6756999999998</v>
      </c>
      <c r="CR126" s="59">
        <f t="shared" si="724"/>
        <v>13156.01192906</v>
      </c>
      <c r="CS126" s="55">
        <f t="shared" si="725"/>
        <v>3883.7798999999995</v>
      </c>
      <c r="CT126" s="59">
        <f t="shared" si="726"/>
        <v>12838.99959342</v>
      </c>
      <c r="CU126" s="60">
        <f t="shared" si="727"/>
        <v>3787.8840999999998</v>
      </c>
      <c r="CV126" s="59">
        <f t="shared" si="728"/>
        <v>12521.98725778</v>
      </c>
      <c r="CW126" s="60">
        <f t="shared" si="729"/>
        <v>3691.9882999999995</v>
      </c>
      <c r="CX126" s="59">
        <f t="shared" si="730"/>
        <v>12204.974922139998</v>
      </c>
      <c r="CY126" s="60">
        <f t="shared" si="731"/>
        <v>3596.0924999999993</v>
      </c>
      <c r="CZ126" s="59">
        <f t="shared" si="732"/>
        <v>11887.962586499998</v>
      </c>
      <c r="DA126" s="55">
        <f t="shared" si="733"/>
        <v>3500.1966999999995</v>
      </c>
      <c r="DB126" s="59">
        <f t="shared" si="734"/>
        <v>11570.950250859998</v>
      </c>
      <c r="DC126" s="60">
        <f t="shared" si="735"/>
        <v>3404.3008999999993</v>
      </c>
      <c r="DD126" s="59">
        <f t="shared" si="736"/>
        <v>11253.937915219998</v>
      </c>
      <c r="DE126" s="60">
        <f t="shared" si="737"/>
        <v>3308.405099999999</v>
      </c>
      <c r="DF126" s="59">
        <f t="shared" si="738"/>
        <v>10936.925579579996</v>
      </c>
      <c r="DG126" s="60">
        <f t="shared" si="739"/>
        <v>3212.5092999999993</v>
      </c>
      <c r="DH126" s="59">
        <f t="shared" si="740"/>
        <v>10619.913243939998</v>
      </c>
      <c r="DI126" s="60">
        <f t="shared" si="741"/>
        <v>3116.613499999999</v>
      </c>
      <c r="DJ126" s="59">
        <f t="shared" si="742"/>
        <v>10302.900908299996</v>
      </c>
      <c r="DK126" s="55">
        <f t="shared" si="743"/>
        <v>3020.7176999999988</v>
      </c>
      <c r="DL126" s="59">
        <f t="shared" si="744"/>
        <v>9985.8885726599965</v>
      </c>
      <c r="DM126" s="60">
        <f t="shared" si="745"/>
        <v>2924.821899999999</v>
      </c>
      <c r="DN126" s="59">
        <f t="shared" si="746"/>
        <v>9668.8762370199966</v>
      </c>
      <c r="DO126" s="60">
        <f t="shared" si="747"/>
        <v>2828.9260999999988</v>
      </c>
      <c r="DP126" s="59">
        <f t="shared" si="748"/>
        <v>9351.8639013799966</v>
      </c>
      <c r="DQ126" s="55">
        <f t="shared" si="749"/>
        <v>2733.0302999999985</v>
      </c>
      <c r="DR126" s="59">
        <f t="shared" si="750"/>
        <v>9034.8515657399948</v>
      </c>
      <c r="DU126" s="55">
        <v>1</v>
      </c>
      <c r="DV126" s="55">
        <v>0.97</v>
      </c>
      <c r="DW126" s="55">
        <v>0.95</v>
      </c>
      <c r="DX126" s="55">
        <v>0.93</v>
      </c>
      <c r="DY126" s="55">
        <f t="shared" si="658"/>
        <v>0.91</v>
      </c>
      <c r="DZ126" s="55">
        <f t="shared" si="658"/>
        <v>0.89</v>
      </c>
      <c r="EA126" s="55">
        <f t="shared" si="658"/>
        <v>0.87</v>
      </c>
      <c r="EB126" s="55">
        <f t="shared" si="658"/>
        <v>0.85</v>
      </c>
      <c r="EC126" s="55">
        <f t="shared" si="658"/>
        <v>0.83</v>
      </c>
      <c r="ED126" s="55">
        <f t="shared" si="658"/>
        <v>0.80999999999999994</v>
      </c>
      <c r="EE126" s="55">
        <f t="shared" si="658"/>
        <v>0.78999999999999992</v>
      </c>
      <c r="EF126" s="55">
        <f t="shared" si="658"/>
        <v>0.76999999999999991</v>
      </c>
      <c r="EG126" s="55">
        <f t="shared" si="658"/>
        <v>0.74999999999999989</v>
      </c>
      <c r="EH126" s="55">
        <f t="shared" si="658"/>
        <v>0.72999999999999987</v>
      </c>
      <c r="EI126" s="55">
        <f t="shared" si="658"/>
        <v>0.70999999999999985</v>
      </c>
      <c r="EJ126" s="55">
        <f t="shared" si="658"/>
        <v>0.68999999999999984</v>
      </c>
      <c r="EK126" s="55">
        <f t="shared" si="658"/>
        <v>0.66999999999999982</v>
      </c>
      <c r="EL126" s="55">
        <f t="shared" si="658"/>
        <v>0.6499999999999998</v>
      </c>
      <c r="EM126" s="55">
        <f t="shared" si="658"/>
        <v>0.62999999999999978</v>
      </c>
      <c r="EN126" s="55">
        <f t="shared" si="658"/>
        <v>0.60999999999999976</v>
      </c>
      <c r="EO126" s="55">
        <f t="shared" si="658"/>
        <v>0.58999999999999975</v>
      </c>
      <c r="EP126" s="55">
        <f t="shared" si="658"/>
        <v>0.56999999999999973</v>
      </c>
      <c r="ER126" s="55">
        <f t="shared" si="652"/>
        <v>4363.2588999999998</v>
      </c>
      <c r="ES126" s="55">
        <f t="shared" si="514"/>
        <v>4363.2588999999998</v>
      </c>
      <c r="ET126" s="59">
        <f t="shared" si="751"/>
        <v>14424.061271619999</v>
      </c>
      <c r="EU126" s="55">
        <f t="shared" si="752"/>
        <v>4232.3611329999994</v>
      </c>
      <c r="EV126" s="59">
        <f t="shared" si="753"/>
        <v>13991.339433471398</v>
      </c>
      <c r="EW126" s="55">
        <f t="shared" si="754"/>
        <v>4145.0959549999998</v>
      </c>
      <c r="EX126" s="59">
        <f t="shared" si="755"/>
        <v>13702.858208038999</v>
      </c>
      <c r="EY126" s="55">
        <f t="shared" si="756"/>
        <v>4057.8307770000001</v>
      </c>
      <c r="EZ126" s="59">
        <f t="shared" si="757"/>
        <v>13414.3769826066</v>
      </c>
      <c r="FA126" s="57">
        <f t="shared" si="758"/>
        <v>3970.565599</v>
      </c>
      <c r="FB126" s="59">
        <f t="shared" si="759"/>
        <v>13125.895757174201</v>
      </c>
      <c r="FC126" s="55">
        <f t="shared" si="760"/>
        <v>3883.3004209999999</v>
      </c>
      <c r="FD126" s="59">
        <f t="shared" si="761"/>
        <v>12837.414531741801</v>
      </c>
      <c r="FE126" s="57">
        <f t="shared" si="762"/>
        <v>3796.0352429999998</v>
      </c>
      <c r="FF126" s="59">
        <f t="shared" si="763"/>
        <v>12548.9333063094</v>
      </c>
      <c r="FG126" s="60">
        <f t="shared" si="764"/>
        <v>3708.7700649999997</v>
      </c>
      <c r="FH126" s="59">
        <f t="shared" si="765"/>
        <v>12260.452080876999</v>
      </c>
      <c r="FI126" s="57">
        <f t="shared" si="766"/>
        <v>3621.5048869999996</v>
      </c>
      <c r="FJ126" s="59">
        <f t="shared" si="767"/>
        <v>11971.970855444599</v>
      </c>
      <c r="FK126" s="55">
        <f t="shared" si="768"/>
        <v>3534.2397089999995</v>
      </c>
      <c r="FL126" s="59">
        <f t="shared" si="769"/>
        <v>11683.489630012198</v>
      </c>
      <c r="FM126" s="60">
        <f t="shared" si="770"/>
        <v>3446.9745309999994</v>
      </c>
      <c r="FN126" s="59">
        <f t="shared" si="771"/>
        <v>11395.008404579798</v>
      </c>
      <c r="FO126" s="60">
        <f t="shared" si="772"/>
        <v>3359.7093529999993</v>
      </c>
      <c r="FP126" s="59">
        <f t="shared" si="773"/>
        <v>11106.527179147397</v>
      </c>
      <c r="FQ126" s="60">
        <f t="shared" si="774"/>
        <v>3272.4441749999992</v>
      </c>
      <c r="FR126" s="59">
        <f t="shared" si="775"/>
        <v>10818.045953714998</v>
      </c>
      <c r="FS126" s="55">
        <f t="shared" si="776"/>
        <v>3185.1789969999995</v>
      </c>
      <c r="FT126" s="59">
        <f t="shared" si="777"/>
        <v>10529.564728282599</v>
      </c>
      <c r="FU126" s="60">
        <f t="shared" si="778"/>
        <v>3097.9138189999994</v>
      </c>
      <c r="FV126" s="59">
        <f t="shared" si="779"/>
        <v>10241.083502850199</v>
      </c>
      <c r="FW126" s="60">
        <f t="shared" si="780"/>
        <v>3010.6486409999993</v>
      </c>
      <c r="FX126" s="59">
        <f t="shared" si="781"/>
        <v>9952.6022774177982</v>
      </c>
      <c r="FY126" s="60">
        <f t="shared" si="782"/>
        <v>2923.3834629999992</v>
      </c>
      <c r="FZ126" s="59">
        <f t="shared" si="783"/>
        <v>9664.1210519853976</v>
      </c>
      <c r="GA126" s="60">
        <f t="shared" si="784"/>
        <v>2836.1182849999991</v>
      </c>
      <c r="GB126" s="59">
        <f t="shared" si="785"/>
        <v>9375.639826552997</v>
      </c>
      <c r="GC126" s="55">
        <f t="shared" si="786"/>
        <v>2748.853106999999</v>
      </c>
      <c r="GD126" s="59">
        <f t="shared" si="787"/>
        <v>9087.1586011205964</v>
      </c>
      <c r="GE126" s="60">
        <f t="shared" si="788"/>
        <v>2661.5879289999989</v>
      </c>
      <c r="GF126" s="59">
        <f t="shared" si="789"/>
        <v>8798.6773756881958</v>
      </c>
      <c r="GG126" s="60">
        <f t="shared" si="790"/>
        <v>2574.3227509999988</v>
      </c>
      <c r="GH126" s="59">
        <f t="shared" si="791"/>
        <v>8510.196150255797</v>
      </c>
      <c r="GI126" s="55">
        <f t="shared" si="792"/>
        <v>2487.0575729999987</v>
      </c>
      <c r="GJ126" s="59">
        <f t="shared" si="793"/>
        <v>8221.7149248233964</v>
      </c>
      <c r="GK126" s="55"/>
      <c r="GL126" s="55"/>
      <c r="GM126" s="55">
        <v>1</v>
      </c>
      <c r="GN126" s="55">
        <v>0.97</v>
      </c>
      <c r="GO126" s="55">
        <v>0.95</v>
      </c>
      <c r="GP126" s="55">
        <v>0.93</v>
      </c>
      <c r="GQ126" s="55">
        <f t="shared" si="659"/>
        <v>0.91</v>
      </c>
      <c r="GR126" s="55">
        <f t="shared" si="659"/>
        <v>0.89</v>
      </c>
      <c r="GS126" s="55">
        <f t="shared" si="659"/>
        <v>0.87</v>
      </c>
      <c r="GT126" s="55">
        <f t="shared" si="659"/>
        <v>0.85</v>
      </c>
      <c r="GU126" s="55">
        <f t="shared" si="659"/>
        <v>0.83</v>
      </c>
      <c r="GV126" s="55">
        <f t="shared" si="659"/>
        <v>0.80999999999999994</v>
      </c>
      <c r="GW126" s="55">
        <f t="shared" si="659"/>
        <v>0.78999999999999992</v>
      </c>
      <c r="GX126" s="55">
        <f t="shared" si="659"/>
        <v>0.76999999999999991</v>
      </c>
      <c r="GY126" s="55">
        <f t="shared" si="659"/>
        <v>0.74999999999999989</v>
      </c>
      <c r="GZ126" s="55">
        <f t="shared" si="659"/>
        <v>0.72999999999999987</v>
      </c>
      <c r="HA126" s="55">
        <f t="shared" si="659"/>
        <v>0.70999999999999985</v>
      </c>
      <c r="HB126" s="55">
        <f t="shared" si="659"/>
        <v>0.68999999999999984</v>
      </c>
      <c r="HC126" s="55">
        <f t="shared" si="659"/>
        <v>0.66999999999999982</v>
      </c>
      <c r="HD126" s="55">
        <f t="shared" si="659"/>
        <v>0.6499999999999998</v>
      </c>
      <c r="HE126" s="55">
        <f t="shared" si="659"/>
        <v>0.62999999999999978</v>
      </c>
      <c r="HF126" s="55">
        <f t="shared" si="659"/>
        <v>0.60999999999999976</v>
      </c>
      <c r="HG126" s="55">
        <f t="shared" si="659"/>
        <v>0.58999999999999975</v>
      </c>
      <c r="HH126" s="55">
        <f t="shared" si="659"/>
        <v>0.56999999999999973</v>
      </c>
    </row>
    <row r="127" spans="1:216" x14ac:dyDescent="0.3">
      <c r="A127" s="2">
        <v>6</v>
      </c>
      <c r="C127" s="38" t="s">
        <v>56</v>
      </c>
      <c r="D127" s="42">
        <v>0</v>
      </c>
      <c r="E127" s="71">
        <f t="shared" si="664"/>
        <v>0</v>
      </c>
      <c r="H127" s="55">
        <f t="shared" si="509"/>
        <v>0</v>
      </c>
      <c r="I127" s="55">
        <f t="shared" si="510"/>
        <v>0</v>
      </c>
      <c r="J127" s="59">
        <f t="shared" si="511"/>
        <v>0</v>
      </c>
      <c r="K127" s="55">
        <f t="shared" si="665"/>
        <v>0</v>
      </c>
      <c r="L127" s="59">
        <f t="shared" si="666"/>
        <v>0</v>
      </c>
      <c r="M127" s="55">
        <f t="shared" si="667"/>
        <v>0</v>
      </c>
      <c r="N127" s="59">
        <f t="shared" si="668"/>
        <v>0</v>
      </c>
      <c r="O127" s="55">
        <f t="shared" si="669"/>
        <v>0</v>
      </c>
      <c r="P127" s="59">
        <f t="shared" si="670"/>
        <v>0</v>
      </c>
      <c r="Q127" s="57">
        <f t="shared" si="671"/>
        <v>0</v>
      </c>
      <c r="R127" s="59">
        <f t="shared" si="672"/>
        <v>0</v>
      </c>
      <c r="S127" s="55">
        <f t="shared" si="673"/>
        <v>0</v>
      </c>
      <c r="T127" s="59">
        <f t="shared" si="674"/>
        <v>0</v>
      </c>
      <c r="U127" s="57">
        <f t="shared" si="675"/>
        <v>0</v>
      </c>
      <c r="V127" s="59">
        <f t="shared" si="676"/>
        <v>0</v>
      </c>
      <c r="W127" s="60">
        <f t="shared" si="677"/>
        <v>0</v>
      </c>
      <c r="X127" s="59">
        <f t="shared" si="678"/>
        <v>0</v>
      </c>
      <c r="Y127" s="57">
        <f t="shared" si="679"/>
        <v>0</v>
      </c>
      <c r="Z127" s="59">
        <f t="shared" si="680"/>
        <v>0</v>
      </c>
      <c r="AA127" s="55">
        <f t="shared" si="681"/>
        <v>0</v>
      </c>
      <c r="AB127" s="59">
        <f t="shared" si="682"/>
        <v>0</v>
      </c>
      <c r="AC127" s="60">
        <f t="shared" si="683"/>
        <v>0</v>
      </c>
      <c r="AD127" s="59">
        <f t="shared" si="684"/>
        <v>0</v>
      </c>
      <c r="AE127" s="60">
        <f t="shared" si="685"/>
        <v>0</v>
      </c>
      <c r="AF127" s="59">
        <f t="shared" si="686"/>
        <v>0</v>
      </c>
      <c r="AG127" s="60">
        <f t="shared" si="687"/>
        <v>0</v>
      </c>
      <c r="AH127" s="59">
        <f t="shared" si="688"/>
        <v>0</v>
      </c>
      <c r="AI127" s="55">
        <f t="shared" si="689"/>
        <v>0</v>
      </c>
      <c r="AJ127" s="59">
        <f t="shared" si="690"/>
        <v>0</v>
      </c>
      <c r="AK127" s="60">
        <f t="shared" si="691"/>
        <v>0</v>
      </c>
      <c r="AL127" s="59">
        <f t="shared" si="692"/>
        <v>0</v>
      </c>
      <c r="AM127" s="60">
        <f t="shared" si="693"/>
        <v>0</v>
      </c>
      <c r="AN127" s="59">
        <f t="shared" si="694"/>
        <v>0</v>
      </c>
      <c r="AO127" s="60">
        <f t="shared" si="695"/>
        <v>0</v>
      </c>
      <c r="AP127" s="59">
        <f t="shared" si="696"/>
        <v>0</v>
      </c>
      <c r="AQ127" s="60">
        <f t="shared" si="697"/>
        <v>0</v>
      </c>
      <c r="AR127" s="59">
        <f t="shared" si="698"/>
        <v>0</v>
      </c>
      <c r="AS127" s="55">
        <f t="shared" si="699"/>
        <v>0</v>
      </c>
      <c r="AT127" s="59">
        <f t="shared" si="700"/>
        <v>0</v>
      </c>
      <c r="AU127" s="60">
        <f t="shared" si="701"/>
        <v>0</v>
      </c>
      <c r="AV127" s="59">
        <f t="shared" si="702"/>
        <v>0</v>
      </c>
      <c r="AW127" s="60">
        <f t="shared" si="703"/>
        <v>0</v>
      </c>
      <c r="AX127" s="59">
        <f t="shared" si="704"/>
        <v>0</v>
      </c>
      <c r="AY127" s="55">
        <f t="shared" si="705"/>
        <v>0</v>
      </c>
      <c r="AZ127" s="59">
        <f t="shared" si="706"/>
        <v>0</v>
      </c>
      <c r="BC127" s="55">
        <v>1</v>
      </c>
      <c r="BD127" s="55">
        <v>0.97</v>
      </c>
      <c r="BE127" s="55">
        <v>0.95</v>
      </c>
      <c r="BF127" s="55">
        <v>0.93</v>
      </c>
      <c r="BG127" s="55">
        <f t="shared" si="707"/>
        <v>0.91</v>
      </c>
      <c r="BH127" s="55">
        <f t="shared" si="707"/>
        <v>0.89</v>
      </c>
      <c r="BI127" s="55">
        <f t="shared" si="707"/>
        <v>0.87</v>
      </c>
      <c r="BJ127" s="55">
        <f t="shared" si="707"/>
        <v>0.85</v>
      </c>
      <c r="BK127" s="55">
        <f t="shared" si="707"/>
        <v>0.83</v>
      </c>
      <c r="BL127" s="55">
        <f t="shared" si="707"/>
        <v>0.80999999999999994</v>
      </c>
      <c r="BM127" s="55">
        <f t="shared" si="707"/>
        <v>0.78999999999999992</v>
      </c>
      <c r="BN127" s="55">
        <f t="shared" si="707"/>
        <v>0.76999999999999991</v>
      </c>
      <c r="BO127" s="55">
        <f t="shared" si="707"/>
        <v>0.74999999999999989</v>
      </c>
      <c r="BP127" s="55">
        <f t="shared" si="707"/>
        <v>0.72999999999999987</v>
      </c>
      <c r="BQ127" s="55">
        <f t="shared" si="707"/>
        <v>0.70999999999999985</v>
      </c>
      <c r="BR127" s="55">
        <f t="shared" si="707"/>
        <v>0.68999999999999984</v>
      </c>
      <c r="BS127" s="55">
        <f t="shared" si="707"/>
        <v>0.66999999999999982</v>
      </c>
      <c r="BT127" s="55">
        <f t="shared" si="707"/>
        <v>0.6499999999999998</v>
      </c>
      <c r="BU127" s="55">
        <f t="shared" si="707"/>
        <v>0.62999999999999978</v>
      </c>
      <c r="BV127" s="55">
        <f t="shared" si="707"/>
        <v>0.60999999999999976</v>
      </c>
      <c r="BW127" s="55">
        <f t="shared" si="707"/>
        <v>0.58999999999999975</v>
      </c>
      <c r="BX127" s="55">
        <f t="shared" si="707"/>
        <v>0.56999999999999973</v>
      </c>
      <c r="BZ127" s="55">
        <f t="shared" si="512"/>
        <v>0</v>
      </c>
      <c r="CA127" s="55">
        <f t="shared" si="513"/>
        <v>0</v>
      </c>
      <c r="CB127" s="59">
        <f t="shared" si="708"/>
        <v>0</v>
      </c>
      <c r="CC127" s="55">
        <f t="shared" si="709"/>
        <v>0</v>
      </c>
      <c r="CD127" s="59">
        <f t="shared" si="710"/>
        <v>0</v>
      </c>
      <c r="CE127" s="55">
        <f t="shared" si="711"/>
        <v>0</v>
      </c>
      <c r="CF127" s="59">
        <f t="shared" si="712"/>
        <v>0</v>
      </c>
      <c r="CG127" s="55">
        <f t="shared" si="713"/>
        <v>0</v>
      </c>
      <c r="CH127" s="59">
        <f t="shared" si="714"/>
        <v>0</v>
      </c>
      <c r="CI127" s="57">
        <f t="shared" si="715"/>
        <v>0</v>
      </c>
      <c r="CJ127" s="59">
        <f t="shared" si="716"/>
        <v>0</v>
      </c>
      <c r="CK127" s="55">
        <f t="shared" si="717"/>
        <v>0</v>
      </c>
      <c r="CL127" s="59">
        <f t="shared" si="718"/>
        <v>0</v>
      </c>
      <c r="CM127" s="57">
        <f t="shared" si="719"/>
        <v>0</v>
      </c>
      <c r="CN127" s="59">
        <f t="shared" si="720"/>
        <v>0</v>
      </c>
      <c r="CO127" s="60">
        <f t="shared" si="721"/>
        <v>0</v>
      </c>
      <c r="CP127" s="59">
        <f t="shared" si="722"/>
        <v>0</v>
      </c>
      <c r="CQ127" s="57">
        <f t="shared" si="723"/>
        <v>0</v>
      </c>
      <c r="CR127" s="59">
        <f t="shared" si="724"/>
        <v>0</v>
      </c>
      <c r="CS127" s="55">
        <f t="shared" si="725"/>
        <v>0</v>
      </c>
      <c r="CT127" s="59">
        <f t="shared" si="726"/>
        <v>0</v>
      </c>
      <c r="CU127" s="60">
        <f t="shared" si="727"/>
        <v>0</v>
      </c>
      <c r="CV127" s="59">
        <f t="shared" si="728"/>
        <v>0</v>
      </c>
      <c r="CW127" s="60">
        <f t="shared" si="729"/>
        <v>0</v>
      </c>
      <c r="CX127" s="59">
        <f t="shared" si="730"/>
        <v>0</v>
      </c>
      <c r="CY127" s="60">
        <f t="shared" si="731"/>
        <v>0</v>
      </c>
      <c r="CZ127" s="59">
        <f t="shared" si="732"/>
        <v>0</v>
      </c>
      <c r="DA127" s="55">
        <f t="shared" si="733"/>
        <v>0</v>
      </c>
      <c r="DB127" s="59">
        <f t="shared" si="734"/>
        <v>0</v>
      </c>
      <c r="DC127" s="60">
        <f t="shared" si="735"/>
        <v>0</v>
      </c>
      <c r="DD127" s="59">
        <f t="shared" si="736"/>
        <v>0</v>
      </c>
      <c r="DE127" s="60">
        <f t="shared" si="737"/>
        <v>0</v>
      </c>
      <c r="DF127" s="59">
        <f t="shared" si="738"/>
        <v>0</v>
      </c>
      <c r="DG127" s="60">
        <f t="shared" si="739"/>
        <v>0</v>
      </c>
      <c r="DH127" s="59">
        <f t="shared" si="740"/>
        <v>0</v>
      </c>
      <c r="DI127" s="60">
        <f t="shared" si="741"/>
        <v>0</v>
      </c>
      <c r="DJ127" s="59">
        <f t="shared" si="742"/>
        <v>0</v>
      </c>
      <c r="DK127" s="55">
        <f t="shared" si="743"/>
        <v>0</v>
      </c>
      <c r="DL127" s="59">
        <f t="shared" si="744"/>
        <v>0</v>
      </c>
      <c r="DM127" s="60">
        <f t="shared" si="745"/>
        <v>0</v>
      </c>
      <c r="DN127" s="59">
        <f t="shared" si="746"/>
        <v>0</v>
      </c>
      <c r="DO127" s="60">
        <f t="shared" si="747"/>
        <v>0</v>
      </c>
      <c r="DP127" s="59">
        <f t="shared" si="748"/>
        <v>0</v>
      </c>
      <c r="DQ127" s="55">
        <f t="shared" si="749"/>
        <v>0</v>
      </c>
      <c r="DR127" s="59">
        <f t="shared" si="750"/>
        <v>0</v>
      </c>
      <c r="DU127" s="55">
        <v>1</v>
      </c>
      <c r="DV127" s="55">
        <v>0.97</v>
      </c>
      <c r="DW127" s="55">
        <v>0.95</v>
      </c>
      <c r="DX127" s="55">
        <v>0.93</v>
      </c>
      <c r="DY127" s="55">
        <f t="shared" si="658"/>
        <v>0.91</v>
      </c>
      <c r="DZ127" s="55">
        <f t="shared" si="658"/>
        <v>0.89</v>
      </c>
      <c r="EA127" s="55">
        <f t="shared" si="658"/>
        <v>0.87</v>
      </c>
      <c r="EB127" s="55">
        <f t="shared" si="658"/>
        <v>0.85</v>
      </c>
      <c r="EC127" s="55">
        <f t="shared" si="658"/>
        <v>0.83</v>
      </c>
      <c r="ED127" s="55">
        <f t="shared" si="658"/>
        <v>0.80999999999999994</v>
      </c>
      <c r="EE127" s="55">
        <f t="shared" si="658"/>
        <v>0.78999999999999992</v>
      </c>
      <c r="EF127" s="55">
        <f t="shared" si="658"/>
        <v>0.76999999999999991</v>
      </c>
      <c r="EG127" s="55">
        <f t="shared" si="658"/>
        <v>0.74999999999999989</v>
      </c>
      <c r="EH127" s="55">
        <f t="shared" si="658"/>
        <v>0.72999999999999987</v>
      </c>
      <c r="EI127" s="55">
        <f t="shared" si="658"/>
        <v>0.70999999999999985</v>
      </c>
      <c r="EJ127" s="55">
        <f t="shared" si="658"/>
        <v>0.68999999999999984</v>
      </c>
      <c r="EK127" s="55">
        <f t="shared" si="658"/>
        <v>0.66999999999999982</v>
      </c>
      <c r="EL127" s="55">
        <f t="shared" si="658"/>
        <v>0.6499999999999998</v>
      </c>
      <c r="EM127" s="55">
        <f t="shared" si="658"/>
        <v>0.62999999999999978</v>
      </c>
      <c r="EN127" s="55">
        <f t="shared" si="658"/>
        <v>0.60999999999999976</v>
      </c>
      <c r="EO127" s="55">
        <f t="shared" si="658"/>
        <v>0.58999999999999975</v>
      </c>
      <c r="EP127" s="55">
        <f t="shared" si="658"/>
        <v>0.56999999999999973</v>
      </c>
      <c r="ER127" s="55">
        <f t="shared" si="652"/>
        <v>0</v>
      </c>
      <c r="ES127" s="55">
        <f t="shared" si="514"/>
        <v>0</v>
      </c>
      <c r="ET127" s="59">
        <f t="shared" si="751"/>
        <v>0</v>
      </c>
      <c r="EU127" s="55">
        <f t="shared" si="752"/>
        <v>0</v>
      </c>
      <c r="EV127" s="59">
        <f t="shared" si="753"/>
        <v>0</v>
      </c>
      <c r="EW127" s="55">
        <f t="shared" si="754"/>
        <v>0</v>
      </c>
      <c r="EX127" s="59">
        <f t="shared" si="755"/>
        <v>0</v>
      </c>
      <c r="EY127" s="55">
        <f t="shared" si="756"/>
        <v>0</v>
      </c>
      <c r="EZ127" s="59">
        <f t="shared" si="757"/>
        <v>0</v>
      </c>
      <c r="FA127" s="57">
        <f t="shared" si="758"/>
        <v>0</v>
      </c>
      <c r="FB127" s="59">
        <f t="shared" si="759"/>
        <v>0</v>
      </c>
      <c r="FC127" s="55">
        <f t="shared" si="760"/>
        <v>0</v>
      </c>
      <c r="FD127" s="59">
        <f t="shared" si="761"/>
        <v>0</v>
      </c>
      <c r="FE127" s="57">
        <f t="shared" si="762"/>
        <v>0</v>
      </c>
      <c r="FF127" s="59">
        <f t="shared" si="763"/>
        <v>0</v>
      </c>
      <c r="FG127" s="60">
        <f t="shared" si="764"/>
        <v>0</v>
      </c>
      <c r="FH127" s="59">
        <f t="shared" si="765"/>
        <v>0</v>
      </c>
      <c r="FI127" s="57">
        <f t="shared" si="766"/>
        <v>0</v>
      </c>
      <c r="FJ127" s="59">
        <f t="shared" si="767"/>
        <v>0</v>
      </c>
      <c r="FK127" s="55">
        <f t="shared" si="768"/>
        <v>0</v>
      </c>
      <c r="FL127" s="59">
        <f t="shared" si="769"/>
        <v>0</v>
      </c>
      <c r="FM127" s="60">
        <f t="shared" si="770"/>
        <v>0</v>
      </c>
      <c r="FN127" s="59">
        <f t="shared" si="771"/>
        <v>0</v>
      </c>
      <c r="FO127" s="60">
        <f t="shared" si="772"/>
        <v>0</v>
      </c>
      <c r="FP127" s="59">
        <f t="shared" si="773"/>
        <v>0</v>
      </c>
      <c r="FQ127" s="60">
        <f t="shared" si="774"/>
        <v>0</v>
      </c>
      <c r="FR127" s="59">
        <f t="shared" si="775"/>
        <v>0</v>
      </c>
      <c r="FS127" s="55">
        <f t="shared" si="776"/>
        <v>0</v>
      </c>
      <c r="FT127" s="59">
        <f t="shared" si="777"/>
        <v>0</v>
      </c>
      <c r="FU127" s="60">
        <f t="shared" si="778"/>
        <v>0</v>
      </c>
      <c r="FV127" s="59">
        <f t="shared" si="779"/>
        <v>0</v>
      </c>
      <c r="FW127" s="60">
        <f t="shared" si="780"/>
        <v>0</v>
      </c>
      <c r="FX127" s="59">
        <f t="shared" si="781"/>
        <v>0</v>
      </c>
      <c r="FY127" s="60">
        <f t="shared" si="782"/>
        <v>0</v>
      </c>
      <c r="FZ127" s="59">
        <f t="shared" si="783"/>
        <v>0</v>
      </c>
      <c r="GA127" s="60">
        <f t="shared" si="784"/>
        <v>0</v>
      </c>
      <c r="GB127" s="59">
        <f t="shared" si="785"/>
        <v>0</v>
      </c>
      <c r="GC127" s="55">
        <f t="shared" si="786"/>
        <v>0</v>
      </c>
      <c r="GD127" s="59">
        <f t="shared" si="787"/>
        <v>0</v>
      </c>
      <c r="GE127" s="60">
        <f t="shared" si="788"/>
        <v>0</v>
      </c>
      <c r="GF127" s="59">
        <f t="shared" si="789"/>
        <v>0</v>
      </c>
      <c r="GG127" s="60">
        <f t="shared" si="790"/>
        <v>0</v>
      </c>
      <c r="GH127" s="59">
        <f t="shared" si="791"/>
        <v>0</v>
      </c>
      <c r="GI127" s="55">
        <f t="shared" si="792"/>
        <v>0</v>
      </c>
      <c r="GJ127" s="59">
        <f t="shared" si="793"/>
        <v>0</v>
      </c>
      <c r="GK127" s="55"/>
      <c r="GL127" s="55"/>
      <c r="GM127" s="55">
        <v>1</v>
      </c>
      <c r="GN127" s="55">
        <v>0.97</v>
      </c>
      <c r="GO127" s="55">
        <v>0.95</v>
      </c>
      <c r="GP127" s="55">
        <v>0.93</v>
      </c>
      <c r="GQ127" s="55">
        <f t="shared" si="659"/>
        <v>0.91</v>
      </c>
      <c r="GR127" s="55">
        <f t="shared" si="659"/>
        <v>0.89</v>
      </c>
      <c r="GS127" s="55">
        <f t="shared" si="659"/>
        <v>0.87</v>
      </c>
      <c r="GT127" s="55">
        <f t="shared" si="659"/>
        <v>0.85</v>
      </c>
      <c r="GU127" s="55">
        <f t="shared" si="659"/>
        <v>0.83</v>
      </c>
      <c r="GV127" s="55">
        <f t="shared" si="659"/>
        <v>0.80999999999999994</v>
      </c>
      <c r="GW127" s="55">
        <f t="shared" si="659"/>
        <v>0.78999999999999992</v>
      </c>
      <c r="GX127" s="55">
        <f t="shared" si="659"/>
        <v>0.76999999999999991</v>
      </c>
      <c r="GY127" s="55">
        <f t="shared" si="659"/>
        <v>0.74999999999999989</v>
      </c>
      <c r="GZ127" s="55">
        <f t="shared" si="659"/>
        <v>0.72999999999999987</v>
      </c>
      <c r="HA127" s="55">
        <f t="shared" si="659"/>
        <v>0.70999999999999985</v>
      </c>
      <c r="HB127" s="55">
        <f t="shared" si="659"/>
        <v>0.68999999999999984</v>
      </c>
      <c r="HC127" s="55">
        <f t="shared" si="659"/>
        <v>0.66999999999999982</v>
      </c>
      <c r="HD127" s="55">
        <f t="shared" si="659"/>
        <v>0.6499999999999998</v>
      </c>
      <c r="HE127" s="55">
        <f t="shared" si="659"/>
        <v>0.62999999999999978</v>
      </c>
      <c r="HF127" s="55">
        <f t="shared" si="659"/>
        <v>0.60999999999999976</v>
      </c>
      <c r="HG127" s="55">
        <f t="shared" si="659"/>
        <v>0.58999999999999975</v>
      </c>
      <c r="HH127" s="55">
        <f t="shared" si="659"/>
        <v>0.56999999999999973</v>
      </c>
    </row>
    <row r="128" spans="1:216" x14ac:dyDescent="0.3">
      <c r="A128" s="2">
        <v>7</v>
      </c>
      <c r="C128" s="38" t="s">
        <v>46</v>
      </c>
      <c r="D128" s="42">
        <f>TRUNC(3910,-1)</f>
        <v>3910</v>
      </c>
      <c r="E128" s="71">
        <f t="shared" si="664"/>
        <v>12920</v>
      </c>
      <c r="H128" s="55">
        <f t="shared" si="509"/>
        <v>14212.000000000002</v>
      </c>
      <c r="I128" s="55">
        <f t="shared" si="510"/>
        <v>14212.000000000002</v>
      </c>
      <c r="J128" s="59">
        <f t="shared" si="511"/>
        <v>46982.029600000009</v>
      </c>
      <c r="K128" s="55">
        <f t="shared" si="665"/>
        <v>13785.640000000001</v>
      </c>
      <c r="L128" s="59">
        <f t="shared" si="666"/>
        <v>45572.568712000008</v>
      </c>
      <c r="M128" s="55">
        <f t="shared" si="667"/>
        <v>13501.400000000001</v>
      </c>
      <c r="N128" s="59">
        <f t="shared" si="668"/>
        <v>44632.928120000004</v>
      </c>
      <c r="O128" s="55">
        <f t="shared" si="669"/>
        <v>13217.160000000002</v>
      </c>
      <c r="P128" s="59">
        <f t="shared" si="670"/>
        <v>43693.287528000008</v>
      </c>
      <c r="Q128" s="57">
        <f t="shared" si="671"/>
        <v>12932.920000000002</v>
      </c>
      <c r="R128" s="59">
        <f t="shared" si="672"/>
        <v>42753.646936000005</v>
      </c>
      <c r="S128" s="55">
        <f t="shared" si="673"/>
        <v>12648.680000000002</v>
      </c>
      <c r="T128" s="59">
        <f t="shared" si="674"/>
        <v>41814.006344000009</v>
      </c>
      <c r="U128" s="57">
        <f t="shared" si="675"/>
        <v>12364.440000000002</v>
      </c>
      <c r="V128" s="59">
        <f t="shared" si="676"/>
        <v>40874.365752000005</v>
      </c>
      <c r="W128" s="60">
        <f t="shared" si="677"/>
        <v>12080.2</v>
      </c>
      <c r="X128" s="59">
        <f t="shared" si="678"/>
        <v>39934.725160000002</v>
      </c>
      <c r="Y128" s="57">
        <f t="shared" si="679"/>
        <v>11795.960000000001</v>
      </c>
      <c r="Z128" s="59">
        <f t="shared" si="680"/>
        <v>38995.084568000006</v>
      </c>
      <c r="AA128" s="55">
        <f t="shared" si="681"/>
        <v>11511.720000000001</v>
      </c>
      <c r="AB128" s="59">
        <f t="shared" si="682"/>
        <v>38055.443976000002</v>
      </c>
      <c r="AC128" s="60">
        <f t="shared" si="683"/>
        <v>11227.48</v>
      </c>
      <c r="AD128" s="59">
        <f t="shared" si="684"/>
        <v>37115.803383999999</v>
      </c>
      <c r="AE128" s="60">
        <f t="shared" si="685"/>
        <v>10943.24</v>
      </c>
      <c r="AF128" s="59">
        <f t="shared" si="686"/>
        <v>36176.162792000003</v>
      </c>
      <c r="AG128" s="60">
        <f t="shared" si="687"/>
        <v>10659</v>
      </c>
      <c r="AH128" s="59">
        <f t="shared" si="688"/>
        <v>35236.522199999999</v>
      </c>
      <c r="AI128" s="55">
        <f t="shared" si="689"/>
        <v>10374.76</v>
      </c>
      <c r="AJ128" s="59">
        <f t="shared" si="690"/>
        <v>34296.881608000003</v>
      </c>
      <c r="AK128" s="60">
        <f t="shared" si="691"/>
        <v>10090.519999999999</v>
      </c>
      <c r="AL128" s="59">
        <f t="shared" si="692"/>
        <v>33357.241015999993</v>
      </c>
      <c r="AM128" s="60">
        <f t="shared" si="693"/>
        <v>9806.2799999999988</v>
      </c>
      <c r="AN128" s="59">
        <f t="shared" si="694"/>
        <v>32417.600423999997</v>
      </c>
      <c r="AO128" s="60">
        <f t="shared" si="695"/>
        <v>9522.0399999999991</v>
      </c>
      <c r="AP128" s="59">
        <f t="shared" si="696"/>
        <v>31477.959831999997</v>
      </c>
      <c r="AQ128" s="60">
        <f t="shared" si="697"/>
        <v>9237.7999999999975</v>
      </c>
      <c r="AR128" s="59">
        <f t="shared" si="698"/>
        <v>30538.319239999993</v>
      </c>
      <c r="AS128" s="55">
        <f t="shared" si="699"/>
        <v>8953.5599999999977</v>
      </c>
      <c r="AT128" s="59">
        <f t="shared" si="700"/>
        <v>29598.678647999994</v>
      </c>
      <c r="AU128" s="60">
        <f t="shared" si="701"/>
        <v>8669.3199999999979</v>
      </c>
      <c r="AV128" s="59">
        <f t="shared" si="702"/>
        <v>28659.038055999994</v>
      </c>
      <c r="AW128" s="60">
        <f t="shared" si="703"/>
        <v>8385.0799999999981</v>
      </c>
      <c r="AX128" s="59">
        <f t="shared" si="704"/>
        <v>27719.397463999994</v>
      </c>
      <c r="AY128" s="55">
        <f t="shared" si="705"/>
        <v>8100.8399999999974</v>
      </c>
      <c r="AZ128" s="59">
        <f t="shared" si="706"/>
        <v>26779.756871999991</v>
      </c>
      <c r="BC128" s="55">
        <v>1</v>
      </c>
      <c r="BD128" s="55">
        <v>0.97</v>
      </c>
      <c r="BE128" s="55">
        <v>0.95</v>
      </c>
      <c r="BF128" s="55">
        <v>0.93</v>
      </c>
      <c r="BG128" s="55">
        <f t="shared" si="707"/>
        <v>0.91</v>
      </c>
      <c r="BH128" s="55">
        <f t="shared" si="707"/>
        <v>0.89</v>
      </c>
      <c r="BI128" s="55">
        <f t="shared" si="707"/>
        <v>0.87</v>
      </c>
      <c r="BJ128" s="55">
        <f t="shared" si="707"/>
        <v>0.85</v>
      </c>
      <c r="BK128" s="55">
        <f t="shared" si="707"/>
        <v>0.83</v>
      </c>
      <c r="BL128" s="55">
        <f t="shared" si="707"/>
        <v>0.80999999999999994</v>
      </c>
      <c r="BM128" s="55">
        <f t="shared" si="707"/>
        <v>0.78999999999999992</v>
      </c>
      <c r="BN128" s="55">
        <f t="shared" si="707"/>
        <v>0.76999999999999991</v>
      </c>
      <c r="BO128" s="55">
        <f t="shared" si="707"/>
        <v>0.74999999999999989</v>
      </c>
      <c r="BP128" s="55">
        <f t="shared" si="707"/>
        <v>0.72999999999999987</v>
      </c>
      <c r="BQ128" s="55">
        <f t="shared" si="707"/>
        <v>0.70999999999999985</v>
      </c>
      <c r="BR128" s="55">
        <f t="shared" si="707"/>
        <v>0.68999999999999984</v>
      </c>
      <c r="BS128" s="55">
        <f t="shared" si="707"/>
        <v>0.66999999999999982</v>
      </c>
      <c r="BT128" s="55">
        <f t="shared" si="707"/>
        <v>0.6499999999999998</v>
      </c>
      <c r="BU128" s="55">
        <f t="shared" si="707"/>
        <v>0.62999999999999978</v>
      </c>
      <c r="BV128" s="55">
        <f t="shared" si="707"/>
        <v>0.60999999999999976</v>
      </c>
      <c r="BW128" s="55">
        <f t="shared" si="707"/>
        <v>0.58999999999999975</v>
      </c>
      <c r="BX128" s="55">
        <f t="shared" si="707"/>
        <v>0.56999999999999973</v>
      </c>
      <c r="BZ128" s="55">
        <f t="shared" si="512"/>
        <v>12932.920000000002</v>
      </c>
      <c r="CA128" s="55">
        <f t="shared" si="513"/>
        <v>12932.920000000002</v>
      </c>
      <c r="CB128" s="59">
        <f t="shared" si="708"/>
        <v>42753.646936000005</v>
      </c>
      <c r="CC128" s="55">
        <f t="shared" si="709"/>
        <v>12544.932400000002</v>
      </c>
      <c r="CD128" s="59">
        <f t="shared" si="710"/>
        <v>41471.037527920009</v>
      </c>
      <c r="CE128" s="55">
        <f t="shared" si="711"/>
        <v>12286.274000000001</v>
      </c>
      <c r="CF128" s="59">
        <f t="shared" si="712"/>
        <v>40615.964589200004</v>
      </c>
      <c r="CG128" s="55">
        <f t="shared" si="713"/>
        <v>12027.615600000003</v>
      </c>
      <c r="CH128" s="59">
        <f t="shared" si="714"/>
        <v>39760.891650480007</v>
      </c>
      <c r="CI128" s="57">
        <f t="shared" si="715"/>
        <v>11768.957200000003</v>
      </c>
      <c r="CJ128" s="59">
        <f t="shared" si="716"/>
        <v>38905.81871176001</v>
      </c>
      <c r="CK128" s="55">
        <f t="shared" si="717"/>
        <v>11510.298800000002</v>
      </c>
      <c r="CL128" s="59">
        <f t="shared" si="718"/>
        <v>38050.745773040006</v>
      </c>
      <c r="CM128" s="57">
        <f t="shared" si="719"/>
        <v>11251.640400000002</v>
      </c>
      <c r="CN128" s="59">
        <f t="shared" si="720"/>
        <v>37195.672834320008</v>
      </c>
      <c r="CO128" s="60">
        <f t="shared" si="721"/>
        <v>10992.982000000002</v>
      </c>
      <c r="CP128" s="59">
        <f t="shared" si="722"/>
        <v>36340.599895600004</v>
      </c>
      <c r="CQ128" s="57">
        <f t="shared" si="723"/>
        <v>10734.323600000002</v>
      </c>
      <c r="CR128" s="59">
        <f t="shared" si="724"/>
        <v>35485.526956880007</v>
      </c>
      <c r="CS128" s="55">
        <f t="shared" si="725"/>
        <v>10475.665200000001</v>
      </c>
      <c r="CT128" s="59">
        <f t="shared" si="726"/>
        <v>34630.454018160002</v>
      </c>
      <c r="CU128" s="60">
        <f t="shared" si="727"/>
        <v>10217.006800000001</v>
      </c>
      <c r="CV128" s="59">
        <f t="shared" si="728"/>
        <v>33775.381079440005</v>
      </c>
      <c r="CW128" s="60">
        <f t="shared" si="729"/>
        <v>9958.3484000000008</v>
      </c>
      <c r="CX128" s="59">
        <f t="shared" si="730"/>
        <v>32920.308140720001</v>
      </c>
      <c r="CY128" s="60">
        <f t="shared" si="731"/>
        <v>9699.69</v>
      </c>
      <c r="CZ128" s="59">
        <f t="shared" si="732"/>
        <v>32065.235202000003</v>
      </c>
      <c r="DA128" s="55">
        <f t="shared" si="733"/>
        <v>9441.0316000000003</v>
      </c>
      <c r="DB128" s="59">
        <f t="shared" si="734"/>
        <v>31210.162263280003</v>
      </c>
      <c r="DC128" s="60">
        <f t="shared" si="735"/>
        <v>9182.3732</v>
      </c>
      <c r="DD128" s="59">
        <f t="shared" si="736"/>
        <v>30355.089324560002</v>
      </c>
      <c r="DE128" s="60">
        <f t="shared" si="737"/>
        <v>8923.7147999999997</v>
      </c>
      <c r="DF128" s="59">
        <f t="shared" si="738"/>
        <v>29500.016385840001</v>
      </c>
      <c r="DG128" s="60">
        <f t="shared" si="739"/>
        <v>8665.0563999999995</v>
      </c>
      <c r="DH128" s="59">
        <f t="shared" si="740"/>
        <v>28644.94344712</v>
      </c>
      <c r="DI128" s="60">
        <f t="shared" si="741"/>
        <v>8406.3979999999992</v>
      </c>
      <c r="DJ128" s="59">
        <f t="shared" si="742"/>
        <v>27789.870508399999</v>
      </c>
      <c r="DK128" s="55">
        <f t="shared" si="743"/>
        <v>8147.7395999999981</v>
      </c>
      <c r="DL128" s="59">
        <f t="shared" si="744"/>
        <v>26934.797569679995</v>
      </c>
      <c r="DM128" s="60">
        <f t="shared" si="745"/>
        <v>7889.0811999999978</v>
      </c>
      <c r="DN128" s="59">
        <f t="shared" si="746"/>
        <v>26079.724630959994</v>
      </c>
      <c r="DO128" s="60">
        <f t="shared" si="747"/>
        <v>7630.4227999999976</v>
      </c>
      <c r="DP128" s="59">
        <f t="shared" si="748"/>
        <v>25224.651692239993</v>
      </c>
      <c r="DQ128" s="55">
        <f t="shared" si="749"/>
        <v>7371.7643999999973</v>
      </c>
      <c r="DR128" s="59">
        <f t="shared" si="750"/>
        <v>24369.578753519992</v>
      </c>
      <c r="DU128" s="55">
        <v>1</v>
      </c>
      <c r="DV128" s="55">
        <v>0.97</v>
      </c>
      <c r="DW128" s="55">
        <v>0.95</v>
      </c>
      <c r="DX128" s="55">
        <v>0.93</v>
      </c>
      <c r="DY128" s="55">
        <f t="shared" si="658"/>
        <v>0.91</v>
      </c>
      <c r="DZ128" s="55">
        <f t="shared" si="658"/>
        <v>0.89</v>
      </c>
      <c r="EA128" s="55">
        <f t="shared" si="658"/>
        <v>0.87</v>
      </c>
      <c r="EB128" s="55">
        <f t="shared" si="658"/>
        <v>0.85</v>
      </c>
      <c r="EC128" s="55">
        <f t="shared" si="658"/>
        <v>0.83</v>
      </c>
      <c r="ED128" s="55">
        <f t="shared" si="658"/>
        <v>0.80999999999999994</v>
      </c>
      <c r="EE128" s="55">
        <f t="shared" si="658"/>
        <v>0.78999999999999992</v>
      </c>
      <c r="EF128" s="55">
        <f t="shared" si="658"/>
        <v>0.76999999999999991</v>
      </c>
      <c r="EG128" s="55">
        <f t="shared" si="658"/>
        <v>0.74999999999999989</v>
      </c>
      <c r="EH128" s="55">
        <f t="shared" si="658"/>
        <v>0.72999999999999987</v>
      </c>
      <c r="EI128" s="55">
        <f t="shared" si="658"/>
        <v>0.70999999999999985</v>
      </c>
      <c r="EJ128" s="55">
        <f t="shared" si="658"/>
        <v>0.68999999999999984</v>
      </c>
      <c r="EK128" s="55">
        <f t="shared" si="658"/>
        <v>0.66999999999999982</v>
      </c>
      <c r="EL128" s="55">
        <f t="shared" si="658"/>
        <v>0.6499999999999998</v>
      </c>
      <c r="EM128" s="55">
        <f t="shared" si="658"/>
        <v>0.62999999999999978</v>
      </c>
      <c r="EN128" s="55">
        <f t="shared" si="658"/>
        <v>0.60999999999999976</v>
      </c>
      <c r="EO128" s="55">
        <f t="shared" si="658"/>
        <v>0.58999999999999975</v>
      </c>
      <c r="EP128" s="55">
        <f t="shared" si="658"/>
        <v>0.56999999999999973</v>
      </c>
      <c r="ER128" s="55">
        <f t="shared" si="652"/>
        <v>11768.957200000003</v>
      </c>
      <c r="ES128" s="55">
        <f t="shared" si="514"/>
        <v>11768.957200000003</v>
      </c>
      <c r="ET128" s="59">
        <f t="shared" si="751"/>
        <v>38905.81871176001</v>
      </c>
      <c r="EU128" s="55">
        <f t="shared" si="752"/>
        <v>11415.888484000003</v>
      </c>
      <c r="EV128" s="59">
        <f t="shared" si="753"/>
        <v>37738.644150407214</v>
      </c>
      <c r="EW128" s="55">
        <f t="shared" si="754"/>
        <v>11180.509340000002</v>
      </c>
      <c r="EX128" s="59">
        <f t="shared" si="755"/>
        <v>36960.527776172006</v>
      </c>
      <c r="EY128" s="55">
        <f t="shared" si="756"/>
        <v>10945.130196000004</v>
      </c>
      <c r="EZ128" s="59">
        <f t="shared" si="757"/>
        <v>36182.411401936813</v>
      </c>
      <c r="FA128" s="57">
        <f t="shared" si="758"/>
        <v>10709.751052000003</v>
      </c>
      <c r="FB128" s="59">
        <f t="shared" si="759"/>
        <v>35404.295027701613</v>
      </c>
      <c r="FC128" s="55">
        <f t="shared" si="760"/>
        <v>10474.371908000003</v>
      </c>
      <c r="FD128" s="59">
        <f t="shared" si="761"/>
        <v>34626.178653466413</v>
      </c>
      <c r="FE128" s="57">
        <f t="shared" si="762"/>
        <v>10238.992764000002</v>
      </c>
      <c r="FF128" s="59">
        <f t="shared" si="763"/>
        <v>33848.062279231206</v>
      </c>
      <c r="FG128" s="60">
        <f t="shared" si="764"/>
        <v>10003.613620000002</v>
      </c>
      <c r="FH128" s="59">
        <f t="shared" si="765"/>
        <v>33069.945904996006</v>
      </c>
      <c r="FI128" s="57">
        <f t="shared" si="766"/>
        <v>9768.2344760000015</v>
      </c>
      <c r="FJ128" s="59">
        <f t="shared" si="767"/>
        <v>32291.829530760806</v>
      </c>
      <c r="FK128" s="55">
        <f t="shared" si="768"/>
        <v>9532.855332000001</v>
      </c>
      <c r="FL128" s="59">
        <f t="shared" si="769"/>
        <v>31513.713156525602</v>
      </c>
      <c r="FM128" s="60">
        <f t="shared" si="770"/>
        <v>9297.4761880000005</v>
      </c>
      <c r="FN128" s="59">
        <f t="shared" si="771"/>
        <v>30735.596782290402</v>
      </c>
      <c r="FO128" s="60">
        <f t="shared" si="772"/>
        <v>9062.0970440000001</v>
      </c>
      <c r="FP128" s="59">
        <f t="shared" si="773"/>
        <v>29957.480408055202</v>
      </c>
      <c r="FQ128" s="60">
        <f t="shared" si="774"/>
        <v>8826.7179000000015</v>
      </c>
      <c r="FR128" s="59">
        <f t="shared" si="775"/>
        <v>29179.364033820006</v>
      </c>
      <c r="FS128" s="55">
        <f t="shared" si="776"/>
        <v>8591.338756000001</v>
      </c>
      <c r="FT128" s="59">
        <f t="shared" si="777"/>
        <v>28401.247659584806</v>
      </c>
      <c r="FU128" s="60">
        <f t="shared" si="778"/>
        <v>8355.9596120000006</v>
      </c>
      <c r="FV128" s="59">
        <f t="shared" si="779"/>
        <v>27623.131285349602</v>
      </c>
      <c r="FW128" s="60">
        <f t="shared" si="780"/>
        <v>8120.5804680000001</v>
      </c>
      <c r="FX128" s="59">
        <f t="shared" si="781"/>
        <v>26845.014911114402</v>
      </c>
      <c r="FY128" s="60">
        <f t="shared" si="782"/>
        <v>7885.2013239999997</v>
      </c>
      <c r="FZ128" s="59">
        <f t="shared" si="783"/>
        <v>26066.898536879198</v>
      </c>
      <c r="GA128" s="60">
        <f t="shared" si="784"/>
        <v>7649.8221799999992</v>
      </c>
      <c r="GB128" s="59">
        <f t="shared" si="785"/>
        <v>25288.782162643998</v>
      </c>
      <c r="GC128" s="55">
        <f t="shared" si="786"/>
        <v>7414.4430359999988</v>
      </c>
      <c r="GD128" s="59">
        <f t="shared" si="787"/>
        <v>24510.665788408798</v>
      </c>
      <c r="GE128" s="60">
        <f t="shared" si="788"/>
        <v>7179.0638919999992</v>
      </c>
      <c r="GF128" s="59">
        <f t="shared" si="789"/>
        <v>23732.549414173598</v>
      </c>
      <c r="GG128" s="60">
        <f t="shared" si="790"/>
        <v>6943.6847479999988</v>
      </c>
      <c r="GH128" s="59">
        <f t="shared" si="791"/>
        <v>22954.433039938398</v>
      </c>
      <c r="GI128" s="55">
        <f t="shared" si="792"/>
        <v>6708.3056039999983</v>
      </c>
      <c r="GJ128" s="59">
        <f t="shared" si="793"/>
        <v>22176.316665703194</v>
      </c>
      <c r="GK128" s="55"/>
      <c r="GL128" s="55"/>
      <c r="GM128" s="55">
        <v>1</v>
      </c>
      <c r="GN128" s="55">
        <v>0.97</v>
      </c>
      <c r="GO128" s="55">
        <v>0.95</v>
      </c>
      <c r="GP128" s="55">
        <v>0.93</v>
      </c>
      <c r="GQ128" s="55">
        <f t="shared" si="659"/>
        <v>0.91</v>
      </c>
      <c r="GR128" s="55">
        <f t="shared" si="659"/>
        <v>0.89</v>
      </c>
      <c r="GS128" s="55">
        <f t="shared" si="659"/>
        <v>0.87</v>
      </c>
      <c r="GT128" s="55">
        <f t="shared" si="659"/>
        <v>0.85</v>
      </c>
      <c r="GU128" s="55">
        <f t="shared" si="659"/>
        <v>0.83</v>
      </c>
      <c r="GV128" s="55">
        <f t="shared" si="659"/>
        <v>0.80999999999999994</v>
      </c>
      <c r="GW128" s="55">
        <f t="shared" si="659"/>
        <v>0.78999999999999992</v>
      </c>
      <c r="GX128" s="55">
        <f t="shared" si="659"/>
        <v>0.76999999999999991</v>
      </c>
      <c r="GY128" s="55">
        <f t="shared" si="659"/>
        <v>0.74999999999999989</v>
      </c>
      <c r="GZ128" s="55">
        <f t="shared" si="659"/>
        <v>0.72999999999999987</v>
      </c>
      <c r="HA128" s="55">
        <f t="shared" si="659"/>
        <v>0.70999999999999985</v>
      </c>
      <c r="HB128" s="55">
        <f t="shared" si="659"/>
        <v>0.68999999999999984</v>
      </c>
      <c r="HC128" s="55">
        <f t="shared" si="659"/>
        <v>0.66999999999999982</v>
      </c>
      <c r="HD128" s="55">
        <f t="shared" si="659"/>
        <v>0.6499999999999998</v>
      </c>
      <c r="HE128" s="55">
        <f t="shared" si="659"/>
        <v>0.62999999999999978</v>
      </c>
      <c r="HF128" s="55">
        <f t="shared" si="659"/>
        <v>0.60999999999999976</v>
      </c>
      <c r="HG128" s="55">
        <f t="shared" si="659"/>
        <v>0.58999999999999975</v>
      </c>
      <c r="HH128" s="55">
        <f t="shared" si="659"/>
        <v>0.56999999999999973</v>
      </c>
    </row>
    <row r="129" spans="1:216" x14ac:dyDescent="0.3">
      <c r="A129" s="2">
        <v>8</v>
      </c>
      <c r="C129" s="38" t="s">
        <v>126</v>
      </c>
      <c r="D129" s="42">
        <v>0</v>
      </c>
      <c r="E129" s="71">
        <f t="shared" si="664"/>
        <v>0</v>
      </c>
      <c r="H129" s="55">
        <f t="shared" si="509"/>
        <v>0</v>
      </c>
      <c r="I129" s="55">
        <f t="shared" si="510"/>
        <v>0</v>
      </c>
      <c r="J129" s="59">
        <f t="shared" si="511"/>
        <v>0</v>
      </c>
      <c r="K129" s="55">
        <f t="shared" si="665"/>
        <v>0</v>
      </c>
      <c r="L129" s="59">
        <f t="shared" si="666"/>
        <v>0</v>
      </c>
      <c r="M129" s="55">
        <f t="shared" si="667"/>
        <v>0</v>
      </c>
      <c r="N129" s="59">
        <f t="shared" si="668"/>
        <v>0</v>
      </c>
      <c r="O129" s="55">
        <f t="shared" si="669"/>
        <v>0</v>
      </c>
      <c r="P129" s="59">
        <f t="shared" si="670"/>
        <v>0</v>
      </c>
      <c r="Q129" s="57">
        <f t="shared" si="671"/>
        <v>0</v>
      </c>
      <c r="R129" s="59">
        <f t="shared" si="672"/>
        <v>0</v>
      </c>
      <c r="S129" s="55">
        <f t="shared" si="673"/>
        <v>0</v>
      </c>
      <c r="T129" s="59">
        <f t="shared" si="674"/>
        <v>0</v>
      </c>
      <c r="U129" s="57">
        <f t="shared" si="675"/>
        <v>0</v>
      </c>
      <c r="V129" s="59">
        <f t="shared" si="676"/>
        <v>0</v>
      </c>
      <c r="W129" s="60">
        <f t="shared" si="677"/>
        <v>0</v>
      </c>
      <c r="X129" s="59">
        <f t="shared" si="678"/>
        <v>0</v>
      </c>
      <c r="Y129" s="57">
        <f t="shared" si="679"/>
        <v>0</v>
      </c>
      <c r="Z129" s="59">
        <f t="shared" si="680"/>
        <v>0</v>
      </c>
      <c r="AA129" s="55">
        <f t="shared" si="681"/>
        <v>0</v>
      </c>
      <c r="AB129" s="59">
        <f t="shared" si="682"/>
        <v>0</v>
      </c>
      <c r="AC129" s="60">
        <f t="shared" si="683"/>
        <v>0</v>
      </c>
      <c r="AD129" s="59">
        <f t="shared" si="684"/>
        <v>0</v>
      </c>
      <c r="AE129" s="60">
        <f t="shared" si="685"/>
        <v>0</v>
      </c>
      <c r="AF129" s="59">
        <f t="shared" si="686"/>
        <v>0</v>
      </c>
      <c r="AG129" s="60">
        <f t="shared" si="687"/>
        <v>0</v>
      </c>
      <c r="AH129" s="59">
        <f t="shared" si="688"/>
        <v>0</v>
      </c>
      <c r="AI129" s="55">
        <f t="shared" si="689"/>
        <v>0</v>
      </c>
      <c r="AJ129" s="59">
        <f t="shared" si="690"/>
        <v>0</v>
      </c>
      <c r="AK129" s="60">
        <f t="shared" si="691"/>
        <v>0</v>
      </c>
      <c r="AL129" s="59">
        <f t="shared" si="692"/>
        <v>0</v>
      </c>
      <c r="AM129" s="60">
        <f t="shared" si="693"/>
        <v>0</v>
      </c>
      <c r="AN129" s="59">
        <f t="shared" si="694"/>
        <v>0</v>
      </c>
      <c r="AO129" s="60">
        <f t="shared" si="695"/>
        <v>0</v>
      </c>
      <c r="AP129" s="59">
        <f t="shared" si="696"/>
        <v>0</v>
      </c>
      <c r="AQ129" s="60">
        <f t="shared" si="697"/>
        <v>0</v>
      </c>
      <c r="AR129" s="59">
        <f t="shared" si="698"/>
        <v>0</v>
      </c>
      <c r="AS129" s="55">
        <f t="shared" si="699"/>
        <v>0</v>
      </c>
      <c r="AT129" s="59">
        <f t="shared" si="700"/>
        <v>0</v>
      </c>
      <c r="AU129" s="60">
        <f t="shared" si="701"/>
        <v>0</v>
      </c>
      <c r="AV129" s="59">
        <f t="shared" si="702"/>
        <v>0</v>
      </c>
      <c r="AW129" s="60">
        <f t="shared" si="703"/>
        <v>0</v>
      </c>
      <c r="AX129" s="59">
        <f t="shared" si="704"/>
        <v>0</v>
      </c>
      <c r="AY129" s="55">
        <f t="shared" si="705"/>
        <v>0</v>
      </c>
      <c r="AZ129" s="59">
        <f t="shared" si="706"/>
        <v>0</v>
      </c>
      <c r="BC129" s="55">
        <v>1</v>
      </c>
      <c r="BD129" s="55">
        <v>0.97</v>
      </c>
      <c r="BE129" s="55">
        <v>0.95</v>
      </c>
      <c r="BF129" s="55">
        <v>0.93</v>
      </c>
      <c r="BG129" s="55">
        <f t="shared" si="707"/>
        <v>0.91</v>
      </c>
      <c r="BH129" s="55">
        <f t="shared" si="707"/>
        <v>0.89</v>
      </c>
      <c r="BI129" s="55">
        <f t="shared" si="707"/>
        <v>0.87</v>
      </c>
      <c r="BJ129" s="55">
        <f t="shared" si="707"/>
        <v>0.85</v>
      </c>
      <c r="BK129" s="55">
        <f t="shared" si="707"/>
        <v>0.83</v>
      </c>
      <c r="BL129" s="55">
        <f t="shared" si="707"/>
        <v>0.80999999999999994</v>
      </c>
      <c r="BM129" s="55">
        <f t="shared" si="707"/>
        <v>0.78999999999999992</v>
      </c>
      <c r="BN129" s="55">
        <f t="shared" si="707"/>
        <v>0.76999999999999991</v>
      </c>
      <c r="BO129" s="55">
        <f t="shared" si="707"/>
        <v>0.74999999999999989</v>
      </c>
      <c r="BP129" s="55">
        <f t="shared" si="707"/>
        <v>0.72999999999999987</v>
      </c>
      <c r="BQ129" s="55">
        <f t="shared" si="707"/>
        <v>0.70999999999999985</v>
      </c>
      <c r="BR129" s="55">
        <f t="shared" si="707"/>
        <v>0.68999999999999984</v>
      </c>
      <c r="BS129" s="55">
        <f t="shared" si="707"/>
        <v>0.66999999999999982</v>
      </c>
      <c r="BT129" s="55">
        <f t="shared" si="707"/>
        <v>0.6499999999999998</v>
      </c>
      <c r="BU129" s="55">
        <f t="shared" si="707"/>
        <v>0.62999999999999978</v>
      </c>
      <c r="BV129" s="55">
        <f t="shared" si="707"/>
        <v>0.60999999999999976</v>
      </c>
      <c r="BW129" s="55">
        <f t="shared" si="707"/>
        <v>0.58999999999999975</v>
      </c>
      <c r="BX129" s="55">
        <f t="shared" si="707"/>
        <v>0.56999999999999973</v>
      </c>
      <c r="BZ129" s="55">
        <f t="shared" si="512"/>
        <v>0</v>
      </c>
      <c r="CA129" s="55">
        <f t="shared" si="513"/>
        <v>0</v>
      </c>
      <c r="CB129" s="59">
        <f t="shared" si="708"/>
        <v>0</v>
      </c>
      <c r="CC129" s="55">
        <f t="shared" si="709"/>
        <v>0</v>
      </c>
      <c r="CD129" s="59">
        <f t="shared" si="710"/>
        <v>0</v>
      </c>
      <c r="CE129" s="55">
        <f t="shared" si="711"/>
        <v>0</v>
      </c>
      <c r="CF129" s="59">
        <f t="shared" si="712"/>
        <v>0</v>
      </c>
      <c r="CG129" s="55">
        <f t="shared" si="713"/>
        <v>0</v>
      </c>
      <c r="CH129" s="59">
        <f t="shared" si="714"/>
        <v>0</v>
      </c>
      <c r="CI129" s="57">
        <f t="shared" si="715"/>
        <v>0</v>
      </c>
      <c r="CJ129" s="59">
        <f t="shared" si="716"/>
        <v>0</v>
      </c>
      <c r="CK129" s="55">
        <f t="shared" si="717"/>
        <v>0</v>
      </c>
      <c r="CL129" s="59">
        <f t="shared" si="718"/>
        <v>0</v>
      </c>
      <c r="CM129" s="57">
        <f t="shared" si="719"/>
        <v>0</v>
      </c>
      <c r="CN129" s="59">
        <f t="shared" si="720"/>
        <v>0</v>
      </c>
      <c r="CO129" s="60">
        <f t="shared" si="721"/>
        <v>0</v>
      </c>
      <c r="CP129" s="59">
        <f t="shared" si="722"/>
        <v>0</v>
      </c>
      <c r="CQ129" s="57">
        <f t="shared" si="723"/>
        <v>0</v>
      </c>
      <c r="CR129" s="59">
        <f t="shared" si="724"/>
        <v>0</v>
      </c>
      <c r="CS129" s="55">
        <f t="shared" si="725"/>
        <v>0</v>
      </c>
      <c r="CT129" s="59">
        <f t="shared" si="726"/>
        <v>0</v>
      </c>
      <c r="CU129" s="60">
        <f t="shared" si="727"/>
        <v>0</v>
      </c>
      <c r="CV129" s="59">
        <f t="shared" si="728"/>
        <v>0</v>
      </c>
      <c r="CW129" s="60">
        <f t="shared" si="729"/>
        <v>0</v>
      </c>
      <c r="CX129" s="59">
        <f t="shared" si="730"/>
        <v>0</v>
      </c>
      <c r="CY129" s="60">
        <f t="shared" si="731"/>
        <v>0</v>
      </c>
      <c r="CZ129" s="59">
        <f t="shared" si="732"/>
        <v>0</v>
      </c>
      <c r="DA129" s="55">
        <f t="shared" si="733"/>
        <v>0</v>
      </c>
      <c r="DB129" s="59">
        <f t="shared" si="734"/>
        <v>0</v>
      </c>
      <c r="DC129" s="60">
        <f t="shared" si="735"/>
        <v>0</v>
      </c>
      <c r="DD129" s="59">
        <f t="shared" si="736"/>
        <v>0</v>
      </c>
      <c r="DE129" s="60">
        <f t="shared" si="737"/>
        <v>0</v>
      </c>
      <c r="DF129" s="59">
        <f t="shared" si="738"/>
        <v>0</v>
      </c>
      <c r="DG129" s="60">
        <f t="shared" si="739"/>
        <v>0</v>
      </c>
      <c r="DH129" s="59">
        <f t="shared" si="740"/>
        <v>0</v>
      </c>
      <c r="DI129" s="60">
        <f t="shared" si="741"/>
        <v>0</v>
      </c>
      <c r="DJ129" s="59">
        <f t="shared" si="742"/>
        <v>0</v>
      </c>
      <c r="DK129" s="55">
        <f t="shared" si="743"/>
        <v>0</v>
      </c>
      <c r="DL129" s="59">
        <f t="shared" si="744"/>
        <v>0</v>
      </c>
      <c r="DM129" s="60">
        <f t="shared" si="745"/>
        <v>0</v>
      </c>
      <c r="DN129" s="59">
        <f t="shared" si="746"/>
        <v>0</v>
      </c>
      <c r="DO129" s="60">
        <f t="shared" si="747"/>
        <v>0</v>
      </c>
      <c r="DP129" s="59">
        <f t="shared" si="748"/>
        <v>0</v>
      </c>
      <c r="DQ129" s="55">
        <f t="shared" si="749"/>
        <v>0</v>
      </c>
      <c r="DR129" s="59">
        <f t="shared" si="750"/>
        <v>0</v>
      </c>
      <c r="DU129" s="55">
        <v>1</v>
      </c>
      <c r="DV129" s="55">
        <v>0.97</v>
      </c>
      <c r="DW129" s="55">
        <v>0.95</v>
      </c>
      <c r="DX129" s="55">
        <v>0.93</v>
      </c>
      <c r="DY129" s="55">
        <f t="shared" si="658"/>
        <v>0.91</v>
      </c>
      <c r="DZ129" s="55">
        <f t="shared" si="658"/>
        <v>0.89</v>
      </c>
      <c r="EA129" s="55">
        <f t="shared" si="658"/>
        <v>0.87</v>
      </c>
      <c r="EB129" s="55">
        <f t="shared" ref="EB129:EP129" si="794">+EA129-0.02</f>
        <v>0.85</v>
      </c>
      <c r="EC129" s="55">
        <f t="shared" si="794"/>
        <v>0.83</v>
      </c>
      <c r="ED129" s="55">
        <f t="shared" si="794"/>
        <v>0.80999999999999994</v>
      </c>
      <c r="EE129" s="55">
        <f t="shared" si="794"/>
        <v>0.78999999999999992</v>
      </c>
      <c r="EF129" s="55">
        <f t="shared" si="794"/>
        <v>0.76999999999999991</v>
      </c>
      <c r="EG129" s="55">
        <f t="shared" si="794"/>
        <v>0.74999999999999989</v>
      </c>
      <c r="EH129" s="55">
        <f t="shared" si="794"/>
        <v>0.72999999999999987</v>
      </c>
      <c r="EI129" s="55">
        <f t="shared" si="794"/>
        <v>0.70999999999999985</v>
      </c>
      <c r="EJ129" s="55">
        <f t="shared" si="794"/>
        <v>0.68999999999999984</v>
      </c>
      <c r="EK129" s="55">
        <f t="shared" si="794"/>
        <v>0.66999999999999982</v>
      </c>
      <c r="EL129" s="55">
        <f t="shared" si="794"/>
        <v>0.6499999999999998</v>
      </c>
      <c r="EM129" s="55">
        <f t="shared" si="794"/>
        <v>0.62999999999999978</v>
      </c>
      <c r="EN129" s="55">
        <f t="shared" si="794"/>
        <v>0.60999999999999976</v>
      </c>
      <c r="EO129" s="55">
        <f t="shared" si="794"/>
        <v>0.58999999999999975</v>
      </c>
      <c r="EP129" s="55">
        <f t="shared" si="794"/>
        <v>0.56999999999999973</v>
      </c>
      <c r="ER129" s="55">
        <f t="shared" si="652"/>
        <v>0</v>
      </c>
      <c r="ES129" s="55">
        <f t="shared" si="514"/>
        <v>0</v>
      </c>
      <c r="ET129" s="59">
        <f t="shared" si="751"/>
        <v>0</v>
      </c>
      <c r="EU129" s="55">
        <f t="shared" si="752"/>
        <v>0</v>
      </c>
      <c r="EV129" s="59">
        <f t="shared" si="753"/>
        <v>0</v>
      </c>
      <c r="EW129" s="55">
        <f t="shared" si="754"/>
        <v>0</v>
      </c>
      <c r="EX129" s="59">
        <f t="shared" si="755"/>
        <v>0</v>
      </c>
      <c r="EY129" s="55">
        <f t="shared" si="756"/>
        <v>0</v>
      </c>
      <c r="EZ129" s="59">
        <f t="shared" si="757"/>
        <v>0</v>
      </c>
      <c r="FA129" s="57">
        <f t="shared" si="758"/>
        <v>0</v>
      </c>
      <c r="FB129" s="59">
        <f t="shared" si="759"/>
        <v>0</v>
      </c>
      <c r="FC129" s="55">
        <f t="shared" si="760"/>
        <v>0</v>
      </c>
      <c r="FD129" s="59">
        <f t="shared" si="761"/>
        <v>0</v>
      </c>
      <c r="FE129" s="57">
        <f t="shared" si="762"/>
        <v>0</v>
      </c>
      <c r="FF129" s="59">
        <f t="shared" si="763"/>
        <v>0</v>
      </c>
      <c r="FG129" s="60">
        <f t="shared" si="764"/>
        <v>0</v>
      </c>
      <c r="FH129" s="59">
        <f t="shared" si="765"/>
        <v>0</v>
      </c>
      <c r="FI129" s="57">
        <f t="shared" si="766"/>
        <v>0</v>
      </c>
      <c r="FJ129" s="59">
        <f t="shared" si="767"/>
        <v>0</v>
      </c>
      <c r="FK129" s="55">
        <f t="shared" si="768"/>
        <v>0</v>
      </c>
      <c r="FL129" s="59">
        <f t="shared" si="769"/>
        <v>0</v>
      </c>
      <c r="FM129" s="60">
        <f t="shared" si="770"/>
        <v>0</v>
      </c>
      <c r="FN129" s="59">
        <f t="shared" si="771"/>
        <v>0</v>
      </c>
      <c r="FO129" s="60">
        <f t="shared" si="772"/>
        <v>0</v>
      </c>
      <c r="FP129" s="59">
        <f t="shared" si="773"/>
        <v>0</v>
      </c>
      <c r="FQ129" s="60">
        <f t="shared" si="774"/>
        <v>0</v>
      </c>
      <c r="FR129" s="59">
        <f t="shared" si="775"/>
        <v>0</v>
      </c>
      <c r="FS129" s="55">
        <f t="shared" si="776"/>
        <v>0</v>
      </c>
      <c r="FT129" s="59">
        <f t="shared" si="777"/>
        <v>0</v>
      </c>
      <c r="FU129" s="60">
        <f t="shared" si="778"/>
        <v>0</v>
      </c>
      <c r="FV129" s="59">
        <f t="shared" si="779"/>
        <v>0</v>
      </c>
      <c r="FW129" s="60">
        <f t="shared" si="780"/>
        <v>0</v>
      </c>
      <c r="FX129" s="59">
        <f t="shared" si="781"/>
        <v>0</v>
      </c>
      <c r="FY129" s="60">
        <f t="shared" si="782"/>
        <v>0</v>
      </c>
      <c r="FZ129" s="59">
        <f t="shared" si="783"/>
        <v>0</v>
      </c>
      <c r="GA129" s="60">
        <f t="shared" si="784"/>
        <v>0</v>
      </c>
      <c r="GB129" s="59">
        <f t="shared" si="785"/>
        <v>0</v>
      </c>
      <c r="GC129" s="55">
        <f t="shared" si="786"/>
        <v>0</v>
      </c>
      <c r="GD129" s="59">
        <f t="shared" si="787"/>
        <v>0</v>
      </c>
      <c r="GE129" s="60">
        <f t="shared" si="788"/>
        <v>0</v>
      </c>
      <c r="GF129" s="59">
        <f t="shared" si="789"/>
        <v>0</v>
      </c>
      <c r="GG129" s="60">
        <f t="shared" si="790"/>
        <v>0</v>
      </c>
      <c r="GH129" s="59">
        <f t="shared" si="791"/>
        <v>0</v>
      </c>
      <c r="GI129" s="55">
        <f t="shared" si="792"/>
        <v>0</v>
      </c>
      <c r="GJ129" s="59">
        <f t="shared" si="793"/>
        <v>0</v>
      </c>
      <c r="GK129" s="55"/>
      <c r="GL129" s="55"/>
      <c r="GM129" s="55">
        <v>1</v>
      </c>
      <c r="GN129" s="55">
        <v>0.97</v>
      </c>
      <c r="GO129" s="55">
        <v>0.95</v>
      </c>
      <c r="GP129" s="55">
        <v>0.93</v>
      </c>
      <c r="GQ129" s="55">
        <f t="shared" si="659"/>
        <v>0.91</v>
      </c>
      <c r="GR129" s="55">
        <f t="shared" si="659"/>
        <v>0.89</v>
      </c>
      <c r="GS129" s="55">
        <f t="shared" si="659"/>
        <v>0.87</v>
      </c>
      <c r="GT129" s="55">
        <f t="shared" ref="GT129:HH129" si="795">+GS129-0.02</f>
        <v>0.85</v>
      </c>
      <c r="GU129" s="55">
        <f t="shared" si="795"/>
        <v>0.83</v>
      </c>
      <c r="GV129" s="55">
        <f t="shared" si="795"/>
        <v>0.80999999999999994</v>
      </c>
      <c r="GW129" s="55">
        <f t="shared" si="795"/>
        <v>0.78999999999999992</v>
      </c>
      <c r="GX129" s="55">
        <f t="shared" si="795"/>
        <v>0.76999999999999991</v>
      </c>
      <c r="GY129" s="55">
        <f t="shared" si="795"/>
        <v>0.74999999999999989</v>
      </c>
      <c r="GZ129" s="55">
        <f t="shared" si="795"/>
        <v>0.72999999999999987</v>
      </c>
      <c r="HA129" s="55">
        <f t="shared" si="795"/>
        <v>0.70999999999999985</v>
      </c>
      <c r="HB129" s="55">
        <f t="shared" si="795"/>
        <v>0.68999999999999984</v>
      </c>
      <c r="HC129" s="55">
        <f t="shared" si="795"/>
        <v>0.66999999999999982</v>
      </c>
      <c r="HD129" s="55">
        <f t="shared" si="795"/>
        <v>0.6499999999999998</v>
      </c>
      <c r="HE129" s="55">
        <f t="shared" si="795"/>
        <v>0.62999999999999978</v>
      </c>
      <c r="HF129" s="55">
        <f t="shared" si="795"/>
        <v>0.60999999999999976</v>
      </c>
      <c r="HG129" s="55">
        <f t="shared" si="795"/>
        <v>0.58999999999999975</v>
      </c>
      <c r="HH129" s="55">
        <f t="shared" si="795"/>
        <v>0.56999999999999973</v>
      </c>
    </row>
    <row r="130" spans="1:216" ht="17.25" customHeight="1" x14ac:dyDescent="0.3">
      <c r="A130" s="2">
        <v>9</v>
      </c>
      <c r="C130" s="38" t="s">
        <v>54</v>
      </c>
      <c r="D130" s="42">
        <f>TRUNC(7591,-1)</f>
        <v>7590</v>
      </c>
      <c r="E130" s="71">
        <f t="shared" si="664"/>
        <v>25090</v>
      </c>
      <c r="H130" s="55">
        <f t="shared" si="509"/>
        <v>27599.000000000004</v>
      </c>
      <c r="I130" s="55">
        <f t="shared" si="510"/>
        <v>27599.000000000004</v>
      </c>
      <c r="J130" s="59">
        <f t="shared" si="511"/>
        <v>91236.774200000014</v>
      </c>
      <c r="K130" s="55">
        <f t="shared" si="665"/>
        <v>26771.030000000002</v>
      </c>
      <c r="L130" s="59">
        <f t="shared" si="666"/>
        <v>88499.670974000008</v>
      </c>
      <c r="M130" s="55">
        <f t="shared" si="667"/>
        <v>26219.050000000003</v>
      </c>
      <c r="N130" s="59">
        <f t="shared" si="668"/>
        <v>86674.935490000018</v>
      </c>
      <c r="O130" s="55">
        <f t="shared" si="669"/>
        <v>25667.070000000003</v>
      </c>
      <c r="P130" s="59">
        <f t="shared" si="670"/>
        <v>84850.200006000014</v>
      </c>
      <c r="Q130" s="57">
        <f t="shared" si="671"/>
        <v>25115.090000000004</v>
      </c>
      <c r="R130" s="59">
        <f t="shared" si="672"/>
        <v>83025.464522000009</v>
      </c>
      <c r="S130" s="55">
        <f t="shared" si="673"/>
        <v>24563.110000000004</v>
      </c>
      <c r="T130" s="59">
        <f t="shared" si="674"/>
        <v>81200.72903800002</v>
      </c>
      <c r="U130" s="57">
        <f t="shared" si="675"/>
        <v>24011.130000000005</v>
      </c>
      <c r="V130" s="59">
        <f t="shared" si="676"/>
        <v>79375.993554000015</v>
      </c>
      <c r="W130" s="60">
        <f t="shared" si="677"/>
        <v>23459.15</v>
      </c>
      <c r="X130" s="59">
        <f t="shared" si="678"/>
        <v>77551.258070000011</v>
      </c>
      <c r="Y130" s="57">
        <f t="shared" si="679"/>
        <v>22907.170000000002</v>
      </c>
      <c r="Z130" s="59">
        <f t="shared" si="680"/>
        <v>75726.522586000006</v>
      </c>
      <c r="AA130" s="55">
        <f t="shared" si="681"/>
        <v>22355.190000000002</v>
      </c>
      <c r="AB130" s="59">
        <f t="shared" si="682"/>
        <v>73901.787102000002</v>
      </c>
      <c r="AC130" s="60">
        <f t="shared" si="683"/>
        <v>21803.21</v>
      </c>
      <c r="AD130" s="59">
        <f t="shared" si="684"/>
        <v>72077.051617999998</v>
      </c>
      <c r="AE130" s="60">
        <f t="shared" si="685"/>
        <v>21251.23</v>
      </c>
      <c r="AF130" s="59">
        <f t="shared" si="686"/>
        <v>70252.316133999993</v>
      </c>
      <c r="AG130" s="60">
        <f t="shared" si="687"/>
        <v>20699.25</v>
      </c>
      <c r="AH130" s="59">
        <f t="shared" si="688"/>
        <v>68427.580650000004</v>
      </c>
      <c r="AI130" s="55">
        <f t="shared" si="689"/>
        <v>20147.27</v>
      </c>
      <c r="AJ130" s="59">
        <f t="shared" si="690"/>
        <v>66602.845165999999</v>
      </c>
      <c r="AK130" s="60">
        <f t="shared" si="691"/>
        <v>19595.289999999997</v>
      </c>
      <c r="AL130" s="59">
        <f t="shared" si="692"/>
        <v>64778.109681999995</v>
      </c>
      <c r="AM130" s="60">
        <f t="shared" si="693"/>
        <v>19043.309999999998</v>
      </c>
      <c r="AN130" s="59">
        <f t="shared" si="694"/>
        <v>62953.37419799999</v>
      </c>
      <c r="AO130" s="60">
        <f t="shared" si="695"/>
        <v>18491.329999999998</v>
      </c>
      <c r="AP130" s="59">
        <f t="shared" si="696"/>
        <v>61128.638713999993</v>
      </c>
      <c r="AQ130" s="60">
        <f t="shared" si="697"/>
        <v>17939.349999999999</v>
      </c>
      <c r="AR130" s="59">
        <f t="shared" si="698"/>
        <v>59303.903229999996</v>
      </c>
      <c r="AS130" s="55">
        <f t="shared" si="699"/>
        <v>17387.369999999995</v>
      </c>
      <c r="AT130" s="59">
        <f t="shared" si="700"/>
        <v>57479.167745999985</v>
      </c>
      <c r="AU130" s="60">
        <f t="shared" si="701"/>
        <v>16835.389999999996</v>
      </c>
      <c r="AV130" s="59">
        <f t="shared" si="702"/>
        <v>55654.432261999988</v>
      </c>
      <c r="AW130" s="60">
        <f t="shared" si="703"/>
        <v>16283.409999999994</v>
      </c>
      <c r="AX130" s="59">
        <f t="shared" si="704"/>
        <v>53829.696777999983</v>
      </c>
      <c r="AY130" s="55">
        <f t="shared" si="705"/>
        <v>15731.429999999995</v>
      </c>
      <c r="AZ130" s="59">
        <f t="shared" si="706"/>
        <v>52004.961293999986</v>
      </c>
      <c r="BC130" s="55">
        <v>1</v>
      </c>
      <c r="BD130" s="55">
        <v>0.97</v>
      </c>
      <c r="BE130" s="55">
        <v>0.95</v>
      </c>
      <c r="BF130" s="55">
        <v>0.93</v>
      </c>
      <c r="BG130" s="55">
        <f t="shared" si="707"/>
        <v>0.91</v>
      </c>
      <c r="BH130" s="55">
        <f t="shared" si="707"/>
        <v>0.89</v>
      </c>
      <c r="BI130" s="55">
        <f t="shared" si="707"/>
        <v>0.87</v>
      </c>
      <c r="BJ130" s="55">
        <f t="shared" si="707"/>
        <v>0.85</v>
      </c>
      <c r="BK130" s="55">
        <f t="shared" si="707"/>
        <v>0.83</v>
      </c>
      <c r="BL130" s="55">
        <f t="shared" si="707"/>
        <v>0.80999999999999994</v>
      </c>
      <c r="BM130" s="55">
        <f t="shared" si="707"/>
        <v>0.78999999999999992</v>
      </c>
      <c r="BN130" s="55">
        <f t="shared" si="707"/>
        <v>0.76999999999999991</v>
      </c>
      <c r="BO130" s="55">
        <f t="shared" si="707"/>
        <v>0.74999999999999989</v>
      </c>
      <c r="BP130" s="55">
        <f t="shared" si="707"/>
        <v>0.72999999999999987</v>
      </c>
      <c r="BQ130" s="55">
        <f t="shared" si="707"/>
        <v>0.70999999999999985</v>
      </c>
      <c r="BR130" s="55">
        <f t="shared" si="707"/>
        <v>0.68999999999999984</v>
      </c>
      <c r="BS130" s="55">
        <f t="shared" si="707"/>
        <v>0.66999999999999982</v>
      </c>
      <c r="BT130" s="55">
        <f t="shared" si="707"/>
        <v>0.6499999999999998</v>
      </c>
      <c r="BU130" s="55">
        <f t="shared" si="707"/>
        <v>0.62999999999999978</v>
      </c>
      <c r="BV130" s="55">
        <f t="shared" si="707"/>
        <v>0.60999999999999976</v>
      </c>
      <c r="BW130" s="55">
        <f t="shared" si="707"/>
        <v>0.58999999999999975</v>
      </c>
      <c r="BX130" s="55">
        <f t="shared" si="707"/>
        <v>0.56999999999999973</v>
      </c>
      <c r="BZ130" s="55">
        <f t="shared" si="512"/>
        <v>25115.090000000004</v>
      </c>
      <c r="CA130" s="55">
        <f t="shared" si="513"/>
        <v>25115.090000000004</v>
      </c>
      <c r="CB130" s="59">
        <f t="shared" si="708"/>
        <v>83025.464522000009</v>
      </c>
      <c r="CC130" s="55">
        <f t="shared" si="709"/>
        <v>24361.637300000002</v>
      </c>
      <c r="CD130" s="59">
        <f t="shared" si="710"/>
        <v>80534.700586340012</v>
      </c>
      <c r="CE130" s="55">
        <f t="shared" si="711"/>
        <v>23859.335500000001</v>
      </c>
      <c r="CF130" s="59">
        <f t="shared" si="712"/>
        <v>78874.191295900004</v>
      </c>
      <c r="CG130" s="55">
        <f t="shared" si="713"/>
        <v>23357.033700000004</v>
      </c>
      <c r="CH130" s="59">
        <f t="shared" si="714"/>
        <v>77213.68200546001</v>
      </c>
      <c r="CI130" s="57">
        <f t="shared" si="715"/>
        <v>22854.731900000002</v>
      </c>
      <c r="CJ130" s="59">
        <f t="shared" si="716"/>
        <v>75553.172715020017</v>
      </c>
      <c r="CK130" s="55">
        <f t="shared" si="717"/>
        <v>22352.430100000005</v>
      </c>
      <c r="CL130" s="59">
        <f t="shared" si="718"/>
        <v>73892.663424580023</v>
      </c>
      <c r="CM130" s="57">
        <f t="shared" si="719"/>
        <v>21850.128300000004</v>
      </c>
      <c r="CN130" s="59">
        <f t="shared" si="720"/>
        <v>72232.154134140015</v>
      </c>
      <c r="CO130" s="60">
        <f t="shared" si="721"/>
        <v>21347.826500000003</v>
      </c>
      <c r="CP130" s="59">
        <f t="shared" si="722"/>
        <v>70571.644843700007</v>
      </c>
      <c r="CQ130" s="57">
        <f t="shared" si="723"/>
        <v>20845.524700000002</v>
      </c>
      <c r="CR130" s="59">
        <f t="shared" si="724"/>
        <v>68911.135553260014</v>
      </c>
      <c r="CS130" s="55">
        <f t="shared" si="725"/>
        <v>20343.222900000001</v>
      </c>
      <c r="CT130" s="59">
        <f t="shared" si="726"/>
        <v>67250.626262820006</v>
      </c>
      <c r="CU130" s="60">
        <f t="shared" si="727"/>
        <v>19840.9211</v>
      </c>
      <c r="CV130" s="59">
        <f t="shared" si="728"/>
        <v>65590.116972379998</v>
      </c>
      <c r="CW130" s="60">
        <f t="shared" si="729"/>
        <v>19338.619300000002</v>
      </c>
      <c r="CX130" s="59">
        <f t="shared" si="730"/>
        <v>63929.607681940011</v>
      </c>
      <c r="CY130" s="60">
        <f t="shared" si="731"/>
        <v>18836.317500000001</v>
      </c>
      <c r="CZ130" s="59">
        <f t="shared" si="732"/>
        <v>62269.098391500003</v>
      </c>
      <c r="DA130" s="55">
        <f t="shared" si="733"/>
        <v>18334.0157</v>
      </c>
      <c r="DB130" s="59">
        <f t="shared" si="734"/>
        <v>60608.589101060003</v>
      </c>
      <c r="DC130" s="60">
        <f t="shared" si="735"/>
        <v>17831.713899999999</v>
      </c>
      <c r="DD130" s="59">
        <f t="shared" si="736"/>
        <v>58948.079810619995</v>
      </c>
      <c r="DE130" s="60">
        <f t="shared" si="737"/>
        <v>17329.412099999998</v>
      </c>
      <c r="DF130" s="59">
        <f t="shared" si="738"/>
        <v>57287.570520179994</v>
      </c>
      <c r="DG130" s="60">
        <f t="shared" si="739"/>
        <v>16827.110299999997</v>
      </c>
      <c r="DH130" s="59">
        <f t="shared" si="740"/>
        <v>55627.061229739993</v>
      </c>
      <c r="DI130" s="60">
        <f t="shared" si="741"/>
        <v>16324.808499999997</v>
      </c>
      <c r="DJ130" s="59">
        <f t="shared" si="742"/>
        <v>53966.551939299992</v>
      </c>
      <c r="DK130" s="55">
        <f t="shared" si="743"/>
        <v>15822.506699999996</v>
      </c>
      <c r="DL130" s="59">
        <f t="shared" si="744"/>
        <v>52306.042648859991</v>
      </c>
      <c r="DM130" s="60">
        <f t="shared" si="745"/>
        <v>15320.204899999997</v>
      </c>
      <c r="DN130" s="59">
        <f t="shared" si="746"/>
        <v>50645.533358419991</v>
      </c>
      <c r="DO130" s="60">
        <f t="shared" si="747"/>
        <v>14817.903099999996</v>
      </c>
      <c r="DP130" s="59">
        <f t="shared" si="748"/>
        <v>48985.02406797999</v>
      </c>
      <c r="DQ130" s="55">
        <f t="shared" si="749"/>
        <v>14315.601299999995</v>
      </c>
      <c r="DR130" s="59">
        <f t="shared" si="750"/>
        <v>47324.514777539982</v>
      </c>
      <c r="DU130" s="55">
        <v>1</v>
      </c>
      <c r="DV130" s="55">
        <v>0.97</v>
      </c>
      <c r="DW130" s="55">
        <v>0.95</v>
      </c>
      <c r="DX130" s="55">
        <v>0.93</v>
      </c>
      <c r="DY130" s="55">
        <f t="shared" ref="DY130:EP144" si="796">+DX130-0.02</f>
        <v>0.91</v>
      </c>
      <c r="DZ130" s="55">
        <f t="shared" si="796"/>
        <v>0.89</v>
      </c>
      <c r="EA130" s="55">
        <f t="shared" si="796"/>
        <v>0.87</v>
      </c>
      <c r="EB130" s="55">
        <f t="shared" si="796"/>
        <v>0.85</v>
      </c>
      <c r="EC130" s="55">
        <f t="shared" si="796"/>
        <v>0.83</v>
      </c>
      <c r="ED130" s="55">
        <f t="shared" si="796"/>
        <v>0.80999999999999994</v>
      </c>
      <c r="EE130" s="55">
        <f t="shared" si="796"/>
        <v>0.78999999999999992</v>
      </c>
      <c r="EF130" s="55">
        <f t="shared" si="796"/>
        <v>0.76999999999999991</v>
      </c>
      <c r="EG130" s="55">
        <f t="shared" si="796"/>
        <v>0.74999999999999989</v>
      </c>
      <c r="EH130" s="55">
        <f t="shared" si="796"/>
        <v>0.72999999999999987</v>
      </c>
      <c r="EI130" s="55">
        <f t="shared" si="796"/>
        <v>0.70999999999999985</v>
      </c>
      <c r="EJ130" s="55">
        <f t="shared" si="796"/>
        <v>0.68999999999999984</v>
      </c>
      <c r="EK130" s="55">
        <f t="shared" si="796"/>
        <v>0.66999999999999982</v>
      </c>
      <c r="EL130" s="55">
        <f t="shared" si="796"/>
        <v>0.6499999999999998</v>
      </c>
      <c r="EM130" s="55">
        <f t="shared" si="796"/>
        <v>0.62999999999999978</v>
      </c>
      <c r="EN130" s="55">
        <f t="shared" si="796"/>
        <v>0.60999999999999976</v>
      </c>
      <c r="EO130" s="55">
        <f t="shared" si="796"/>
        <v>0.58999999999999975</v>
      </c>
      <c r="EP130" s="55">
        <f t="shared" si="796"/>
        <v>0.56999999999999973</v>
      </c>
      <c r="ER130" s="55">
        <f t="shared" si="652"/>
        <v>22854.731900000002</v>
      </c>
      <c r="ES130" s="55">
        <f t="shared" si="514"/>
        <v>22854.731900000002</v>
      </c>
      <c r="ET130" s="59">
        <f t="shared" si="751"/>
        <v>75553.172715020017</v>
      </c>
      <c r="EU130" s="55">
        <f t="shared" si="752"/>
        <v>22169.089943000003</v>
      </c>
      <c r="EV130" s="59">
        <f t="shared" si="753"/>
        <v>73286.577533569405</v>
      </c>
      <c r="EW130" s="55">
        <f t="shared" si="754"/>
        <v>21711.995305</v>
      </c>
      <c r="EX130" s="59">
        <f t="shared" si="755"/>
        <v>71775.514079269007</v>
      </c>
      <c r="EY130" s="55">
        <f t="shared" si="756"/>
        <v>21254.900667000002</v>
      </c>
      <c r="EZ130" s="59">
        <f t="shared" si="757"/>
        <v>70264.450624968609</v>
      </c>
      <c r="FA130" s="57">
        <f t="shared" si="758"/>
        <v>20797.806029000003</v>
      </c>
      <c r="FB130" s="59">
        <f t="shared" si="759"/>
        <v>68753.387170668211</v>
      </c>
      <c r="FC130" s="55">
        <f t="shared" si="760"/>
        <v>20340.711391000001</v>
      </c>
      <c r="FD130" s="59">
        <f t="shared" si="761"/>
        <v>67242.323716367799</v>
      </c>
      <c r="FE130" s="57">
        <f t="shared" si="762"/>
        <v>19883.616753000002</v>
      </c>
      <c r="FF130" s="59">
        <f t="shared" si="763"/>
        <v>65731.260262067415</v>
      </c>
      <c r="FG130" s="60">
        <f t="shared" si="764"/>
        <v>19426.522115000003</v>
      </c>
      <c r="FH130" s="59">
        <f t="shared" si="765"/>
        <v>64220.19680776701</v>
      </c>
      <c r="FI130" s="57">
        <f t="shared" si="766"/>
        <v>18969.427477000001</v>
      </c>
      <c r="FJ130" s="59">
        <f t="shared" si="767"/>
        <v>62709.133353466605</v>
      </c>
      <c r="FK130" s="55">
        <f t="shared" si="768"/>
        <v>18512.332839000002</v>
      </c>
      <c r="FL130" s="59">
        <f t="shared" si="769"/>
        <v>61198.069899166207</v>
      </c>
      <c r="FM130" s="60">
        <f t="shared" si="770"/>
        <v>18055.238201</v>
      </c>
      <c r="FN130" s="59">
        <f t="shared" si="771"/>
        <v>59687.006444865801</v>
      </c>
      <c r="FO130" s="60">
        <f t="shared" si="772"/>
        <v>17598.143563000001</v>
      </c>
      <c r="FP130" s="59">
        <f t="shared" si="773"/>
        <v>58175.942990565403</v>
      </c>
      <c r="FQ130" s="60">
        <f t="shared" si="774"/>
        <v>17141.048924999999</v>
      </c>
      <c r="FR130" s="59">
        <f t="shared" si="775"/>
        <v>56664.879536264998</v>
      </c>
      <c r="FS130" s="55">
        <f t="shared" si="776"/>
        <v>16683.954287</v>
      </c>
      <c r="FT130" s="59">
        <f t="shared" si="777"/>
        <v>55153.8160819646</v>
      </c>
      <c r="FU130" s="60">
        <f t="shared" si="778"/>
        <v>16226.859648999998</v>
      </c>
      <c r="FV130" s="59">
        <f t="shared" si="779"/>
        <v>53642.752627664195</v>
      </c>
      <c r="FW130" s="60">
        <f t="shared" si="780"/>
        <v>15769.765010999998</v>
      </c>
      <c r="FX130" s="59">
        <f t="shared" si="781"/>
        <v>52131.689173363797</v>
      </c>
      <c r="FY130" s="60">
        <f t="shared" si="782"/>
        <v>15312.670372999997</v>
      </c>
      <c r="FZ130" s="59">
        <f t="shared" si="783"/>
        <v>50620.625719063391</v>
      </c>
      <c r="GA130" s="60">
        <f t="shared" si="784"/>
        <v>14855.575734999997</v>
      </c>
      <c r="GB130" s="59">
        <f t="shared" si="785"/>
        <v>49109.562264762993</v>
      </c>
      <c r="GC130" s="55">
        <f t="shared" si="786"/>
        <v>14398.481096999996</v>
      </c>
      <c r="GD130" s="59">
        <f t="shared" si="787"/>
        <v>47598.498810462588</v>
      </c>
      <c r="GE130" s="60">
        <f t="shared" si="788"/>
        <v>13941.386458999996</v>
      </c>
      <c r="GF130" s="59">
        <f t="shared" si="789"/>
        <v>46087.43535616219</v>
      </c>
      <c r="GG130" s="60">
        <f t="shared" si="790"/>
        <v>13484.291820999995</v>
      </c>
      <c r="GH130" s="59">
        <f t="shared" si="791"/>
        <v>44576.371901861785</v>
      </c>
      <c r="GI130" s="55">
        <f t="shared" si="792"/>
        <v>13027.197182999995</v>
      </c>
      <c r="GJ130" s="59">
        <f t="shared" si="793"/>
        <v>43065.308447561387</v>
      </c>
      <c r="GK130" s="55"/>
      <c r="GL130" s="55"/>
      <c r="GM130" s="55">
        <v>1</v>
      </c>
      <c r="GN130" s="55">
        <v>0.97</v>
      </c>
      <c r="GO130" s="55">
        <v>0.95</v>
      </c>
      <c r="GP130" s="55">
        <v>0.93</v>
      </c>
      <c r="GQ130" s="55">
        <f t="shared" ref="GQ130:HH144" si="797">+GP130-0.02</f>
        <v>0.91</v>
      </c>
      <c r="GR130" s="55">
        <f t="shared" si="797"/>
        <v>0.89</v>
      </c>
      <c r="GS130" s="55">
        <f t="shared" si="797"/>
        <v>0.87</v>
      </c>
      <c r="GT130" s="55">
        <f t="shared" si="797"/>
        <v>0.85</v>
      </c>
      <c r="GU130" s="55">
        <f t="shared" si="797"/>
        <v>0.83</v>
      </c>
      <c r="GV130" s="55">
        <f t="shared" si="797"/>
        <v>0.80999999999999994</v>
      </c>
      <c r="GW130" s="55">
        <f t="shared" si="797"/>
        <v>0.78999999999999992</v>
      </c>
      <c r="GX130" s="55">
        <f t="shared" si="797"/>
        <v>0.76999999999999991</v>
      </c>
      <c r="GY130" s="55">
        <f t="shared" si="797"/>
        <v>0.74999999999999989</v>
      </c>
      <c r="GZ130" s="55">
        <f t="shared" si="797"/>
        <v>0.72999999999999987</v>
      </c>
      <c r="HA130" s="55">
        <f t="shared" si="797"/>
        <v>0.70999999999999985</v>
      </c>
      <c r="HB130" s="55">
        <f t="shared" si="797"/>
        <v>0.68999999999999984</v>
      </c>
      <c r="HC130" s="55">
        <f t="shared" si="797"/>
        <v>0.66999999999999982</v>
      </c>
      <c r="HD130" s="55">
        <f t="shared" si="797"/>
        <v>0.6499999999999998</v>
      </c>
      <c r="HE130" s="55">
        <f t="shared" si="797"/>
        <v>0.62999999999999978</v>
      </c>
      <c r="HF130" s="55">
        <f t="shared" si="797"/>
        <v>0.60999999999999976</v>
      </c>
      <c r="HG130" s="55">
        <f t="shared" si="797"/>
        <v>0.58999999999999975</v>
      </c>
      <c r="HH130" s="55">
        <f t="shared" si="797"/>
        <v>0.56999999999999973</v>
      </c>
    </row>
    <row r="131" spans="1:216" x14ac:dyDescent="0.3">
      <c r="A131" s="2">
        <v>10</v>
      </c>
      <c r="C131" s="38" t="s">
        <v>149</v>
      </c>
      <c r="D131" s="42">
        <v>0</v>
      </c>
      <c r="E131" s="71">
        <f t="shared" si="664"/>
        <v>0</v>
      </c>
      <c r="H131" s="55">
        <f t="shared" si="509"/>
        <v>0</v>
      </c>
      <c r="I131" s="55">
        <f t="shared" si="510"/>
        <v>0</v>
      </c>
      <c r="J131" s="59">
        <f t="shared" si="511"/>
        <v>0</v>
      </c>
      <c r="K131" s="55">
        <f t="shared" si="665"/>
        <v>0</v>
      </c>
      <c r="L131" s="59">
        <f t="shared" si="666"/>
        <v>0</v>
      </c>
      <c r="M131" s="55">
        <f t="shared" si="667"/>
        <v>0</v>
      </c>
      <c r="N131" s="59">
        <f t="shared" si="668"/>
        <v>0</v>
      </c>
      <c r="O131" s="55">
        <f t="shared" si="669"/>
        <v>0</v>
      </c>
      <c r="P131" s="59">
        <f t="shared" si="670"/>
        <v>0</v>
      </c>
      <c r="Q131" s="57">
        <f t="shared" si="671"/>
        <v>0</v>
      </c>
      <c r="R131" s="59">
        <f t="shared" si="672"/>
        <v>0</v>
      </c>
      <c r="S131" s="55">
        <f t="shared" si="673"/>
        <v>0</v>
      </c>
      <c r="T131" s="59">
        <f t="shared" si="674"/>
        <v>0</v>
      </c>
      <c r="U131" s="57">
        <f t="shared" si="675"/>
        <v>0</v>
      </c>
      <c r="V131" s="59">
        <f t="shared" si="676"/>
        <v>0</v>
      </c>
      <c r="W131" s="60">
        <f t="shared" si="677"/>
        <v>0</v>
      </c>
      <c r="X131" s="59">
        <f t="shared" si="678"/>
        <v>0</v>
      </c>
      <c r="Y131" s="57">
        <f t="shared" si="679"/>
        <v>0</v>
      </c>
      <c r="Z131" s="59">
        <f t="shared" si="680"/>
        <v>0</v>
      </c>
      <c r="AA131" s="55">
        <f t="shared" si="681"/>
        <v>0</v>
      </c>
      <c r="AB131" s="59">
        <f t="shared" si="682"/>
        <v>0</v>
      </c>
      <c r="AC131" s="60">
        <f t="shared" si="683"/>
        <v>0</v>
      </c>
      <c r="AD131" s="59">
        <f t="shared" si="684"/>
        <v>0</v>
      </c>
      <c r="AE131" s="60">
        <f t="shared" si="685"/>
        <v>0</v>
      </c>
      <c r="AF131" s="59">
        <f t="shared" si="686"/>
        <v>0</v>
      </c>
      <c r="AG131" s="60">
        <f t="shared" si="687"/>
        <v>0</v>
      </c>
      <c r="AH131" s="59">
        <f t="shared" si="688"/>
        <v>0</v>
      </c>
      <c r="AI131" s="55">
        <f t="shared" si="689"/>
        <v>0</v>
      </c>
      <c r="AJ131" s="59">
        <f t="shared" si="690"/>
        <v>0</v>
      </c>
      <c r="AK131" s="60">
        <f t="shared" si="691"/>
        <v>0</v>
      </c>
      <c r="AL131" s="59">
        <f t="shared" si="692"/>
        <v>0</v>
      </c>
      <c r="AM131" s="60">
        <f t="shared" si="693"/>
        <v>0</v>
      </c>
      <c r="AN131" s="59">
        <f t="shared" si="694"/>
        <v>0</v>
      </c>
      <c r="AO131" s="60">
        <f t="shared" si="695"/>
        <v>0</v>
      </c>
      <c r="AP131" s="59">
        <f t="shared" si="696"/>
        <v>0</v>
      </c>
      <c r="AQ131" s="60">
        <f t="shared" si="697"/>
        <v>0</v>
      </c>
      <c r="AR131" s="59">
        <f t="shared" si="698"/>
        <v>0</v>
      </c>
      <c r="AS131" s="55">
        <f t="shared" si="699"/>
        <v>0</v>
      </c>
      <c r="AT131" s="59">
        <f t="shared" si="700"/>
        <v>0</v>
      </c>
      <c r="AU131" s="60">
        <f t="shared" si="701"/>
        <v>0</v>
      </c>
      <c r="AV131" s="59">
        <f t="shared" si="702"/>
        <v>0</v>
      </c>
      <c r="AW131" s="60">
        <f t="shared" si="703"/>
        <v>0</v>
      </c>
      <c r="AX131" s="59">
        <f t="shared" si="704"/>
        <v>0</v>
      </c>
      <c r="AY131" s="55">
        <f t="shared" si="705"/>
        <v>0</v>
      </c>
      <c r="AZ131" s="59">
        <f t="shared" si="706"/>
        <v>0</v>
      </c>
      <c r="BC131" s="55">
        <v>1</v>
      </c>
      <c r="BD131" s="55">
        <v>0.97</v>
      </c>
      <c r="BE131" s="55">
        <v>0.95</v>
      </c>
      <c r="BF131" s="55">
        <v>0.93</v>
      </c>
      <c r="BG131" s="55">
        <f t="shared" si="707"/>
        <v>0.91</v>
      </c>
      <c r="BH131" s="55">
        <f t="shared" si="707"/>
        <v>0.89</v>
      </c>
      <c r="BI131" s="55">
        <f t="shared" si="707"/>
        <v>0.87</v>
      </c>
      <c r="BJ131" s="55">
        <f t="shared" si="707"/>
        <v>0.85</v>
      </c>
      <c r="BK131" s="55">
        <f t="shared" si="707"/>
        <v>0.83</v>
      </c>
      <c r="BL131" s="55">
        <f t="shared" si="707"/>
        <v>0.80999999999999994</v>
      </c>
      <c r="BM131" s="55">
        <f t="shared" si="707"/>
        <v>0.78999999999999992</v>
      </c>
      <c r="BN131" s="55">
        <f t="shared" si="707"/>
        <v>0.76999999999999991</v>
      </c>
      <c r="BO131" s="55">
        <f t="shared" si="707"/>
        <v>0.74999999999999989</v>
      </c>
      <c r="BP131" s="55">
        <f t="shared" si="707"/>
        <v>0.72999999999999987</v>
      </c>
      <c r="BQ131" s="55">
        <f t="shared" si="707"/>
        <v>0.70999999999999985</v>
      </c>
      <c r="BR131" s="55">
        <f t="shared" si="707"/>
        <v>0.68999999999999984</v>
      </c>
      <c r="BS131" s="55">
        <f t="shared" si="707"/>
        <v>0.66999999999999982</v>
      </c>
      <c r="BT131" s="55">
        <f t="shared" si="707"/>
        <v>0.6499999999999998</v>
      </c>
      <c r="BU131" s="55">
        <f t="shared" si="707"/>
        <v>0.62999999999999978</v>
      </c>
      <c r="BV131" s="55">
        <f t="shared" si="707"/>
        <v>0.60999999999999976</v>
      </c>
      <c r="BW131" s="55">
        <f t="shared" si="707"/>
        <v>0.58999999999999975</v>
      </c>
      <c r="BX131" s="55">
        <f t="shared" si="707"/>
        <v>0.56999999999999973</v>
      </c>
      <c r="BZ131" s="55">
        <f t="shared" si="512"/>
        <v>0</v>
      </c>
      <c r="CA131" s="55">
        <f t="shared" si="513"/>
        <v>0</v>
      </c>
      <c r="CB131" s="59">
        <f t="shared" si="708"/>
        <v>0</v>
      </c>
      <c r="CC131" s="55">
        <f t="shared" si="709"/>
        <v>0</v>
      </c>
      <c r="CD131" s="59">
        <f t="shared" si="710"/>
        <v>0</v>
      </c>
      <c r="CE131" s="55">
        <f t="shared" si="711"/>
        <v>0</v>
      </c>
      <c r="CF131" s="59">
        <f t="shared" si="712"/>
        <v>0</v>
      </c>
      <c r="CG131" s="55">
        <f t="shared" si="713"/>
        <v>0</v>
      </c>
      <c r="CH131" s="59">
        <f t="shared" si="714"/>
        <v>0</v>
      </c>
      <c r="CI131" s="57">
        <f t="shared" si="715"/>
        <v>0</v>
      </c>
      <c r="CJ131" s="59">
        <f t="shared" si="716"/>
        <v>0</v>
      </c>
      <c r="CK131" s="55">
        <f t="shared" si="717"/>
        <v>0</v>
      </c>
      <c r="CL131" s="59">
        <f t="shared" si="718"/>
        <v>0</v>
      </c>
      <c r="CM131" s="57">
        <f t="shared" si="719"/>
        <v>0</v>
      </c>
      <c r="CN131" s="59">
        <f t="shared" si="720"/>
        <v>0</v>
      </c>
      <c r="CO131" s="60">
        <f t="shared" si="721"/>
        <v>0</v>
      </c>
      <c r="CP131" s="59">
        <f t="shared" si="722"/>
        <v>0</v>
      </c>
      <c r="CQ131" s="57">
        <f t="shared" si="723"/>
        <v>0</v>
      </c>
      <c r="CR131" s="59">
        <f t="shared" si="724"/>
        <v>0</v>
      </c>
      <c r="CS131" s="55">
        <f t="shared" si="725"/>
        <v>0</v>
      </c>
      <c r="CT131" s="59">
        <f t="shared" si="726"/>
        <v>0</v>
      </c>
      <c r="CU131" s="60">
        <f t="shared" si="727"/>
        <v>0</v>
      </c>
      <c r="CV131" s="59">
        <f t="shared" si="728"/>
        <v>0</v>
      </c>
      <c r="CW131" s="60">
        <f t="shared" si="729"/>
        <v>0</v>
      </c>
      <c r="CX131" s="59">
        <f t="shared" si="730"/>
        <v>0</v>
      </c>
      <c r="CY131" s="60">
        <f t="shared" si="731"/>
        <v>0</v>
      </c>
      <c r="CZ131" s="59">
        <f t="shared" si="732"/>
        <v>0</v>
      </c>
      <c r="DA131" s="55">
        <f t="shared" si="733"/>
        <v>0</v>
      </c>
      <c r="DB131" s="59">
        <f t="shared" si="734"/>
        <v>0</v>
      </c>
      <c r="DC131" s="60">
        <f t="shared" si="735"/>
        <v>0</v>
      </c>
      <c r="DD131" s="59">
        <f t="shared" si="736"/>
        <v>0</v>
      </c>
      <c r="DE131" s="60">
        <f t="shared" si="737"/>
        <v>0</v>
      </c>
      <c r="DF131" s="59">
        <f t="shared" si="738"/>
        <v>0</v>
      </c>
      <c r="DG131" s="60">
        <f t="shared" si="739"/>
        <v>0</v>
      </c>
      <c r="DH131" s="59">
        <f t="shared" si="740"/>
        <v>0</v>
      </c>
      <c r="DI131" s="60">
        <f t="shared" si="741"/>
        <v>0</v>
      </c>
      <c r="DJ131" s="59">
        <f t="shared" si="742"/>
        <v>0</v>
      </c>
      <c r="DK131" s="55">
        <f t="shared" si="743"/>
        <v>0</v>
      </c>
      <c r="DL131" s="59">
        <f t="shared" si="744"/>
        <v>0</v>
      </c>
      <c r="DM131" s="60">
        <f t="shared" si="745"/>
        <v>0</v>
      </c>
      <c r="DN131" s="59">
        <f t="shared" si="746"/>
        <v>0</v>
      </c>
      <c r="DO131" s="60">
        <f t="shared" si="747"/>
        <v>0</v>
      </c>
      <c r="DP131" s="59">
        <f t="shared" si="748"/>
        <v>0</v>
      </c>
      <c r="DQ131" s="55">
        <f t="shared" si="749"/>
        <v>0</v>
      </c>
      <c r="DR131" s="59">
        <f t="shared" si="750"/>
        <v>0</v>
      </c>
      <c r="DU131" s="55">
        <v>1</v>
      </c>
      <c r="DV131" s="55">
        <v>0.97</v>
      </c>
      <c r="DW131" s="55">
        <v>0.95</v>
      </c>
      <c r="DX131" s="55">
        <v>0.93</v>
      </c>
      <c r="DY131" s="55">
        <f t="shared" si="796"/>
        <v>0.91</v>
      </c>
      <c r="DZ131" s="55">
        <f t="shared" si="796"/>
        <v>0.89</v>
      </c>
      <c r="EA131" s="55">
        <f t="shared" si="796"/>
        <v>0.87</v>
      </c>
      <c r="EB131" s="55">
        <f t="shared" si="796"/>
        <v>0.85</v>
      </c>
      <c r="EC131" s="55">
        <f t="shared" si="796"/>
        <v>0.83</v>
      </c>
      <c r="ED131" s="55">
        <f t="shared" si="796"/>
        <v>0.80999999999999994</v>
      </c>
      <c r="EE131" s="55">
        <f t="shared" si="796"/>
        <v>0.78999999999999992</v>
      </c>
      <c r="EF131" s="55">
        <f t="shared" si="796"/>
        <v>0.76999999999999991</v>
      </c>
      <c r="EG131" s="55">
        <f t="shared" si="796"/>
        <v>0.74999999999999989</v>
      </c>
      <c r="EH131" s="55">
        <f t="shared" si="796"/>
        <v>0.72999999999999987</v>
      </c>
      <c r="EI131" s="55">
        <f t="shared" si="796"/>
        <v>0.70999999999999985</v>
      </c>
      <c r="EJ131" s="55">
        <f t="shared" si="796"/>
        <v>0.68999999999999984</v>
      </c>
      <c r="EK131" s="55">
        <f t="shared" si="796"/>
        <v>0.66999999999999982</v>
      </c>
      <c r="EL131" s="55">
        <f t="shared" si="796"/>
        <v>0.6499999999999998</v>
      </c>
      <c r="EM131" s="55">
        <f t="shared" si="796"/>
        <v>0.62999999999999978</v>
      </c>
      <c r="EN131" s="55">
        <f t="shared" si="796"/>
        <v>0.60999999999999976</v>
      </c>
      <c r="EO131" s="55">
        <f t="shared" si="796"/>
        <v>0.58999999999999975</v>
      </c>
      <c r="EP131" s="55">
        <f t="shared" si="796"/>
        <v>0.56999999999999973</v>
      </c>
      <c r="ER131" s="55">
        <f t="shared" si="652"/>
        <v>0</v>
      </c>
      <c r="ES131" s="55">
        <f t="shared" si="514"/>
        <v>0</v>
      </c>
      <c r="ET131" s="59">
        <f t="shared" si="751"/>
        <v>0</v>
      </c>
      <c r="EU131" s="55">
        <f t="shared" si="752"/>
        <v>0</v>
      </c>
      <c r="EV131" s="59">
        <f t="shared" si="753"/>
        <v>0</v>
      </c>
      <c r="EW131" s="55">
        <f t="shared" si="754"/>
        <v>0</v>
      </c>
      <c r="EX131" s="59">
        <f t="shared" si="755"/>
        <v>0</v>
      </c>
      <c r="EY131" s="55">
        <f t="shared" si="756"/>
        <v>0</v>
      </c>
      <c r="EZ131" s="59">
        <f t="shared" si="757"/>
        <v>0</v>
      </c>
      <c r="FA131" s="57">
        <f t="shared" si="758"/>
        <v>0</v>
      </c>
      <c r="FB131" s="59">
        <f t="shared" si="759"/>
        <v>0</v>
      </c>
      <c r="FC131" s="55">
        <f t="shared" si="760"/>
        <v>0</v>
      </c>
      <c r="FD131" s="59">
        <f t="shared" si="761"/>
        <v>0</v>
      </c>
      <c r="FE131" s="57">
        <f t="shared" si="762"/>
        <v>0</v>
      </c>
      <c r="FF131" s="59">
        <f t="shared" si="763"/>
        <v>0</v>
      </c>
      <c r="FG131" s="60">
        <f t="shared" si="764"/>
        <v>0</v>
      </c>
      <c r="FH131" s="59">
        <f t="shared" si="765"/>
        <v>0</v>
      </c>
      <c r="FI131" s="57">
        <f t="shared" si="766"/>
        <v>0</v>
      </c>
      <c r="FJ131" s="59">
        <f t="shared" si="767"/>
        <v>0</v>
      </c>
      <c r="FK131" s="55">
        <f t="shared" si="768"/>
        <v>0</v>
      </c>
      <c r="FL131" s="59">
        <f t="shared" si="769"/>
        <v>0</v>
      </c>
      <c r="FM131" s="60">
        <f t="shared" si="770"/>
        <v>0</v>
      </c>
      <c r="FN131" s="59">
        <f t="shared" si="771"/>
        <v>0</v>
      </c>
      <c r="FO131" s="60">
        <f t="shared" si="772"/>
        <v>0</v>
      </c>
      <c r="FP131" s="59">
        <f t="shared" si="773"/>
        <v>0</v>
      </c>
      <c r="FQ131" s="60">
        <f t="shared" si="774"/>
        <v>0</v>
      </c>
      <c r="FR131" s="59">
        <f t="shared" si="775"/>
        <v>0</v>
      </c>
      <c r="FS131" s="55">
        <f t="shared" si="776"/>
        <v>0</v>
      </c>
      <c r="FT131" s="59">
        <f t="shared" si="777"/>
        <v>0</v>
      </c>
      <c r="FU131" s="60">
        <f t="shared" si="778"/>
        <v>0</v>
      </c>
      <c r="FV131" s="59">
        <f t="shared" si="779"/>
        <v>0</v>
      </c>
      <c r="FW131" s="60">
        <f t="shared" si="780"/>
        <v>0</v>
      </c>
      <c r="FX131" s="59">
        <f t="shared" si="781"/>
        <v>0</v>
      </c>
      <c r="FY131" s="60">
        <f t="shared" si="782"/>
        <v>0</v>
      </c>
      <c r="FZ131" s="59">
        <f t="shared" si="783"/>
        <v>0</v>
      </c>
      <c r="GA131" s="60">
        <f t="shared" si="784"/>
        <v>0</v>
      </c>
      <c r="GB131" s="59">
        <f t="shared" si="785"/>
        <v>0</v>
      </c>
      <c r="GC131" s="55">
        <f t="shared" si="786"/>
        <v>0</v>
      </c>
      <c r="GD131" s="59">
        <f t="shared" si="787"/>
        <v>0</v>
      </c>
      <c r="GE131" s="60">
        <f t="shared" si="788"/>
        <v>0</v>
      </c>
      <c r="GF131" s="59">
        <f t="shared" si="789"/>
        <v>0</v>
      </c>
      <c r="GG131" s="60">
        <f t="shared" si="790"/>
        <v>0</v>
      </c>
      <c r="GH131" s="59">
        <f t="shared" si="791"/>
        <v>0</v>
      </c>
      <c r="GI131" s="55">
        <f t="shared" si="792"/>
        <v>0</v>
      </c>
      <c r="GJ131" s="59">
        <f t="shared" si="793"/>
        <v>0</v>
      </c>
      <c r="GK131" s="55"/>
      <c r="GL131" s="55"/>
      <c r="GM131" s="55">
        <v>1</v>
      </c>
      <c r="GN131" s="55">
        <v>0.97</v>
      </c>
      <c r="GO131" s="55">
        <v>0.95</v>
      </c>
      <c r="GP131" s="55">
        <v>0.93</v>
      </c>
      <c r="GQ131" s="55">
        <f t="shared" si="797"/>
        <v>0.91</v>
      </c>
      <c r="GR131" s="55">
        <f t="shared" si="797"/>
        <v>0.89</v>
      </c>
      <c r="GS131" s="55">
        <f t="shared" si="797"/>
        <v>0.87</v>
      </c>
      <c r="GT131" s="55">
        <f t="shared" si="797"/>
        <v>0.85</v>
      </c>
      <c r="GU131" s="55">
        <f t="shared" si="797"/>
        <v>0.83</v>
      </c>
      <c r="GV131" s="55">
        <f t="shared" si="797"/>
        <v>0.80999999999999994</v>
      </c>
      <c r="GW131" s="55">
        <f t="shared" si="797"/>
        <v>0.78999999999999992</v>
      </c>
      <c r="GX131" s="55">
        <f t="shared" si="797"/>
        <v>0.76999999999999991</v>
      </c>
      <c r="GY131" s="55">
        <f t="shared" si="797"/>
        <v>0.74999999999999989</v>
      </c>
      <c r="GZ131" s="55">
        <f t="shared" si="797"/>
        <v>0.72999999999999987</v>
      </c>
      <c r="HA131" s="55">
        <f t="shared" si="797"/>
        <v>0.70999999999999985</v>
      </c>
      <c r="HB131" s="55">
        <f t="shared" si="797"/>
        <v>0.68999999999999984</v>
      </c>
      <c r="HC131" s="55">
        <f t="shared" si="797"/>
        <v>0.66999999999999982</v>
      </c>
      <c r="HD131" s="55">
        <f t="shared" si="797"/>
        <v>0.6499999999999998</v>
      </c>
      <c r="HE131" s="55">
        <f t="shared" si="797"/>
        <v>0.62999999999999978</v>
      </c>
      <c r="HF131" s="55">
        <f t="shared" si="797"/>
        <v>0.60999999999999976</v>
      </c>
      <c r="HG131" s="55">
        <f t="shared" si="797"/>
        <v>0.58999999999999975</v>
      </c>
      <c r="HH131" s="55">
        <f t="shared" si="797"/>
        <v>0.56999999999999973</v>
      </c>
    </row>
    <row r="132" spans="1:216" ht="18" thickBot="1" x14ac:dyDescent="0.35">
      <c r="A132" s="2">
        <v>11</v>
      </c>
      <c r="C132" s="38" t="s">
        <v>47</v>
      </c>
      <c r="D132" s="43">
        <f>TRUNC(5004+317,-1)</f>
        <v>5320</v>
      </c>
      <c r="E132" s="72">
        <f t="shared" si="664"/>
        <v>17580</v>
      </c>
      <c r="F132" s="54" t="s">
        <v>313</v>
      </c>
      <c r="H132" s="55">
        <f t="shared" si="509"/>
        <v>19338</v>
      </c>
      <c r="I132" s="55">
        <f t="shared" si="510"/>
        <v>19338</v>
      </c>
      <c r="J132" s="59">
        <f t="shared" si="511"/>
        <v>63927.560400000002</v>
      </c>
      <c r="K132" s="55">
        <f t="shared" si="665"/>
        <v>18757.86</v>
      </c>
      <c r="L132" s="59">
        <f t="shared" si="666"/>
        <v>62009.733588000003</v>
      </c>
      <c r="M132" s="55">
        <f t="shared" si="667"/>
        <v>18371.099999999999</v>
      </c>
      <c r="N132" s="59">
        <f t="shared" si="668"/>
        <v>60731.182379999998</v>
      </c>
      <c r="O132" s="55">
        <f t="shared" si="669"/>
        <v>17984.34</v>
      </c>
      <c r="P132" s="59">
        <f t="shared" si="670"/>
        <v>59452.631172000001</v>
      </c>
      <c r="Q132" s="57">
        <f t="shared" si="671"/>
        <v>17597.580000000002</v>
      </c>
      <c r="R132" s="59">
        <f t="shared" si="672"/>
        <v>58174.079964000004</v>
      </c>
      <c r="S132" s="55">
        <f t="shared" si="673"/>
        <v>17210.82</v>
      </c>
      <c r="T132" s="59">
        <f t="shared" si="674"/>
        <v>56895.528756</v>
      </c>
      <c r="U132" s="57">
        <f t="shared" si="675"/>
        <v>16824.060000000001</v>
      </c>
      <c r="V132" s="59">
        <f t="shared" si="676"/>
        <v>55616.977548000003</v>
      </c>
      <c r="W132" s="60">
        <f t="shared" si="677"/>
        <v>16437.3</v>
      </c>
      <c r="X132" s="59">
        <f t="shared" si="678"/>
        <v>54338.426339999998</v>
      </c>
      <c r="Y132" s="57">
        <f t="shared" si="679"/>
        <v>16050.539999999999</v>
      </c>
      <c r="Z132" s="59">
        <f t="shared" si="680"/>
        <v>53059.875132000001</v>
      </c>
      <c r="AA132" s="55">
        <f t="shared" si="681"/>
        <v>15663.779999999999</v>
      </c>
      <c r="AB132" s="59">
        <f t="shared" si="682"/>
        <v>51781.323923999997</v>
      </c>
      <c r="AC132" s="60">
        <f t="shared" si="683"/>
        <v>15277.019999999999</v>
      </c>
      <c r="AD132" s="59">
        <f t="shared" si="684"/>
        <v>50502.772715999999</v>
      </c>
      <c r="AE132" s="60">
        <f t="shared" si="685"/>
        <v>14890.259999999998</v>
      </c>
      <c r="AF132" s="59">
        <f t="shared" si="686"/>
        <v>49224.221507999995</v>
      </c>
      <c r="AG132" s="60">
        <f t="shared" si="687"/>
        <v>14503.499999999998</v>
      </c>
      <c r="AH132" s="59">
        <f t="shared" si="688"/>
        <v>47945.670299999998</v>
      </c>
      <c r="AI132" s="55">
        <f t="shared" si="689"/>
        <v>14116.739999999998</v>
      </c>
      <c r="AJ132" s="59">
        <f t="shared" si="690"/>
        <v>46667.119091999994</v>
      </c>
      <c r="AK132" s="60">
        <f t="shared" si="691"/>
        <v>13729.979999999998</v>
      </c>
      <c r="AL132" s="59">
        <f t="shared" si="692"/>
        <v>45388.567883999996</v>
      </c>
      <c r="AM132" s="60">
        <f t="shared" si="693"/>
        <v>13343.219999999998</v>
      </c>
      <c r="AN132" s="59">
        <f t="shared" si="694"/>
        <v>44110.016675999992</v>
      </c>
      <c r="AO132" s="60">
        <f t="shared" si="695"/>
        <v>12956.459999999997</v>
      </c>
      <c r="AP132" s="59">
        <f t="shared" si="696"/>
        <v>42831.465467999995</v>
      </c>
      <c r="AQ132" s="60">
        <f t="shared" si="697"/>
        <v>12569.699999999995</v>
      </c>
      <c r="AR132" s="59">
        <f t="shared" si="698"/>
        <v>41552.914259999983</v>
      </c>
      <c r="AS132" s="55">
        <f t="shared" si="699"/>
        <v>12182.939999999995</v>
      </c>
      <c r="AT132" s="59">
        <f t="shared" si="700"/>
        <v>40274.363051999986</v>
      </c>
      <c r="AU132" s="60">
        <f t="shared" si="701"/>
        <v>11796.179999999995</v>
      </c>
      <c r="AV132" s="59">
        <f t="shared" si="702"/>
        <v>38995.811843999982</v>
      </c>
      <c r="AW132" s="60">
        <f t="shared" si="703"/>
        <v>11409.419999999995</v>
      </c>
      <c r="AX132" s="59">
        <f t="shared" si="704"/>
        <v>37717.260635999985</v>
      </c>
      <c r="AY132" s="55">
        <f t="shared" si="705"/>
        <v>11022.659999999994</v>
      </c>
      <c r="AZ132" s="59">
        <f t="shared" si="706"/>
        <v>36438.70942799998</v>
      </c>
      <c r="BC132" s="55">
        <v>1</v>
      </c>
      <c r="BD132" s="55">
        <v>0.97</v>
      </c>
      <c r="BE132" s="55">
        <v>0.95</v>
      </c>
      <c r="BF132" s="55">
        <v>0.93</v>
      </c>
      <c r="BG132" s="55">
        <f t="shared" si="707"/>
        <v>0.91</v>
      </c>
      <c r="BH132" s="55">
        <f t="shared" si="707"/>
        <v>0.89</v>
      </c>
      <c r="BI132" s="55">
        <f t="shared" si="707"/>
        <v>0.87</v>
      </c>
      <c r="BJ132" s="55">
        <f t="shared" si="707"/>
        <v>0.85</v>
      </c>
      <c r="BK132" s="55">
        <f t="shared" si="707"/>
        <v>0.83</v>
      </c>
      <c r="BL132" s="55">
        <f t="shared" si="707"/>
        <v>0.80999999999999994</v>
      </c>
      <c r="BM132" s="55">
        <f t="shared" si="707"/>
        <v>0.78999999999999992</v>
      </c>
      <c r="BN132" s="55">
        <f t="shared" si="707"/>
        <v>0.76999999999999991</v>
      </c>
      <c r="BO132" s="55">
        <f t="shared" si="707"/>
        <v>0.74999999999999989</v>
      </c>
      <c r="BP132" s="55">
        <f t="shared" si="707"/>
        <v>0.72999999999999987</v>
      </c>
      <c r="BQ132" s="55">
        <f t="shared" si="707"/>
        <v>0.70999999999999985</v>
      </c>
      <c r="BR132" s="55">
        <f t="shared" si="707"/>
        <v>0.68999999999999984</v>
      </c>
      <c r="BS132" s="55">
        <f t="shared" si="707"/>
        <v>0.66999999999999982</v>
      </c>
      <c r="BT132" s="55">
        <f t="shared" si="707"/>
        <v>0.6499999999999998</v>
      </c>
      <c r="BU132" s="55">
        <f t="shared" si="707"/>
        <v>0.62999999999999978</v>
      </c>
      <c r="BV132" s="55">
        <f t="shared" si="707"/>
        <v>0.60999999999999976</v>
      </c>
      <c r="BW132" s="55">
        <f t="shared" si="707"/>
        <v>0.58999999999999975</v>
      </c>
      <c r="BX132" s="55">
        <f t="shared" si="707"/>
        <v>0.56999999999999973</v>
      </c>
      <c r="BZ132" s="55">
        <f t="shared" si="512"/>
        <v>17597.580000000002</v>
      </c>
      <c r="CA132" s="55">
        <f t="shared" si="513"/>
        <v>17597.580000000002</v>
      </c>
      <c r="CB132" s="59">
        <f t="shared" si="708"/>
        <v>58174.079964000004</v>
      </c>
      <c r="CC132" s="55">
        <f t="shared" si="709"/>
        <v>17069.652600000001</v>
      </c>
      <c r="CD132" s="59">
        <f t="shared" si="710"/>
        <v>56428.857565080005</v>
      </c>
      <c r="CE132" s="55">
        <f t="shared" si="711"/>
        <v>16717.701000000001</v>
      </c>
      <c r="CF132" s="59">
        <f t="shared" si="712"/>
        <v>55265.375965800005</v>
      </c>
      <c r="CG132" s="55">
        <f t="shared" si="713"/>
        <v>16365.749400000002</v>
      </c>
      <c r="CH132" s="59">
        <f t="shared" si="714"/>
        <v>54101.894366520006</v>
      </c>
      <c r="CI132" s="57">
        <f t="shared" si="715"/>
        <v>16013.797800000002</v>
      </c>
      <c r="CJ132" s="59">
        <f t="shared" si="716"/>
        <v>52938.412767240006</v>
      </c>
      <c r="CK132" s="55">
        <f t="shared" si="717"/>
        <v>15661.846200000002</v>
      </c>
      <c r="CL132" s="59">
        <f t="shared" si="718"/>
        <v>51774.931167960007</v>
      </c>
      <c r="CM132" s="57">
        <f t="shared" si="719"/>
        <v>15309.894600000001</v>
      </c>
      <c r="CN132" s="59">
        <f t="shared" si="720"/>
        <v>50611.449568680007</v>
      </c>
      <c r="CO132" s="60">
        <f t="shared" si="721"/>
        <v>14957.943000000001</v>
      </c>
      <c r="CP132" s="59">
        <f t="shared" si="722"/>
        <v>49447.967969400008</v>
      </c>
      <c r="CQ132" s="57">
        <f t="shared" si="723"/>
        <v>14605.991400000001</v>
      </c>
      <c r="CR132" s="59">
        <f t="shared" si="724"/>
        <v>48284.486370120001</v>
      </c>
      <c r="CS132" s="55">
        <f t="shared" si="725"/>
        <v>14254.0398</v>
      </c>
      <c r="CT132" s="59">
        <f t="shared" si="726"/>
        <v>47121.004770840002</v>
      </c>
      <c r="CU132" s="60">
        <f t="shared" si="727"/>
        <v>13902.0882</v>
      </c>
      <c r="CV132" s="59">
        <f t="shared" si="728"/>
        <v>45957.523171560002</v>
      </c>
      <c r="CW132" s="60">
        <f t="shared" si="729"/>
        <v>13550.1366</v>
      </c>
      <c r="CX132" s="59">
        <f t="shared" si="730"/>
        <v>44794.041572280003</v>
      </c>
      <c r="CY132" s="60">
        <f t="shared" si="731"/>
        <v>13198.184999999999</v>
      </c>
      <c r="CZ132" s="59">
        <f t="shared" si="732"/>
        <v>43630.559972999996</v>
      </c>
      <c r="DA132" s="55">
        <f t="shared" si="733"/>
        <v>12846.233399999999</v>
      </c>
      <c r="DB132" s="59">
        <f t="shared" si="734"/>
        <v>42467.078373719996</v>
      </c>
      <c r="DC132" s="60">
        <f t="shared" si="735"/>
        <v>12494.281799999999</v>
      </c>
      <c r="DD132" s="59">
        <f t="shared" si="736"/>
        <v>41303.596774439997</v>
      </c>
      <c r="DE132" s="60">
        <f t="shared" si="737"/>
        <v>12142.330199999999</v>
      </c>
      <c r="DF132" s="59">
        <f t="shared" si="738"/>
        <v>40140.115175159997</v>
      </c>
      <c r="DG132" s="60">
        <f t="shared" si="739"/>
        <v>11790.378599999998</v>
      </c>
      <c r="DH132" s="59">
        <f t="shared" si="740"/>
        <v>38976.633575879998</v>
      </c>
      <c r="DI132" s="60">
        <f t="shared" si="741"/>
        <v>11438.426999999998</v>
      </c>
      <c r="DJ132" s="59">
        <f t="shared" si="742"/>
        <v>37813.151976599991</v>
      </c>
      <c r="DK132" s="55">
        <f t="shared" si="743"/>
        <v>11086.475399999998</v>
      </c>
      <c r="DL132" s="59">
        <f t="shared" si="744"/>
        <v>36649.670377319992</v>
      </c>
      <c r="DM132" s="60">
        <f t="shared" si="745"/>
        <v>10734.523799999997</v>
      </c>
      <c r="DN132" s="59">
        <f t="shared" si="746"/>
        <v>35486.188778039992</v>
      </c>
      <c r="DO132" s="60">
        <f t="shared" si="747"/>
        <v>10382.572199999997</v>
      </c>
      <c r="DP132" s="59">
        <f t="shared" si="748"/>
        <v>34322.707178759993</v>
      </c>
      <c r="DQ132" s="55">
        <f t="shared" si="749"/>
        <v>10030.620599999997</v>
      </c>
      <c r="DR132" s="59">
        <f t="shared" si="750"/>
        <v>33159.225579479986</v>
      </c>
      <c r="DU132" s="55">
        <v>1</v>
      </c>
      <c r="DV132" s="55">
        <v>0.97</v>
      </c>
      <c r="DW132" s="55">
        <v>0.95</v>
      </c>
      <c r="DX132" s="55">
        <v>0.93</v>
      </c>
      <c r="DY132" s="55">
        <f t="shared" si="796"/>
        <v>0.91</v>
      </c>
      <c r="DZ132" s="55">
        <f t="shared" si="796"/>
        <v>0.89</v>
      </c>
      <c r="EA132" s="55">
        <f t="shared" si="796"/>
        <v>0.87</v>
      </c>
      <c r="EB132" s="55">
        <f t="shared" si="796"/>
        <v>0.85</v>
      </c>
      <c r="EC132" s="55">
        <f t="shared" si="796"/>
        <v>0.83</v>
      </c>
      <c r="ED132" s="55">
        <f t="shared" si="796"/>
        <v>0.80999999999999994</v>
      </c>
      <c r="EE132" s="55">
        <f t="shared" si="796"/>
        <v>0.78999999999999992</v>
      </c>
      <c r="EF132" s="55">
        <f t="shared" si="796"/>
        <v>0.76999999999999991</v>
      </c>
      <c r="EG132" s="55">
        <f t="shared" si="796"/>
        <v>0.74999999999999989</v>
      </c>
      <c r="EH132" s="55">
        <f t="shared" si="796"/>
        <v>0.72999999999999987</v>
      </c>
      <c r="EI132" s="55">
        <f t="shared" si="796"/>
        <v>0.70999999999999985</v>
      </c>
      <c r="EJ132" s="55">
        <f t="shared" si="796"/>
        <v>0.68999999999999984</v>
      </c>
      <c r="EK132" s="55">
        <f t="shared" si="796"/>
        <v>0.66999999999999982</v>
      </c>
      <c r="EL132" s="55">
        <f t="shared" si="796"/>
        <v>0.6499999999999998</v>
      </c>
      <c r="EM132" s="55">
        <f t="shared" si="796"/>
        <v>0.62999999999999978</v>
      </c>
      <c r="EN132" s="55">
        <f t="shared" si="796"/>
        <v>0.60999999999999976</v>
      </c>
      <c r="EO132" s="55">
        <f t="shared" si="796"/>
        <v>0.58999999999999975</v>
      </c>
      <c r="EP132" s="55">
        <f t="shared" si="796"/>
        <v>0.56999999999999973</v>
      </c>
      <c r="ER132" s="55">
        <f t="shared" si="652"/>
        <v>16013.797800000002</v>
      </c>
      <c r="ES132" s="55">
        <f t="shared" si="514"/>
        <v>16013.797800000002</v>
      </c>
      <c r="ET132" s="59">
        <f t="shared" si="751"/>
        <v>52938.412767240006</v>
      </c>
      <c r="EU132" s="55">
        <f t="shared" si="752"/>
        <v>15533.383866000002</v>
      </c>
      <c r="EV132" s="59">
        <f t="shared" si="753"/>
        <v>51350.260384222805</v>
      </c>
      <c r="EW132" s="55">
        <f t="shared" si="754"/>
        <v>15213.107910000001</v>
      </c>
      <c r="EX132" s="59">
        <f t="shared" si="755"/>
        <v>50291.492128878002</v>
      </c>
      <c r="EY132" s="55">
        <f t="shared" si="756"/>
        <v>14892.831954000003</v>
      </c>
      <c r="EZ132" s="59">
        <f t="shared" si="757"/>
        <v>49232.723873533214</v>
      </c>
      <c r="FA132" s="57">
        <f t="shared" si="758"/>
        <v>14572.555998000002</v>
      </c>
      <c r="FB132" s="59">
        <f t="shared" si="759"/>
        <v>48173.955618188404</v>
      </c>
      <c r="FC132" s="55">
        <f t="shared" si="760"/>
        <v>14252.280042000002</v>
      </c>
      <c r="FD132" s="59">
        <f t="shared" si="761"/>
        <v>47115.187362843608</v>
      </c>
      <c r="FE132" s="57">
        <f t="shared" si="762"/>
        <v>13932.004086000003</v>
      </c>
      <c r="FF132" s="59">
        <f t="shared" si="763"/>
        <v>46056.419107498812</v>
      </c>
      <c r="FG132" s="60">
        <f t="shared" si="764"/>
        <v>13611.728130000001</v>
      </c>
      <c r="FH132" s="59">
        <f t="shared" si="765"/>
        <v>44997.650852154002</v>
      </c>
      <c r="FI132" s="57">
        <f t="shared" si="766"/>
        <v>13291.452174000002</v>
      </c>
      <c r="FJ132" s="59">
        <f t="shared" si="767"/>
        <v>43938.882596809206</v>
      </c>
      <c r="FK132" s="55">
        <f t="shared" si="768"/>
        <v>12971.176218000001</v>
      </c>
      <c r="FL132" s="59">
        <f t="shared" si="769"/>
        <v>42880.114341464403</v>
      </c>
      <c r="FM132" s="60">
        <f t="shared" si="770"/>
        <v>12650.900262000001</v>
      </c>
      <c r="FN132" s="59">
        <f t="shared" si="771"/>
        <v>41821.346086119607</v>
      </c>
      <c r="FO132" s="60">
        <f t="shared" si="772"/>
        <v>12330.624306</v>
      </c>
      <c r="FP132" s="59">
        <f t="shared" si="773"/>
        <v>40762.577830774797</v>
      </c>
      <c r="FQ132" s="60">
        <f t="shared" si="774"/>
        <v>12010.34835</v>
      </c>
      <c r="FR132" s="59">
        <f t="shared" si="775"/>
        <v>39703.809575430001</v>
      </c>
      <c r="FS132" s="55">
        <f t="shared" si="776"/>
        <v>11690.072393999999</v>
      </c>
      <c r="FT132" s="59">
        <f t="shared" si="777"/>
        <v>38645.041320085198</v>
      </c>
      <c r="FU132" s="60">
        <f t="shared" si="778"/>
        <v>11369.796437999999</v>
      </c>
      <c r="FV132" s="59">
        <f t="shared" si="779"/>
        <v>37586.273064740402</v>
      </c>
      <c r="FW132" s="60">
        <f t="shared" si="780"/>
        <v>11049.520481999998</v>
      </c>
      <c r="FX132" s="59">
        <f t="shared" si="781"/>
        <v>36527.504809395592</v>
      </c>
      <c r="FY132" s="60">
        <f t="shared" si="782"/>
        <v>10729.244525999999</v>
      </c>
      <c r="FZ132" s="59">
        <f t="shared" si="783"/>
        <v>35468.736554050796</v>
      </c>
      <c r="GA132" s="60">
        <f t="shared" si="784"/>
        <v>10408.968569999997</v>
      </c>
      <c r="GB132" s="59">
        <f t="shared" si="785"/>
        <v>34409.968298705993</v>
      </c>
      <c r="GC132" s="55">
        <f t="shared" si="786"/>
        <v>10088.692613999998</v>
      </c>
      <c r="GD132" s="59">
        <f t="shared" si="787"/>
        <v>33351.20004336119</v>
      </c>
      <c r="GE132" s="60">
        <f t="shared" si="788"/>
        <v>9768.4166579999983</v>
      </c>
      <c r="GF132" s="59">
        <f t="shared" si="789"/>
        <v>32292.431788016394</v>
      </c>
      <c r="GG132" s="60">
        <f t="shared" si="790"/>
        <v>9448.140701999997</v>
      </c>
      <c r="GH132" s="59">
        <f t="shared" si="791"/>
        <v>31233.663532671591</v>
      </c>
      <c r="GI132" s="55">
        <f t="shared" si="792"/>
        <v>9127.8647459999975</v>
      </c>
      <c r="GJ132" s="59">
        <f t="shared" si="793"/>
        <v>30174.895277326792</v>
      </c>
      <c r="GK132" s="55"/>
      <c r="GL132" s="55"/>
      <c r="GM132" s="55">
        <v>1</v>
      </c>
      <c r="GN132" s="55">
        <v>0.97</v>
      </c>
      <c r="GO132" s="55">
        <v>0.95</v>
      </c>
      <c r="GP132" s="55">
        <v>0.93</v>
      </c>
      <c r="GQ132" s="55">
        <f t="shared" si="797"/>
        <v>0.91</v>
      </c>
      <c r="GR132" s="55">
        <f t="shared" si="797"/>
        <v>0.89</v>
      </c>
      <c r="GS132" s="55">
        <f t="shared" si="797"/>
        <v>0.87</v>
      </c>
      <c r="GT132" s="55">
        <f t="shared" si="797"/>
        <v>0.85</v>
      </c>
      <c r="GU132" s="55">
        <f t="shared" si="797"/>
        <v>0.83</v>
      </c>
      <c r="GV132" s="55">
        <f t="shared" si="797"/>
        <v>0.80999999999999994</v>
      </c>
      <c r="GW132" s="55">
        <f t="shared" si="797"/>
        <v>0.78999999999999992</v>
      </c>
      <c r="GX132" s="55">
        <f t="shared" si="797"/>
        <v>0.76999999999999991</v>
      </c>
      <c r="GY132" s="55">
        <f t="shared" si="797"/>
        <v>0.74999999999999989</v>
      </c>
      <c r="GZ132" s="55">
        <f t="shared" si="797"/>
        <v>0.72999999999999987</v>
      </c>
      <c r="HA132" s="55">
        <f t="shared" si="797"/>
        <v>0.70999999999999985</v>
      </c>
      <c r="HB132" s="55">
        <f t="shared" si="797"/>
        <v>0.68999999999999984</v>
      </c>
      <c r="HC132" s="55">
        <f t="shared" si="797"/>
        <v>0.66999999999999982</v>
      </c>
      <c r="HD132" s="55">
        <f t="shared" si="797"/>
        <v>0.6499999999999998</v>
      </c>
      <c r="HE132" s="55">
        <f t="shared" si="797"/>
        <v>0.62999999999999978</v>
      </c>
      <c r="HF132" s="55">
        <f t="shared" si="797"/>
        <v>0.60999999999999976</v>
      </c>
      <c r="HG132" s="55">
        <f t="shared" si="797"/>
        <v>0.58999999999999975</v>
      </c>
      <c r="HH132" s="55">
        <f t="shared" si="797"/>
        <v>0.56999999999999973</v>
      </c>
    </row>
    <row r="133" spans="1:216" x14ac:dyDescent="0.3">
      <c r="A133" s="2">
        <v>12</v>
      </c>
      <c r="C133" s="27" t="s">
        <v>112</v>
      </c>
      <c r="D133" s="39">
        <f>SUM(D122:D132)</f>
        <v>26140</v>
      </c>
      <c r="E133" s="39">
        <f>SUM(E122:E132)</f>
        <v>86390</v>
      </c>
      <c r="H133" s="55">
        <f t="shared" si="509"/>
        <v>95029.000000000015</v>
      </c>
      <c r="I133" s="55">
        <f t="shared" si="510"/>
        <v>95029.000000000015</v>
      </c>
      <c r="J133" s="59">
        <f t="shared" si="511"/>
        <v>314146.86820000003</v>
      </c>
      <c r="K133" s="55">
        <f t="shared" si="665"/>
        <v>92178.13</v>
      </c>
      <c r="L133" s="59">
        <f t="shared" si="666"/>
        <v>304722.46215400001</v>
      </c>
      <c r="M133" s="55">
        <f t="shared" si="667"/>
        <v>90277.55</v>
      </c>
      <c r="N133" s="59">
        <f t="shared" si="668"/>
        <v>298439.52479</v>
      </c>
      <c r="O133" s="55">
        <f t="shared" si="669"/>
        <v>88376.970000000016</v>
      </c>
      <c r="P133" s="59">
        <f t="shared" si="670"/>
        <v>292156.58742600004</v>
      </c>
      <c r="Q133" s="57">
        <f t="shared" si="671"/>
        <v>86476.390000000014</v>
      </c>
      <c r="R133" s="59">
        <f t="shared" si="672"/>
        <v>285873.65006200003</v>
      </c>
      <c r="S133" s="55">
        <f t="shared" si="673"/>
        <v>84575.810000000012</v>
      </c>
      <c r="T133" s="59">
        <f t="shared" si="674"/>
        <v>279590.71269800002</v>
      </c>
      <c r="U133" s="57">
        <f t="shared" si="675"/>
        <v>82675.23000000001</v>
      </c>
      <c r="V133" s="59">
        <f t="shared" si="676"/>
        <v>273307.77533400006</v>
      </c>
      <c r="W133" s="60">
        <f t="shared" si="677"/>
        <v>80774.650000000009</v>
      </c>
      <c r="X133" s="59">
        <f t="shared" si="678"/>
        <v>267024.83797000005</v>
      </c>
      <c r="Y133" s="57">
        <f t="shared" si="679"/>
        <v>78874.070000000007</v>
      </c>
      <c r="Z133" s="59">
        <f t="shared" si="680"/>
        <v>260741.90060600004</v>
      </c>
      <c r="AA133" s="55">
        <f t="shared" si="681"/>
        <v>76973.490000000005</v>
      </c>
      <c r="AB133" s="59">
        <f t="shared" si="682"/>
        <v>254458.96324200003</v>
      </c>
      <c r="AC133" s="60">
        <f t="shared" si="683"/>
        <v>75072.91</v>
      </c>
      <c r="AD133" s="59">
        <f t="shared" si="684"/>
        <v>248176.02587800001</v>
      </c>
      <c r="AE133" s="60">
        <f t="shared" si="685"/>
        <v>73172.33</v>
      </c>
      <c r="AF133" s="59">
        <f t="shared" si="686"/>
        <v>241893.088514</v>
      </c>
      <c r="AG133" s="60">
        <f t="shared" si="687"/>
        <v>71271.75</v>
      </c>
      <c r="AH133" s="59">
        <f t="shared" si="688"/>
        <v>235610.15114999999</v>
      </c>
      <c r="AI133" s="55">
        <f t="shared" si="689"/>
        <v>69371.17</v>
      </c>
      <c r="AJ133" s="59">
        <f t="shared" si="690"/>
        <v>229327.21378600001</v>
      </c>
      <c r="AK133" s="60">
        <f t="shared" si="691"/>
        <v>67470.59</v>
      </c>
      <c r="AL133" s="59">
        <f t="shared" si="692"/>
        <v>223044.276422</v>
      </c>
      <c r="AM133" s="60">
        <f t="shared" si="693"/>
        <v>65570.009999999995</v>
      </c>
      <c r="AN133" s="59">
        <f t="shared" si="694"/>
        <v>216761.33905799998</v>
      </c>
      <c r="AO133" s="60">
        <f t="shared" si="695"/>
        <v>63669.429999999993</v>
      </c>
      <c r="AP133" s="59">
        <f t="shared" si="696"/>
        <v>210478.40169399997</v>
      </c>
      <c r="AQ133" s="60">
        <f t="shared" si="697"/>
        <v>61768.849999999991</v>
      </c>
      <c r="AR133" s="59">
        <f t="shared" si="698"/>
        <v>204195.46432999999</v>
      </c>
      <c r="AS133" s="55">
        <f t="shared" si="699"/>
        <v>59868.26999999999</v>
      </c>
      <c r="AT133" s="59">
        <f t="shared" si="700"/>
        <v>197912.52696599998</v>
      </c>
      <c r="AU133" s="60">
        <f t="shared" si="701"/>
        <v>57967.689999999988</v>
      </c>
      <c r="AV133" s="59">
        <f t="shared" si="702"/>
        <v>191629.58960199996</v>
      </c>
      <c r="AW133" s="60">
        <f t="shared" si="703"/>
        <v>56067.109999999986</v>
      </c>
      <c r="AX133" s="59">
        <f t="shared" si="704"/>
        <v>185346.65223799995</v>
      </c>
      <c r="AY133" s="55">
        <f t="shared" si="705"/>
        <v>54166.529999999984</v>
      </c>
      <c r="AZ133" s="59">
        <f t="shared" si="706"/>
        <v>179063.71487399994</v>
      </c>
      <c r="BC133" s="55">
        <v>1</v>
      </c>
      <c r="BD133" s="55">
        <v>0.97</v>
      </c>
      <c r="BE133" s="55">
        <v>0.95</v>
      </c>
      <c r="BF133" s="55">
        <v>0.93</v>
      </c>
      <c r="BG133" s="55">
        <f t="shared" si="707"/>
        <v>0.91</v>
      </c>
      <c r="BH133" s="55">
        <f t="shared" si="707"/>
        <v>0.89</v>
      </c>
      <c r="BI133" s="55">
        <f t="shared" si="707"/>
        <v>0.87</v>
      </c>
      <c r="BJ133" s="55">
        <f t="shared" si="707"/>
        <v>0.85</v>
      </c>
      <c r="BK133" s="55">
        <f t="shared" si="707"/>
        <v>0.83</v>
      </c>
      <c r="BL133" s="55">
        <f t="shared" si="707"/>
        <v>0.80999999999999994</v>
      </c>
      <c r="BM133" s="55">
        <f t="shared" si="707"/>
        <v>0.78999999999999992</v>
      </c>
      <c r="BN133" s="55">
        <f t="shared" si="707"/>
        <v>0.76999999999999991</v>
      </c>
      <c r="BO133" s="55">
        <f t="shared" si="707"/>
        <v>0.74999999999999989</v>
      </c>
      <c r="BP133" s="55">
        <f t="shared" si="707"/>
        <v>0.72999999999999987</v>
      </c>
      <c r="BQ133" s="55">
        <f t="shared" si="707"/>
        <v>0.70999999999999985</v>
      </c>
      <c r="BR133" s="55">
        <f t="shared" si="707"/>
        <v>0.68999999999999984</v>
      </c>
      <c r="BS133" s="55">
        <f t="shared" si="707"/>
        <v>0.66999999999999982</v>
      </c>
      <c r="BT133" s="55">
        <f t="shared" si="707"/>
        <v>0.6499999999999998</v>
      </c>
      <c r="BU133" s="55">
        <f t="shared" si="707"/>
        <v>0.62999999999999978</v>
      </c>
      <c r="BV133" s="55">
        <f t="shared" si="707"/>
        <v>0.60999999999999976</v>
      </c>
      <c r="BW133" s="55">
        <f t="shared" si="707"/>
        <v>0.58999999999999975</v>
      </c>
      <c r="BX133" s="55">
        <f t="shared" si="707"/>
        <v>0.56999999999999973</v>
      </c>
      <c r="BZ133" s="55">
        <f t="shared" si="512"/>
        <v>86476.390000000014</v>
      </c>
      <c r="CA133" s="55">
        <f t="shared" si="513"/>
        <v>86476.390000000014</v>
      </c>
      <c r="CB133" s="59">
        <f t="shared" si="708"/>
        <v>285873.65006200003</v>
      </c>
      <c r="CC133" s="55">
        <f t="shared" si="709"/>
        <v>83882.098300000012</v>
      </c>
      <c r="CD133" s="59">
        <f t="shared" si="710"/>
        <v>277297.44056014006</v>
      </c>
      <c r="CE133" s="55">
        <f t="shared" si="711"/>
        <v>82152.570500000016</v>
      </c>
      <c r="CF133" s="59">
        <f t="shared" si="712"/>
        <v>271579.96755890007</v>
      </c>
      <c r="CG133" s="55">
        <f t="shared" si="713"/>
        <v>80423.04270000002</v>
      </c>
      <c r="CH133" s="59">
        <f t="shared" si="714"/>
        <v>265862.49455766007</v>
      </c>
      <c r="CI133" s="57">
        <f t="shared" si="715"/>
        <v>78693.514900000009</v>
      </c>
      <c r="CJ133" s="59">
        <f t="shared" si="716"/>
        <v>260145.02155642005</v>
      </c>
      <c r="CK133" s="55">
        <f t="shared" si="717"/>
        <v>76963.987100000013</v>
      </c>
      <c r="CL133" s="59">
        <f t="shared" si="718"/>
        <v>254427.54855518005</v>
      </c>
      <c r="CM133" s="57">
        <f t="shared" si="719"/>
        <v>75234.459300000017</v>
      </c>
      <c r="CN133" s="59">
        <f t="shared" si="720"/>
        <v>248710.07555394006</v>
      </c>
      <c r="CO133" s="60">
        <f t="shared" si="721"/>
        <v>73504.931500000006</v>
      </c>
      <c r="CP133" s="59">
        <f t="shared" si="722"/>
        <v>242992.60255270003</v>
      </c>
      <c r="CQ133" s="57">
        <f t="shared" si="723"/>
        <v>71775.40370000001</v>
      </c>
      <c r="CR133" s="59">
        <f t="shared" si="724"/>
        <v>237275.12955146004</v>
      </c>
      <c r="CS133" s="55">
        <f t="shared" si="725"/>
        <v>70045.875899999999</v>
      </c>
      <c r="CT133" s="59">
        <f t="shared" si="726"/>
        <v>231557.65655022001</v>
      </c>
      <c r="CU133" s="60">
        <f t="shared" si="727"/>
        <v>68316.348100000003</v>
      </c>
      <c r="CV133" s="59">
        <f t="shared" si="728"/>
        <v>225840.18354898001</v>
      </c>
      <c r="CW133" s="60">
        <f t="shared" si="729"/>
        <v>66586.820300000007</v>
      </c>
      <c r="CX133" s="59">
        <f t="shared" si="730"/>
        <v>220122.71054774002</v>
      </c>
      <c r="CY133" s="60">
        <f t="shared" si="731"/>
        <v>64857.292500000003</v>
      </c>
      <c r="CZ133" s="59">
        <f t="shared" si="732"/>
        <v>214405.23754650002</v>
      </c>
      <c r="DA133" s="55">
        <f t="shared" si="733"/>
        <v>63127.7647</v>
      </c>
      <c r="DB133" s="59">
        <f t="shared" si="734"/>
        <v>208687.76454526</v>
      </c>
      <c r="DC133" s="60">
        <f t="shared" si="735"/>
        <v>61398.236899999996</v>
      </c>
      <c r="DD133" s="59">
        <f t="shared" si="736"/>
        <v>202970.29154402</v>
      </c>
      <c r="DE133" s="60">
        <f t="shared" si="737"/>
        <v>59668.709099999993</v>
      </c>
      <c r="DF133" s="59">
        <f t="shared" si="738"/>
        <v>197252.81854277998</v>
      </c>
      <c r="DG133" s="60">
        <f t="shared" si="739"/>
        <v>57939.181299999997</v>
      </c>
      <c r="DH133" s="59">
        <f t="shared" si="740"/>
        <v>191535.34554153998</v>
      </c>
      <c r="DI133" s="60">
        <f t="shared" si="741"/>
        <v>56209.653499999993</v>
      </c>
      <c r="DJ133" s="59">
        <f t="shared" si="742"/>
        <v>185817.87254029998</v>
      </c>
      <c r="DK133" s="55">
        <f t="shared" si="743"/>
        <v>54480.12569999999</v>
      </c>
      <c r="DL133" s="59">
        <f t="shared" si="744"/>
        <v>180100.39953905996</v>
      </c>
      <c r="DM133" s="60">
        <f t="shared" si="745"/>
        <v>52750.597899999986</v>
      </c>
      <c r="DN133" s="59">
        <f t="shared" si="746"/>
        <v>174382.92653781996</v>
      </c>
      <c r="DO133" s="60">
        <f t="shared" si="747"/>
        <v>51021.07009999999</v>
      </c>
      <c r="DP133" s="59">
        <f t="shared" si="748"/>
        <v>168665.45353657997</v>
      </c>
      <c r="DQ133" s="55">
        <f t="shared" si="749"/>
        <v>49291.542299999986</v>
      </c>
      <c r="DR133" s="59">
        <f t="shared" si="750"/>
        <v>162947.98053533997</v>
      </c>
      <c r="DU133" s="55">
        <v>1</v>
      </c>
      <c r="DV133" s="55">
        <v>0.97</v>
      </c>
      <c r="DW133" s="55">
        <v>0.95</v>
      </c>
      <c r="DX133" s="55">
        <v>0.93</v>
      </c>
      <c r="DY133" s="55">
        <f t="shared" si="796"/>
        <v>0.91</v>
      </c>
      <c r="DZ133" s="55">
        <f t="shared" si="796"/>
        <v>0.89</v>
      </c>
      <c r="EA133" s="55">
        <f t="shared" si="796"/>
        <v>0.87</v>
      </c>
      <c r="EB133" s="55">
        <f t="shared" si="796"/>
        <v>0.85</v>
      </c>
      <c r="EC133" s="55">
        <f t="shared" si="796"/>
        <v>0.83</v>
      </c>
      <c r="ED133" s="55">
        <f t="shared" si="796"/>
        <v>0.80999999999999994</v>
      </c>
      <c r="EE133" s="55">
        <f t="shared" si="796"/>
        <v>0.78999999999999992</v>
      </c>
      <c r="EF133" s="55">
        <f t="shared" si="796"/>
        <v>0.76999999999999991</v>
      </c>
      <c r="EG133" s="55">
        <f t="shared" si="796"/>
        <v>0.74999999999999989</v>
      </c>
      <c r="EH133" s="55">
        <f t="shared" si="796"/>
        <v>0.72999999999999987</v>
      </c>
      <c r="EI133" s="55">
        <f t="shared" si="796"/>
        <v>0.70999999999999985</v>
      </c>
      <c r="EJ133" s="55">
        <f t="shared" si="796"/>
        <v>0.68999999999999984</v>
      </c>
      <c r="EK133" s="55">
        <f t="shared" si="796"/>
        <v>0.66999999999999982</v>
      </c>
      <c r="EL133" s="55">
        <f t="shared" si="796"/>
        <v>0.6499999999999998</v>
      </c>
      <c r="EM133" s="55">
        <f t="shared" si="796"/>
        <v>0.62999999999999978</v>
      </c>
      <c r="EN133" s="55">
        <f t="shared" si="796"/>
        <v>0.60999999999999976</v>
      </c>
      <c r="EO133" s="55">
        <f t="shared" si="796"/>
        <v>0.58999999999999975</v>
      </c>
      <c r="EP133" s="55">
        <f t="shared" si="796"/>
        <v>0.56999999999999973</v>
      </c>
      <c r="ER133" s="55">
        <f t="shared" si="652"/>
        <v>78693.514900000009</v>
      </c>
      <c r="ES133" s="55">
        <f t="shared" si="514"/>
        <v>78693.514900000009</v>
      </c>
      <c r="ET133" s="59">
        <f t="shared" si="751"/>
        <v>260145.02155642005</v>
      </c>
      <c r="EU133" s="55">
        <f t="shared" si="752"/>
        <v>76332.709453000003</v>
      </c>
      <c r="EV133" s="59">
        <f t="shared" si="753"/>
        <v>252340.67090972743</v>
      </c>
      <c r="EW133" s="55">
        <f t="shared" si="754"/>
        <v>74758.839155000009</v>
      </c>
      <c r="EX133" s="59">
        <f t="shared" si="755"/>
        <v>247137.77047859904</v>
      </c>
      <c r="EY133" s="55">
        <f t="shared" si="756"/>
        <v>73184.968857000014</v>
      </c>
      <c r="EZ133" s="59">
        <f t="shared" si="757"/>
        <v>241934.87004747064</v>
      </c>
      <c r="FA133" s="57">
        <f t="shared" si="758"/>
        <v>71611.098559000005</v>
      </c>
      <c r="FB133" s="59">
        <f t="shared" si="759"/>
        <v>236731.96961634222</v>
      </c>
      <c r="FC133" s="55">
        <f t="shared" si="760"/>
        <v>70037.228261000011</v>
      </c>
      <c r="FD133" s="59">
        <f t="shared" si="761"/>
        <v>231529.06918521386</v>
      </c>
      <c r="FE133" s="57">
        <f t="shared" si="762"/>
        <v>68463.357963000002</v>
      </c>
      <c r="FF133" s="59">
        <f t="shared" si="763"/>
        <v>226326.1687540854</v>
      </c>
      <c r="FG133" s="60">
        <f t="shared" si="764"/>
        <v>66889.487665000008</v>
      </c>
      <c r="FH133" s="59">
        <f t="shared" si="765"/>
        <v>221123.26832295704</v>
      </c>
      <c r="FI133" s="57">
        <f t="shared" si="766"/>
        <v>65315.617367000006</v>
      </c>
      <c r="FJ133" s="59">
        <f t="shared" si="767"/>
        <v>215920.36789182862</v>
      </c>
      <c r="FK133" s="55">
        <f t="shared" si="768"/>
        <v>63741.747069000005</v>
      </c>
      <c r="FL133" s="59">
        <f t="shared" si="769"/>
        <v>210717.46746070022</v>
      </c>
      <c r="FM133" s="60">
        <f t="shared" si="770"/>
        <v>62167.876771000003</v>
      </c>
      <c r="FN133" s="59">
        <f t="shared" si="771"/>
        <v>205514.5670295718</v>
      </c>
      <c r="FO133" s="60">
        <f t="shared" si="772"/>
        <v>60594.006473000001</v>
      </c>
      <c r="FP133" s="59">
        <f t="shared" si="773"/>
        <v>200311.66659844341</v>
      </c>
      <c r="FQ133" s="60">
        <f t="shared" si="774"/>
        <v>59020.136175</v>
      </c>
      <c r="FR133" s="59">
        <f t="shared" si="775"/>
        <v>195108.76616731501</v>
      </c>
      <c r="FS133" s="55">
        <f t="shared" si="776"/>
        <v>57446.265876999998</v>
      </c>
      <c r="FT133" s="59">
        <f t="shared" si="777"/>
        <v>189905.86573618659</v>
      </c>
      <c r="FU133" s="60">
        <f t="shared" si="778"/>
        <v>55872.395578999996</v>
      </c>
      <c r="FV133" s="59">
        <f t="shared" si="779"/>
        <v>184702.9653050582</v>
      </c>
      <c r="FW133" s="60">
        <f t="shared" si="780"/>
        <v>54298.525280999995</v>
      </c>
      <c r="FX133" s="59">
        <f t="shared" si="781"/>
        <v>179500.06487392978</v>
      </c>
      <c r="FY133" s="60">
        <f t="shared" si="782"/>
        <v>52724.654982999993</v>
      </c>
      <c r="FZ133" s="59">
        <f t="shared" si="783"/>
        <v>174297.16444280138</v>
      </c>
      <c r="GA133" s="60">
        <f t="shared" si="784"/>
        <v>51150.784684999991</v>
      </c>
      <c r="GB133" s="59">
        <f t="shared" si="785"/>
        <v>169094.26401167299</v>
      </c>
      <c r="GC133" s="55">
        <f t="shared" si="786"/>
        <v>49576.91438699999</v>
      </c>
      <c r="GD133" s="59">
        <f t="shared" si="787"/>
        <v>163891.36358054457</v>
      </c>
      <c r="GE133" s="60">
        <f t="shared" si="788"/>
        <v>48003.044088999988</v>
      </c>
      <c r="GF133" s="59">
        <f t="shared" si="789"/>
        <v>158688.46314941617</v>
      </c>
      <c r="GG133" s="60">
        <f t="shared" si="790"/>
        <v>46429.173790999987</v>
      </c>
      <c r="GH133" s="59">
        <f t="shared" si="791"/>
        <v>153485.56271828775</v>
      </c>
      <c r="GI133" s="55">
        <f t="shared" si="792"/>
        <v>44855.303492999985</v>
      </c>
      <c r="GJ133" s="59">
        <f t="shared" si="793"/>
        <v>148282.66228715936</v>
      </c>
      <c r="GK133" s="55"/>
      <c r="GL133" s="55"/>
      <c r="GM133" s="55">
        <v>1</v>
      </c>
      <c r="GN133" s="55">
        <v>0.97</v>
      </c>
      <c r="GO133" s="55">
        <v>0.95</v>
      </c>
      <c r="GP133" s="55">
        <v>0.93</v>
      </c>
      <c r="GQ133" s="55">
        <f t="shared" si="797"/>
        <v>0.91</v>
      </c>
      <c r="GR133" s="55">
        <f t="shared" si="797"/>
        <v>0.89</v>
      </c>
      <c r="GS133" s="55">
        <f t="shared" si="797"/>
        <v>0.87</v>
      </c>
      <c r="GT133" s="55">
        <f t="shared" si="797"/>
        <v>0.85</v>
      </c>
      <c r="GU133" s="55">
        <f t="shared" si="797"/>
        <v>0.83</v>
      </c>
      <c r="GV133" s="55">
        <f t="shared" si="797"/>
        <v>0.80999999999999994</v>
      </c>
      <c r="GW133" s="55">
        <f t="shared" si="797"/>
        <v>0.78999999999999992</v>
      </c>
      <c r="GX133" s="55">
        <f t="shared" si="797"/>
        <v>0.76999999999999991</v>
      </c>
      <c r="GY133" s="55">
        <f t="shared" si="797"/>
        <v>0.74999999999999989</v>
      </c>
      <c r="GZ133" s="55">
        <f t="shared" si="797"/>
        <v>0.72999999999999987</v>
      </c>
      <c r="HA133" s="55">
        <f t="shared" si="797"/>
        <v>0.70999999999999985</v>
      </c>
      <c r="HB133" s="55">
        <f t="shared" si="797"/>
        <v>0.68999999999999984</v>
      </c>
      <c r="HC133" s="55">
        <f t="shared" si="797"/>
        <v>0.66999999999999982</v>
      </c>
      <c r="HD133" s="55">
        <f t="shared" si="797"/>
        <v>0.6499999999999998</v>
      </c>
      <c r="HE133" s="55">
        <f t="shared" si="797"/>
        <v>0.62999999999999978</v>
      </c>
      <c r="HF133" s="55">
        <f t="shared" si="797"/>
        <v>0.60999999999999976</v>
      </c>
      <c r="HG133" s="55">
        <f t="shared" si="797"/>
        <v>0.58999999999999975</v>
      </c>
      <c r="HH133" s="55">
        <f t="shared" si="797"/>
        <v>0.56999999999999973</v>
      </c>
    </row>
    <row r="134" spans="1:216" s="64" customFormat="1" x14ac:dyDescent="0.3">
      <c r="C134" s="65"/>
      <c r="D134" s="65"/>
      <c r="E134" s="65"/>
      <c r="G134" s="61"/>
      <c r="H134" s="61"/>
      <c r="I134" s="61"/>
      <c r="J134" s="61"/>
      <c r="K134" s="61"/>
      <c r="L134" s="61"/>
      <c r="M134" s="61"/>
      <c r="N134" s="61"/>
      <c r="O134" s="61"/>
      <c r="P134" s="62"/>
      <c r="Q134" s="61"/>
      <c r="R134" s="61"/>
      <c r="S134" s="61"/>
      <c r="T134" s="62"/>
      <c r="U134" s="61"/>
      <c r="V134" s="63"/>
      <c r="W134" s="61"/>
      <c r="X134" s="62"/>
      <c r="Y134" s="61"/>
      <c r="Z134" s="61"/>
      <c r="AA134" s="61"/>
      <c r="AB134" s="63"/>
      <c r="AC134" s="61"/>
      <c r="AD134" s="63"/>
      <c r="AE134" s="61"/>
      <c r="AF134" s="63"/>
      <c r="AG134" s="61"/>
      <c r="AH134" s="61"/>
      <c r="AI134" s="61"/>
      <c r="AJ134" s="63"/>
      <c r="AK134" s="61"/>
      <c r="AL134" s="63"/>
      <c r="AM134" s="61"/>
      <c r="AN134" s="63"/>
      <c r="AO134" s="61"/>
      <c r="AP134" s="63"/>
      <c r="AQ134" s="61"/>
      <c r="AR134" s="61"/>
      <c r="AS134" s="61"/>
      <c r="AT134" s="63"/>
      <c r="AU134" s="61"/>
      <c r="AV134" s="63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  <c r="BV134" s="61"/>
      <c r="BW134" s="61"/>
      <c r="BX134" s="61"/>
      <c r="BY134" s="61">
        <f t="shared" ref="BY134:BY135" si="798">+G134*0.91</f>
        <v>0</v>
      </c>
      <c r="BZ134" s="61"/>
      <c r="CA134" s="61"/>
      <c r="CB134" s="61"/>
      <c r="CC134" s="61"/>
      <c r="CD134" s="61"/>
      <c r="CE134" s="61"/>
      <c r="CF134" s="61"/>
      <c r="CG134" s="61"/>
      <c r="CH134" s="62"/>
      <c r="CI134" s="61"/>
      <c r="CJ134" s="61"/>
      <c r="CK134" s="61"/>
      <c r="CL134" s="62"/>
      <c r="CM134" s="61"/>
      <c r="CN134" s="63"/>
      <c r="CO134" s="61"/>
      <c r="CP134" s="62"/>
      <c r="CQ134" s="61"/>
      <c r="CR134" s="61"/>
      <c r="CS134" s="61"/>
      <c r="CT134" s="63"/>
      <c r="CU134" s="61"/>
      <c r="CV134" s="63"/>
      <c r="CW134" s="61"/>
      <c r="CX134" s="63"/>
      <c r="CY134" s="61"/>
      <c r="CZ134" s="61"/>
      <c r="DA134" s="61"/>
      <c r="DB134" s="63"/>
      <c r="DC134" s="61"/>
      <c r="DD134" s="63"/>
      <c r="DE134" s="61"/>
      <c r="DF134" s="63"/>
      <c r="DG134" s="61"/>
      <c r="DH134" s="63"/>
      <c r="DI134" s="61"/>
      <c r="DJ134" s="61"/>
      <c r="DK134" s="61"/>
      <c r="DL134" s="63"/>
      <c r="DM134" s="61"/>
      <c r="DN134" s="63"/>
      <c r="DO134" s="61"/>
      <c r="DP134" s="61"/>
      <c r="DQ134" s="61"/>
      <c r="DR134" s="61"/>
      <c r="DS134" s="61"/>
      <c r="DT134" s="61">
        <v>1</v>
      </c>
      <c r="DU134" s="61">
        <v>0.97</v>
      </c>
      <c r="DV134" s="61">
        <v>0.95</v>
      </c>
      <c r="DW134" s="61">
        <v>0.93</v>
      </c>
      <c r="DX134" s="61">
        <f t="shared" ref="DX134:EO135" si="799">+DW134-0.02</f>
        <v>0.91</v>
      </c>
      <c r="DY134" s="61">
        <f t="shared" si="799"/>
        <v>0.89</v>
      </c>
      <c r="DZ134" s="61">
        <f t="shared" si="799"/>
        <v>0.87</v>
      </c>
      <c r="EA134" s="61">
        <f t="shared" si="799"/>
        <v>0.85</v>
      </c>
      <c r="EB134" s="61">
        <f t="shared" si="799"/>
        <v>0.83</v>
      </c>
      <c r="EC134" s="61">
        <f t="shared" si="799"/>
        <v>0.80999999999999994</v>
      </c>
      <c r="ED134" s="61">
        <f t="shared" si="799"/>
        <v>0.78999999999999992</v>
      </c>
      <c r="EE134" s="61">
        <f t="shared" si="799"/>
        <v>0.76999999999999991</v>
      </c>
      <c r="EF134" s="61">
        <f t="shared" si="799"/>
        <v>0.74999999999999989</v>
      </c>
      <c r="EG134" s="61">
        <f t="shared" si="799"/>
        <v>0.72999999999999987</v>
      </c>
      <c r="EH134" s="61">
        <f t="shared" si="799"/>
        <v>0.70999999999999985</v>
      </c>
      <c r="EI134" s="61">
        <f t="shared" si="799"/>
        <v>0.68999999999999984</v>
      </c>
      <c r="EJ134" s="61">
        <f t="shared" si="799"/>
        <v>0.66999999999999982</v>
      </c>
      <c r="EK134" s="61">
        <f t="shared" si="799"/>
        <v>0.6499999999999998</v>
      </c>
      <c r="EL134" s="61">
        <f t="shared" si="799"/>
        <v>0.62999999999999978</v>
      </c>
      <c r="EM134" s="61">
        <f t="shared" si="799"/>
        <v>0.60999999999999976</v>
      </c>
      <c r="EN134" s="61">
        <f t="shared" si="799"/>
        <v>0.58999999999999975</v>
      </c>
      <c r="EO134" s="61">
        <f t="shared" si="799"/>
        <v>0.56999999999999973</v>
      </c>
      <c r="EQ134" s="61">
        <f t="shared" ref="EQ134:EQ135" si="800">+BY134*0.91</f>
        <v>0</v>
      </c>
      <c r="ER134" s="61"/>
      <c r="ES134" s="61"/>
      <c r="ET134" s="61"/>
      <c r="EU134" s="61"/>
      <c r="EV134" s="61"/>
      <c r="EW134" s="61"/>
      <c r="EX134" s="61"/>
      <c r="EY134" s="61"/>
      <c r="EZ134" s="62"/>
      <c r="FA134" s="61"/>
      <c r="FB134" s="61"/>
      <c r="FC134" s="61"/>
      <c r="FD134" s="62"/>
      <c r="FE134" s="61"/>
      <c r="FF134" s="63"/>
      <c r="FG134" s="61"/>
      <c r="FH134" s="62"/>
      <c r="FI134" s="61"/>
      <c r="FJ134" s="61"/>
      <c r="FK134" s="61"/>
      <c r="FL134" s="63"/>
      <c r="FM134" s="61"/>
      <c r="FN134" s="63"/>
      <c r="FO134" s="61"/>
      <c r="FP134" s="63"/>
      <c r="FQ134" s="61"/>
      <c r="FR134" s="61"/>
      <c r="FS134" s="61"/>
      <c r="FT134" s="63"/>
      <c r="FU134" s="61"/>
      <c r="FV134" s="63"/>
      <c r="FW134" s="61"/>
      <c r="FX134" s="63"/>
      <c r="FY134" s="61"/>
      <c r="FZ134" s="63"/>
      <c r="GA134" s="61"/>
      <c r="GB134" s="61"/>
      <c r="GC134" s="61"/>
      <c r="GD134" s="63"/>
      <c r="GE134" s="61"/>
      <c r="GF134" s="63"/>
      <c r="GG134" s="61"/>
      <c r="GH134" s="61"/>
      <c r="GI134" s="61"/>
      <c r="GJ134" s="61"/>
      <c r="GK134" s="61"/>
      <c r="GL134" s="61">
        <v>1</v>
      </c>
      <c r="GM134" s="61">
        <v>0.97</v>
      </c>
      <c r="GN134" s="61">
        <v>0.95</v>
      </c>
      <c r="GO134" s="61">
        <v>0.93</v>
      </c>
      <c r="GP134" s="61">
        <f t="shared" ref="GP134:HG135" si="801">+GO134-0.02</f>
        <v>0.91</v>
      </c>
      <c r="GQ134" s="61">
        <f t="shared" si="801"/>
        <v>0.89</v>
      </c>
      <c r="GR134" s="61">
        <f t="shared" si="801"/>
        <v>0.87</v>
      </c>
      <c r="GS134" s="61">
        <f t="shared" si="801"/>
        <v>0.85</v>
      </c>
      <c r="GT134" s="61">
        <f t="shared" si="801"/>
        <v>0.83</v>
      </c>
      <c r="GU134" s="61">
        <f t="shared" si="801"/>
        <v>0.80999999999999994</v>
      </c>
      <c r="GV134" s="61">
        <f t="shared" si="801"/>
        <v>0.78999999999999992</v>
      </c>
      <c r="GW134" s="61">
        <f t="shared" si="801"/>
        <v>0.76999999999999991</v>
      </c>
      <c r="GX134" s="61">
        <f t="shared" si="801"/>
        <v>0.74999999999999989</v>
      </c>
      <c r="GY134" s="61">
        <f t="shared" si="801"/>
        <v>0.72999999999999987</v>
      </c>
      <c r="GZ134" s="61">
        <f t="shared" si="801"/>
        <v>0.70999999999999985</v>
      </c>
      <c r="HA134" s="61">
        <f t="shared" si="801"/>
        <v>0.68999999999999984</v>
      </c>
      <c r="HB134" s="61">
        <f t="shared" si="801"/>
        <v>0.66999999999999982</v>
      </c>
      <c r="HC134" s="61">
        <f t="shared" si="801"/>
        <v>0.6499999999999998</v>
      </c>
      <c r="HD134" s="61">
        <f t="shared" si="801"/>
        <v>0.62999999999999978</v>
      </c>
      <c r="HE134" s="61">
        <f t="shared" si="801"/>
        <v>0.60999999999999976</v>
      </c>
      <c r="HF134" s="61">
        <f t="shared" si="801"/>
        <v>0.58999999999999975</v>
      </c>
      <c r="HG134" s="61">
        <f t="shared" si="801"/>
        <v>0.56999999999999973</v>
      </c>
    </row>
    <row r="135" spans="1:216" s="64" customFormat="1" ht="17.25" thickBot="1" x14ac:dyDescent="0.35">
      <c r="B135" s="64" t="s">
        <v>300</v>
      </c>
      <c r="C135" s="64" t="s">
        <v>297</v>
      </c>
      <c r="D135" s="65" t="s">
        <v>271</v>
      </c>
      <c r="E135" s="65" t="s">
        <v>154</v>
      </c>
      <c r="G135" s="61"/>
      <c r="H135" s="61"/>
      <c r="I135" s="61"/>
      <c r="J135" s="61"/>
      <c r="K135" s="61"/>
      <c r="L135" s="61"/>
      <c r="M135" s="61"/>
      <c r="N135" s="61"/>
      <c r="O135" s="61"/>
      <c r="P135" s="62"/>
      <c r="Q135" s="61"/>
      <c r="R135" s="61"/>
      <c r="S135" s="61"/>
      <c r="T135" s="62"/>
      <c r="U135" s="61"/>
      <c r="V135" s="63"/>
      <c r="W135" s="61"/>
      <c r="X135" s="62"/>
      <c r="Y135" s="61"/>
      <c r="Z135" s="61"/>
      <c r="AA135" s="61"/>
      <c r="AB135" s="63"/>
      <c r="AC135" s="61"/>
      <c r="AD135" s="63"/>
      <c r="AE135" s="61"/>
      <c r="AF135" s="63"/>
      <c r="AG135" s="61"/>
      <c r="AH135" s="61"/>
      <c r="AI135" s="61"/>
      <c r="AJ135" s="63"/>
      <c r="AK135" s="61"/>
      <c r="AL135" s="63"/>
      <c r="AM135" s="61"/>
      <c r="AN135" s="63"/>
      <c r="AO135" s="61"/>
      <c r="AP135" s="63"/>
      <c r="AQ135" s="61"/>
      <c r="AR135" s="61"/>
      <c r="AS135" s="61"/>
      <c r="AT135" s="63"/>
      <c r="AU135" s="61"/>
      <c r="AV135" s="63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  <c r="BV135" s="61"/>
      <c r="BW135" s="61"/>
      <c r="BX135" s="61"/>
      <c r="BY135" s="61">
        <f t="shared" si="798"/>
        <v>0</v>
      </c>
      <c r="BZ135" s="61"/>
      <c r="CA135" s="61"/>
      <c r="CB135" s="61"/>
      <c r="CC135" s="61"/>
      <c r="CD135" s="61"/>
      <c r="CE135" s="61"/>
      <c r="CF135" s="61"/>
      <c r="CG135" s="61"/>
      <c r="CH135" s="62"/>
      <c r="CI135" s="61"/>
      <c r="CJ135" s="61"/>
      <c r="CK135" s="61"/>
      <c r="CL135" s="62"/>
      <c r="CM135" s="61"/>
      <c r="CN135" s="63"/>
      <c r="CO135" s="61"/>
      <c r="CP135" s="62"/>
      <c r="CQ135" s="61"/>
      <c r="CR135" s="61"/>
      <c r="CS135" s="61"/>
      <c r="CT135" s="63"/>
      <c r="CU135" s="61"/>
      <c r="CV135" s="63"/>
      <c r="CW135" s="61"/>
      <c r="CX135" s="63"/>
      <c r="CY135" s="61"/>
      <c r="CZ135" s="61"/>
      <c r="DA135" s="61"/>
      <c r="DB135" s="63"/>
      <c r="DC135" s="61"/>
      <c r="DD135" s="63"/>
      <c r="DE135" s="61"/>
      <c r="DF135" s="63"/>
      <c r="DG135" s="61"/>
      <c r="DH135" s="63"/>
      <c r="DI135" s="61"/>
      <c r="DJ135" s="61"/>
      <c r="DK135" s="61"/>
      <c r="DL135" s="63"/>
      <c r="DM135" s="61"/>
      <c r="DN135" s="63"/>
      <c r="DO135" s="61"/>
      <c r="DP135" s="61"/>
      <c r="DQ135" s="61"/>
      <c r="DR135" s="61"/>
      <c r="DS135" s="61"/>
      <c r="DT135" s="61">
        <v>1</v>
      </c>
      <c r="DU135" s="61">
        <v>0.97</v>
      </c>
      <c r="DV135" s="61">
        <v>0.95</v>
      </c>
      <c r="DW135" s="61">
        <v>0.93</v>
      </c>
      <c r="DX135" s="61">
        <f t="shared" si="799"/>
        <v>0.91</v>
      </c>
      <c r="DY135" s="61">
        <f t="shared" si="799"/>
        <v>0.89</v>
      </c>
      <c r="DZ135" s="61">
        <f t="shared" si="799"/>
        <v>0.87</v>
      </c>
      <c r="EA135" s="61">
        <f t="shared" si="799"/>
        <v>0.85</v>
      </c>
      <c r="EB135" s="61">
        <f t="shared" si="799"/>
        <v>0.83</v>
      </c>
      <c r="EC135" s="61">
        <f t="shared" si="799"/>
        <v>0.80999999999999994</v>
      </c>
      <c r="ED135" s="61">
        <f t="shared" si="799"/>
        <v>0.78999999999999992</v>
      </c>
      <c r="EE135" s="61">
        <f t="shared" si="799"/>
        <v>0.76999999999999991</v>
      </c>
      <c r="EF135" s="61">
        <f t="shared" si="799"/>
        <v>0.74999999999999989</v>
      </c>
      <c r="EG135" s="61">
        <f t="shared" si="799"/>
        <v>0.72999999999999987</v>
      </c>
      <c r="EH135" s="61">
        <f t="shared" si="799"/>
        <v>0.70999999999999985</v>
      </c>
      <c r="EI135" s="61">
        <f t="shared" si="799"/>
        <v>0.68999999999999984</v>
      </c>
      <c r="EJ135" s="61">
        <f t="shared" si="799"/>
        <v>0.66999999999999982</v>
      </c>
      <c r="EK135" s="61">
        <f t="shared" si="799"/>
        <v>0.6499999999999998</v>
      </c>
      <c r="EL135" s="61">
        <f t="shared" si="799"/>
        <v>0.62999999999999978</v>
      </c>
      <c r="EM135" s="61">
        <f t="shared" si="799"/>
        <v>0.60999999999999976</v>
      </c>
      <c r="EN135" s="61">
        <f t="shared" si="799"/>
        <v>0.58999999999999975</v>
      </c>
      <c r="EO135" s="61">
        <f t="shared" si="799"/>
        <v>0.56999999999999973</v>
      </c>
      <c r="EQ135" s="61">
        <f t="shared" si="800"/>
        <v>0</v>
      </c>
      <c r="ER135" s="61"/>
      <c r="ES135" s="61"/>
      <c r="ET135" s="61"/>
      <c r="EU135" s="61"/>
      <c r="EV135" s="61"/>
      <c r="EW135" s="61"/>
      <c r="EX135" s="61"/>
      <c r="EY135" s="61"/>
      <c r="EZ135" s="62"/>
      <c r="FA135" s="61"/>
      <c r="FB135" s="61"/>
      <c r="FC135" s="61"/>
      <c r="FD135" s="62"/>
      <c r="FE135" s="61"/>
      <c r="FF135" s="63"/>
      <c r="FG135" s="61"/>
      <c r="FH135" s="62"/>
      <c r="FI135" s="61"/>
      <c r="FJ135" s="61"/>
      <c r="FK135" s="61"/>
      <c r="FL135" s="63"/>
      <c r="FM135" s="61"/>
      <c r="FN135" s="63"/>
      <c r="FO135" s="61"/>
      <c r="FP135" s="63"/>
      <c r="FQ135" s="61"/>
      <c r="FR135" s="61"/>
      <c r="FS135" s="61"/>
      <c r="FT135" s="63"/>
      <c r="FU135" s="61"/>
      <c r="FV135" s="63"/>
      <c r="FW135" s="61"/>
      <c r="FX135" s="63"/>
      <c r="FY135" s="61"/>
      <c r="FZ135" s="63"/>
      <c r="GA135" s="61"/>
      <c r="GB135" s="61"/>
      <c r="GC135" s="61"/>
      <c r="GD135" s="63"/>
      <c r="GE135" s="61"/>
      <c r="GF135" s="63"/>
      <c r="GG135" s="61"/>
      <c r="GH135" s="61"/>
      <c r="GI135" s="61"/>
      <c r="GJ135" s="61"/>
      <c r="GK135" s="61"/>
      <c r="GL135" s="61">
        <v>1</v>
      </c>
      <c r="GM135" s="61">
        <v>0.97</v>
      </c>
      <c r="GN135" s="61">
        <v>0.95</v>
      </c>
      <c r="GO135" s="61">
        <v>0.93</v>
      </c>
      <c r="GP135" s="61">
        <f t="shared" si="801"/>
        <v>0.91</v>
      </c>
      <c r="GQ135" s="61">
        <f t="shared" si="801"/>
        <v>0.89</v>
      </c>
      <c r="GR135" s="61">
        <f t="shared" si="801"/>
        <v>0.87</v>
      </c>
      <c r="GS135" s="61">
        <f t="shared" si="801"/>
        <v>0.85</v>
      </c>
      <c r="GT135" s="61">
        <f t="shared" si="801"/>
        <v>0.83</v>
      </c>
      <c r="GU135" s="61">
        <f t="shared" si="801"/>
        <v>0.80999999999999994</v>
      </c>
      <c r="GV135" s="61">
        <f t="shared" si="801"/>
        <v>0.78999999999999992</v>
      </c>
      <c r="GW135" s="61">
        <f t="shared" si="801"/>
        <v>0.76999999999999991</v>
      </c>
      <c r="GX135" s="61">
        <f t="shared" si="801"/>
        <v>0.74999999999999989</v>
      </c>
      <c r="GY135" s="61">
        <f t="shared" si="801"/>
        <v>0.72999999999999987</v>
      </c>
      <c r="GZ135" s="61">
        <f t="shared" si="801"/>
        <v>0.70999999999999985</v>
      </c>
      <c r="HA135" s="61">
        <f t="shared" si="801"/>
        <v>0.68999999999999984</v>
      </c>
      <c r="HB135" s="61">
        <f t="shared" si="801"/>
        <v>0.66999999999999982</v>
      </c>
      <c r="HC135" s="61">
        <f t="shared" si="801"/>
        <v>0.6499999999999998</v>
      </c>
      <c r="HD135" s="61">
        <f t="shared" si="801"/>
        <v>0.62999999999999978</v>
      </c>
      <c r="HE135" s="61">
        <f t="shared" si="801"/>
        <v>0.60999999999999976</v>
      </c>
      <c r="HF135" s="61">
        <f t="shared" si="801"/>
        <v>0.58999999999999975</v>
      </c>
      <c r="HG135" s="61">
        <f t="shared" si="801"/>
        <v>0.56999999999999973</v>
      </c>
    </row>
    <row r="136" spans="1:216" x14ac:dyDescent="0.3">
      <c r="A136" s="2">
        <v>1</v>
      </c>
      <c r="C136" s="38" t="s">
        <v>131</v>
      </c>
      <c r="D136" s="40">
        <v>0</v>
      </c>
      <c r="E136" s="70">
        <f t="shared" ref="E136:E145" si="802">TRUNC(+D136*3.3058,-1)</f>
        <v>0</v>
      </c>
      <c r="H136" s="55">
        <f t="shared" si="509"/>
        <v>0</v>
      </c>
      <c r="I136" s="55">
        <f t="shared" si="510"/>
        <v>0</v>
      </c>
      <c r="J136" s="59">
        <f t="shared" si="511"/>
        <v>0</v>
      </c>
      <c r="K136" s="55">
        <f t="shared" ref="K136:K146" si="803">+I136*BD136</f>
        <v>0</v>
      </c>
      <c r="L136" s="59">
        <f t="shared" ref="L136:L146" si="804">+K136*3.3058</f>
        <v>0</v>
      </c>
      <c r="M136" s="55">
        <f t="shared" ref="M136:M146" si="805">+I136*BE136</f>
        <v>0</v>
      </c>
      <c r="N136" s="59">
        <f t="shared" ref="N136:N146" si="806">+M136*3.3058</f>
        <v>0</v>
      </c>
      <c r="O136" s="55">
        <f t="shared" ref="O136:O146" si="807">+I136*BF136</f>
        <v>0</v>
      </c>
      <c r="P136" s="59">
        <f t="shared" ref="P136:P146" si="808">+O136*3.3058</f>
        <v>0</v>
      </c>
      <c r="Q136" s="57">
        <f t="shared" ref="Q136:Q146" si="809">+I136*BG136</f>
        <v>0</v>
      </c>
      <c r="R136" s="59">
        <f t="shared" ref="R136:R146" si="810">+Q136*3.3058</f>
        <v>0</v>
      </c>
      <c r="S136" s="55">
        <f t="shared" ref="S136:S146" si="811">+I136*BH136</f>
        <v>0</v>
      </c>
      <c r="T136" s="59">
        <f t="shared" ref="T136:T146" si="812">+S136*3.3058</f>
        <v>0</v>
      </c>
      <c r="U136" s="57">
        <f t="shared" ref="U136:U146" si="813">+I136*BI136</f>
        <v>0</v>
      </c>
      <c r="V136" s="59">
        <f t="shared" ref="V136:V146" si="814">+U136*3.3058</f>
        <v>0</v>
      </c>
      <c r="W136" s="60">
        <f t="shared" ref="W136:W146" si="815">+I136*BJ136</f>
        <v>0</v>
      </c>
      <c r="X136" s="59">
        <f t="shared" ref="X136:X146" si="816">+W136*3.3058</f>
        <v>0</v>
      </c>
      <c r="Y136" s="57">
        <f t="shared" ref="Y136:Y146" si="817">+I136*BK136</f>
        <v>0</v>
      </c>
      <c r="Z136" s="59">
        <f t="shared" ref="Z136:Z146" si="818">+Y136*3.3058</f>
        <v>0</v>
      </c>
      <c r="AA136" s="55">
        <f t="shared" ref="AA136:AA146" si="819">+I136*BL136</f>
        <v>0</v>
      </c>
      <c r="AB136" s="59">
        <f t="shared" ref="AB136:AB146" si="820">+AA136*3.3058</f>
        <v>0</v>
      </c>
      <c r="AC136" s="60">
        <f t="shared" ref="AC136:AC146" si="821">+I136*BM136</f>
        <v>0</v>
      </c>
      <c r="AD136" s="59">
        <f t="shared" ref="AD136:AD146" si="822">+AC136*3.3058</f>
        <v>0</v>
      </c>
      <c r="AE136" s="60">
        <f t="shared" ref="AE136:AE146" si="823">+I136*BN136</f>
        <v>0</v>
      </c>
      <c r="AF136" s="59">
        <f t="shared" ref="AF136:AF146" si="824">+AE136*3.3058</f>
        <v>0</v>
      </c>
      <c r="AG136" s="60">
        <f t="shared" ref="AG136:AG146" si="825">+I136*BO136</f>
        <v>0</v>
      </c>
      <c r="AH136" s="59">
        <f t="shared" ref="AH136:AH146" si="826">+AG136*3.3058</f>
        <v>0</v>
      </c>
      <c r="AI136" s="55">
        <f t="shared" ref="AI136:AI146" si="827">+I136*BP136</f>
        <v>0</v>
      </c>
      <c r="AJ136" s="59">
        <f t="shared" ref="AJ136:AJ146" si="828">+AI136*3.3058</f>
        <v>0</v>
      </c>
      <c r="AK136" s="60">
        <f t="shared" ref="AK136:AK146" si="829">+I136*BQ136</f>
        <v>0</v>
      </c>
      <c r="AL136" s="59">
        <f t="shared" ref="AL136:AL146" si="830">+AK136*3.3058</f>
        <v>0</v>
      </c>
      <c r="AM136" s="60">
        <f t="shared" ref="AM136:AM146" si="831">+I136*BR136</f>
        <v>0</v>
      </c>
      <c r="AN136" s="59">
        <f t="shared" ref="AN136:AN146" si="832">+AM136*3.3058</f>
        <v>0</v>
      </c>
      <c r="AO136" s="60">
        <f t="shared" ref="AO136:AO146" si="833">+I136*BS136</f>
        <v>0</v>
      </c>
      <c r="AP136" s="59">
        <f t="shared" ref="AP136:AP146" si="834">+AO136*3.3058</f>
        <v>0</v>
      </c>
      <c r="AQ136" s="60">
        <f t="shared" ref="AQ136:AQ146" si="835">+I136*BT136</f>
        <v>0</v>
      </c>
      <c r="AR136" s="59">
        <f t="shared" ref="AR136:AR146" si="836">+AQ136*3.3058</f>
        <v>0</v>
      </c>
      <c r="AS136" s="55">
        <f t="shared" ref="AS136:AS146" si="837">+I136*BU136</f>
        <v>0</v>
      </c>
      <c r="AT136" s="59">
        <f t="shared" ref="AT136:AT146" si="838">+AS136*3.3058</f>
        <v>0</v>
      </c>
      <c r="AU136" s="60">
        <f t="shared" ref="AU136:AU146" si="839">+I136*BV136</f>
        <v>0</v>
      </c>
      <c r="AV136" s="59">
        <f t="shared" ref="AV136:AV146" si="840">+AU136*3.3058</f>
        <v>0</v>
      </c>
      <c r="AW136" s="60">
        <f t="shared" ref="AW136:AW146" si="841">+I136*BW136</f>
        <v>0</v>
      </c>
      <c r="AX136" s="59">
        <f t="shared" ref="AX136:AX146" si="842">+AW136*3.3058</f>
        <v>0</v>
      </c>
      <c r="AY136" s="55">
        <f t="shared" ref="AY136:AY146" si="843">+I136*BX136</f>
        <v>0</v>
      </c>
      <c r="AZ136" s="59">
        <f t="shared" ref="AZ136:AZ146" si="844">+AY136*3.3058</f>
        <v>0</v>
      </c>
      <c r="BC136" s="55">
        <v>1</v>
      </c>
      <c r="BD136" s="55">
        <v>0.97</v>
      </c>
      <c r="BE136" s="55">
        <v>0.95</v>
      </c>
      <c r="BF136" s="55">
        <v>0.93</v>
      </c>
      <c r="BG136" s="55">
        <f t="shared" ref="BG136:BX146" si="845">+BF136-0.02</f>
        <v>0.91</v>
      </c>
      <c r="BH136" s="55">
        <f t="shared" si="845"/>
        <v>0.89</v>
      </c>
      <c r="BI136" s="55">
        <f t="shared" si="845"/>
        <v>0.87</v>
      </c>
      <c r="BJ136" s="55">
        <f t="shared" si="845"/>
        <v>0.85</v>
      </c>
      <c r="BK136" s="55">
        <f t="shared" si="845"/>
        <v>0.83</v>
      </c>
      <c r="BL136" s="55">
        <f t="shared" si="845"/>
        <v>0.80999999999999994</v>
      </c>
      <c r="BM136" s="55">
        <f t="shared" si="845"/>
        <v>0.78999999999999992</v>
      </c>
      <c r="BN136" s="55">
        <f t="shared" si="845"/>
        <v>0.76999999999999991</v>
      </c>
      <c r="BO136" s="55">
        <f t="shared" si="845"/>
        <v>0.74999999999999989</v>
      </c>
      <c r="BP136" s="55">
        <f t="shared" si="845"/>
        <v>0.72999999999999987</v>
      </c>
      <c r="BQ136" s="55">
        <f t="shared" si="845"/>
        <v>0.70999999999999985</v>
      </c>
      <c r="BR136" s="55">
        <f t="shared" si="845"/>
        <v>0.68999999999999984</v>
      </c>
      <c r="BS136" s="55">
        <f t="shared" si="845"/>
        <v>0.66999999999999982</v>
      </c>
      <c r="BT136" s="55">
        <f t="shared" si="845"/>
        <v>0.6499999999999998</v>
      </c>
      <c r="BU136" s="55">
        <f t="shared" si="845"/>
        <v>0.62999999999999978</v>
      </c>
      <c r="BV136" s="55">
        <f t="shared" si="845"/>
        <v>0.60999999999999976</v>
      </c>
      <c r="BW136" s="55">
        <f t="shared" si="845"/>
        <v>0.58999999999999975</v>
      </c>
      <c r="BX136" s="55">
        <f t="shared" si="845"/>
        <v>0.56999999999999973</v>
      </c>
      <c r="BZ136" s="55">
        <f t="shared" si="512"/>
        <v>0</v>
      </c>
      <c r="CA136" s="55">
        <f t="shared" si="513"/>
        <v>0</v>
      </c>
      <c r="CB136" s="59">
        <f t="shared" ref="CB136:CB146" si="846">+CA136*3.3058</f>
        <v>0</v>
      </c>
      <c r="CC136" s="55">
        <f t="shared" ref="CC136:CC146" si="847">+CA136*DV136</f>
        <v>0</v>
      </c>
      <c r="CD136" s="59">
        <f t="shared" ref="CD136:CD146" si="848">+CC136*3.3058</f>
        <v>0</v>
      </c>
      <c r="CE136" s="55">
        <f t="shared" ref="CE136:CE146" si="849">+CA136*DW136</f>
        <v>0</v>
      </c>
      <c r="CF136" s="59">
        <f t="shared" ref="CF136:CF146" si="850">+CE136*3.3058</f>
        <v>0</v>
      </c>
      <c r="CG136" s="55">
        <f t="shared" ref="CG136:CG146" si="851">+CA136*DX136</f>
        <v>0</v>
      </c>
      <c r="CH136" s="59">
        <f t="shared" ref="CH136:CH146" si="852">+CG136*3.3058</f>
        <v>0</v>
      </c>
      <c r="CI136" s="57">
        <f t="shared" ref="CI136:CI146" si="853">+CA136*DY136</f>
        <v>0</v>
      </c>
      <c r="CJ136" s="59">
        <f t="shared" ref="CJ136:CJ146" si="854">+CI136*3.3058</f>
        <v>0</v>
      </c>
      <c r="CK136" s="55">
        <f t="shared" ref="CK136:CK146" si="855">+CA136*DZ136</f>
        <v>0</v>
      </c>
      <c r="CL136" s="59">
        <f t="shared" ref="CL136:CL146" si="856">+CK136*3.3058</f>
        <v>0</v>
      </c>
      <c r="CM136" s="57">
        <f t="shared" ref="CM136:CM146" si="857">+CA136*EA136</f>
        <v>0</v>
      </c>
      <c r="CN136" s="59">
        <f t="shared" ref="CN136:CN146" si="858">+CM136*3.3058</f>
        <v>0</v>
      </c>
      <c r="CO136" s="60">
        <f t="shared" ref="CO136:CO146" si="859">+CA136*EB136</f>
        <v>0</v>
      </c>
      <c r="CP136" s="59">
        <f t="shared" ref="CP136:CP146" si="860">+CO136*3.3058</f>
        <v>0</v>
      </c>
      <c r="CQ136" s="57">
        <f t="shared" ref="CQ136:CQ146" si="861">+CA136*EC136</f>
        <v>0</v>
      </c>
      <c r="CR136" s="59">
        <f t="shared" ref="CR136:CR146" si="862">+CQ136*3.3058</f>
        <v>0</v>
      </c>
      <c r="CS136" s="55">
        <f t="shared" ref="CS136:CS146" si="863">+CA136*ED136</f>
        <v>0</v>
      </c>
      <c r="CT136" s="59">
        <f t="shared" ref="CT136:CT146" si="864">+CS136*3.3058</f>
        <v>0</v>
      </c>
      <c r="CU136" s="60">
        <f t="shared" ref="CU136:CU146" si="865">+CA136*EE136</f>
        <v>0</v>
      </c>
      <c r="CV136" s="59">
        <f t="shared" ref="CV136:CV146" si="866">+CU136*3.3058</f>
        <v>0</v>
      </c>
      <c r="CW136" s="60">
        <f t="shared" ref="CW136:CW146" si="867">+CA136*EF136</f>
        <v>0</v>
      </c>
      <c r="CX136" s="59">
        <f t="shared" ref="CX136:CX146" si="868">+CW136*3.3058</f>
        <v>0</v>
      </c>
      <c r="CY136" s="60">
        <f t="shared" ref="CY136:CY146" si="869">+CA136*EG136</f>
        <v>0</v>
      </c>
      <c r="CZ136" s="59">
        <f t="shared" ref="CZ136:CZ146" si="870">+CY136*3.3058</f>
        <v>0</v>
      </c>
      <c r="DA136" s="55">
        <f t="shared" ref="DA136:DA146" si="871">+CA136*EH136</f>
        <v>0</v>
      </c>
      <c r="DB136" s="59">
        <f t="shared" ref="DB136:DB146" si="872">+DA136*3.3058</f>
        <v>0</v>
      </c>
      <c r="DC136" s="60">
        <f t="shared" ref="DC136:DC146" si="873">+CA136*EI136</f>
        <v>0</v>
      </c>
      <c r="DD136" s="59">
        <f t="shared" ref="DD136:DD146" si="874">+DC136*3.3058</f>
        <v>0</v>
      </c>
      <c r="DE136" s="60">
        <f t="shared" ref="DE136:DE146" si="875">+CA136*EJ136</f>
        <v>0</v>
      </c>
      <c r="DF136" s="59">
        <f t="shared" ref="DF136:DF146" si="876">+DE136*3.3058</f>
        <v>0</v>
      </c>
      <c r="DG136" s="60">
        <f t="shared" ref="DG136:DG146" si="877">+CA136*EK136</f>
        <v>0</v>
      </c>
      <c r="DH136" s="59">
        <f t="shared" ref="DH136:DH146" si="878">+DG136*3.3058</f>
        <v>0</v>
      </c>
      <c r="DI136" s="60">
        <f t="shared" ref="DI136:DI146" si="879">+CA136*EL136</f>
        <v>0</v>
      </c>
      <c r="DJ136" s="59">
        <f t="shared" ref="DJ136:DJ146" si="880">+DI136*3.3058</f>
        <v>0</v>
      </c>
      <c r="DK136" s="55">
        <f t="shared" ref="DK136:DK146" si="881">+CA136*EM136</f>
        <v>0</v>
      </c>
      <c r="DL136" s="59">
        <f t="shared" ref="DL136:DL146" si="882">+DK136*3.3058</f>
        <v>0</v>
      </c>
      <c r="DM136" s="60">
        <f t="shared" ref="DM136:DM146" si="883">+CA136*EN136</f>
        <v>0</v>
      </c>
      <c r="DN136" s="59">
        <f t="shared" ref="DN136:DN146" si="884">+DM136*3.3058</f>
        <v>0</v>
      </c>
      <c r="DO136" s="60">
        <f t="shared" ref="DO136:DO146" si="885">+CA136*EO136</f>
        <v>0</v>
      </c>
      <c r="DP136" s="59">
        <f t="shared" ref="DP136:DP146" si="886">+DO136*3.3058</f>
        <v>0</v>
      </c>
      <c r="DQ136" s="55">
        <f t="shared" ref="DQ136:DQ146" si="887">+CA136*EP136</f>
        <v>0</v>
      </c>
      <c r="DR136" s="59">
        <f t="shared" ref="DR136:DR146" si="888">+DQ136*3.3058</f>
        <v>0</v>
      </c>
      <c r="DU136" s="55">
        <v>1</v>
      </c>
      <c r="DV136" s="55">
        <v>0.97</v>
      </c>
      <c r="DW136" s="55">
        <v>0.95</v>
      </c>
      <c r="DX136" s="55">
        <v>0.93</v>
      </c>
      <c r="DY136" s="55">
        <f t="shared" si="796"/>
        <v>0.91</v>
      </c>
      <c r="DZ136" s="55">
        <f t="shared" si="796"/>
        <v>0.89</v>
      </c>
      <c r="EA136" s="55">
        <f t="shared" si="796"/>
        <v>0.87</v>
      </c>
      <c r="EB136" s="55">
        <f t="shared" si="796"/>
        <v>0.85</v>
      </c>
      <c r="EC136" s="55">
        <f t="shared" si="796"/>
        <v>0.83</v>
      </c>
      <c r="ED136" s="55">
        <f t="shared" si="796"/>
        <v>0.80999999999999994</v>
      </c>
      <c r="EE136" s="55">
        <f t="shared" si="796"/>
        <v>0.78999999999999992</v>
      </c>
      <c r="EF136" s="55">
        <f t="shared" si="796"/>
        <v>0.76999999999999991</v>
      </c>
      <c r="EG136" s="55">
        <f t="shared" si="796"/>
        <v>0.74999999999999989</v>
      </c>
      <c r="EH136" s="55">
        <f t="shared" si="796"/>
        <v>0.72999999999999987</v>
      </c>
      <c r="EI136" s="55">
        <f t="shared" si="796"/>
        <v>0.70999999999999985</v>
      </c>
      <c r="EJ136" s="55">
        <f t="shared" si="796"/>
        <v>0.68999999999999984</v>
      </c>
      <c r="EK136" s="55">
        <f t="shared" si="796"/>
        <v>0.66999999999999982</v>
      </c>
      <c r="EL136" s="55">
        <f t="shared" si="796"/>
        <v>0.6499999999999998</v>
      </c>
      <c r="EM136" s="55">
        <f t="shared" si="796"/>
        <v>0.62999999999999978</v>
      </c>
      <c r="EN136" s="55">
        <f t="shared" si="796"/>
        <v>0.60999999999999976</v>
      </c>
      <c r="EO136" s="55">
        <f t="shared" si="796"/>
        <v>0.58999999999999975</v>
      </c>
      <c r="EP136" s="55">
        <f t="shared" si="796"/>
        <v>0.56999999999999973</v>
      </c>
      <c r="ER136" s="55">
        <f t="shared" si="652"/>
        <v>0</v>
      </c>
      <c r="ES136" s="55">
        <f t="shared" si="514"/>
        <v>0</v>
      </c>
      <c r="ET136" s="59">
        <f t="shared" ref="ET136:ET146" si="889">+ES136*3.3058</f>
        <v>0</v>
      </c>
      <c r="EU136" s="55">
        <f t="shared" ref="EU136:EU146" si="890">+ES136*GN136</f>
        <v>0</v>
      </c>
      <c r="EV136" s="59">
        <f t="shared" ref="EV136:EV146" si="891">+EU136*3.3058</f>
        <v>0</v>
      </c>
      <c r="EW136" s="55">
        <f t="shared" ref="EW136:EW146" si="892">+ES136*GO136</f>
        <v>0</v>
      </c>
      <c r="EX136" s="59">
        <f t="shared" ref="EX136:EX146" si="893">+EW136*3.3058</f>
        <v>0</v>
      </c>
      <c r="EY136" s="55">
        <f t="shared" ref="EY136:EY146" si="894">+ES136*GP136</f>
        <v>0</v>
      </c>
      <c r="EZ136" s="59">
        <f t="shared" ref="EZ136:EZ146" si="895">+EY136*3.3058</f>
        <v>0</v>
      </c>
      <c r="FA136" s="57">
        <f t="shared" ref="FA136:FA146" si="896">+ES136*GQ136</f>
        <v>0</v>
      </c>
      <c r="FB136" s="59">
        <f t="shared" ref="FB136:FB146" si="897">+FA136*3.3058</f>
        <v>0</v>
      </c>
      <c r="FC136" s="55">
        <f t="shared" ref="FC136:FC146" si="898">+ES136*GR136</f>
        <v>0</v>
      </c>
      <c r="FD136" s="59">
        <f t="shared" ref="FD136:FD146" si="899">+FC136*3.3058</f>
        <v>0</v>
      </c>
      <c r="FE136" s="57">
        <f t="shared" ref="FE136:FE146" si="900">+ES136*GS136</f>
        <v>0</v>
      </c>
      <c r="FF136" s="59">
        <f t="shared" ref="FF136:FF146" si="901">+FE136*3.3058</f>
        <v>0</v>
      </c>
      <c r="FG136" s="60">
        <f t="shared" ref="FG136:FG146" si="902">+ES136*GT136</f>
        <v>0</v>
      </c>
      <c r="FH136" s="59">
        <f t="shared" ref="FH136:FH146" si="903">+FG136*3.3058</f>
        <v>0</v>
      </c>
      <c r="FI136" s="57">
        <f t="shared" ref="FI136:FI146" si="904">+ES136*GU136</f>
        <v>0</v>
      </c>
      <c r="FJ136" s="59">
        <f t="shared" ref="FJ136:FJ146" si="905">+FI136*3.3058</f>
        <v>0</v>
      </c>
      <c r="FK136" s="55">
        <f t="shared" ref="FK136:FK146" si="906">+ES136*GV136</f>
        <v>0</v>
      </c>
      <c r="FL136" s="59">
        <f t="shared" ref="FL136:FL146" si="907">+FK136*3.3058</f>
        <v>0</v>
      </c>
      <c r="FM136" s="60">
        <f t="shared" ref="FM136:FM146" si="908">+ES136*GW136</f>
        <v>0</v>
      </c>
      <c r="FN136" s="59">
        <f t="shared" ref="FN136:FN146" si="909">+FM136*3.3058</f>
        <v>0</v>
      </c>
      <c r="FO136" s="60">
        <f t="shared" ref="FO136:FO146" si="910">+ES136*GX136</f>
        <v>0</v>
      </c>
      <c r="FP136" s="59">
        <f t="shared" ref="FP136:FP146" si="911">+FO136*3.3058</f>
        <v>0</v>
      </c>
      <c r="FQ136" s="60">
        <f t="shared" ref="FQ136:FQ146" si="912">+ES136*GY136</f>
        <v>0</v>
      </c>
      <c r="FR136" s="59">
        <f t="shared" ref="FR136:FR146" si="913">+FQ136*3.3058</f>
        <v>0</v>
      </c>
      <c r="FS136" s="55">
        <f t="shared" ref="FS136:FS146" si="914">+ES136*GZ136</f>
        <v>0</v>
      </c>
      <c r="FT136" s="59">
        <f t="shared" ref="FT136:FT146" si="915">+FS136*3.3058</f>
        <v>0</v>
      </c>
      <c r="FU136" s="60">
        <f t="shared" ref="FU136:FU146" si="916">+ES136*HA136</f>
        <v>0</v>
      </c>
      <c r="FV136" s="59">
        <f t="shared" ref="FV136:FV146" si="917">+FU136*3.3058</f>
        <v>0</v>
      </c>
      <c r="FW136" s="60">
        <f t="shared" ref="FW136:FW146" si="918">+ES136*HB136</f>
        <v>0</v>
      </c>
      <c r="FX136" s="59">
        <f t="shared" ref="FX136:FX146" si="919">+FW136*3.3058</f>
        <v>0</v>
      </c>
      <c r="FY136" s="60">
        <f t="shared" ref="FY136:FY146" si="920">+ES136*HC136</f>
        <v>0</v>
      </c>
      <c r="FZ136" s="59">
        <f t="shared" ref="FZ136:FZ146" si="921">+FY136*3.3058</f>
        <v>0</v>
      </c>
      <c r="GA136" s="60">
        <f t="shared" ref="GA136:GA146" si="922">+ES136*HD136</f>
        <v>0</v>
      </c>
      <c r="GB136" s="59">
        <f t="shared" ref="GB136:GB146" si="923">+GA136*3.3058</f>
        <v>0</v>
      </c>
      <c r="GC136" s="55">
        <f t="shared" ref="GC136:GC146" si="924">+ES136*HE136</f>
        <v>0</v>
      </c>
      <c r="GD136" s="59">
        <f t="shared" ref="GD136:GD146" si="925">+GC136*3.3058</f>
        <v>0</v>
      </c>
      <c r="GE136" s="60">
        <f t="shared" ref="GE136:GE146" si="926">+ES136*HF136</f>
        <v>0</v>
      </c>
      <c r="GF136" s="59">
        <f t="shared" ref="GF136:GF146" si="927">+GE136*3.3058</f>
        <v>0</v>
      </c>
      <c r="GG136" s="60">
        <f t="shared" ref="GG136:GG146" si="928">+ES136*HG136</f>
        <v>0</v>
      </c>
      <c r="GH136" s="59">
        <f t="shared" ref="GH136:GH146" si="929">+GG136*3.3058</f>
        <v>0</v>
      </c>
      <c r="GI136" s="55">
        <f t="shared" ref="GI136:GI146" si="930">+ES136*HH136</f>
        <v>0</v>
      </c>
      <c r="GJ136" s="59">
        <f t="shared" ref="GJ136:GJ146" si="931">+GI136*3.3058</f>
        <v>0</v>
      </c>
      <c r="GK136" s="55"/>
      <c r="GL136" s="55"/>
      <c r="GM136" s="55">
        <v>1</v>
      </c>
      <c r="GN136" s="55">
        <v>0.97</v>
      </c>
      <c r="GO136" s="55">
        <v>0.95</v>
      </c>
      <c r="GP136" s="55">
        <v>0.93</v>
      </c>
      <c r="GQ136" s="55">
        <f t="shared" si="797"/>
        <v>0.91</v>
      </c>
      <c r="GR136" s="55">
        <f t="shared" si="797"/>
        <v>0.89</v>
      </c>
      <c r="GS136" s="55">
        <f t="shared" si="797"/>
        <v>0.87</v>
      </c>
      <c r="GT136" s="55">
        <f t="shared" si="797"/>
        <v>0.85</v>
      </c>
      <c r="GU136" s="55">
        <f t="shared" si="797"/>
        <v>0.83</v>
      </c>
      <c r="GV136" s="55">
        <f t="shared" si="797"/>
        <v>0.80999999999999994</v>
      </c>
      <c r="GW136" s="55">
        <f t="shared" si="797"/>
        <v>0.78999999999999992</v>
      </c>
      <c r="GX136" s="55">
        <f t="shared" si="797"/>
        <v>0.76999999999999991</v>
      </c>
      <c r="GY136" s="55">
        <f t="shared" si="797"/>
        <v>0.74999999999999989</v>
      </c>
      <c r="GZ136" s="55">
        <f t="shared" si="797"/>
        <v>0.72999999999999987</v>
      </c>
      <c r="HA136" s="55">
        <f t="shared" si="797"/>
        <v>0.70999999999999985</v>
      </c>
      <c r="HB136" s="55">
        <f t="shared" si="797"/>
        <v>0.68999999999999984</v>
      </c>
      <c r="HC136" s="55">
        <f t="shared" si="797"/>
        <v>0.66999999999999982</v>
      </c>
      <c r="HD136" s="55">
        <f t="shared" si="797"/>
        <v>0.6499999999999998</v>
      </c>
      <c r="HE136" s="55">
        <f t="shared" si="797"/>
        <v>0.62999999999999978</v>
      </c>
      <c r="HF136" s="55">
        <f t="shared" si="797"/>
        <v>0.60999999999999976</v>
      </c>
      <c r="HG136" s="55">
        <f t="shared" si="797"/>
        <v>0.58999999999999975</v>
      </c>
      <c r="HH136" s="55">
        <f t="shared" si="797"/>
        <v>0.56999999999999973</v>
      </c>
    </row>
    <row r="137" spans="1:216" x14ac:dyDescent="0.3">
      <c r="A137" s="2">
        <v>2</v>
      </c>
      <c r="C137" s="38" t="s">
        <v>47</v>
      </c>
      <c r="D137" s="42">
        <f>TRUNC(4613+2538,-1)</f>
        <v>7150</v>
      </c>
      <c r="E137" s="71">
        <f t="shared" si="802"/>
        <v>23630</v>
      </c>
      <c r="F137" s="2" t="s">
        <v>314</v>
      </c>
      <c r="H137" s="55">
        <f t="shared" si="509"/>
        <v>25993.000000000004</v>
      </c>
      <c r="I137" s="55">
        <f t="shared" si="510"/>
        <v>25993.000000000004</v>
      </c>
      <c r="J137" s="59">
        <f t="shared" si="511"/>
        <v>85927.659400000019</v>
      </c>
      <c r="K137" s="55">
        <f t="shared" si="803"/>
        <v>25213.210000000003</v>
      </c>
      <c r="L137" s="59">
        <f t="shared" si="804"/>
        <v>83349.829618000018</v>
      </c>
      <c r="M137" s="55">
        <f t="shared" si="805"/>
        <v>24693.350000000002</v>
      </c>
      <c r="N137" s="59">
        <f t="shared" si="806"/>
        <v>81631.276430000013</v>
      </c>
      <c r="O137" s="55">
        <f t="shared" si="807"/>
        <v>24173.490000000005</v>
      </c>
      <c r="P137" s="59">
        <f t="shared" si="808"/>
        <v>79912.723242000022</v>
      </c>
      <c r="Q137" s="57">
        <f t="shared" si="809"/>
        <v>23653.630000000005</v>
      </c>
      <c r="R137" s="59">
        <f t="shared" si="810"/>
        <v>78194.170054000017</v>
      </c>
      <c r="S137" s="55">
        <f t="shared" si="811"/>
        <v>23133.770000000004</v>
      </c>
      <c r="T137" s="59">
        <f t="shared" si="812"/>
        <v>76475.616866000011</v>
      </c>
      <c r="U137" s="57">
        <f t="shared" si="813"/>
        <v>22613.910000000003</v>
      </c>
      <c r="V137" s="59">
        <f t="shared" si="814"/>
        <v>74757.063678000006</v>
      </c>
      <c r="W137" s="60">
        <f t="shared" si="815"/>
        <v>22094.050000000003</v>
      </c>
      <c r="X137" s="59">
        <f t="shared" si="816"/>
        <v>73038.510490000015</v>
      </c>
      <c r="Y137" s="57">
        <f t="shared" si="817"/>
        <v>21574.190000000002</v>
      </c>
      <c r="Z137" s="59">
        <f t="shared" si="818"/>
        <v>71319.95730200001</v>
      </c>
      <c r="AA137" s="55">
        <f t="shared" si="819"/>
        <v>21054.33</v>
      </c>
      <c r="AB137" s="59">
        <f t="shared" si="820"/>
        <v>69601.404114000004</v>
      </c>
      <c r="AC137" s="60">
        <f t="shared" si="821"/>
        <v>20534.47</v>
      </c>
      <c r="AD137" s="59">
        <f t="shared" si="822"/>
        <v>67882.850925999999</v>
      </c>
      <c r="AE137" s="60">
        <f t="shared" si="823"/>
        <v>20014.61</v>
      </c>
      <c r="AF137" s="59">
        <f t="shared" si="824"/>
        <v>66164.297738000008</v>
      </c>
      <c r="AG137" s="60">
        <f t="shared" si="825"/>
        <v>19494.75</v>
      </c>
      <c r="AH137" s="59">
        <f t="shared" si="826"/>
        <v>64445.744550000003</v>
      </c>
      <c r="AI137" s="55">
        <f t="shared" si="827"/>
        <v>18974.89</v>
      </c>
      <c r="AJ137" s="59">
        <f t="shared" si="828"/>
        <v>62727.191361999998</v>
      </c>
      <c r="AK137" s="60">
        <f t="shared" si="829"/>
        <v>18455.03</v>
      </c>
      <c r="AL137" s="59">
        <f t="shared" si="830"/>
        <v>61008.638174</v>
      </c>
      <c r="AM137" s="60">
        <f t="shared" si="831"/>
        <v>17935.169999999998</v>
      </c>
      <c r="AN137" s="59">
        <f t="shared" si="832"/>
        <v>59290.084985999994</v>
      </c>
      <c r="AO137" s="60">
        <f t="shared" si="833"/>
        <v>17415.309999999998</v>
      </c>
      <c r="AP137" s="59">
        <f t="shared" si="834"/>
        <v>57571.531797999996</v>
      </c>
      <c r="AQ137" s="60">
        <f t="shared" si="835"/>
        <v>16895.449999999997</v>
      </c>
      <c r="AR137" s="59">
        <f t="shared" si="836"/>
        <v>55852.978609999991</v>
      </c>
      <c r="AS137" s="55">
        <f t="shared" si="837"/>
        <v>16375.589999999997</v>
      </c>
      <c r="AT137" s="59">
        <f t="shared" si="838"/>
        <v>54134.425421999993</v>
      </c>
      <c r="AU137" s="60">
        <f t="shared" si="839"/>
        <v>15855.729999999996</v>
      </c>
      <c r="AV137" s="59">
        <f t="shared" si="840"/>
        <v>52415.872233999988</v>
      </c>
      <c r="AW137" s="60">
        <f t="shared" si="841"/>
        <v>15335.869999999995</v>
      </c>
      <c r="AX137" s="59">
        <f t="shared" si="842"/>
        <v>50697.319045999982</v>
      </c>
      <c r="AY137" s="55">
        <f t="shared" si="843"/>
        <v>14816.009999999995</v>
      </c>
      <c r="AZ137" s="59">
        <f t="shared" si="844"/>
        <v>48978.765857999984</v>
      </c>
      <c r="BC137" s="55">
        <v>1</v>
      </c>
      <c r="BD137" s="55">
        <v>0.97</v>
      </c>
      <c r="BE137" s="55">
        <v>0.95</v>
      </c>
      <c r="BF137" s="55">
        <v>0.93</v>
      </c>
      <c r="BG137" s="55">
        <f t="shared" si="845"/>
        <v>0.91</v>
      </c>
      <c r="BH137" s="55">
        <f t="shared" si="845"/>
        <v>0.89</v>
      </c>
      <c r="BI137" s="55">
        <f t="shared" si="845"/>
        <v>0.87</v>
      </c>
      <c r="BJ137" s="55">
        <f t="shared" si="845"/>
        <v>0.85</v>
      </c>
      <c r="BK137" s="55">
        <f t="shared" si="845"/>
        <v>0.83</v>
      </c>
      <c r="BL137" s="55">
        <f t="shared" si="845"/>
        <v>0.80999999999999994</v>
      </c>
      <c r="BM137" s="55">
        <f t="shared" si="845"/>
        <v>0.78999999999999992</v>
      </c>
      <c r="BN137" s="55">
        <f t="shared" si="845"/>
        <v>0.76999999999999991</v>
      </c>
      <c r="BO137" s="55">
        <f t="shared" si="845"/>
        <v>0.74999999999999989</v>
      </c>
      <c r="BP137" s="55">
        <f t="shared" si="845"/>
        <v>0.72999999999999987</v>
      </c>
      <c r="BQ137" s="55">
        <f t="shared" si="845"/>
        <v>0.70999999999999985</v>
      </c>
      <c r="BR137" s="55">
        <f t="shared" si="845"/>
        <v>0.68999999999999984</v>
      </c>
      <c r="BS137" s="55">
        <f t="shared" si="845"/>
        <v>0.66999999999999982</v>
      </c>
      <c r="BT137" s="55">
        <f t="shared" si="845"/>
        <v>0.6499999999999998</v>
      </c>
      <c r="BU137" s="55">
        <f t="shared" si="845"/>
        <v>0.62999999999999978</v>
      </c>
      <c r="BV137" s="55">
        <f t="shared" si="845"/>
        <v>0.60999999999999976</v>
      </c>
      <c r="BW137" s="55">
        <f t="shared" si="845"/>
        <v>0.58999999999999975</v>
      </c>
      <c r="BX137" s="55">
        <f t="shared" si="845"/>
        <v>0.56999999999999973</v>
      </c>
      <c r="BZ137" s="55">
        <f t="shared" si="512"/>
        <v>23653.630000000005</v>
      </c>
      <c r="CA137" s="55">
        <f t="shared" si="513"/>
        <v>23653.630000000005</v>
      </c>
      <c r="CB137" s="59">
        <f t="shared" si="846"/>
        <v>78194.170054000017</v>
      </c>
      <c r="CC137" s="55">
        <f t="shared" si="847"/>
        <v>22944.021100000005</v>
      </c>
      <c r="CD137" s="59">
        <f t="shared" si="848"/>
        <v>75848.344952380023</v>
      </c>
      <c r="CE137" s="55">
        <f t="shared" si="849"/>
        <v>22470.948500000002</v>
      </c>
      <c r="CF137" s="59">
        <f t="shared" si="850"/>
        <v>74284.461551300003</v>
      </c>
      <c r="CG137" s="55">
        <f t="shared" si="851"/>
        <v>21997.875900000006</v>
      </c>
      <c r="CH137" s="59">
        <f t="shared" si="852"/>
        <v>72720.578150220026</v>
      </c>
      <c r="CI137" s="57">
        <f t="shared" si="853"/>
        <v>21524.803300000003</v>
      </c>
      <c r="CJ137" s="59">
        <f t="shared" si="854"/>
        <v>71156.694749140006</v>
      </c>
      <c r="CK137" s="55">
        <f t="shared" si="855"/>
        <v>21051.730700000004</v>
      </c>
      <c r="CL137" s="59">
        <f t="shared" si="856"/>
        <v>69592.811348060015</v>
      </c>
      <c r="CM137" s="57">
        <f t="shared" si="857"/>
        <v>20578.658100000004</v>
      </c>
      <c r="CN137" s="59">
        <f t="shared" si="858"/>
        <v>68028.927946980009</v>
      </c>
      <c r="CO137" s="60">
        <f t="shared" si="859"/>
        <v>20105.585500000005</v>
      </c>
      <c r="CP137" s="59">
        <f t="shared" si="860"/>
        <v>66465.044545900018</v>
      </c>
      <c r="CQ137" s="57">
        <f t="shared" si="861"/>
        <v>19632.512900000002</v>
      </c>
      <c r="CR137" s="59">
        <f t="shared" si="862"/>
        <v>64901.161144820006</v>
      </c>
      <c r="CS137" s="55">
        <f t="shared" si="863"/>
        <v>19159.440300000002</v>
      </c>
      <c r="CT137" s="59">
        <f t="shared" si="864"/>
        <v>63337.277743740007</v>
      </c>
      <c r="CU137" s="60">
        <f t="shared" si="865"/>
        <v>18686.367700000003</v>
      </c>
      <c r="CV137" s="59">
        <f t="shared" si="866"/>
        <v>61773.394342660009</v>
      </c>
      <c r="CW137" s="60">
        <f t="shared" si="867"/>
        <v>18213.295100000003</v>
      </c>
      <c r="CX137" s="59">
        <f t="shared" si="868"/>
        <v>60209.510941580011</v>
      </c>
      <c r="CY137" s="60">
        <f t="shared" si="869"/>
        <v>17740.2225</v>
      </c>
      <c r="CZ137" s="59">
        <f t="shared" si="870"/>
        <v>58645.627540499998</v>
      </c>
      <c r="DA137" s="55">
        <f t="shared" si="871"/>
        <v>17267.1499</v>
      </c>
      <c r="DB137" s="59">
        <f t="shared" si="872"/>
        <v>57081.74413942</v>
      </c>
      <c r="DC137" s="60">
        <f t="shared" si="873"/>
        <v>16794.077300000001</v>
      </c>
      <c r="DD137" s="59">
        <f t="shared" si="874"/>
        <v>55517.860738340001</v>
      </c>
      <c r="DE137" s="60">
        <f t="shared" si="875"/>
        <v>16321.0047</v>
      </c>
      <c r="DF137" s="59">
        <f t="shared" si="876"/>
        <v>53953.977337260003</v>
      </c>
      <c r="DG137" s="60">
        <f t="shared" si="877"/>
        <v>15847.932099999998</v>
      </c>
      <c r="DH137" s="59">
        <f t="shared" si="878"/>
        <v>52390.093936179997</v>
      </c>
      <c r="DI137" s="60">
        <f t="shared" si="879"/>
        <v>15374.859499999999</v>
      </c>
      <c r="DJ137" s="59">
        <f t="shared" si="880"/>
        <v>50826.210535099999</v>
      </c>
      <c r="DK137" s="55">
        <f t="shared" si="881"/>
        <v>14901.786899999997</v>
      </c>
      <c r="DL137" s="59">
        <f t="shared" si="882"/>
        <v>49262.327134019994</v>
      </c>
      <c r="DM137" s="60">
        <f t="shared" si="883"/>
        <v>14428.714299999998</v>
      </c>
      <c r="DN137" s="59">
        <f t="shared" si="884"/>
        <v>47698.443732939995</v>
      </c>
      <c r="DO137" s="60">
        <f t="shared" si="885"/>
        <v>13955.641699999996</v>
      </c>
      <c r="DP137" s="59">
        <f t="shared" si="886"/>
        <v>46134.56033185999</v>
      </c>
      <c r="DQ137" s="55">
        <f t="shared" si="887"/>
        <v>13482.569099999997</v>
      </c>
      <c r="DR137" s="59">
        <f t="shared" si="888"/>
        <v>44570.676930779991</v>
      </c>
      <c r="DU137" s="55">
        <v>1</v>
      </c>
      <c r="DV137" s="55">
        <v>0.97</v>
      </c>
      <c r="DW137" s="55">
        <v>0.95</v>
      </c>
      <c r="DX137" s="55">
        <v>0.93</v>
      </c>
      <c r="DY137" s="55">
        <f t="shared" si="796"/>
        <v>0.91</v>
      </c>
      <c r="DZ137" s="55">
        <f t="shared" si="796"/>
        <v>0.89</v>
      </c>
      <c r="EA137" s="55">
        <f t="shared" si="796"/>
        <v>0.87</v>
      </c>
      <c r="EB137" s="55">
        <f t="shared" si="796"/>
        <v>0.85</v>
      </c>
      <c r="EC137" s="55">
        <f t="shared" si="796"/>
        <v>0.83</v>
      </c>
      <c r="ED137" s="55">
        <f t="shared" si="796"/>
        <v>0.80999999999999994</v>
      </c>
      <c r="EE137" s="55">
        <f t="shared" si="796"/>
        <v>0.78999999999999992</v>
      </c>
      <c r="EF137" s="55">
        <f t="shared" si="796"/>
        <v>0.76999999999999991</v>
      </c>
      <c r="EG137" s="55">
        <f t="shared" si="796"/>
        <v>0.74999999999999989</v>
      </c>
      <c r="EH137" s="55">
        <f t="shared" si="796"/>
        <v>0.72999999999999987</v>
      </c>
      <c r="EI137" s="55">
        <f t="shared" si="796"/>
        <v>0.70999999999999985</v>
      </c>
      <c r="EJ137" s="55">
        <f t="shared" si="796"/>
        <v>0.68999999999999984</v>
      </c>
      <c r="EK137" s="55">
        <f t="shared" si="796"/>
        <v>0.66999999999999982</v>
      </c>
      <c r="EL137" s="55">
        <f t="shared" si="796"/>
        <v>0.6499999999999998</v>
      </c>
      <c r="EM137" s="55">
        <f t="shared" si="796"/>
        <v>0.62999999999999978</v>
      </c>
      <c r="EN137" s="55">
        <f t="shared" si="796"/>
        <v>0.60999999999999976</v>
      </c>
      <c r="EO137" s="55">
        <f t="shared" si="796"/>
        <v>0.58999999999999975</v>
      </c>
      <c r="EP137" s="55">
        <f t="shared" si="796"/>
        <v>0.56999999999999973</v>
      </c>
      <c r="ER137" s="55">
        <f t="shared" si="652"/>
        <v>21524.803300000003</v>
      </c>
      <c r="ES137" s="55">
        <f t="shared" si="514"/>
        <v>21524.803300000003</v>
      </c>
      <c r="ET137" s="59">
        <f t="shared" si="889"/>
        <v>71156.694749140006</v>
      </c>
      <c r="EU137" s="55">
        <f t="shared" si="890"/>
        <v>20879.059201000004</v>
      </c>
      <c r="EV137" s="59">
        <f t="shared" si="891"/>
        <v>69021.993906665812</v>
      </c>
      <c r="EW137" s="55">
        <f t="shared" si="892"/>
        <v>20448.563135</v>
      </c>
      <c r="EX137" s="59">
        <f t="shared" si="893"/>
        <v>67598.860011683006</v>
      </c>
      <c r="EY137" s="55">
        <f t="shared" si="894"/>
        <v>20018.067069000004</v>
      </c>
      <c r="EZ137" s="59">
        <f t="shared" si="895"/>
        <v>66175.726116700214</v>
      </c>
      <c r="FA137" s="57">
        <f t="shared" si="896"/>
        <v>19587.571003000005</v>
      </c>
      <c r="FB137" s="59">
        <f t="shared" si="897"/>
        <v>64752.592221717416</v>
      </c>
      <c r="FC137" s="55">
        <f t="shared" si="898"/>
        <v>19157.074937000005</v>
      </c>
      <c r="FD137" s="59">
        <f t="shared" si="899"/>
        <v>63329.458326734617</v>
      </c>
      <c r="FE137" s="57">
        <f t="shared" si="900"/>
        <v>18726.578871000002</v>
      </c>
      <c r="FF137" s="59">
        <f t="shared" si="901"/>
        <v>61906.324431751804</v>
      </c>
      <c r="FG137" s="60">
        <f t="shared" si="902"/>
        <v>18296.082805000002</v>
      </c>
      <c r="FH137" s="59">
        <f t="shared" si="903"/>
        <v>60483.190536769005</v>
      </c>
      <c r="FI137" s="57">
        <f t="shared" si="904"/>
        <v>17865.586739000002</v>
      </c>
      <c r="FJ137" s="59">
        <f t="shared" si="905"/>
        <v>59060.056641786206</v>
      </c>
      <c r="FK137" s="55">
        <f t="shared" si="906"/>
        <v>17435.090673000002</v>
      </c>
      <c r="FL137" s="59">
        <f t="shared" si="907"/>
        <v>57636.922746803408</v>
      </c>
      <c r="FM137" s="60">
        <f t="shared" si="908"/>
        <v>17004.594607000003</v>
      </c>
      <c r="FN137" s="59">
        <f t="shared" si="909"/>
        <v>56213.788851820609</v>
      </c>
      <c r="FO137" s="60">
        <f t="shared" si="910"/>
        <v>16574.098540999999</v>
      </c>
      <c r="FP137" s="59">
        <f t="shared" si="911"/>
        <v>54790.654956837796</v>
      </c>
      <c r="FQ137" s="60">
        <f t="shared" si="912"/>
        <v>16143.602475</v>
      </c>
      <c r="FR137" s="59">
        <f t="shared" si="913"/>
        <v>53367.521061854997</v>
      </c>
      <c r="FS137" s="55">
        <f t="shared" si="914"/>
        <v>15713.106409</v>
      </c>
      <c r="FT137" s="59">
        <f t="shared" si="915"/>
        <v>51944.387166872199</v>
      </c>
      <c r="FU137" s="60">
        <f t="shared" si="916"/>
        <v>15282.610342999998</v>
      </c>
      <c r="FV137" s="59">
        <f t="shared" si="917"/>
        <v>50521.253271889393</v>
      </c>
      <c r="FW137" s="60">
        <f t="shared" si="918"/>
        <v>14852.114276999999</v>
      </c>
      <c r="FX137" s="59">
        <f t="shared" si="919"/>
        <v>49098.119376906594</v>
      </c>
      <c r="FY137" s="60">
        <f t="shared" si="920"/>
        <v>14421.618210999999</v>
      </c>
      <c r="FZ137" s="59">
        <f t="shared" si="921"/>
        <v>47674.985481923795</v>
      </c>
      <c r="GA137" s="60">
        <f t="shared" si="922"/>
        <v>13991.122144999998</v>
      </c>
      <c r="GB137" s="59">
        <f t="shared" si="923"/>
        <v>46251.851586940989</v>
      </c>
      <c r="GC137" s="55">
        <f t="shared" si="924"/>
        <v>13560.626078999998</v>
      </c>
      <c r="GD137" s="59">
        <f t="shared" si="925"/>
        <v>44828.717691958191</v>
      </c>
      <c r="GE137" s="60">
        <f t="shared" si="926"/>
        <v>13130.130012999996</v>
      </c>
      <c r="GF137" s="59">
        <f t="shared" si="927"/>
        <v>43405.583796975392</v>
      </c>
      <c r="GG137" s="60">
        <f t="shared" si="928"/>
        <v>12699.633946999997</v>
      </c>
      <c r="GH137" s="59">
        <f t="shared" si="929"/>
        <v>41982.449901992593</v>
      </c>
      <c r="GI137" s="55">
        <f t="shared" si="930"/>
        <v>12269.137880999995</v>
      </c>
      <c r="GJ137" s="59">
        <f t="shared" si="931"/>
        <v>40559.316007009787</v>
      </c>
      <c r="GK137" s="55"/>
      <c r="GL137" s="55"/>
      <c r="GM137" s="55">
        <v>1</v>
      </c>
      <c r="GN137" s="55">
        <v>0.97</v>
      </c>
      <c r="GO137" s="55">
        <v>0.95</v>
      </c>
      <c r="GP137" s="55">
        <v>0.93</v>
      </c>
      <c r="GQ137" s="55">
        <f t="shared" si="797"/>
        <v>0.91</v>
      </c>
      <c r="GR137" s="55">
        <f t="shared" si="797"/>
        <v>0.89</v>
      </c>
      <c r="GS137" s="55">
        <f t="shared" si="797"/>
        <v>0.87</v>
      </c>
      <c r="GT137" s="55">
        <f t="shared" si="797"/>
        <v>0.85</v>
      </c>
      <c r="GU137" s="55">
        <f t="shared" si="797"/>
        <v>0.83</v>
      </c>
      <c r="GV137" s="55">
        <f t="shared" si="797"/>
        <v>0.80999999999999994</v>
      </c>
      <c r="GW137" s="55">
        <f t="shared" si="797"/>
        <v>0.78999999999999992</v>
      </c>
      <c r="GX137" s="55">
        <f t="shared" si="797"/>
        <v>0.76999999999999991</v>
      </c>
      <c r="GY137" s="55">
        <f t="shared" si="797"/>
        <v>0.74999999999999989</v>
      </c>
      <c r="GZ137" s="55">
        <f t="shared" si="797"/>
        <v>0.72999999999999987</v>
      </c>
      <c r="HA137" s="55">
        <f t="shared" si="797"/>
        <v>0.70999999999999985</v>
      </c>
      <c r="HB137" s="55">
        <f t="shared" si="797"/>
        <v>0.68999999999999984</v>
      </c>
      <c r="HC137" s="55">
        <f t="shared" si="797"/>
        <v>0.66999999999999982</v>
      </c>
      <c r="HD137" s="55">
        <f t="shared" si="797"/>
        <v>0.6499999999999998</v>
      </c>
      <c r="HE137" s="55">
        <f t="shared" si="797"/>
        <v>0.62999999999999978</v>
      </c>
      <c r="HF137" s="55">
        <f t="shared" si="797"/>
        <v>0.60999999999999976</v>
      </c>
      <c r="HG137" s="55">
        <f t="shared" si="797"/>
        <v>0.58999999999999975</v>
      </c>
      <c r="HH137" s="55">
        <f t="shared" si="797"/>
        <v>0.56999999999999973</v>
      </c>
    </row>
    <row r="138" spans="1:216" x14ac:dyDescent="0.3">
      <c r="A138" s="2">
        <v>3</v>
      </c>
      <c r="C138" s="38" t="s">
        <v>60</v>
      </c>
      <c r="D138" s="42">
        <v>0</v>
      </c>
      <c r="E138" s="71">
        <f t="shared" si="802"/>
        <v>0</v>
      </c>
      <c r="H138" s="55">
        <f t="shared" si="509"/>
        <v>0</v>
      </c>
      <c r="I138" s="55">
        <f t="shared" si="510"/>
        <v>0</v>
      </c>
      <c r="J138" s="59">
        <f t="shared" si="511"/>
        <v>0</v>
      </c>
      <c r="K138" s="55">
        <f t="shared" si="803"/>
        <v>0</v>
      </c>
      <c r="L138" s="59">
        <f t="shared" si="804"/>
        <v>0</v>
      </c>
      <c r="M138" s="55">
        <f t="shared" si="805"/>
        <v>0</v>
      </c>
      <c r="N138" s="59">
        <f t="shared" si="806"/>
        <v>0</v>
      </c>
      <c r="O138" s="55">
        <f t="shared" si="807"/>
        <v>0</v>
      </c>
      <c r="P138" s="59">
        <f t="shared" si="808"/>
        <v>0</v>
      </c>
      <c r="Q138" s="57">
        <f t="shared" si="809"/>
        <v>0</v>
      </c>
      <c r="R138" s="59">
        <f t="shared" si="810"/>
        <v>0</v>
      </c>
      <c r="S138" s="55">
        <f t="shared" si="811"/>
        <v>0</v>
      </c>
      <c r="T138" s="59">
        <f t="shared" si="812"/>
        <v>0</v>
      </c>
      <c r="U138" s="57">
        <f t="shared" si="813"/>
        <v>0</v>
      </c>
      <c r="V138" s="59">
        <f t="shared" si="814"/>
        <v>0</v>
      </c>
      <c r="W138" s="60">
        <f t="shared" si="815"/>
        <v>0</v>
      </c>
      <c r="X138" s="59">
        <f t="shared" si="816"/>
        <v>0</v>
      </c>
      <c r="Y138" s="57">
        <f t="shared" si="817"/>
        <v>0</v>
      </c>
      <c r="Z138" s="59">
        <f t="shared" si="818"/>
        <v>0</v>
      </c>
      <c r="AA138" s="55">
        <f t="shared" si="819"/>
        <v>0</v>
      </c>
      <c r="AB138" s="59">
        <f t="shared" si="820"/>
        <v>0</v>
      </c>
      <c r="AC138" s="60">
        <f t="shared" si="821"/>
        <v>0</v>
      </c>
      <c r="AD138" s="59">
        <f t="shared" si="822"/>
        <v>0</v>
      </c>
      <c r="AE138" s="60">
        <f t="shared" si="823"/>
        <v>0</v>
      </c>
      <c r="AF138" s="59">
        <f t="shared" si="824"/>
        <v>0</v>
      </c>
      <c r="AG138" s="60">
        <f t="shared" si="825"/>
        <v>0</v>
      </c>
      <c r="AH138" s="59">
        <f t="shared" si="826"/>
        <v>0</v>
      </c>
      <c r="AI138" s="55">
        <f t="shared" si="827"/>
        <v>0</v>
      </c>
      <c r="AJ138" s="59">
        <f t="shared" si="828"/>
        <v>0</v>
      </c>
      <c r="AK138" s="60">
        <f t="shared" si="829"/>
        <v>0</v>
      </c>
      <c r="AL138" s="59">
        <f t="shared" si="830"/>
        <v>0</v>
      </c>
      <c r="AM138" s="60">
        <f t="shared" si="831"/>
        <v>0</v>
      </c>
      <c r="AN138" s="59">
        <f t="shared" si="832"/>
        <v>0</v>
      </c>
      <c r="AO138" s="60">
        <f t="shared" si="833"/>
        <v>0</v>
      </c>
      <c r="AP138" s="59">
        <f t="shared" si="834"/>
        <v>0</v>
      </c>
      <c r="AQ138" s="60">
        <f t="shared" si="835"/>
        <v>0</v>
      </c>
      <c r="AR138" s="59">
        <f t="shared" si="836"/>
        <v>0</v>
      </c>
      <c r="AS138" s="55">
        <f t="shared" si="837"/>
        <v>0</v>
      </c>
      <c r="AT138" s="59">
        <f t="shared" si="838"/>
        <v>0</v>
      </c>
      <c r="AU138" s="60">
        <f t="shared" si="839"/>
        <v>0</v>
      </c>
      <c r="AV138" s="59">
        <f t="shared" si="840"/>
        <v>0</v>
      </c>
      <c r="AW138" s="60">
        <f t="shared" si="841"/>
        <v>0</v>
      </c>
      <c r="AX138" s="59">
        <f t="shared" si="842"/>
        <v>0</v>
      </c>
      <c r="AY138" s="55">
        <f t="shared" si="843"/>
        <v>0</v>
      </c>
      <c r="AZ138" s="59">
        <f t="shared" si="844"/>
        <v>0</v>
      </c>
      <c r="BC138" s="55">
        <v>1</v>
      </c>
      <c r="BD138" s="55">
        <v>0.97</v>
      </c>
      <c r="BE138" s="55">
        <v>0.95</v>
      </c>
      <c r="BF138" s="55">
        <v>0.93</v>
      </c>
      <c r="BG138" s="55">
        <f t="shared" si="845"/>
        <v>0.91</v>
      </c>
      <c r="BH138" s="55">
        <f t="shared" si="845"/>
        <v>0.89</v>
      </c>
      <c r="BI138" s="55">
        <f t="shared" si="845"/>
        <v>0.87</v>
      </c>
      <c r="BJ138" s="55">
        <f t="shared" si="845"/>
        <v>0.85</v>
      </c>
      <c r="BK138" s="55">
        <f t="shared" si="845"/>
        <v>0.83</v>
      </c>
      <c r="BL138" s="55">
        <f t="shared" si="845"/>
        <v>0.80999999999999994</v>
      </c>
      <c r="BM138" s="55">
        <f t="shared" si="845"/>
        <v>0.78999999999999992</v>
      </c>
      <c r="BN138" s="55">
        <f t="shared" si="845"/>
        <v>0.76999999999999991</v>
      </c>
      <c r="BO138" s="55">
        <f t="shared" si="845"/>
        <v>0.74999999999999989</v>
      </c>
      <c r="BP138" s="55">
        <f t="shared" si="845"/>
        <v>0.72999999999999987</v>
      </c>
      <c r="BQ138" s="55">
        <f t="shared" si="845"/>
        <v>0.70999999999999985</v>
      </c>
      <c r="BR138" s="55">
        <f t="shared" si="845"/>
        <v>0.68999999999999984</v>
      </c>
      <c r="BS138" s="55">
        <f t="shared" si="845"/>
        <v>0.66999999999999982</v>
      </c>
      <c r="BT138" s="55">
        <f t="shared" si="845"/>
        <v>0.6499999999999998</v>
      </c>
      <c r="BU138" s="55">
        <f t="shared" si="845"/>
        <v>0.62999999999999978</v>
      </c>
      <c r="BV138" s="55">
        <f t="shared" si="845"/>
        <v>0.60999999999999976</v>
      </c>
      <c r="BW138" s="55">
        <f t="shared" si="845"/>
        <v>0.58999999999999975</v>
      </c>
      <c r="BX138" s="55">
        <f t="shared" si="845"/>
        <v>0.56999999999999973</v>
      </c>
      <c r="BZ138" s="55">
        <f t="shared" si="512"/>
        <v>0</v>
      </c>
      <c r="CA138" s="55">
        <f t="shared" si="513"/>
        <v>0</v>
      </c>
      <c r="CB138" s="59">
        <f t="shared" si="846"/>
        <v>0</v>
      </c>
      <c r="CC138" s="55">
        <f t="shared" si="847"/>
        <v>0</v>
      </c>
      <c r="CD138" s="59">
        <f t="shared" si="848"/>
        <v>0</v>
      </c>
      <c r="CE138" s="55">
        <f t="shared" si="849"/>
        <v>0</v>
      </c>
      <c r="CF138" s="59">
        <f t="shared" si="850"/>
        <v>0</v>
      </c>
      <c r="CG138" s="55">
        <f t="shared" si="851"/>
        <v>0</v>
      </c>
      <c r="CH138" s="59">
        <f t="shared" si="852"/>
        <v>0</v>
      </c>
      <c r="CI138" s="57">
        <f t="shared" si="853"/>
        <v>0</v>
      </c>
      <c r="CJ138" s="59">
        <f t="shared" si="854"/>
        <v>0</v>
      </c>
      <c r="CK138" s="55">
        <f t="shared" si="855"/>
        <v>0</v>
      </c>
      <c r="CL138" s="59">
        <f t="shared" si="856"/>
        <v>0</v>
      </c>
      <c r="CM138" s="57">
        <f t="shared" si="857"/>
        <v>0</v>
      </c>
      <c r="CN138" s="59">
        <f t="shared" si="858"/>
        <v>0</v>
      </c>
      <c r="CO138" s="60">
        <f t="shared" si="859"/>
        <v>0</v>
      </c>
      <c r="CP138" s="59">
        <f t="shared" si="860"/>
        <v>0</v>
      </c>
      <c r="CQ138" s="57">
        <f t="shared" si="861"/>
        <v>0</v>
      </c>
      <c r="CR138" s="59">
        <f t="shared" si="862"/>
        <v>0</v>
      </c>
      <c r="CS138" s="55">
        <f t="shared" si="863"/>
        <v>0</v>
      </c>
      <c r="CT138" s="59">
        <f t="shared" si="864"/>
        <v>0</v>
      </c>
      <c r="CU138" s="60">
        <f t="shared" si="865"/>
        <v>0</v>
      </c>
      <c r="CV138" s="59">
        <f t="shared" si="866"/>
        <v>0</v>
      </c>
      <c r="CW138" s="60">
        <f t="shared" si="867"/>
        <v>0</v>
      </c>
      <c r="CX138" s="59">
        <f t="shared" si="868"/>
        <v>0</v>
      </c>
      <c r="CY138" s="60">
        <f t="shared" si="869"/>
        <v>0</v>
      </c>
      <c r="CZ138" s="59">
        <f t="shared" si="870"/>
        <v>0</v>
      </c>
      <c r="DA138" s="55">
        <f t="shared" si="871"/>
        <v>0</v>
      </c>
      <c r="DB138" s="59">
        <f t="shared" si="872"/>
        <v>0</v>
      </c>
      <c r="DC138" s="60">
        <f t="shared" si="873"/>
        <v>0</v>
      </c>
      <c r="DD138" s="59">
        <f t="shared" si="874"/>
        <v>0</v>
      </c>
      <c r="DE138" s="60">
        <f t="shared" si="875"/>
        <v>0</v>
      </c>
      <c r="DF138" s="59">
        <f t="shared" si="876"/>
        <v>0</v>
      </c>
      <c r="DG138" s="60">
        <f t="shared" si="877"/>
        <v>0</v>
      </c>
      <c r="DH138" s="59">
        <f t="shared" si="878"/>
        <v>0</v>
      </c>
      <c r="DI138" s="60">
        <f t="shared" si="879"/>
        <v>0</v>
      </c>
      <c r="DJ138" s="59">
        <f t="shared" si="880"/>
        <v>0</v>
      </c>
      <c r="DK138" s="55">
        <f t="shared" si="881"/>
        <v>0</v>
      </c>
      <c r="DL138" s="59">
        <f t="shared" si="882"/>
        <v>0</v>
      </c>
      <c r="DM138" s="60">
        <f t="shared" si="883"/>
        <v>0</v>
      </c>
      <c r="DN138" s="59">
        <f t="shared" si="884"/>
        <v>0</v>
      </c>
      <c r="DO138" s="60">
        <f t="shared" si="885"/>
        <v>0</v>
      </c>
      <c r="DP138" s="59">
        <f t="shared" si="886"/>
        <v>0</v>
      </c>
      <c r="DQ138" s="55">
        <f t="shared" si="887"/>
        <v>0</v>
      </c>
      <c r="DR138" s="59">
        <f t="shared" si="888"/>
        <v>0</v>
      </c>
      <c r="DU138" s="55">
        <v>1</v>
      </c>
      <c r="DV138" s="55">
        <v>0.97</v>
      </c>
      <c r="DW138" s="55">
        <v>0.95</v>
      </c>
      <c r="DX138" s="55">
        <v>0.93</v>
      </c>
      <c r="DY138" s="55">
        <f t="shared" si="796"/>
        <v>0.91</v>
      </c>
      <c r="DZ138" s="55">
        <f t="shared" si="796"/>
        <v>0.89</v>
      </c>
      <c r="EA138" s="55">
        <f t="shared" si="796"/>
        <v>0.87</v>
      </c>
      <c r="EB138" s="55">
        <f t="shared" si="796"/>
        <v>0.85</v>
      </c>
      <c r="EC138" s="55">
        <f t="shared" si="796"/>
        <v>0.83</v>
      </c>
      <c r="ED138" s="55">
        <f t="shared" si="796"/>
        <v>0.80999999999999994</v>
      </c>
      <c r="EE138" s="55">
        <f t="shared" si="796"/>
        <v>0.78999999999999992</v>
      </c>
      <c r="EF138" s="55">
        <f t="shared" si="796"/>
        <v>0.76999999999999991</v>
      </c>
      <c r="EG138" s="55">
        <f t="shared" si="796"/>
        <v>0.74999999999999989</v>
      </c>
      <c r="EH138" s="55">
        <f t="shared" si="796"/>
        <v>0.72999999999999987</v>
      </c>
      <c r="EI138" s="55">
        <f t="shared" si="796"/>
        <v>0.70999999999999985</v>
      </c>
      <c r="EJ138" s="55">
        <f t="shared" si="796"/>
        <v>0.68999999999999984</v>
      </c>
      <c r="EK138" s="55">
        <f t="shared" si="796"/>
        <v>0.66999999999999982</v>
      </c>
      <c r="EL138" s="55">
        <f t="shared" si="796"/>
        <v>0.6499999999999998</v>
      </c>
      <c r="EM138" s="55">
        <f t="shared" si="796"/>
        <v>0.62999999999999978</v>
      </c>
      <c r="EN138" s="55">
        <f t="shared" si="796"/>
        <v>0.60999999999999976</v>
      </c>
      <c r="EO138" s="55">
        <f t="shared" si="796"/>
        <v>0.58999999999999975</v>
      </c>
      <c r="EP138" s="55">
        <f t="shared" si="796"/>
        <v>0.56999999999999973</v>
      </c>
      <c r="ER138" s="55">
        <f t="shared" si="652"/>
        <v>0</v>
      </c>
      <c r="ES138" s="55">
        <f t="shared" si="514"/>
        <v>0</v>
      </c>
      <c r="ET138" s="59">
        <f t="shared" si="889"/>
        <v>0</v>
      </c>
      <c r="EU138" s="55">
        <f t="shared" si="890"/>
        <v>0</v>
      </c>
      <c r="EV138" s="59">
        <f t="shared" si="891"/>
        <v>0</v>
      </c>
      <c r="EW138" s="55">
        <f t="shared" si="892"/>
        <v>0</v>
      </c>
      <c r="EX138" s="59">
        <f t="shared" si="893"/>
        <v>0</v>
      </c>
      <c r="EY138" s="55">
        <f t="shared" si="894"/>
        <v>0</v>
      </c>
      <c r="EZ138" s="59">
        <f t="shared" si="895"/>
        <v>0</v>
      </c>
      <c r="FA138" s="57">
        <f t="shared" si="896"/>
        <v>0</v>
      </c>
      <c r="FB138" s="59">
        <f t="shared" si="897"/>
        <v>0</v>
      </c>
      <c r="FC138" s="55">
        <f t="shared" si="898"/>
        <v>0</v>
      </c>
      <c r="FD138" s="59">
        <f t="shared" si="899"/>
        <v>0</v>
      </c>
      <c r="FE138" s="57">
        <f t="shared" si="900"/>
        <v>0</v>
      </c>
      <c r="FF138" s="59">
        <f t="shared" si="901"/>
        <v>0</v>
      </c>
      <c r="FG138" s="60">
        <f t="shared" si="902"/>
        <v>0</v>
      </c>
      <c r="FH138" s="59">
        <f t="shared" si="903"/>
        <v>0</v>
      </c>
      <c r="FI138" s="57">
        <f t="shared" si="904"/>
        <v>0</v>
      </c>
      <c r="FJ138" s="59">
        <f t="shared" si="905"/>
        <v>0</v>
      </c>
      <c r="FK138" s="55">
        <f t="shared" si="906"/>
        <v>0</v>
      </c>
      <c r="FL138" s="59">
        <f t="shared" si="907"/>
        <v>0</v>
      </c>
      <c r="FM138" s="60">
        <f t="shared" si="908"/>
        <v>0</v>
      </c>
      <c r="FN138" s="59">
        <f t="shared" si="909"/>
        <v>0</v>
      </c>
      <c r="FO138" s="60">
        <f t="shared" si="910"/>
        <v>0</v>
      </c>
      <c r="FP138" s="59">
        <f t="shared" si="911"/>
        <v>0</v>
      </c>
      <c r="FQ138" s="60">
        <f t="shared" si="912"/>
        <v>0</v>
      </c>
      <c r="FR138" s="59">
        <f t="shared" si="913"/>
        <v>0</v>
      </c>
      <c r="FS138" s="55">
        <f t="shared" si="914"/>
        <v>0</v>
      </c>
      <c r="FT138" s="59">
        <f t="shared" si="915"/>
        <v>0</v>
      </c>
      <c r="FU138" s="60">
        <f t="shared" si="916"/>
        <v>0</v>
      </c>
      <c r="FV138" s="59">
        <f t="shared" si="917"/>
        <v>0</v>
      </c>
      <c r="FW138" s="60">
        <f t="shared" si="918"/>
        <v>0</v>
      </c>
      <c r="FX138" s="59">
        <f t="shared" si="919"/>
        <v>0</v>
      </c>
      <c r="FY138" s="60">
        <f t="shared" si="920"/>
        <v>0</v>
      </c>
      <c r="FZ138" s="59">
        <f t="shared" si="921"/>
        <v>0</v>
      </c>
      <c r="GA138" s="60">
        <f t="shared" si="922"/>
        <v>0</v>
      </c>
      <c r="GB138" s="59">
        <f t="shared" si="923"/>
        <v>0</v>
      </c>
      <c r="GC138" s="55">
        <f t="shared" si="924"/>
        <v>0</v>
      </c>
      <c r="GD138" s="59">
        <f t="shared" si="925"/>
        <v>0</v>
      </c>
      <c r="GE138" s="60">
        <f t="shared" si="926"/>
        <v>0</v>
      </c>
      <c r="GF138" s="59">
        <f t="shared" si="927"/>
        <v>0</v>
      </c>
      <c r="GG138" s="60">
        <f t="shared" si="928"/>
        <v>0</v>
      </c>
      <c r="GH138" s="59">
        <f t="shared" si="929"/>
        <v>0</v>
      </c>
      <c r="GI138" s="55">
        <f t="shared" si="930"/>
        <v>0</v>
      </c>
      <c r="GJ138" s="59">
        <f t="shared" si="931"/>
        <v>0</v>
      </c>
      <c r="GK138" s="55"/>
      <c r="GL138" s="55"/>
      <c r="GM138" s="55">
        <v>1</v>
      </c>
      <c r="GN138" s="55">
        <v>0.97</v>
      </c>
      <c r="GO138" s="55">
        <v>0.95</v>
      </c>
      <c r="GP138" s="55">
        <v>0.93</v>
      </c>
      <c r="GQ138" s="55">
        <f t="shared" si="797"/>
        <v>0.91</v>
      </c>
      <c r="GR138" s="55">
        <f t="shared" si="797"/>
        <v>0.89</v>
      </c>
      <c r="GS138" s="55">
        <f t="shared" si="797"/>
        <v>0.87</v>
      </c>
      <c r="GT138" s="55">
        <f t="shared" si="797"/>
        <v>0.85</v>
      </c>
      <c r="GU138" s="55">
        <f t="shared" si="797"/>
        <v>0.83</v>
      </c>
      <c r="GV138" s="55">
        <f t="shared" si="797"/>
        <v>0.80999999999999994</v>
      </c>
      <c r="GW138" s="55">
        <f t="shared" si="797"/>
        <v>0.78999999999999992</v>
      </c>
      <c r="GX138" s="55">
        <f t="shared" si="797"/>
        <v>0.76999999999999991</v>
      </c>
      <c r="GY138" s="55">
        <f t="shared" si="797"/>
        <v>0.74999999999999989</v>
      </c>
      <c r="GZ138" s="55">
        <f t="shared" si="797"/>
        <v>0.72999999999999987</v>
      </c>
      <c r="HA138" s="55">
        <f t="shared" si="797"/>
        <v>0.70999999999999985</v>
      </c>
      <c r="HB138" s="55">
        <f t="shared" si="797"/>
        <v>0.68999999999999984</v>
      </c>
      <c r="HC138" s="55">
        <f t="shared" si="797"/>
        <v>0.66999999999999982</v>
      </c>
      <c r="HD138" s="55">
        <f t="shared" si="797"/>
        <v>0.6499999999999998</v>
      </c>
      <c r="HE138" s="55">
        <f t="shared" si="797"/>
        <v>0.62999999999999978</v>
      </c>
      <c r="HF138" s="55">
        <f t="shared" si="797"/>
        <v>0.60999999999999976</v>
      </c>
      <c r="HG138" s="55">
        <f t="shared" si="797"/>
        <v>0.58999999999999975</v>
      </c>
      <c r="HH138" s="55">
        <f t="shared" si="797"/>
        <v>0.56999999999999973</v>
      </c>
    </row>
    <row r="139" spans="1:216" x14ac:dyDescent="0.3">
      <c r="A139" s="2">
        <v>4</v>
      </c>
      <c r="C139" s="38" t="s">
        <v>61</v>
      </c>
      <c r="D139" s="42">
        <f>TRUNC(2916,-1)</f>
        <v>2910</v>
      </c>
      <c r="E139" s="71">
        <f t="shared" si="802"/>
        <v>9610</v>
      </c>
      <c r="H139" s="55">
        <f t="shared" si="509"/>
        <v>10571</v>
      </c>
      <c r="I139" s="55">
        <f t="shared" si="510"/>
        <v>10571</v>
      </c>
      <c r="J139" s="59">
        <f t="shared" si="511"/>
        <v>34945.611799999999</v>
      </c>
      <c r="K139" s="55">
        <f t="shared" si="803"/>
        <v>10253.869999999999</v>
      </c>
      <c r="L139" s="59">
        <f t="shared" si="804"/>
        <v>33897.243446</v>
      </c>
      <c r="M139" s="55">
        <f t="shared" si="805"/>
        <v>10042.449999999999</v>
      </c>
      <c r="N139" s="59">
        <f t="shared" si="806"/>
        <v>33198.331209999997</v>
      </c>
      <c r="O139" s="55">
        <f t="shared" si="807"/>
        <v>9831.0300000000007</v>
      </c>
      <c r="P139" s="59">
        <f t="shared" si="808"/>
        <v>32499.418974000004</v>
      </c>
      <c r="Q139" s="57">
        <f t="shared" si="809"/>
        <v>9619.61</v>
      </c>
      <c r="R139" s="59">
        <f t="shared" si="810"/>
        <v>31800.506738000004</v>
      </c>
      <c r="S139" s="55">
        <f t="shared" si="811"/>
        <v>9408.19</v>
      </c>
      <c r="T139" s="59">
        <f t="shared" si="812"/>
        <v>31101.594502000004</v>
      </c>
      <c r="U139" s="57">
        <f t="shared" si="813"/>
        <v>9196.77</v>
      </c>
      <c r="V139" s="59">
        <f t="shared" si="814"/>
        <v>30402.682266000003</v>
      </c>
      <c r="W139" s="60">
        <f t="shared" si="815"/>
        <v>8985.35</v>
      </c>
      <c r="X139" s="59">
        <f t="shared" si="816"/>
        <v>29703.770030000003</v>
      </c>
      <c r="Y139" s="57">
        <f t="shared" si="817"/>
        <v>8773.93</v>
      </c>
      <c r="Z139" s="59">
        <f t="shared" si="818"/>
        <v>29004.857794000003</v>
      </c>
      <c r="AA139" s="55">
        <f t="shared" si="819"/>
        <v>8562.51</v>
      </c>
      <c r="AB139" s="59">
        <f t="shared" si="820"/>
        <v>28305.945558000003</v>
      </c>
      <c r="AC139" s="60">
        <f t="shared" si="821"/>
        <v>8351.0899999999983</v>
      </c>
      <c r="AD139" s="59">
        <f t="shared" si="822"/>
        <v>27607.033321999996</v>
      </c>
      <c r="AE139" s="60">
        <f t="shared" si="823"/>
        <v>8139.6699999999992</v>
      </c>
      <c r="AF139" s="59">
        <f t="shared" si="824"/>
        <v>26908.121085999999</v>
      </c>
      <c r="AG139" s="60">
        <f t="shared" si="825"/>
        <v>7928.2499999999991</v>
      </c>
      <c r="AH139" s="59">
        <f t="shared" si="826"/>
        <v>26209.208849999999</v>
      </c>
      <c r="AI139" s="55">
        <f t="shared" si="827"/>
        <v>7716.829999999999</v>
      </c>
      <c r="AJ139" s="59">
        <f t="shared" si="828"/>
        <v>25510.296613999999</v>
      </c>
      <c r="AK139" s="60">
        <f t="shared" si="829"/>
        <v>7505.409999999998</v>
      </c>
      <c r="AL139" s="59">
        <f t="shared" si="830"/>
        <v>24811.384377999995</v>
      </c>
      <c r="AM139" s="60">
        <f t="shared" si="831"/>
        <v>7293.989999999998</v>
      </c>
      <c r="AN139" s="59">
        <f t="shared" si="832"/>
        <v>24112.472141999995</v>
      </c>
      <c r="AO139" s="60">
        <f t="shared" si="833"/>
        <v>7082.5699999999979</v>
      </c>
      <c r="AP139" s="59">
        <f t="shared" si="834"/>
        <v>23413.559905999995</v>
      </c>
      <c r="AQ139" s="60">
        <f t="shared" si="835"/>
        <v>6871.1499999999978</v>
      </c>
      <c r="AR139" s="59">
        <f t="shared" si="836"/>
        <v>22714.647669999995</v>
      </c>
      <c r="AS139" s="55">
        <f t="shared" si="837"/>
        <v>6659.7299999999977</v>
      </c>
      <c r="AT139" s="59">
        <f t="shared" si="838"/>
        <v>22015.735433999995</v>
      </c>
      <c r="AU139" s="60">
        <f t="shared" si="839"/>
        <v>6448.3099999999977</v>
      </c>
      <c r="AV139" s="59">
        <f t="shared" si="840"/>
        <v>21316.823197999991</v>
      </c>
      <c r="AW139" s="60">
        <f t="shared" si="841"/>
        <v>6236.8899999999976</v>
      </c>
      <c r="AX139" s="59">
        <f t="shared" si="842"/>
        <v>20617.910961999991</v>
      </c>
      <c r="AY139" s="55">
        <f t="shared" si="843"/>
        <v>6025.4699999999975</v>
      </c>
      <c r="AZ139" s="59">
        <f t="shared" si="844"/>
        <v>19918.998725999991</v>
      </c>
      <c r="BC139" s="55">
        <v>1</v>
      </c>
      <c r="BD139" s="55">
        <v>0.97</v>
      </c>
      <c r="BE139" s="55">
        <v>0.95</v>
      </c>
      <c r="BF139" s="55">
        <v>0.93</v>
      </c>
      <c r="BG139" s="55">
        <f t="shared" si="845"/>
        <v>0.91</v>
      </c>
      <c r="BH139" s="55">
        <f t="shared" si="845"/>
        <v>0.89</v>
      </c>
      <c r="BI139" s="55">
        <f t="shared" si="845"/>
        <v>0.87</v>
      </c>
      <c r="BJ139" s="55">
        <f t="shared" si="845"/>
        <v>0.85</v>
      </c>
      <c r="BK139" s="55">
        <f t="shared" si="845"/>
        <v>0.83</v>
      </c>
      <c r="BL139" s="55">
        <f t="shared" si="845"/>
        <v>0.80999999999999994</v>
      </c>
      <c r="BM139" s="55">
        <f t="shared" si="845"/>
        <v>0.78999999999999992</v>
      </c>
      <c r="BN139" s="55">
        <f t="shared" si="845"/>
        <v>0.76999999999999991</v>
      </c>
      <c r="BO139" s="55">
        <f t="shared" si="845"/>
        <v>0.74999999999999989</v>
      </c>
      <c r="BP139" s="55">
        <f t="shared" si="845"/>
        <v>0.72999999999999987</v>
      </c>
      <c r="BQ139" s="55">
        <f t="shared" si="845"/>
        <v>0.70999999999999985</v>
      </c>
      <c r="BR139" s="55">
        <f t="shared" si="845"/>
        <v>0.68999999999999984</v>
      </c>
      <c r="BS139" s="55">
        <f t="shared" si="845"/>
        <v>0.66999999999999982</v>
      </c>
      <c r="BT139" s="55">
        <f t="shared" si="845"/>
        <v>0.6499999999999998</v>
      </c>
      <c r="BU139" s="55">
        <f t="shared" si="845"/>
        <v>0.62999999999999978</v>
      </c>
      <c r="BV139" s="55">
        <f t="shared" si="845"/>
        <v>0.60999999999999976</v>
      </c>
      <c r="BW139" s="55">
        <f t="shared" si="845"/>
        <v>0.58999999999999975</v>
      </c>
      <c r="BX139" s="55">
        <f t="shared" si="845"/>
        <v>0.56999999999999973</v>
      </c>
      <c r="BZ139" s="55">
        <f t="shared" si="512"/>
        <v>9619.61</v>
      </c>
      <c r="CA139" s="55">
        <f t="shared" si="513"/>
        <v>9619.61</v>
      </c>
      <c r="CB139" s="59">
        <f t="shared" si="846"/>
        <v>31800.506738000004</v>
      </c>
      <c r="CC139" s="55">
        <f t="shared" si="847"/>
        <v>9331.0217000000011</v>
      </c>
      <c r="CD139" s="59">
        <f t="shared" si="848"/>
        <v>30846.491535860005</v>
      </c>
      <c r="CE139" s="55">
        <f t="shared" si="849"/>
        <v>9138.6295000000009</v>
      </c>
      <c r="CF139" s="59">
        <f t="shared" si="850"/>
        <v>30210.481401100005</v>
      </c>
      <c r="CG139" s="55">
        <f t="shared" si="851"/>
        <v>8946.2373000000007</v>
      </c>
      <c r="CH139" s="59">
        <f t="shared" si="852"/>
        <v>29574.471266340002</v>
      </c>
      <c r="CI139" s="57">
        <f t="shared" si="853"/>
        <v>8753.8451000000005</v>
      </c>
      <c r="CJ139" s="59">
        <f t="shared" si="854"/>
        <v>28938.461131580003</v>
      </c>
      <c r="CK139" s="55">
        <f t="shared" si="855"/>
        <v>8561.4529000000002</v>
      </c>
      <c r="CL139" s="59">
        <f t="shared" si="856"/>
        <v>28302.45099682</v>
      </c>
      <c r="CM139" s="57">
        <f t="shared" si="857"/>
        <v>8369.0607</v>
      </c>
      <c r="CN139" s="59">
        <f t="shared" si="858"/>
        <v>27666.440862060001</v>
      </c>
      <c r="CO139" s="60">
        <f t="shared" si="859"/>
        <v>8176.6685000000007</v>
      </c>
      <c r="CP139" s="59">
        <f t="shared" si="860"/>
        <v>27030.430727300001</v>
      </c>
      <c r="CQ139" s="57">
        <f t="shared" si="861"/>
        <v>7984.2763000000004</v>
      </c>
      <c r="CR139" s="59">
        <f t="shared" si="862"/>
        <v>26394.420592540002</v>
      </c>
      <c r="CS139" s="55">
        <f t="shared" si="863"/>
        <v>7791.8841000000002</v>
      </c>
      <c r="CT139" s="59">
        <f t="shared" si="864"/>
        <v>25758.410457780003</v>
      </c>
      <c r="CU139" s="60">
        <f t="shared" si="865"/>
        <v>7599.4919</v>
      </c>
      <c r="CV139" s="59">
        <f t="shared" si="866"/>
        <v>25122.40032302</v>
      </c>
      <c r="CW139" s="60">
        <f t="shared" si="867"/>
        <v>7407.0996999999998</v>
      </c>
      <c r="CX139" s="59">
        <f t="shared" si="868"/>
        <v>24486.39018826</v>
      </c>
      <c r="CY139" s="60">
        <f t="shared" si="869"/>
        <v>7214.7074999999995</v>
      </c>
      <c r="CZ139" s="59">
        <f t="shared" si="870"/>
        <v>23850.380053499997</v>
      </c>
      <c r="DA139" s="55">
        <f t="shared" si="871"/>
        <v>7022.3152999999993</v>
      </c>
      <c r="DB139" s="59">
        <f t="shared" si="872"/>
        <v>23214.369918739998</v>
      </c>
      <c r="DC139" s="60">
        <f t="shared" si="873"/>
        <v>6829.9230999999991</v>
      </c>
      <c r="DD139" s="59">
        <f t="shared" si="874"/>
        <v>22578.359783979999</v>
      </c>
      <c r="DE139" s="60">
        <f t="shared" si="875"/>
        <v>6637.5308999999988</v>
      </c>
      <c r="DF139" s="59">
        <f t="shared" si="876"/>
        <v>21942.349649219996</v>
      </c>
      <c r="DG139" s="60">
        <f t="shared" si="877"/>
        <v>6445.1386999999986</v>
      </c>
      <c r="DH139" s="59">
        <f t="shared" si="878"/>
        <v>21306.339514459996</v>
      </c>
      <c r="DI139" s="60">
        <f t="shared" si="879"/>
        <v>6252.7464999999984</v>
      </c>
      <c r="DJ139" s="59">
        <f t="shared" si="880"/>
        <v>20670.329379699993</v>
      </c>
      <c r="DK139" s="55">
        <f t="shared" si="881"/>
        <v>6060.3542999999981</v>
      </c>
      <c r="DL139" s="59">
        <f t="shared" si="882"/>
        <v>20034.319244939994</v>
      </c>
      <c r="DM139" s="60">
        <f t="shared" si="883"/>
        <v>5867.9620999999979</v>
      </c>
      <c r="DN139" s="59">
        <f t="shared" si="884"/>
        <v>19398.309110179995</v>
      </c>
      <c r="DO139" s="60">
        <f t="shared" si="885"/>
        <v>5675.5698999999977</v>
      </c>
      <c r="DP139" s="59">
        <f t="shared" si="886"/>
        <v>18762.298975419992</v>
      </c>
      <c r="DQ139" s="55">
        <f t="shared" si="887"/>
        <v>5483.1776999999975</v>
      </c>
      <c r="DR139" s="59">
        <f t="shared" si="888"/>
        <v>18126.288840659992</v>
      </c>
      <c r="DU139" s="55">
        <v>1</v>
      </c>
      <c r="DV139" s="55">
        <v>0.97</v>
      </c>
      <c r="DW139" s="55">
        <v>0.95</v>
      </c>
      <c r="DX139" s="55">
        <v>0.93</v>
      </c>
      <c r="DY139" s="55">
        <f t="shared" si="796"/>
        <v>0.91</v>
      </c>
      <c r="DZ139" s="55">
        <f t="shared" si="796"/>
        <v>0.89</v>
      </c>
      <c r="EA139" s="55">
        <f t="shared" si="796"/>
        <v>0.87</v>
      </c>
      <c r="EB139" s="55">
        <f t="shared" si="796"/>
        <v>0.85</v>
      </c>
      <c r="EC139" s="55">
        <f t="shared" si="796"/>
        <v>0.83</v>
      </c>
      <c r="ED139" s="55">
        <f t="shared" si="796"/>
        <v>0.80999999999999994</v>
      </c>
      <c r="EE139" s="55">
        <f t="shared" si="796"/>
        <v>0.78999999999999992</v>
      </c>
      <c r="EF139" s="55">
        <f t="shared" si="796"/>
        <v>0.76999999999999991</v>
      </c>
      <c r="EG139" s="55">
        <f t="shared" si="796"/>
        <v>0.74999999999999989</v>
      </c>
      <c r="EH139" s="55">
        <f t="shared" si="796"/>
        <v>0.72999999999999987</v>
      </c>
      <c r="EI139" s="55">
        <f t="shared" si="796"/>
        <v>0.70999999999999985</v>
      </c>
      <c r="EJ139" s="55">
        <f t="shared" si="796"/>
        <v>0.68999999999999984</v>
      </c>
      <c r="EK139" s="55">
        <f t="shared" si="796"/>
        <v>0.66999999999999982</v>
      </c>
      <c r="EL139" s="55">
        <f t="shared" si="796"/>
        <v>0.6499999999999998</v>
      </c>
      <c r="EM139" s="55">
        <f t="shared" si="796"/>
        <v>0.62999999999999978</v>
      </c>
      <c r="EN139" s="55">
        <f t="shared" si="796"/>
        <v>0.60999999999999976</v>
      </c>
      <c r="EO139" s="55">
        <f t="shared" si="796"/>
        <v>0.58999999999999975</v>
      </c>
      <c r="EP139" s="55">
        <f t="shared" si="796"/>
        <v>0.56999999999999973</v>
      </c>
      <c r="ER139" s="55">
        <f t="shared" si="652"/>
        <v>8753.8451000000005</v>
      </c>
      <c r="ES139" s="55">
        <f t="shared" si="514"/>
        <v>8753.8451000000005</v>
      </c>
      <c r="ET139" s="59">
        <f t="shared" si="889"/>
        <v>28938.461131580003</v>
      </c>
      <c r="EU139" s="55">
        <f t="shared" si="890"/>
        <v>8491.2297469999994</v>
      </c>
      <c r="EV139" s="59">
        <f t="shared" si="891"/>
        <v>28070.3072976326</v>
      </c>
      <c r="EW139" s="55">
        <f t="shared" si="892"/>
        <v>8316.1528450000005</v>
      </c>
      <c r="EX139" s="59">
        <f t="shared" si="893"/>
        <v>27491.538075001001</v>
      </c>
      <c r="EY139" s="55">
        <f t="shared" si="894"/>
        <v>8141.0759430000007</v>
      </c>
      <c r="EZ139" s="59">
        <f t="shared" si="895"/>
        <v>26912.768852369401</v>
      </c>
      <c r="FA139" s="57">
        <f t="shared" si="896"/>
        <v>7965.9990410000009</v>
      </c>
      <c r="FB139" s="59">
        <f t="shared" si="897"/>
        <v>26333.999629737802</v>
      </c>
      <c r="FC139" s="55">
        <f t="shared" si="898"/>
        <v>7790.9221390000002</v>
      </c>
      <c r="FD139" s="59">
        <f t="shared" si="899"/>
        <v>25755.230407106203</v>
      </c>
      <c r="FE139" s="57">
        <f t="shared" si="900"/>
        <v>7615.8452370000005</v>
      </c>
      <c r="FF139" s="59">
        <f t="shared" si="901"/>
        <v>25176.461184474603</v>
      </c>
      <c r="FG139" s="60">
        <f t="shared" si="902"/>
        <v>7440.7683349999998</v>
      </c>
      <c r="FH139" s="59">
        <f t="shared" si="903"/>
        <v>24597.691961843</v>
      </c>
      <c r="FI139" s="57">
        <f t="shared" si="904"/>
        <v>7265.691433</v>
      </c>
      <c r="FJ139" s="59">
        <f t="shared" si="905"/>
        <v>24018.922739211401</v>
      </c>
      <c r="FK139" s="55">
        <f t="shared" si="906"/>
        <v>7090.6145310000002</v>
      </c>
      <c r="FL139" s="59">
        <f t="shared" si="907"/>
        <v>23440.153516579801</v>
      </c>
      <c r="FM139" s="60">
        <f t="shared" si="908"/>
        <v>6915.5376289999995</v>
      </c>
      <c r="FN139" s="59">
        <f t="shared" si="909"/>
        <v>22861.384293948198</v>
      </c>
      <c r="FO139" s="60">
        <f t="shared" si="910"/>
        <v>6740.4607269999997</v>
      </c>
      <c r="FP139" s="59">
        <f t="shared" si="911"/>
        <v>22282.615071316599</v>
      </c>
      <c r="FQ139" s="60">
        <f t="shared" si="912"/>
        <v>6565.383824999999</v>
      </c>
      <c r="FR139" s="59">
        <f t="shared" si="913"/>
        <v>21703.845848684996</v>
      </c>
      <c r="FS139" s="55">
        <f t="shared" si="914"/>
        <v>6390.3069229999992</v>
      </c>
      <c r="FT139" s="59">
        <f t="shared" si="915"/>
        <v>21125.076626053396</v>
      </c>
      <c r="FU139" s="60">
        <f t="shared" si="916"/>
        <v>6215.2300209999994</v>
      </c>
      <c r="FV139" s="59">
        <f t="shared" si="917"/>
        <v>20546.307403421797</v>
      </c>
      <c r="FW139" s="60">
        <f t="shared" si="918"/>
        <v>6040.1531189999987</v>
      </c>
      <c r="FX139" s="59">
        <f t="shared" si="919"/>
        <v>19967.538180790198</v>
      </c>
      <c r="FY139" s="60">
        <f t="shared" si="920"/>
        <v>5865.0762169999989</v>
      </c>
      <c r="FZ139" s="59">
        <f t="shared" si="921"/>
        <v>19388.768958158598</v>
      </c>
      <c r="GA139" s="60">
        <f t="shared" si="922"/>
        <v>5689.9993149999982</v>
      </c>
      <c r="GB139" s="59">
        <f t="shared" si="923"/>
        <v>18809.999735526995</v>
      </c>
      <c r="GC139" s="55">
        <f t="shared" si="924"/>
        <v>5514.9224129999984</v>
      </c>
      <c r="GD139" s="59">
        <f t="shared" si="925"/>
        <v>18231.230512895396</v>
      </c>
      <c r="GE139" s="60">
        <f t="shared" si="926"/>
        <v>5339.8455109999986</v>
      </c>
      <c r="GF139" s="59">
        <f t="shared" si="927"/>
        <v>17652.461290263796</v>
      </c>
      <c r="GG139" s="60">
        <f t="shared" si="928"/>
        <v>5164.7686089999979</v>
      </c>
      <c r="GH139" s="59">
        <f t="shared" si="929"/>
        <v>17073.692067632193</v>
      </c>
      <c r="GI139" s="55">
        <f t="shared" si="930"/>
        <v>4989.6917069999981</v>
      </c>
      <c r="GJ139" s="59">
        <f t="shared" si="931"/>
        <v>16494.922845000594</v>
      </c>
      <c r="GK139" s="55"/>
      <c r="GL139" s="55"/>
      <c r="GM139" s="55">
        <v>1</v>
      </c>
      <c r="GN139" s="55">
        <v>0.97</v>
      </c>
      <c r="GO139" s="55">
        <v>0.95</v>
      </c>
      <c r="GP139" s="55">
        <v>0.93</v>
      </c>
      <c r="GQ139" s="55">
        <f t="shared" si="797"/>
        <v>0.91</v>
      </c>
      <c r="GR139" s="55">
        <f t="shared" si="797"/>
        <v>0.89</v>
      </c>
      <c r="GS139" s="55">
        <f t="shared" si="797"/>
        <v>0.87</v>
      </c>
      <c r="GT139" s="55">
        <f t="shared" si="797"/>
        <v>0.85</v>
      </c>
      <c r="GU139" s="55">
        <f t="shared" si="797"/>
        <v>0.83</v>
      </c>
      <c r="GV139" s="55">
        <f t="shared" si="797"/>
        <v>0.80999999999999994</v>
      </c>
      <c r="GW139" s="55">
        <f t="shared" si="797"/>
        <v>0.78999999999999992</v>
      </c>
      <c r="GX139" s="55">
        <f t="shared" si="797"/>
        <v>0.76999999999999991</v>
      </c>
      <c r="GY139" s="55">
        <f t="shared" si="797"/>
        <v>0.74999999999999989</v>
      </c>
      <c r="GZ139" s="55">
        <f t="shared" si="797"/>
        <v>0.72999999999999987</v>
      </c>
      <c r="HA139" s="55">
        <f t="shared" si="797"/>
        <v>0.70999999999999985</v>
      </c>
      <c r="HB139" s="55">
        <f t="shared" si="797"/>
        <v>0.68999999999999984</v>
      </c>
      <c r="HC139" s="55">
        <f t="shared" si="797"/>
        <v>0.66999999999999982</v>
      </c>
      <c r="HD139" s="55">
        <f t="shared" si="797"/>
        <v>0.6499999999999998</v>
      </c>
      <c r="HE139" s="55">
        <f t="shared" si="797"/>
        <v>0.62999999999999978</v>
      </c>
      <c r="HF139" s="55">
        <f t="shared" si="797"/>
        <v>0.60999999999999976</v>
      </c>
      <c r="HG139" s="55">
        <f t="shared" si="797"/>
        <v>0.58999999999999975</v>
      </c>
      <c r="HH139" s="55">
        <f t="shared" si="797"/>
        <v>0.56999999999999973</v>
      </c>
    </row>
    <row r="140" spans="1:216" x14ac:dyDescent="0.3">
      <c r="A140" s="2">
        <v>5</v>
      </c>
      <c r="C140" s="38" t="s">
        <v>57</v>
      </c>
      <c r="D140" s="42">
        <f>TRUNC(4437,-1)</f>
        <v>4430</v>
      </c>
      <c r="E140" s="71">
        <f t="shared" si="802"/>
        <v>14640</v>
      </c>
      <c r="H140" s="55">
        <f t="shared" si="509"/>
        <v>16104.000000000002</v>
      </c>
      <c r="I140" s="55">
        <f t="shared" si="510"/>
        <v>16104.000000000002</v>
      </c>
      <c r="J140" s="59">
        <f t="shared" si="511"/>
        <v>53236.603200000005</v>
      </c>
      <c r="K140" s="55">
        <f t="shared" si="803"/>
        <v>15620.880000000001</v>
      </c>
      <c r="L140" s="59">
        <f t="shared" si="804"/>
        <v>51639.505104000003</v>
      </c>
      <c r="M140" s="55">
        <f t="shared" si="805"/>
        <v>15298.800000000001</v>
      </c>
      <c r="N140" s="59">
        <f t="shared" si="806"/>
        <v>50574.773040000007</v>
      </c>
      <c r="O140" s="55">
        <f t="shared" si="807"/>
        <v>14976.720000000003</v>
      </c>
      <c r="P140" s="59">
        <f t="shared" si="808"/>
        <v>49510.040976000011</v>
      </c>
      <c r="Q140" s="57">
        <f t="shared" si="809"/>
        <v>14654.640000000003</v>
      </c>
      <c r="R140" s="59">
        <f t="shared" si="810"/>
        <v>48445.308912000008</v>
      </c>
      <c r="S140" s="55">
        <f t="shared" si="811"/>
        <v>14332.560000000001</v>
      </c>
      <c r="T140" s="59">
        <f t="shared" si="812"/>
        <v>47380.576848000004</v>
      </c>
      <c r="U140" s="57">
        <f t="shared" si="813"/>
        <v>14010.480000000001</v>
      </c>
      <c r="V140" s="59">
        <f t="shared" si="814"/>
        <v>46315.844784000008</v>
      </c>
      <c r="W140" s="60">
        <f t="shared" si="815"/>
        <v>13688.400000000001</v>
      </c>
      <c r="X140" s="59">
        <f t="shared" si="816"/>
        <v>45251.112720000005</v>
      </c>
      <c r="Y140" s="57">
        <f t="shared" si="817"/>
        <v>13366.320000000002</v>
      </c>
      <c r="Z140" s="59">
        <f t="shared" si="818"/>
        <v>44186.380656000008</v>
      </c>
      <c r="AA140" s="55">
        <f t="shared" si="819"/>
        <v>13044.24</v>
      </c>
      <c r="AB140" s="59">
        <f t="shared" si="820"/>
        <v>43121.648591999998</v>
      </c>
      <c r="AC140" s="60">
        <f t="shared" si="821"/>
        <v>12722.16</v>
      </c>
      <c r="AD140" s="59">
        <f t="shared" si="822"/>
        <v>42056.916528000002</v>
      </c>
      <c r="AE140" s="60">
        <f t="shared" si="823"/>
        <v>12400.08</v>
      </c>
      <c r="AF140" s="59">
        <f t="shared" si="824"/>
        <v>40992.184463999998</v>
      </c>
      <c r="AG140" s="60">
        <f t="shared" si="825"/>
        <v>12078</v>
      </c>
      <c r="AH140" s="59">
        <f t="shared" si="826"/>
        <v>39927.452400000002</v>
      </c>
      <c r="AI140" s="55">
        <f t="shared" si="827"/>
        <v>11755.92</v>
      </c>
      <c r="AJ140" s="59">
        <f t="shared" si="828"/>
        <v>38862.720335999998</v>
      </c>
      <c r="AK140" s="60">
        <f t="shared" si="829"/>
        <v>11433.839999999998</v>
      </c>
      <c r="AL140" s="59">
        <f t="shared" si="830"/>
        <v>37797.988271999995</v>
      </c>
      <c r="AM140" s="60">
        <f t="shared" si="831"/>
        <v>11111.759999999998</v>
      </c>
      <c r="AN140" s="59">
        <f t="shared" si="832"/>
        <v>36733.256207999999</v>
      </c>
      <c r="AO140" s="60">
        <f t="shared" si="833"/>
        <v>10789.679999999998</v>
      </c>
      <c r="AP140" s="59">
        <f t="shared" si="834"/>
        <v>35668.524143999995</v>
      </c>
      <c r="AQ140" s="60">
        <f t="shared" si="835"/>
        <v>10467.599999999999</v>
      </c>
      <c r="AR140" s="59">
        <f t="shared" si="836"/>
        <v>34603.792079999999</v>
      </c>
      <c r="AS140" s="55">
        <f t="shared" si="837"/>
        <v>10145.519999999997</v>
      </c>
      <c r="AT140" s="59">
        <f t="shared" si="838"/>
        <v>33539.060015999989</v>
      </c>
      <c r="AU140" s="60">
        <f t="shared" si="839"/>
        <v>9823.4399999999969</v>
      </c>
      <c r="AV140" s="59">
        <f t="shared" si="840"/>
        <v>32474.327951999989</v>
      </c>
      <c r="AW140" s="60">
        <f t="shared" si="841"/>
        <v>9501.3599999999969</v>
      </c>
      <c r="AX140" s="59">
        <f t="shared" si="842"/>
        <v>31409.595887999989</v>
      </c>
      <c r="AY140" s="55">
        <f t="shared" si="843"/>
        <v>9179.279999999997</v>
      </c>
      <c r="AZ140" s="59">
        <f t="shared" si="844"/>
        <v>30344.863823999989</v>
      </c>
      <c r="BC140" s="55">
        <v>1</v>
      </c>
      <c r="BD140" s="55">
        <v>0.97</v>
      </c>
      <c r="BE140" s="55">
        <v>0.95</v>
      </c>
      <c r="BF140" s="55">
        <v>0.93</v>
      </c>
      <c r="BG140" s="55">
        <f t="shared" si="845"/>
        <v>0.91</v>
      </c>
      <c r="BH140" s="55">
        <f t="shared" si="845"/>
        <v>0.89</v>
      </c>
      <c r="BI140" s="55">
        <f t="shared" si="845"/>
        <v>0.87</v>
      </c>
      <c r="BJ140" s="55">
        <f t="shared" si="845"/>
        <v>0.85</v>
      </c>
      <c r="BK140" s="55">
        <f t="shared" si="845"/>
        <v>0.83</v>
      </c>
      <c r="BL140" s="55">
        <f t="shared" si="845"/>
        <v>0.80999999999999994</v>
      </c>
      <c r="BM140" s="55">
        <f t="shared" si="845"/>
        <v>0.78999999999999992</v>
      </c>
      <c r="BN140" s="55">
        <f t="shared" si="845"/>
        <v>0.76999999999999991</v>
      </c>
      <c r="BO140" s="55">
        <f t="shared" si="845"/>
        <v>0.74999999999999989</v>
      </c>
      <c r="BP140" s="55">
        <f t="shared" si="845"/>
        <v>0.72999999999999987</v>
      </c>
      <c r="BQ140" s="55">
        <f t="shared" si="845"/>
        <v>0.70999999999999985</v>
      </c>
      <c r="BR140" s="55">
        <f t="shared" si="845"/>
        <v>0.68999999999999984</v>
      </c>
      <c r="BS140" s="55">
        <f t="shared" si="845"/>
        <v>0.66999999999999982</v>
      </c>
      <c r="BT140" s="55">
        <f t="shared" si="845"/>
        <v>0.6499999999999998</v>
      </c>
      <c r="BU140" s="55">
        <f t="shared" si="845"/>
        <v>0.62999999999999978</v>
      </c>
      <c r="BV140" s="55">
        <f t="shared" si="845"/>
        <v>0.60999999999999976</v>
      </c>
      <c r="BW140" s="55">
        <f t="shared" si="845"/>
        <v>0.58999999999999975</v>
      </c>
      <c r="BX140" s="55">
        <f t="shared" si="845"/>
        <v>0.56999999999999973</v>
      </c>
      <c r="BZ140" s="55">
        <f t="shared" si="512"/>
        <v>14654.640000000003</v>
      </c>
      <c r="CA140" s="55">
        <f t="shared" si="513"/>
        <v>14654.640000000003</v>
      </c>
      <c r="CB140" s="59">
        <f t="shared" si="846"/>
        <v>48445.308912000008</v>
      </c>
      <c r="CC140" s="55">
        <f t="shared" si="847"/>
        <v>14215.000800000003</v>
      </c>
      <c r="CD140" s="59">
        <f t="shared" si="848"/>
        <v>46991.949644640015</v>
      </c>
      <c r="CE140" s="55">
        <f t="shared" si="849"/>
        <v>13921.908000000003</v>
      </c>
      <c r="CF140" s="59">
        <f t="shared" si="850"/>
        <v>46023.043466400013</v>
      </c>
      <c r="CG140" s="55">
        <f t="shared" si="851"/>
        <v>13628.815200000003</v>
      </c>
      <c r="CH140" s="59">
        <f t="shared" si="852"/>
        <v>45054.137288160011</v>
      </c>
      <c r="CI140" s="57">
        <f t="shared" si="853"/>
        <v>13335.722400000002</v>
      </c>
      <c r="CJ140" s="59">
        <f t="shared" si="854"/>
        <v>44085.231109920009</v>
      </c>
      <c r="CK140" s="55">
        <f t="shared" si="855"/>
        <v>13042.629600000002</v>
      </c>
      <c r="CL140" s="59">
        <f t="shared" si="856"/>
        <v>43116.324931680007</v>
      </c>
      <c r="CM140" s="57">
        <f t="shared" si="857"/>
        <v>12749.536800000003</v>
      </c>
      <c r="CN140" s="59">
        <f t="shared" si="858"/>
        <v>42147.418753440012</v>
      </c>
      <c r="CO140" s="60">
        <f t="shared" si="859"/>
        <v>12456.444000000003</v>
      </c>
      <c r="CP140" s="59">
        <f t="shared" si="860"/>
        <v>41178.512575200009</v>
      </c>
      <c r="CQ140" s="57">
        <f t="shared" si="861"/>
        <v>12163.351200000003</v>
      </c>
      <c r="CR140" s="59">
        <f t="shared" si="862"/>
        <v>40209.606396960007</v>
      </c>
      <c r="CS140" s="55">
        <f t="shared" si="863"/>
        <v>11870.258400000002</v>
      </c>
      <c r="CT140" s="59">
        <f t="shared" si="864"/>
        <v>39240.700218720012</v>
      </c>
      <c r="CU140" s="60">
        <f t="shared" si="865"/>
        <v>11577.165600000002</v>
      </c>
      <c r="CV140" s="59">
        <f t="shared" si="866"/>
        <v>38271.79404048001</v>
      </c>
      <c r="CW140" s="60">
        <f t="shared" si="867"/>
        <v>11284.072800000002</v>
      </c>
      <c r="CX140" s="59">
        <f t="shared" si="868"/>
        <v>37302.887862240008</v>
      </c>
      <c r="CY140" s="60">
        <f t="shared" si="869"/>
        <v>10990.980000000001</v>
      </c>
      <c r="CZ140" s="59">
        <f t="shared" si="870"/>
        <v>36333.981684000006</v>
      </c>
      <c r="DA140" s="55">
        <f t="shared" si="871"/>
        <v>10697.887200000001</v>
      </c>
      <c r="DB140" s="59">
        <f t="shared" si="872"/>
        <v>35365.075505760004</v>
      </c>
      <c r="DC140" s="60">
        <f t="shared" si="873"/>
        <v>10404.794400000001</v>
      </c>
      <c r="DD140" s="59">
        <f t="shared" si="874"/>
        <v>34396.169327520001</v>
      </c>
      <c r="DE140" s="60">
        <f t="shared" si="875"/>
        <v>10111.7016</v>
      </c>
      <c r="DF140" s="59">
        <f t="shared" si="876"/>
        <v>33427.263149279999</v>
      </c>
      <c r="DG140" s="60">
        <f t="shared" si="877"/>
        <v>9818.6088</v>
      </c>
      <c r="DH140" s="59">
        <f t="shared" si="878"/>
        <v>32458.356971040001</v>
      </c>
      <c r="DI140" s="60">
        <f t="shared" si="879"/>
        <v>9525.5159999999996</v>
      </c>
      <c r="DJ140" s="59">
        <f t="shared" si="880"/>
        <v>31489.450792799998</v>
      </c>
      <c r="DK140" s="55">
        <f t="shared" si="881"/>
        <v>9232.4231999999993</v>
      </c>
      <c r="DL140" s="59">
        <f t="shared" si="882"/>
        <v>30520.54461456</v>
      </c>
      <c r="DM140" s="60">
        <f t="shared" si="883"/>
        <v>8939.3303999999989</v>
      </c>
      <c r="DN140" s="59">
        <f t="shared" si="884"/>
        <v>29551.638436319998</v>
      </c>
      <c r="DO140" s="60">
        <f t="shared" si="885"/>
        <v>8646.2375999999986</v>
      </c>
      <c r="DP140" s="59">
        <f t="shared" si="886"/>
        <v>28582.732258079996</v>
      </c>
      <c r="DQ140" s="55">
        <f t="shared" si="887"/>
        <v>8353.1447999999982</v>
      </c>
      <c r="DR140" s="59">
        <f t="shared" si="888"/>
        <v>27613.826079839993</v>
      </c>
      <c r="DU140" s="55">
        <v>1</v>
      </c>
      <c r="DV140" s="55">
        <v>0.97</v>
      </c>
      <c r="DW140" s="55">
        <v>0.95</v>
      </c>
      <c r="DX140" s="55">
        <v>0.93</v>
      </c>
      <c r="DY140" s="55">
        <f t="shared" si="796"/>
        <v>0.91</v>
      </c>
      <c r="DZ140" s="55">
        <f t="shared" si="796"/>
        <v>0.89</v>
      </c>
      <c r="EA140" s="55">
        <f t="shared" si="796"/>
        <v>0.87</v>
      </c>
      <c r="EB140" s="55">
        <f t="shared" si="796"/>
        <v>0.85</v>
      </c>
      <c r="EC140" s="55">
        <f t="shared" si="796"/>
        <v>0.83</v>
      </c>
      <c r="ED140" s="55">
        <f t="shared" si="796"/>
        <v>0.80999999999999994</v>
      </c>
      <c r="EE140" s="55">
        <f t="shared" si="796"/>
        <v>0.78999999999999992</v>
      </c>
      <c r="EF140" s="55">
        <f t="shared" si="796"/>
        <v>0.76999999999999991</v>
      </c>
      <c r="EG140" s="55">
        <f t="shared" si="796"/>
        <v>0.74999999999999989</v>
      </c>
      <c r="EH140" s="55">
        <f t="shared" si="796"/>
        <v>0.72999999999999987</v>
      </c>
      <c r="EI140" s="55">
        <f t="shared" si="796"/>
        <v>0.70999999999999985</v>
      </c>
      <c r="EJ140" s="55">
        <f t="shared" si="796"/>
        <v>0.68999999999999984</v>
      </c>
      <c r="EK140" s="55">
        <f t="shared" si="796"/>
        <v>0.66999999999999982</v>
      </c>
      <c r="EL140" s="55">
        <f t="shared" si="796"/>
        <v>0.6499999999999998</v>
      </c>
      <c r="EM140" s="55">
        <f t="shared" si="796"/>
        <v>0.62999999999999978</v>
      </c>
      <c r="EN140" s="55">
        <f t="shared" si="796"/>
        <v>0.60999999999999976</v>
      </c>
      <c r="EO140" s="55">
        <f t="shared" si="796"/>
        <v>0.58999999999999975</v>
      </c>
      <c r="EP140" s="55">
        <f t="shared" si="796"/>
        <v>0.56999999999999973</v>
      </c>
      <c r="ER140" s="55">
        <f t="shared" si="652"/>
        <v>13335.722400000002</v>
      </c>
      <c r="ES140" s="55">
        <f t="shared" si="514"/>
        <v>13335.722400000002</v>
      </c>
      <c r="ET140" s="59">
        <f t="shared" si="889"/>
        <v>44085.231109920009</v>
      </c>
      <c r="EU140" s="55">
        <f t="shared" si="890"/>
        <v>12935.650728000002</v>
      </c>
      <c r="EV140" s="59">
        <f t="shared" si="891"/>
        <v>42762.674176622408</v>
      </c>
      <c r="EW140" s="55">
        <f t="shared" si="892"/>
        <v>12668.936280000002</v>
      </c>
      <c r="EX140" s="59">
        <f t="shared" si="893"/>
        <v>41880.969554424009</v>
      </c>
      <c r="EY140" s="55">
        <f t="shared" si="894"/>
        <v>12402.221832000003</v>
      </c>
      <c r="EZ140" s="59">
        <f t="shared" si="895"/>
        <v>40999.264932225611</v>
      </c>
      <c r="FA140" s="57">
        <f t="shared" si="896"/>
        <v>12135.507384000002</v>
      </c>
      <c r="FB140" s="59">
        <f t="shared" si="897"/>
        <v>40117.560310027206</v>
      </c>
      <c r="FC140" s="55">
        <f t="shared" si="898"/>
        <v>11868.792936000002</v>
      </c>
      <c r="FD140" s="59">
        <f t="shared" si="899"/>
        <v>39235.855687828807</v>
      </c>
      <c r="FE140" s="57">
        <f t="shared" si="900"/>
        <v>11602.078488000003</v>
      </c>
      <c r="FF140" s="59">
        <f t="shared" si="901"/>
        <v>38354.151065630409</v>
      </c>
      <c r="FG140" s="60">
        <f t="shared" si="902"/>
        <v>11335.364040000002</v>
      </c>
      <c r="FH140" s="59">
        <f t="shared" si="903"/>
        <v>37472.446443432011</v>
      </c>
      <c r="FI140" s="57">
        <f t="shared" si="904"/>
        <v>11068.649592000002</v>
      </c>
      <c r="FJ140" s="59">
        <f t="shared" si="905"/>
        <v>36590.741821233605</v>
      </c>
      <c r="FK140" s="55">
        <f t="shared" si="906"/>
        <v>10801.935144000001</v>
      </c>
      <c r="FL140" s="59">
        <f t="shared" si="907"/>
        <v>35709.037199035207</v>
      </c>
      <c r="FM140" s="60">
        <f t="shared" si="908"/>
        <v>10535.220696</v>
      </c>
      <c r="FN140" s="59">
        <f t="shared" si="909"/>
        <v>34827.332576836801</v>
      </c>
      <c r="FO140" s="60">
        <f t="shared" si="910"/>
        <v>10268.506248</v>
      </c>
      <c r="FP140" s="59">
        <f t="shared" si="911"/>
        <v>33945.627954638403</v>
      </c>
      <c r="FQ140" s="60">
        <f t="shared" si="912"/>
        <v>10001.791800000001</v>
      </c>
      <c r="FR140" s="59">
        <f t="shared" si="913"/>
        <v>33063.923332440005</v>
      </c>
      <c r="FS140" s="55">
        <f t="shared" si="914"/>
        <v>9735.0773520000002</v>
      </c>
      <c r="FT140" s="59">
        <f t="shared" si="915"/>
        <v>32182.218710241603</v>
      </c>
      <c r="FU140" s="60">
        <f t="shared" si="916"/>
        <v>9468.3629039999996</v>
      </c>
      <c r="FV140" s="59">
        <f t="shared" si="917"/>
        <v>31300.514088043201</v>
      </c>
      <c r="FW140" s="60">
        <f t="shared" si="918"/>
        <v>9201.648455999999</v>
      </c>
      <c r="FX140" s="59">
        <f t="shared" si="919"/>
        <v>30418.809465844799</v>
      </c>
      <c r="FY140" s="60">
        <f t="shared" si="920"/>
        <v>8934.9340079999984</v>
      </c>
      <c r="FZ140" s="59">
        <f t="shared" si="921"/>
        <v>29537.104843646393</v>
      </c>
      <c r="GA140" s="60">
        <f t="shared" si="922"/>
        <v>8668.2195599999995</v>
      </c>
      <c r="GB140" s="59">
        <f t="shared" si="923"/>
        <v>28655.400221447999</v>
      </c>
      <c r="GC140" s="55">
        <f t="shared" si="924"/>
        <v>8401.5051119999989</v>
      </c>
      <c r="GD140" s="59">
        <f t="shared" si="925"/>
        <v>27773.695599249597</v>
      </c>
      <c r="GE140" s="60">
        <f t="shared" si="926"/>
        <v>8134.7906639999983</v>
      </c>
      <c r="GF140" s="59">
        <f t="shared" si="927"/>
        <v>26891.990977051195</v>
      </c>
      <c r="GG140" s="60">
        <f t="shared" si="928"/>
        <v>7868.0762159999977</v>
      </c>
      <c r="GH140" s="59">
        <f t="shared" si="929"/>
        <v>26010.286354852793</v>
      </c>
      <c r="GI140" s="55">
        <f t="shared" si="930"/>
        <v>7601.3617679999979</v>
      </c>
      <c r="GJ140" s="59">
        <f t="shared" si="931"/>
        <v>25128.581732654395</v>
      </c>
      <c r="GK140" s="55"/>
      <c r="GL140" s="55"/>
      <c r="GM140" s="55">
        <v>1</v>
      </c>
      <c r="GN140" s="55">
        <v>0.97</v>
      </c>
      <c r="GO140" s="55">
        <v>0.95</v>
      </c>
      <c r="GP140" s="55">
        <v>0.93</v>
      </c>
      <c r="GQ140" s="55">
        <f t="shared" si="797"/>
        <v>0.91</v>
      </c>
      <c r="GR140" s="55">
        <f t="shared" si="797"/>
        <v>0.89</v>
      </c>
      <c r="GS140" s="55">
        <f t="shared" si="797"/>
        <v>0.87</v>
      </c>
      <c r="GT140" s="55">
        <f t="shared" si="797"/>
        <v>0.85</v>
      </c>
      <c r="GU140" s="55">
        <f t="shared" si="797"/>
        <v>0.83</v>
      </c>
      <c r="GV140" s="55">
        <f t="shared" si="797"/>
        <v>0.80999999999999994</v>
      </c>
      <c r="GW140" s="55">
        <f t="shared" si="797"/>
        <v>0.78999999999999992</v>
      </c>
      <c r="GX140" s="55">
        <f t="shared" si="797"/>
        <v>0.76999999999999991</v>
      </c>
      <c r="GY140" s="55">
        <f t="shared" si="797"/>
        <v>0.74999999999999989</v>
      </c>
      <c r="GZ140" s="55">
        <f t="shared" si="797"/>
        <v>0.72999999999999987</v>
      </c>
      <c r="HA140" s="55">
        <f t="shared" si="797"/>
        <v>0.70999999999999985</v>
      </c>
      <c r="HB140" s="55">
        <f t="shared" si="797"/>
        <v>0.68999999999999984</v>
      </c>
      <c r="HC140" s="55">
        <f t="shared" si="797"/>
        <v>0.66999999999999982</v>
      </c>
      <c r="HD140" s="55">
        <f t="shared" si="797"/>
        <v>0.6499999999999998</v>
      </c>
      <c r="HE140" s="55">
        <f t="shared" si="797"/>
        <v>0.62999999999999978</v>
      </c>
      <c r="HF140" s="55">
        <f t="shared" si="797"/>
        <v>0.60999999999999976</v>
      </c>
      <c r="HG140" s="55">
        <f t="shared" si="797"/>
        <v>0.58999999999999975</v>
      </c>
      <c r="HH140" s="55">
        <f t="shared" si="797"/>
        <v>0.56999999999999973</v>
      </c>
    </row>
    <row r="141" spans="1:216" x14ac:dyDescent="0.3">
      <c r="A141" s="2">
        <v>6</v>
      </c>
      <c r="C141" s="38" t="s">
        <v>59</v>
      </c>
      <c r="D141" s="42">
        <f>TRUNC(43755,-1)</f>
        <v>43750</v>
      </c>
      <c r="E141" s="71">
        <f t="shared" si="802"/>
        <v>144620</v>
      </c>
      <c r="H141" s="55">
        <f t="shared" si="509"/>
        <v>159082</v>
      </c>
      <c r="I141" s="55">
        <f t="shared" si="510"/>
        <v>159082</v>
      </c>
      <c r="J141" s="59">
        <f t="shared" si="511"/>
        <v>525893.27560000005</v>
      </c>
      <c r="K141" s="55">
        <f t="shared" si="803"/>
        <v>154309.54</v>
      </c>
      <c r="L141" s="59">
        <f t="shared" si="804"/>
        <v>510116.47733200004</v>
      </c>
      <c r="M141" s="55">
        <f t="shared" si="805"/>
        <v>151127.9</v>
      </c>
      <c r="N141" s="59">
        <f t="shared" si="806"/>
        <v>499598.61181999999</v>
      </c>
      <c r="O141" s="55">
        <f t="shared" si="807"/>
        <v>147946.26</v>
      </c>
      <c r="P141" s="59">
        <f t="shared" si="808"/>
        <v>489080.74630800006</v>
      </c>
      <c r="Q141" s="57">
        <f t="shared" si="809"/>
        <v>144764.62</v>
      </c>
      <c r="R141" s="59">
        <f t="shared" si="810"/>
        <v>478562.88079600001</v>
      </c>
      <c r="S141" s="55">
        <f t="shared" si="811"/>
        <v>141582.98000000001</v>
      </c>
      <c r="T141" s="59">
        <f t="shared" si="812"/>
        <v>468045.01528400002</v>
      </c>
      <c r="U141" s="57">
        <f t="shared" si="813"/>
        <v>138401.34</v>
      </c>
      <c r="V141" s="59">
        <f t="shared" si="814"/>
        <v>457527.14977199998</v>
      </c>
      <c r="W141" s="60">
        <f t="shared" si="815"/>
        <v>135219.69999999998</v>
      </c>
      <c r="X141" s="59">
        <f t="shared" si="816"/>
        <v>447009.28425999993</v>
      </c>
      <c r="Y141" s="57">
        <f t="shared" si="817"/>
        <v>132038.06</v>
      </c>
      <c r="Z141" s="59">
        <f t="shared" si="818"/>
        <v>436491.418748</v>
      </c>
      <c r="AA141" s="55">
        <f t="shared" si="819"/>
        <v>128856.41999999998</v>
      </c>
      <c r="AB141" s="59">
        <f t="shared" si="820"/>
        <v>425973.55323599995</v>
      </c>
      <c r="AC141" s="60">
        <f t="shared" si="821"/>
        <v>125674.77999999998</v>
      </c>
      <c r="AD141" s="59">
        <f t="shared" si="822"/>
        <v>415455.68772399996</v>
      </c>
      <c r="AE141" s="60">
        <f t="shared" si="823"/>
        <v>122493.13999999998</v>
      </c>
      <c r="AF141" s="59">
        <f t="shared" si="824"/>
        <v>404937.82221199997</v>
      </c>
      <c r="AG141" s="60">
        <f t="shared" si="825"/>
        <v>119311.49999999999</v>
      </c>
      <c r="AH141" s="59">
        <f t="shared" si="826"/>
        <v>394419.95669999998</v>
      </c>
      <c r="AI141" s="55">
        <f t="shared" si="827"/>
        <v>116129.85999999999</v>
      </c>
      <c r="AJ141" s="59">
        <f t="shared" si="828"/>
        <v>383902.09118799999</v>
      </c>
      <c r="AK141" s="60">
        <f t="shared" si="829"/>
        <v>112948.21999999997</v>
      </c>
      <c r="AL141" s="59">
        <f t="shared" si="830"/>
        <v>373384.22567599994</v>
      </c>
      <c r="AM141" s="60">
        <f t="shared" si="831"/>
        <v>109766.57999999997</v>
      </c>
      <c r="AN141" s="59">
        <f t="shared" si="832"/>
        <v>362866.3601639999</v>
      </c>
      <c r="AO141" s="60">
        <f t="shared" si="833"/>
        <v>106584.93999999997</v>
      </c>
      <c r="AP141" s="59">
        <f t="shared" si="834"/>
        <v>352348.49465199991</v>
      </c>
      <c r="AQ141" s="60">
        <f t="shared" si="835"/>
        <v>103403.29999999997</v>
      </c>
      <c r="AR141" s="59">
        <f t="shared" si="836"/>
        <v>341830.62913999992</v>
      </c>
      <c r="AS141" s="55">
        <f t="shared" si="837"/>
        <v>100221.65999999996</v>
      </c>
      <c r="AT141" s="59">
        <f t="shared" si="838"/>
        <v>331312.76362799987</v>
      </c>
      <c r="AU141" s="60">
        <f t="shared" si="839"/>
        <v>97040.01999999996</v>
      </c>
      <c r="AV141" s="59">
        <f t="shared" si="840"/>
        <v>320794.89811599988</v>
      </c>
      <c r="AW141" s="60">
        <f t="shared" si="841"/>
        <v>93858.379999999961</v>
      </c>
      <c r="AX141" s="59">
        <f t="shared" si="842"/>
        <v>310277.03260399989</v>
      </c>
      <c r="AY141" s="55">
        <f t="shared" si="843"/>
        <v>90676.739999999962</v>
      </c>
      <c r="AZ141" s="59">
        <f t="shared" si="844"/>
        <v>299759.1670919999</v>
      </c>
      <c r="BC141" s="55">
        <v>1</v>
      </c>
      <c r="BD141" s="55">
        <v>0.97</v>
      </c>
      <c r="BE141" s="55">
        <v>0.95</v>
      </c>
      <c r="BF141" s="55">
        <v>0.93</v>
      </c>
      <c r="BG141" s="55">
        <f t="shared" si="845"/>
        <v>0.91</v>
      </c>
      <c r="BH141" s="55">
        <f t="shared" si="845"/>
        <v>0.89</v>
      </c>
      <c r="BI141" s="55">
        <f t="shared" si="845"/>
        <v>0.87</v>
      </c>
      <c r="BJ141" s="55">
        <f t="shared" si="845"/>
        <v>0.85</v>
      </c>
      <c r="BK141" s="55">
        <f t="shared" si="845"/>
        <v>0.83</v>
      </c>
      <c r="BL141" s="55">
        <f t="shared" si="845"/>
        <v>0.80999999999999994</v>
      </c>
      <c r="BM141" s="55">
        <f t="shared" si="845"/>
        <v>0.78999999999999992</v>
      </c>
      <c r="BN141" s="55">
        <f t="shared" si="845"/>
        <v>0.76999999999999991</v>
      </c>
      <c r="BO141" s="55">
        <f t="shared" si="845"/>
        <v>0.74999999999999989</v>
      </c>
      <c r="BP141" s="55">
        <f t="shared" si="845"/>
        <v>0.72999999999999987</v>
      </c>
      <c r="BQ141" s="55">
        <f t="shared" si="845"/>
        <v>0.70999999999999985</v>
      </c>
      <c r="BR141" s="55">
        <f t="shared" si="845"/>
        <v>0.68999999999999984</v>
      </c>
      <c r="BS141" s="55">
        <f t="shared" si="845"/>
        <v>0.66999999999999982</v>
      </c>
      <c r="BT141" s="55">
        <f t="shared" si="845"/>
        <v>0.6499999999999998</v>
      </c>
      <c r="BU141" s="55">
        <f t="shared" si="845"/>
        <v>0.62999999999999978</v>
      </c>
      <c r="BV141" s="55">
        <f t="shared" si="845"/>
        <v>0.60999999999999976</v>
      </c>
      <c r="BW141" s="55">
        <f t="shared" si="845"/>
        <v>0.58999999999999975</v>
      </c>
      <c r="BX141" s="55">
        <f t="shared" si="845"/>
        <v>0.56999999999999973</v>
      </c>
      <c r="BZ141" s="55">
        <f t="shared" si="512"/>
        <v>144764.62</v>
      </c>
      <c r="CA141" s="55">
        <f t="shared" si="513"/>
        <v>144764.62</v>
      </c>
      <c r="CB141" s="59">
        <f t="shared" si="846"/>
        <v>478562.88079600001</v>
      </c>
      <c r="CC141" s="55">
        <f t="shared" si="847"/>
        <v>140421.6814</v>
      </c>
      <c r="CD141" s="59">
        <f t="shared" si="848"/>
        <v>464205.99437212001</v>
      </c>
      <c r="CE141" s="55">
        <f t="shared" si="849"/>
        <v>137526.389</v>
      </c>
      <c r="CF141" s="59">
        <f t="shared" si="850"/>
        <v>454634.73675619997</v>
      </c>
      <c r="CG141" s="55">
        <f t="shared" si="851"/>
        <v>134631.09659999999</v>
      </c>
      <c r="CH141" s="59">
        <f t="shared" si="852"/>
        <v>445063.47914027999</v>
      </c>
      <c r="CI141" s="57">
        <f t="shared" si="853"/>
        <v>131735.80420000001</v>
      </c>
      <c r="CJ141" s="59">
        <f t="shared" si="854"/>
        <v>435492.22152436007</v>
      </c>
      <c r="CK141" s="55">
        <f t="shared" si="855"/>
        <v>128840.51179999999</v>
      </c>
      <c r="CL141" s="59">
        <f t="shared" si="856"/>
        <v>425920.96390843997</v>
      </c>
      <c r="CM141" s="57">
        <f t="shared" si="857"/>
        <v>125945.2194</v>
      </c>
      <c r="CN141" s="59">
        <f t="shared" si="858"/>
        <v>416349.70629251999</v>
      </c>
      <c r="CO141" s="60">
        <f t="shared" si="859"/>
        <v>123049.927</v>
      </c>
      <c r="CP141" s="59">
        <f t="shared" si="860"/>
        <v>406778.4486766</v>
      </c>
      <c r="CQ141" s="57">
        <f t="shared" si="861"/>
        <v>120154.63459999999</v>
      </c>
      <c r="CR141" s="59">
        <f t="shared" si="862"/>
        <v>397207.19106067996</v>
      </c>
      <c r="CS141" s="55">
        <f t="shared" si="863"/>
        <v>117259.34219999998</v>
      </c>
      <c r="CT141" s="59">
        <f t="shared" si="864"/>
        <v>387635.93344475998</v>
      </c>
      <c r="CU141" s="60">
        <f t="shared" si="865"/>
        <v>114364.04979999998</v>
      </c>
      <c r="CV141" s="59">
        <f t="shared" si="866"/>
        <v>378064.67582883994</v>
      </c>
      <c r="CW141" s="60">
        <f t="shared" si="867"/>
        <v>111468.75739999999</v>
      </c>
      <c r="CX141" s="59">
        <f t="shared" si="868"/>
        <v>368493.41821291996</v>
      </c>
      <c r="CY141" s="60">
        <f t="shared" si="869"/>
        <v>108573.46499999998</v>
      </c>
      <c r="CZ141" s="59">
        <f t="shared" si="870"/>
        <v>358922.16059699992</v>
      </c>
      <c r="DA141" s="55">
        <f t="shared" si="871"/>
        <v>105678.17259999998</v>
      </c>
      <c r="DB141" s="59">
        <f t="shared" si="872"/>
        <v>349350.90298107994</v>
      </c>
      <c r="DC141" s="60">
        <f t="shared" si="873"/>
        <v>102782.88019999997</v>
      </c>
      <c r="DD141" s="59">
        <f t="shared" si="874"/>
        <v>339779.6453651599</v>
      </c>
      <c r="DE141" s="60">
        <f t="shared" si="875"/>
        <v>99887.587799999979</v>
      </c>
      <c r="DF141" s="59">
        <f t="shared" si="876"/>
        <v>330208.38774923992</v>
      </c>
      <c r="DG141" s="60">
        <f t="shared" si="877"/>
        <v>96992.295399999974</v>
      </c>
      <c r="DH141" s="59">
        <f t="shared" si="878"/>
        <v>320637.13013331994</v>
      </c>
      <c r="DI141" s="60">
        <f t="shared" si="879"/>
        <v>94097.002999999968</v>
      </c>
      <c r="DJ141" s="59">
        <f t="shared" si="880"/>
        <v>311065.8725173999</v>
      </c>
      <c r="DK141" s="55">
        <f t="shared" si="881"/>
        <v>91201.710599999962</v>
      </c>
      <c r="DL141" s="59">
        <f t="shared" si="882"/>
        <v>301494.61490147986</v>
      </c>
      <c r="DM141" s="60">
        <f t="shared" si="883"/>
        <v>88306.418199999956</v>
      </c>
      <c r="DN141" s="59">
        <f t="shared" si="884"/>
        <v>291923.35728555988</v>
      </c>
      <c r="DO141" s="60">
        <f t="shared" si="885"/>
        <v>85411.125799999965</v>
      </c>
      <c r="DP141" s="59">
        <f t="shared" si="886"/>
        <v>282352.09966963989</v>
      </c>
      <c r="DQ141" s="55">
        <f t="shared" si="887"/>
        <v>82515.83339999996</v>
      </c>
      <c r="DR141" s="59">
        <f t="shared" si="888"/>
        <v>272780.84205371985</v>
      </c>
      <c r="DU141" s="55">
        <v>1</v>
      </c>
      <c r="DV141" s="55">
        <v>0.97</v>
      </c>
      <c r="DW141" s="55">
        <v>0.95</v>
      </c>
      <c r="DX141" s="55">
        <v>0.93</v>
      </c>
      <c r="DY141" s="55">
        <f t="shared" si="796"/>
        <v>0.91</v>
      </c>
      <c r="DZ141" s="55">
        <f t="shared" si="796"/>
        <v>0.89</v>
      </c>
      <c r="EA141" s="55">
        <f t="shared" si="796"/>
        <v>0.87</v>
      </c>
      <c r="EB141" s="55">
        <f t="shared" si="796"/>
        <v>0.85</v>
      </c>
      <c r="EC141" s="55">
        <f t="shared" si="796"/>
        <v>0.83</v>
      </c>
      <c r="ED141" s="55">
        <f t="shared" si="796"/>
        <v>0.80999999999999994</v>
      </c>
      <c r="EE141" s="55">
        <f t="shared" si="796"/>
        <v>0.78999999999999992</v>
      </c>
      <c r="EF141" s="55">
        <f t="shared" si="796"/>
        <v>0.76999999999999991</v>
      </c>
      <c r="EG141" s="55">
        <f t="shared" si="796"/>
        <v>0.74999999999999989</v>
      </c>
      <c r="EH141" s="55">
        <f t="shared" si="796"/>
        <v>0.72999999999999987</v>
      </c>
      <c r="EI141" s="55">
        <f t="shared" si="796"/>
        <v>0.70999999999999985</v>
      </c>
      <c r="EJ141" s="55">
        <f t="shared" si="796"/>
        <v>0.68999999999999984</v>
      </c>
      <c r="EK141" s="55">
        <f t="shared" si="796"/>
        <v>0.66999999999999982</v>
      </c>
      <c r="EL141" s="55">
        <f t="shared" si="796"/>
        <v>0.6499999999999998</v>
      </c>
      <c r="EM141" s="55">
        <f t="shared" si="796"/>
        <v>0.62999999999999978</v>
      </c>
      <c r="EN141" s="55">
        <f t="shared" si="796"/>
        <v>0.60999999999999976</v>
      </c>
      <c r="EO141" s="55">
        <f t="shared" si="796"/>
        <v>0.58999999999999975</v>
      </c>
      <c r="EP141" s="55">
        <f t="shared" si="796"/>
        <v>0.56999999999999973</v>
      </c>
      <c r="ER141" s="55">
        <f t="shared" si="652"/>
        <v>131735.80420000001</v>
      </c>
      <c r="ES141" s="55">
        <f t="shared" si="514"/>
        <v>131735.80420000001</v>
      </c>
      <c r="ET141" s="59">
        <f t="shared" si="889"/>
        <v>435492.22152436007</v>
      </c>
      <c r="EU141" s="55">
        <f t="shared" si="890"/>
        <v>127783.73007400001</v>
      </c>
      <c r="EV141" s="59">
        <f t="shared" si="891"/>
        <v>422427.45487862924</v>
      </c>
      <c r="EW141" s="55">
        <f t="shared" si="892"/>
        <v>125149.01399000001</v>
      </c>
      <c r="EX141" s="59">
        <f t="shared" si="893"/>
        <v>413717.61044814205</v>
      </c>
      <c r="EY141" s="55">
        <f t="shared" si="894"/>
        <v>122514.29790600002</v>
      </c>
      <c r="EZ141" s="59">
        <f t="shared" si="895"/>
        <v>405007.76601765485</v>
      </c>
      <c r="FA141" s="57">
        <f t="shared" si="896"/>
        <v>119879.58182200002</v>
      </c>
      <c r="FB141" s="59">
        <f t="shared" si="897"/>
        <v>396297.92158716766</v>
      </c>
      <c r="FC141" s="55">
        <f t="shared" si="898"/>
        <v>117244.86573800001</v>
      </c>
      <c r="FD141" s="59">
        <f t="shared" si="899"/>
        <v>387588.07715668046</v>
      </c>
      <c r="FE141" s="57">
        <f t="shared" si="900"/>
        <v>114610.14965400001</v>
      </c>
      <c r="FF141" s="59">
        <f t="shared" si="901"/>
        <v>378878.23272619321</v>
      </c>
      <c r="FG141" s="60">
        <f t="shared" si="902"/>
        <v>111975.43357000001</v>
      </c>
      <c r="FH141" s="59">
        <f t="shared" si="903"/>
        <v>370168.38829570601</v>
      </c>
      <c r="FI141" s="57">
        <f t="shared" si="904"/>
        <v>109340.71748600001</v>
      </c>
      <c r="FJ141" s="59">
        <f t="shared" si="905"/>
        <v>361458.54386521882</v>
      </c>
      <c r="FK141" s="55">
        <f t="shared" si="906"/>
        <v>106706.00140200001</v>
      </c>
      <c r="FL141" s="59">
        <f t="shared" si="907"/>
        <v>352748.69943473162</v>
      </c>
      <c r="FM141" s="60">
        <f t="shared" si="908"/>
        <v>104071.28531799999</v>
      </c>
      <c r="FN141" s="59">
        <f t="shared" si="909"/>
        <v>344038.85500424437</v>
      </c>
      <c r="FO141" s="60">
        <f t="shared" si="910"/>
        <v>101436.569234</v>
      </c>
      <c r="FP141" s="59">
        <f t="shared" si="911"/>
        <v>335329.01057375717</v>
      </c>
      <c r="FQ141" s="60">
        <f t="shared" si="912"/>
        <v>98801.853149999995</v>
      </c>
      <c r="FR141" s="59">
        <f t="shared" si="913"/>
        <v>326619.16614326998</v>
      </c>
      <c r="FS141" s="55">
        <f t="shared" si="914"/>
        <v>96167.137065999996</v>
      </c>
      <c r="FT141" s="59">
        <f t="shared" si="915"/>
        <v>317909.32171278278</v>
      </c>
      <c r="FU141" s="60">
        <f t="shared" si="916"/>
        <v>93532.420981999996</v>
      </c>
      <c r="FV141" s="59">
        <f t="shared" si="917"/>
        <v>309199.47728229559</v>
      </c>
      <c r="FW141" s="60">
        <f t="shared" si="918"/>
        <v>90897.704897999982</v>
      </c>
      <c r="FX141" s="59">
        <f t="shared" si="919"/>
        <v>300489.63285180833</v>
      </c>
      <c r="FY141" s="60">
        <f t="shared" si="920"/>
        <v>88262.988813999982</v>
      </c>
      <c r="FZ141" s="59">
        <f t="shared" si="921"/>
        <v>291779.78842132114</v>
      </c>
      <c r="GA141" s="60">
        <f t="shared" si="922"/>
        <v>85628.272729999982</v>
      </c>
      <c r="GB141" s="59">
        <f t="shared" si="923"/>
        <v>283069.94399083394</v>
      </c>
      <c r="GC141" s="55">
        <f t="shared" si="924"/>
        <v>82993.556645999983</v>
      </c>
      <c r="GD141" s="59">
        <f t="shared" si="925"/>
        <v>274360.09956034675</v>
      </c>
      <c r="GE141" s="60">
        <f t="shared" si="926"/>
        <v>80358.840561999983</v>
      </c>
      <c r="GF141" s="59">
        <f t="shared" si="927"/>
        <v>265650.25512985955</v>
      </c>
      <c r="GG141" s="60">
        <f t="shared" si="928"/>
        <v>77724.124477999969</v>
      </c>
      <c r="GH141" s="59">
        <f t="shared" si="929"/>
        <v>256940.4106993723</v>
      </c>
      <c r="GI141" s="55">
        <f t="shared" si="930"/>
        <v>75089.408393999969</v>
      </c>
      <c r="GJ141" s="59">
        <f t="shared" si="931"/>
        <v>248230.5662688851</v>
      </c>
      <c r="GK141" s="55"/>
      <c r="GL141" s="55"/>
      <c r="GM141" s="55">
        <v>1</v>
      </c>
      <c r="GN141" s="55">
        <v>0.97</v>
      </c>
      <c r="GO141" s="55">
        <v>0.95</v>
      </c>
      <c r="GP141" s="55">
        <v>0.93</v>
      </c>
      <c r="GQ141" s="55">
        <f t="shared" si="797"/>
        <v>0.91</v>
      </c>
      <c r="GR141" s="55">
        <f t="shared" si="797"/>
        <v>0.89</v>
      </c>
      <c r="GS141" s="55">
        <f t="shared" si="797"/>
        <v>0.87</v>
      </c>
      <c r="GT141" s="55">
        <f t="shared" si="797"/>
        <v>0.85</v>
      </c>
      <c r="GU141" s="55">
        <f t="shared" si="797"/>
        <v>0.83</v>
      </c>
      <c r="GV141" s="55">
        <f t="shared" si="797"/>
        <v>0.80999999999999994</v>
      </c>
      <c r="GW141" s="55">
        <f t="shared" si="797"/>
        <v>0.78999999999999992</v>
      </c>
      <c r="GX141" s="55">
        <f t="shared" si="797"/>
        <v>0.76999999999999991</v>
      </c>
      <c r="GY141" s="55">
        <f t="shared" si="797"/>
        <v>0.74999999999999989</v>
      </c>
      <c r="GZ141" s="55">
        <f t="shared" si="797"/>
        <v>0.72999999999999987</v>
      </c>
      <c r="HA141" s="55">
        <f t="shared" si="797"/>
        <v>0.70999999999999985</v>
      </c>
      <c r="HB141" s="55">
        <f t="shared" si="797"/>
        <v>0.68999999999999984</v>
      </c>
      <c r="HC141" s="55">
        <f t="shared" si="797"/>
        <v>0.66999999999999982</v>
      </c>
      <c r="HD141" s="55">
        <f t="shared" si="797"/>
        <v>0.6499999999999998</v>
      </c>
      <c r="HE141" s="55">
        <f t="shared" si="797"/>
        <v>0.62999999999999978</v>
      </c>
      <c r="HF141" s="55">
        <f t="shared" si="797"/>
        <v>0.60999999999999976</v>
      </c>
      <c r="HG141" s="55">
        <f t="shared" si="797"/>
        <v>0.58999999999999975</v>
      </c>
      <c r="HH141" s="55">
        <f t="shared" si="797"/>
        <v>0.56999999999999973</v>
      </c>
    </row>
    <row r="142" spans="1:216" x14ac:dyDescent="0.3">
      <c r="A142" s="2">
        <v>7</v>
      </c>
      <c r="C142" s="38" t="s">
        <v>58</v>
      </c>
      <c r="D142" s="42">
        <f>TRUNC(6312,-1)</f>
        <v>6310</v>
      </c>
      <c r="E142" s="71">
        <f t="shared" si="802"/>
        <v>20850</v>
      </c>
      <c r="H142" s="55">
        <f t="shared" si="509"/>
        <v>22935.000000000004</v>
      </c>
      <c r="I142" s="55">
        <f t="shared" si="510"/>
        <v>22935.000000000004</v>
      </c>
      <c r="J142" s="59">
        <f t="shared" si="511"/>
        <v>75818.523000000016</v>
      </c>
      <c r="K142" s="55">
        <f t="shared" si="803"/>
        <v>22246.950000000004</v>
      </c>
      <c r="L142" s="59">
        <f t="shared" si="804"/>
        <v>73543.967310000022</v>
      </c>
      <c r="M142" s="55">
        <f t="shared" si="805"/>
        <v>21788.250000000004</v>
      </c>
      <c r="N142" s="59">
        <f t="shared" si="806"/>
        <v>72027.596850000016</v>
      </c>
      <c r="O142" s="55">
        <f t="shared" si="807"/>
        <v>21329.550000000003</v>
      </c>
      <c r="P142" s="59">
        <f t="shared" si="808"/>
        <v>70511.226390000011</v>
      </c>
      <c r="Q142" s="57">
        <f t="shared" si="809"/>
        <v>20870.850000000006</v>
      </c>
      <c r="R142" s="59">
        <f t="shared" si="810"/>
        <v>68994.85593000002</v>
      </c>
      <c r="S142" s="55">
        <f t="shared" si="811"/>
        <v>20412.150000000005</v>
      </c>
      <c r="T142" s="59">
        <f t="shared" si="812"/>
        <v>67478.485470000014</v>
      </c>
      <c r="U142" s="57">
        <f t="shared" si="813"/>
        <v>19953.450000000004</v>
      </c>
      <c r="V142" s="59">
        <f t="shared" si="814"/>
        <v>65962.115010000009</v>
      </c>
      <c r="W142" s="60">
        <f t="shared" si="815"/>
        <v>19494.750000000004</v>
      </c>
      <c r="X142" s="59">
        <f t="shared" si="816"/>
        <v>64445.74455000001</v>
      </c>
      <c r="Y142" s="57">
        <f t="shared" si="817"/>
        <v>19036.050000000003</v>
      </c>
      <c r="Z142" s="59">
        <f t="shared" si="818"/>
        <v>62929.374090000012</v>
      </c>
      <c r="AA142" s="55">
        <f t="shared" si="819"/>
        <v>18577.350000000002</v>
      </c>
      <c r="AB142" s="59">
        <f t="shared" si="820"/>
        <v>61413.003630000007</v>
      </c>
      <c r="AC142" s="60">
        <f t="shared" si="821"/>
        <v>18118.650000000001</v>
      </c>
      <c r="AD142" s="59">
        <f t="shared" si="822"/>
        <v>59896.633170000008</v>
      </c>
      <c r="AE142" s="60">
        <f t="shared" si="823"/>
        <v>17659.95</v>
      </c>
      <c r="AF142" s="59">
        <f t="shared" si="824"/>
        <v>58380.262710000003</v>
      </c>
      <c r="AG142" s="60">
        <f t="shared" si="825"/>
        <v>17201.25</v>
      </c>
      <c r="AH142" s="59">
        <f t="shared" si="826"/>
        <v>56863.892250000004</v>
      </c>
      <c r="AI142" s="55">
        <f t="shared" si="827"/>
        <v>16742.55</v>
      </c>
      <c r="AJ142" s="59">
        <f t="shared" si="828"/>
        <v>55347.521789999999</v>
      </c>
      <c r="AK142" s="60">
        <f t="shared" si="829"/>
        <v>16283.849999999999</v>
      </c>
      <c r="AL142" s="59">
        <f t="shared" si="830"/>
        <v>53831.151329999993</v>
      </c>
      <c r="AM142" s="60">
        <f t="shared" si="831"/>
        <v>15825.15</v>
      </c>
      <c r="AN142" s="59">
        <f t="shared" si="832"/>
        <v>52314.780870000002</v>
      </c>
      <c r="AO142" s="60">
        <f t="shared" si="833"/>
        <v>15366.449999999999</v>
      </c>
      <c r="AP142" s="59">
        <f t="shared" si="834"/>
        <v>50798.410409999997</v>
      </c>
      <c r="AQ142" s="60">
        <f t="shared" si="835"/>
        <v>14907.749999999998</v>
      </c>
      <c r="AR142" s="59">
        <f t="shared" si="836"/>
        <v>49282.039949999998</v>
      </c>
      <c r="AS142" s="55">
        <f t="shared" si="837"/>
        <v>14449.049999999997</v>
      </c>
      <c r="AT142" s="59">
        <f t="shared" si="838"/>
        <v>47765.669489999993</v>
      </c>
      <c r="AU142" s="60">
        <f t="shared" si="839"/>
        <v>13990.349999999997</v>
      </c>
      <c r="AV142" s="59">
        <f t="shared" si="840"/>
        <v>46249.299029999987</v>
      </c>
      <c r="AW142" s="60">
        <f t="shared" si="841"/>
        <v>13531.649999999996</v>
      </c>
      <c r="AX142" s="59">
        <f t="shared" si="842"/>
        <v>44732.928569999989</v>
      </c>
      <c r="AY142" s="55">
        <f t="shared" si="843"/>
        <v>13072.949999999995</v>
      </c>
      <c r="AZ142" s="59">
        <f t="shared" si="844"/>
        <v>43216.558109999984</v>
      </c>
      <c r="BC142" s="55">
        <v>1</v>
      </c>
      <c r="BD142" s="55">
        <v>0.97</v>
      </c>
      <c r="BE142" s="55">
        <v>0.95</v>
      </c>
      <c r="BF142" s="55">
        <v>0.93</v>
      </c>
      <c r="BG142" s="55">
        <f t="shared" si="845"/>
        <v>0.91</v>
      </c>
      <c r="BH142" s="55">
        <f t="shared" si="845"/>
        <v>0.89</v>
      </c>
      <c r="BI142" s="55">
        <f t="shared" si="845"/>
        <v>0.87</v>
      </c>
      <c r="BJ142" s="55">
        <f t="shared" si="845"/>
        <v>0.85</v>
      </c>
      <c r="BK142" s="55">
        <f t="shared" si="845"/>
        <v>0.83</v>
      </c>
      <c r="BL142" s="55">
        <f t="shared" si="845"/>
        <v>0.80999999999999994</v>
      </c>
      <c r="BM142" s="55">
        <f t="shared" si="845"/>
        <v>0.78999999999999992</v>
      </c>
      <c r="BN142" s="55">
        <f t="shared" si="845"/>
        <v>0.76999999999999991</v>
      </c>
      <c r="BO142" s="55">
        <f t="shared" si="845"/>
        <v>0.74999999999999989</v>
      </c>
      <c r="BP142" s="55">
        <f t="shared" si="845"/>
        <v>0.72999999999999987</v>
      </c>
      <c r="BQ142" s="55">
        <f t="shared" si="845"/>
        <v>0.70999999999999985</v>
      </c>
      <c r="BR142" s="55">
        <f t="shared" si="845"/>
        <v>0.68999999999999984</v>
      </c>
      <c r="BS142" s="55">
        <f t="shared" si="845"/>
        <v>0.66999999999999982</v>
      </c>
      <c r="BT142" s="55">
        <f t="shared" si="845"/>
        <v>0.6499999999999998</v>
      </c>
      <c r="BU142" s="55">
        <f t="shared" si="845"/>
        <v>0.62999999999999978</v>
      </c>
      <c r="BV142" s="55">
        <f t="shared" si="845"/>
        <v>0.60999999999999976</v>
      </c>
      <c r="BW142" s="55">
        <f t="shared" si="845"/>
        <v>0.58999999999999975</v>
      </c>
      <c r="BX142" s="55">
        <f t="shared" si="845"/>
        <v>0.56999999999999973</v>
      </c>
      <c r="BZ142" s="55">
        <f t="shared" si="512"/>
        <v>20870.850000000006</v>
      </c>
      <c r="CA142" s="55">
        <f t="shared" si="513"/>
        <v>20870.850000000006</v>
      </c>
      <c r="CB142" s="59">
        <f t="shared" si="846"/>
        <v>68994.85593000002</v>
      </c>
      <c r="CC142" s="55">
        <f t="shared" si="847"/>
        <v>20244.724500000004</v>
      </c>
      <c r="CD142" s="59">
        <f t="shared" si="848"/>
        <v>66925.010252100008</v>
      </c>
      <c r="CE142" s="55">
        <f t="shared" si="849"/>
        <v>19827.307500000006</v>
      </c>
      <c r="CF142" s="59">
        <f t="shared" si="850"/>
        <v>65545.113133500025</v>
      </c>
      <c r="CG142" s="55">
        <f t="shared" si="851"/>
        <v>19409.890500000005</v>
      </c>
      <c r="CH142" s="59">
        <f t="shared" si="852"/>
        <v>64165.216014900019</v>
      </c>
      <c r="CI142" s="57">
        <f t="shared" si="853"/>
        <v>18992.473500000007</v>
      </c>
      <c r="CJ142" s="59">
        <f t="shared" si="854"/>
        <v>62785.318896300028</v>
      </c>
      <c r="CK142" s="55">
        <f t="shared" si="855"/>
        <v>18575.056500000006</v>
      </c>
      <c r="CL142" s="59">
        <f t="shared" si="856"/>
        <v>61405.421777700023</v>
      </c>
      <c r="CM142" s="57">
        <f t="shared" si="857"/>
        <v>18157.639500000005</v>
      </c>
      <c r="CN142" s="59">
        <f t="shared" si="858"/>
        <v>60025.524659100018</v>
      </c>
      <c r="CO142" s="60">
        <f t="shared" si="859"/>
        <v>17740.222500000003</v>
      </c>
      <c r="CP142" s="59">
        <f t="shared" si="860"/>
        <v>58645.627540500012</v>
      </c>
      <c r="CQ142" s="57">
        <f t="shared" si="861"/>
        <v>17322.805500000002</v>
      </c>
      <c r="CR142" s="59">
        <f t="shared" si="862"/>
        <v>57265.730421900007</v>
      </c>
      <c r="CS142" s="55">
        <f t="shared" si="863"/>
        <v>16905.388500000005</v>
      </c>
      <c r="CT142" s="59">
        <f t="shared" si="864"/>
        <v>55885.833303300016</v>
      </c>
      <c r="CU142" s="60">
        <f t="shared" si="865"/>
        <v>16487.971500000003</v>
      </c>
      <c r="CV142" s="59">
        <f t="shared" si="866"/>
        <v>54505.936184700011</v>
      </c>
      <c r="CW142" s="60">
        <f t="shared" si="867"/>
        <v>16070.554500000002</v>
      </c>
      <c r="CX142" s="59">
        <f t="shared" si="868"/>
        <v>53126.039066100006</v>
      </c>
      <c r="CY142" s="60">
        <f t="shared" si="869"/>
        <v>15653.137500000003</v>
      </c>
      <c r="CZ142" s="59">
        <f t="shared" si="870"/>
        <v>51746.141947500008</v>
      </c>
      <c r="DA142" s="55">
        <f t="shared" si="871"/>
        <v>15235.720500000001</v>
      </c>
      <c r="DB142" s="59">
        <f t="shared" si="872"/>
        <v>50366.244828900002</v>
      </c>
      <c r="DC142" s="60">
        <f t="shared" si="873"/>
        <v>14818.303500000002</v>
      </c>
      <c r="DD142" s="59">
        <f t="shared" si="874"/>
        <v>48986.347710300004</v>
      </c>
      <c r="DE142" s="60">
        <f t="shared" si="875"/>
        <v>14400.886500000001</v>
      </c>
      <c r="DF142" s="59">
        <f t="shared" si="876"/>
        <v>47606.450591700006</v>
      </c>
      <c r="DG142" s="60">
        <f t="shared" si="877"/>
        <v>13983.469499999999</v>
      </c>
      <c r="DH142" s="59">
        <f t="shared" si="878"/>
        <v>46226.553473100001</v>
      </c>
      <c r="DI142" s="60">
        <f t="shared" si="879"/>
        <v>13566.0525</v>
      </c>
      <c r="DJ142" s="59">
        <f t="shared" si="880"/>
        <v>44846.656354500003</v>
      </c>
      <c r="DK142" s="55">
        <f t="shared" si="881"/>
        <v>13148.635499999999</v>
      </c>
      <c r="DL142" s="59">
        <f t="shared" si="882"/>
        <v>43466.759235899997</v>
      </c>
      <c r="DM142" s="60">
        <f t="shared" si="883"/>
        <v>12731.218499999999</v>
      </c>
      <c r="DN142" s="59">
        <f t="shared" si="884"/>
        <v>42086.862117299999</v>
      </c>
      <c r="DO142" s="60">
        <f t="shared" si="885"/>
        <v>12313.801499999998</v>
      </c>
      <c r="DP142" s="59">
        <f t="shared" si="886"/>
        <v>40706.964998699994</v>
      </c>
      <c r="DQ142" s="55">
        <f t="shared" si="887"/>
        <v>11896.384499999998</v>
      </c>
      <c r="DR142" s="59">
        <f t="shared" si="888"/>
        <v>39327.067880099996</v>
      </c>
      <c r="DU142" s="55">
        <v>1</v>
      </c>
      <c r="DV142" s="55">
        <v>0.97</v>
      </c>
      <c r="DW142" s="55">
        <v>0.95</v>
      </c>
      <c r="DX142" s="55">
        <v>0.93</v>
      </c>
      <c r="DY142" s="55">
        <f t="shared" si="796"/>
        <v>0.91</v>
      </c>
      <c r="DZ142" s="55">
        <f t="shared" si="796"/>
        <v>0.89</v>
      </c>
      <c r="EA142" s="55">
        <f t="shared" si="796"/>
        <v>0.87</v>
      </c>
      <c r="EB142" s="55">
        <f t="shared" si="796"/>
        <v>0.85</v>
      </c>
      <c r="EC142" s="55">
        <f t="shared" si="796"/>
        <v>0.83</v>
      </c>
      <c r="ED142" s="55">
        <f t="shared" si="796"/>
        <v>0.80999999999999994</v>
      </c>
      <c r="EE142" s="55">
        <f t="shared" si="796"/>
        <v>0.78999999999999992</v>
      </c>
      <c r="EF142" s="55">
        <f t="shared" si="796"/>
        <v>0.76999999999999991</v>
      </c>
      <c r="EG142" s="55">
        <f t="shared" si="796"/>
        <v>0.74999999999999989</v>
      </c>
      <c r="EH142" s="55">
        <f t="shared" si="796"/>
        <v>0.72999999999999987</v>
      </c>
      <c r="EI142" s="55">
        <f t="shared" si="796"/>
        <v>0.70999999999999985</v>
      </c>
      <c r="EJ142" s="55">
        <f t="shared" si="796"/>
        <v>0.68999999999999984</v>
      </c>
      <c r="EK142" s="55">
        <f t="shared" si="796"/>
        <v>0.66999999999999982</v>
      </c>
      <c r="EL142" s="55">
        <f t="shared" si="796"/>
        <v>0.6499999999999998</v>
      </c>
      <c r="EM142" s="55">
        <f t="shared" si="796"/>
        <v>0.62999999999999978</v>
      </c>
      <c r="EN142" s="55">
        <f t="shared" si="796"/>
        <v>0.60999999999999976</v>
      </c>
      <c r="EO142" s="55">
        <f t="shared" si="796"/>
        <v>0.58999999999999975</v>
      </c>
      <c r="EP142" s="55">
        <f t="shared" si="796"/>
        <v>0.56999999999999973</v>
      </c>
      <c r="ER142" s="55">
        <f t="shared" si="652"/>
        <v>18992.473500000007</v>
      </c>
      <c r="ES142" s="55">
        <f t="shared" si="514"/>
        <v>18992.473500000007</v>
      </c>
      <c r="ET142" s="59">
        <f t="shared" si="889"/>
        <v>62785.318896300028</v>
      </c>
      <c r="EU142" s="55">
        <f t="shared" si="890"/>
        <v>18422.699295000006</v>
      </c>
      <c r="EV142" s="59">
        <f t="shared" si="891"/>
        <v>60901.759329411019</v>
      </c>
      <c r="EW142" s="55">
        <f t="shared" si="892"/>
        <v>18042.849825000005</v>
      </c>
      <c r="EX142" s="59">
        <f t="shared" si="893"/>
        <v>59646.05295148502</v>
      </c>
      <c r="EY142" s="55">
        <f t="shared" si="894"/>
        <v>17663.000355000007</v>
      </c>
      <c r="EZ142" s="59">
        <f t="shared" si="895"/>
        <v>58390.346573559029</v>
      </c>
      <c r="FA142" s="57">
        <f t="shared" si="896"/>
        <v>17283.150885000006</v>
      </c>
      <c r="FB142" s="59">
        <f t="shared" si="897"/>
        <v>57134.640195633023</v>
      </c>
      <c r="FC142" s="55">
        <f t="shared" si="898"/>
        <v>16903.301415000005</v>
      </c>
      <c r="FD142" s="59">
        <f t="shared" si="899"/>
        <v>55878.933817707017</v>
      </c>
      <c r="FE142" s="57">
        <f t="shared" si="900"/>
        <v>16523.451945000008</v>
      </c>
      <c r="FF142" s="59">
        <f t="shared" si="901"/>
        <v>54623.227439781025</v>
      </c>
      <c r="FG142" s="60">
        <f t="shared" si="902"/>
        <v>16143.602475000005</v>
      </c>
      <c r="FH142" s="59">
        <f t="shared" si="903"/>
        <v>53367.521061855019</v>
      </c>
      <c r="FI142" s="57">
        <f t="shared" si="904"/>
        <v>15763.753005000006</v>
      </c>
      <c r="FJ142" s="59">
        <f t="shared" si="905"/>
        <v>52111.81468392902</v>
      </c>
      <c r="FK142" s="55">
        <f t="shared" si="906"/>
        <v>15383.903535000005</v>
      </c>
      <c r="FL142" s="59">
        <f t="shared" si="907"/>
        <v>50856.108306003014</v>
      </c>
      <c r="FM142" s="60">
        <f t="shared" si="908"/>
        <v>15004.054065000004</v>
      </c>
      <c r="FN142" s="59">
        <f t="shared" si="909"/>
        <v>49600.401928077015</v>
      </c>
      <c r="FO142" s="60">
        <f t="shared" si="910"/>
        <v>14624.204595000005</v>
      </c>
      <c r="FP142" s="59">
        <f t="shared" si="911"/>
        <v>48344.695550151017</v>
      </c>
      <c r="FQ142" s="60">
        <f t="shared" si="912"/>
        <v>14244.355125000004</v>
      </c>
      <c r="FR142" s="59">
        <f t="shared" si="913"/>
        <v>47088.98917222501</v>
      </c>
      <c r="FS142" s="55">
        <f t="shared" si="914"/>
        <v>13864.505655000003</v>
      </c>
      <c r="FT142" s="59">
        <f t="shared" si="915"/>
        <v>45833.282794299012</v>
      </c>
      <c r="FU142" s="60">
        <f t="shared" si="916"/>
        <v>13484.656185000002</v>
      </c>
      <c r="FV142" s="59">
        <f t="shared" si="917"/>
        <v>44577.576416373005</v>
      </c>
      <c r="FW142" s="60">
        <f t="shared" si="918"/>
        <v>13104.806715000002</v>
      </c>
      <c r="FX142" s="59">
        <f t="shared" si="919"/>
        <v>43321.870038447007</v>
      </c>
      <c r="FY142" s="60">
        <f t="shared" si="920"/>
        <v>12724.957245000001</v>
      </c>
      <c r="FZ142" s="59">
        <f t="shared" si="921"/>
        <v>42066.163660521008</v>
      </c>
      <c r="GA142" s="60">
        <f t="shared" si="922"/>
        <v>12345.107775</v>
      </c>
      <c r="GB142" s="59">
        <f t="shared" si="923"/>
        <v>40810.457282595002</v>
      </c>
      <c r="GC142" s="55">
        <f t="shared" si="924"/>
        <v>11965.258305000001</v>
      </c>
      <c r="GD142" s="59">
        <f t="shared" si="925"/>
        <v>39554.750904669003</v>
      </c>
      <c r="GE142" s="60">
        <f t="shared" si="926"/>
        <v>11585.408835</v>
      </c>
      <c r="GF142" s="59">
        <f t="shared" si="927"/>
        <v>38299.044526743004</v>
      </c>
      <c r="GG142" s="60">
        <f t="shared" si="928"/>
        <v>11205.559364999999</v>
      </c>
      <c r="GH142" s="59">
        <f t="shared" si="929"/>
        <v>37043.338148816998</v>
      </c>
      <c r="GI142" s="55">
        <f t="shared" si="930"/>
        <v>10825.709894999998</v>
      </c>
      <c r="GJ142" s="59">
        <f t="shared" si="931"/>
        <v>35787.631770890992</v>
      </c>
      <c r="GK142" s="55"/>
      <c r="GL142" s="55"/>
      <c r="GM142" s="55">
        <v>1</v>
      </c>
      <c r="GN142" s="55">
        <v>0.97</v>
      </c>
      <c r="GO142" s="55">
        <v>0.95</v>
      </c>
      <c r="GP142" s="55">
        <v>0.93</v>
      </c>
      <c r="GQ142" s="55">
        <f t="shared" si="797"/>
        <v>0.91</v>
      </c>
      <c r="GR142" s="55">
        <f t="shared" si="797"/>
        <v>0.89</v>
      </c>
      <c r="GS142" s="55">
        <f t="shared" si="797"/>
        <v>0.87</v>
      </c>
      <c r="GT142" s="55">
        <f t="shared" si="797"/>
        <v>0.85</v>
      </c>
      <c r="GU142" s="55">
        <f t="shared" si="797"/>
        <v>0.83</v>
      </c>
      <c r="GV142" s="55">
        <f t="shared" si="797"/>
        <v>0.80999999999999994</v>
      </c>
      <c r="GW142" s="55">
        <f t="shared" si="797"/>
        <v>0.78999999999999992</v>
      </c>
      <c r="GX142" s="55">
        <f t="shared" si="797"/>
        <v>0.76999999999999991</v>
      </c>
      <c r="GY142" s="55">
        <f t="shared" si="797"/>
        <v>0.74999999999999989</v>
      </c>
      <c r="GZ142" s="55">
        <f t="shared" si="797"/>
        <v>0.72999999999999987</v>
      </c>
      <c r="HA142" s="55">
        <f t="shared" si="797"/>
        <v>0.70999999999999985</v>
      </c>
      <c r="HB142" s="55">
        <f t="shared" si="797"/>
        <v>0.68999999999999984</v>
      </c>
      <c r="HC142" s="55">
        <f t="shared" si="797"/>
        <v>0.66999999999999982</v>
      </c>
      <c r="HD142" s="55">
        <f t="shared" si="797"/>
        <v>0.6499999999999998</v>
      </c>
      <c r="HE142" s="55">
        <f t="shared" si="797"/>
        <v>0.62999999999999978</v>
      </c>
      <c r="HF142" s="55">
        <f t="shared" si="797"/>
        <v>0.60999999999999976</v>
      </c>
      <c r="HG142" s="55">
        <f t="shared" si="797"/>
        <v>0.58999999999999975</v>
      </c>
      <c r="HH142" s="55">
        <f t="shared" si="797"/>
        <v>0.56999999999999973</v>
      </c>
    </row>
    <row r="143" spans="1:216" x14ac:dyDescent="0.3">
      <c r="A143" s="2">
        <v>8</v>
      </c>
      <c r="C143" s="38" t="s">
        <v>62</v>
      </c>
      <c r="D143" s="42">
        <f>TRUNC(6496,-1)</f>
        <v>6490</v>
      </c>
      <c r="E143" s="71">
        <f t="shared" si="802"/>
        <v>21450</v>
      </c>
      <c r="H143" s="55">
        <f t="shared" si="509"/>
        <v>23595.000000000004</v>
      </c>
      <c r="I143" s="55">
        <f t="shared" si="510"/>
        <v>23595.000000000004</v>
      </c>
      <c r="J143" s="59">
        <f t="shared" si="511"/>
        <v>78000.35100000001</v>
      </c>
      <c r="K143" s="55">
        <f t="shared" si="803"/>
        <v>22887.15</v>
      </c>
      <c r="L143" s="59">
        <f t="shared" si="804"/>
        <v>75660.34047000001</v>
      </c>
      <c r="M143" s="55">
        <f t="shared" si="805"/>
        <v>22415.250000000004</v>
      </c>
      <c r="N143" s="59">
        <f t="shared" si="806"/>
        <v>74100.33345000002</v>
      </c>
      <c r="O143" s="55">
        <f t="shared" si="807"/>
        <v>21943.350000000006</v>
      </c>
      <c r="P143" s="59">
        <f t="shared" si="808"/>
        <v>72540.326430000016</v>
      </c>
      <c r="Q143" s="57">
        <f t="shared" si="809"/>
        <v>21471.450000000004</v>
      </c>
      <c r="R143" s="59">
        <f t="shared" si="810"/>
        <v>70980.319410000011</v>
      </c>
      <c r="S143" s="55">
        <f t="shared" si="811"/>
        <v>20999.550000000003</v>
      </c>
      <c r="T143" s="59">
        <f t="shared" si="812"/>
        <v>69420.312390000006</v>
      </c>
      <c r="U143" s="57">
        <f t="shared" si="813"/>
        <v>20527.650000000001</v>
      </c>
      <c r="V143" s="59">
        <f t="shared" si="814"/>
        <v>67860.305370000002</v>
      </c>
      <c r="W143" s="60">
        <f t="shared" si="815"/>
        <v>20055.750000000004</v>
      </c>
      <c r="X143" s="59">
        <f t="shared" si="816"/>
        <v>66300.298350000012</v>
      </c>
      <c r="Y143" s="57">
        <f t="shared" si="817"/>
        <v>19583.850000000002</v>
      </c>
      <c r="Z143" s="59">
        <f t="shared" si="818"/>
        <v>64740.291330000007</v>
      </c>
      <c r="AA143" s="55">
        <f t="shared" si="819"/>
        <v>19111.95</v>
      </c>
      <c r="AB143" s="59">
        <f t="shared" si="820"/>
        <v>63180.284310000003</v>
      </c>
      <c r="AC143" s="60">
        <f t="shared" si="821"/>
        <v>18640.050000000003</v>
      </c>
      <c r="AD143" s="59">
        <f t="shared" si="822"/>
        <v>61620.277290000013</v>
      </c>
      <c r="AE143" s="60">
        <f t="shared" si="823"/>
        <v>18168.150000000001</v>
      </c>
      <c r="AF143" s="59">
        <f t="shared" si="824"/>
        <v>60060.270270000008</v>
      </c>
      <c r="AG143" s="60">
        <f t="shared" si="825"/>
        <v>17696.25</v>
      </c>
      <c r="AH143" s="59">
        <f t="shared" si="826"/>
        <v>58500.263250000004</v>
      </c>
      <c r="AI143" s="55">
        <f t="shared" si="827"/>
        <v>17224.349999999999</v>
      </c>
      <c r="AJ143" s="59">
        <f t="shared" si="828"/>
        <v>56940.256229999999</v>
      </c>
      <c r="AK143" s="60">
        <f t="shared" si="829"/>
        <v>16752.45</v>
      </c>
      <c r="AL143" s="59">
        <f t="shared" si="830"/>
        <v>55380.249210000002</v>
      </c>
      <c r="AM143" s="60">
        <f t="shared" si="831"/>
        <v>16280.55</v>
      </c>
      <c r="AN143" s="59">
        <f t="shared" si="832"/>
        <v>53820.242189999997</v>
      </c>
      <c r="AO143" s="60">
        <f t="shared" si="833"/>
        <v>15808.649999999998</v>
      </c>
      <c r="AP143" s="59">
        <f t="shared" si="834"/>
        <v>52260.235169999993</v>
      </c>
      <c r="AQ143" s="60">
        <f t="shared" si="835"/>
        <v>15336.749999999998</v>
      </c>
      <c r="AR143" s="59">
        <f t="shared" si="836"/>
        <v>50700.228149999995</v>
      </c>
      <c r="AS143" s="55">
        <f t="shared" si="837"/>
        <v>14864.849999999997</v>
      </c>
      <c r="AT143" s="59">
        <f t="shared" si="838"/>
        <v>49140.221129999991</v>
      </c>
      <c r="AU143" s="60">
        <f t="shared" si="839"/>
        <v>14392.949999999997</v>
      </c>
      <c r="AV143" s="59">
        <f t="shared" si="840"/>
        <v>47580.214109999994</v>
      </c>
      <c r="AW143" s="60">
        <f t="shared" si="841"/>
        <v>13921.049999999996</v>
      </c>
      <c r="AX143" s="59">
        <f t="shared" si="842"/>
        <v>46020.207089999989</v>
      </c>
      <c r="AY143" s="55">
        <f t="shared" si="843"/>
        <v>13449.149999999996</v>
      </c>
      <c r="AZ143" s="59">
        <f t="shared" si="844"/>
        <v>44460.200069999984</v>
      </c>
      <c r="BC143" s="55">
        <v>1</v>
      </c>
      <c r="BD143" s="55">
        <v>0.97</v>
      </c>
      <c r="BE143" s="55">
        <v>0.95</v>
      </c>
      <c r="BF143" s="55">
        <v>0.93</v>
      </c>
      <c r="BG143" s="55">
        <f t="shared" si="845"/>
        <v>0.91</v>
      </c>
      <c r="BH143" s="55">
        <f t="shared" si="845"/>
        <v>0.89</v>
      </c>
      <c r="BI143" s="55">
        <f t="shared" si="845"/>
        <v>0.87</v>
      </c>
      <c r="BJ143" s="55">
        <f t="shared" si="845"/>
        <v>0.85</v>
      </c>
      <c r="BK143" s="55">
        <f t="shared" si="845"/>
        <v>0.83</v>
      </c>
      <c r="BL143" s="55">
        <f t="shared" si="845"/>
        <v>0.80999999999999994</v>
      </c>
      <c r="BM143" s="55">
        <f t="shared" si="845"/>
        <v>0.78999999999999992</v>
      </c>
      <c r="BN143" s="55">
        <f t="shared" si="845"/>
        <v>0.76999999999999991</v>
      </c>
      <c r="BO143" s="55">
        <f t="shared" si="845"/>
        <v>0.74999999999999989</v>
      </c>
      <c r="BP143" s="55">
        <f t="shared" si="845"/>
        <v>0.72999999999999987</v>
      </c>
      <c r="BQ143" s="55">
        <f t="shared" si="845"/>
        <v>0.70999999999999985</v>
      </c>
      <c r="BR143" s="55">
        <f t="shared" si="845"/>
        <v>0.68999999999999984</v>
      </c>
      <c r="BS143" s="55">
        <f t="shared" si="845"/>
        <v>0.66999999999999982</v>
      </c>
      <c r="BT143" s="55">
        <f t="shared" si="845"/>
        <v>0.6499999999999998</v>
      </c>
      <c r="BU143" s="55">
        <f t="shared" si="845"/>
        <v>0.62999999999999978</v>
      </c>
      <c r="BV143" s="55">
        <f t="shared" si="845"/>
        <v>0.60999999999999976</v>
      </c>
      <c r="BW143" s="55">
        <f t="shared" si="845"/>
        <v>0.58999999999999975</v>
      </c>
      <c r="BX143" s="55">
        <f t="shared" si="845"/>
        <v>0.56999999999999973</v>
      </c>
      <c r="BZ143" s="55">
        <f t="shared" si="512"/>
        <v>21471.450000000004</v>
      </c>
      <c r="CA143" s="55">
        <f t="shared" si="513"/>
        <v>21471.450000000004</v>
      </c>
      <c r="CB143" s="59">
        <f t="shared" si="846"/>
        <v>70980.319410000011</v>
      </c>
      <c r="CC143" s="55">
        <f t="shared" si="847"/>
        <v>20827.306500000002</v>
      </c>
      <c r="CD143" s="59">
        <f t="shared" si="848"/>
        <v>68850.909827700016</v>
      </c>
      <c r="CE143" s="55">
        <f t="shared" si="849"/>
        <v>20397.877500000002</v>
      </c>
      <c r="CF143" s="59">
        <f t="shared" si="850"/>
        <v>67431.303439500014</v>
      </c>
      <c r="CG143" s="55">
        <f t="shared" si="851"/>
        <v>19968.448500000006</v>
      </c>
      <c r="CH143" s="59">
        <f t="shared" si="852"/>
        <v>66011.697051300027</v>
      </c>
      <c r="CI143" s="57">
        <f t="shared" si="853"/>
        <v>19539.019500000006</v>
      </c>
      <c r="CJ143" s="59">
        <f t="shared" si="854"/>
        <v>64592.090663100018</v>
      </c>
      <c r="CK143" s="55">
        <f t="shared" si="855"/>
        <v>19109.590500000006</v>
      </c>
      <c r="CL143" s="59">
        <f t="shared" si="856"/>
        <v>63172.484274900024</v>
      </c>
      <c r="CM143" s="57">
        <f t="shared" si="857"/>
        <v>18680.161500000002</v>
      </c>
      <c r="CN143" s="59">
        <f t="shared" si="858"/>
        <v>61752.877886700007</v>
      </c>
      <c r="CO143" s="60">
        <f t="shared" si="859"/>
        <v>18250.732500000002</v>
      </c>
      <c r="CP143" s="59">
        <f t="shared" si="860"/>
        <v>60333.271498500006</v>
      </c>
      <c r="CQ143" s="57">
        <f t="shared" si="861"/>
        <v>17821.303500000002</v>
      </c>
      <c r="CR143" s="59">
        <f t="shared" si="862"/>
        <v>58913.665110300004</v>
      </c>
      <c r="CS143" s="55">
        <f t="shared" si="863"/>
        <v>17391.874500000002</v>
      </c>
      <c r="CT143" s="59">
        <f t="shared" si="864"/>
        <v>57494.05872210001</v>
      </c>
      <c r="CU143" s="60">
        <f t="shared" si="865"/>
        <v>16962.445500000002</v>
      </c>
      <c r="CV143" s="59">
        <f t="shared" si="866"/>
        <v>56074.452333900008</v>
      </c>
      <c r="CW143" s="60">
        <f t="shared" si="867"/>
        <v>16533.016500000002</v>
      </c>
      <c r="CX143" s="59">
        <f t="shared" si="868"/>
        <v>54654.845945700006</v>
      </c>
      <c r="CY143" s="60">
        <f t="shared" si="869"/>
        <v>16103.587500000001</v>
      </c>
      <c r="CZ143" s="59">
        <f t="shared" si="870"/>
        <v>53235.239557500005</v>
      </c>
      <c r="DA143" s="55">
        <f t="shared" si="871"/>
        <v>15674.1585</v>
      </c>
      <c r="DB143" s="59">
        <f t="shared" si="872"/>
        <v>51815.633169300003</v>
      </c>
      <c r="DC143" s="60">
        <f t="shared" si="873"/>
        <v>15244.729499999999</v>
      </c>
      <c r="DD143" s="59">
        <f t="shared" si="874"/>
        <v>50396.026781100001</v>
      </c>
      <c r="DE143" s="60">
        <f t="shared" si="875"/>
        <v>14815.300499999999</v>
      </c>
      <c r="DF143" s="59">
        <f t="shared" si="876"/>
        <v>48976.4203929</v>
      </c>
      <c r="DG143" s="60">
        <f t="shared" si="877"/>
        <v>14385.871499999999</v>
      </c>
      <c r="DH143" s="59">
        <f t="shared" si="878"/>
        <v>47556.814004699998</v>
      </c>
      <c r="DI143" s="60">
        <f t="shared" si="879"/>
        <v>13956.442499999999</v>
      </c>
      <c r="DJ143" s="59">
        <f t="shared" si="880"/>
        <v>46137.207616499996</v>
      </c>
      <c r="DK143" s="55">
        <f t="shared" si="881"/>
        <v>13527.013499999997</v>
      </c>
      <c r="DL143" s="59">
        <f t="shared" si="882"/>
        <v>44717.601228299995</v>
      </c>
      <c r="DM143" s="60">
        <f t="shared" si="883"/>
        <v>13097.584499999997</v>
      </c>
      <c r="DN143" s="59">
        <f t="shared" si="884"/>
        <v>43297.994840099993</v>
      </c>
      <c r="DO143" s="60">
        <f t="shared" si="885"/>
        <v>12668.155499999997</v>
      </c>
      <c r="DP143" s="59">
        <f t="shared" si="886"/>
        <v>41878.388451899991</v>
      </c>
      <c r="DQ143" s="55">
        <f t="shared" si="887"/>
        <v>12238.726499999997</v>
      </c>
      <c r="DR143" s="59">
        <f t="shared" si="888"/>
        <v>40458.78206369999</v>
      </c>
      <c r="DU143" s="55">
        <v>1</v>
      </c>
      <c r="DV143" s="55">
        <v>0.97</v>
      </c>
      <c r="DW143" s="55">
        <v>0.95</v>
      </c>
      <c r="DX143" s="55">
        <v>0.93</v>
      </c>
      <c r="DY143" s="55">
        <f t="shared" si="796"/>
        <v>0.91</v>
      </c>
      <c r="DZ143" s="55">
        <f t="shared" si="796"/>
        <v>0.89</v>
      </c>
      <c r="EA143" s="55">
        <f t="shared" si="796"/>
        <v>0.87</v>
      </c>
      <c r="EB143" s="55">
        <f t="shared" si="796"/>
        <v>0.85</v>
      </c>
      <c r="EC143" s="55">
        <f t="shared" si="796"/>
        <v>0.83</v>
      </c>
      <c r="ED143" s="55">
        <f t="shared" si="796"/>
        <v>0.80999999999999994</v>
      </c>
      <c r="EE143" s="55">
        <f t="shared" si="796"/>
        <v>0.78999999999999992</v>
      </c>
      <c r="EF143" s="55">
        <f t="shared" si="796"/>
        <v>0.76999999999999991</v>
      </c>
      <c r="EG143" s="55">
        <f t="shared" si="796"/>
        <v>0.74999999999999989</v>
      </c>
      <c r="EH143" s="55">
        <f t="shared" si="796"/>
        <v>0.72999999999999987</v>
      </c>
      <c r="EI143" s="55">
        <f t="shared" si="796"/>
        <v>0.70999999999999985</v>
      </c>
      <c r="EJ143" s="55">
        <f t="shared" si="796"/>
        <v>0.68999999999999984</v>
      </c>
      <c r="EK143" s="55">
        <f t="shared" si="796"/>
        <v>0.66999999999999982</v>
      </c>
      <c r="EL143" s="55">
        <f t="shared" si="796"/>
        <v>0.6499999999999998</v>
      </c>
      <c r="EM143" s="55">
        <f t="shared" si="796"/>
        <v>0.62999999999999978</v>
      </c>
      <c r="EN143" s="55">
        <f t="shared" si="796"/>
        <v>0.60999999999999976</v>
      </c>
      <c r="EO143" s="55">
        <f t="shared" si="796"/>
        <v>0.58999999999999975</v>
      </c>
      <c r="EP143" s="55">
        <f t="shared" si="796"/>
        <v>0.56999999999999973</v>
      </c>
      <c r="ER143" s="55">
        <f t="shared" si="652"/>
        <v>19539.019500000006</v>
      </c>
      <c r="ES143" s="55">
        <f t="shared" si="514"/>
        <v>19539.019500000006</v>
      </c>
      <c r="ET143" s="59">
        <f t="shared" si="889"/>
        <v>64592.090663100018</v>
      </c>
      <c r="EU143" s="55">
        <f t="shared" si="890"/>
        <v>18952.848915000006</v>
      </c>
      <c r="EV143" s="59">
        <f t="shared" si="891"/>
        <v>62654.327943207019</v>
      </c>
      <c r="EW143" s="55">
        <f t="shared" si="892"/>
        <v>18562.068525000006</v>
      </c>
      <c r="EX143" s="59">
        <f t="shared" si="893"/>
        <v>61362.48612994502</v>
      </c>
      <c r="EY143" s="55">
        <f t="shared" si="894"/>
        <v>18171.288135000006</v>
      </c>
      <c r="EZ143" s="59">
        <f t="shared" si="895"/>
        <v>60070.644316683021</v>
      </c>
      <c r="FA143" s="57">
        <f t="shared" si="896"/>
        <v>17780.507745000006</v>
      </c>
      <c r="FB143" s="59">
        <f t="shared" si="897"/>
        <v>58778.802503421022</v>
      </c>
      <c r="FC143" s="55">
        <f t="shared" si="898"/>
        <v>17389.727355000006</v>
      </c>
      <c r="FD143" s="59">
        <f t="shared" si="899"/>
        <v>57486.960690159023</v>
      </c>
      <c r="FE143" s="57">
        <f t="shared" si="900"/>
        <v>16998.946965000006</v>
      </c>
      <c r="FF143" s="59">
        <f t="shared" si="901"/>
        <v>56195.118876897024</v>
      </c>
      <c r="FG143" s="60">
        <f t="shared" si="902"/>
        <v>16608.166575000003</v>
      </c>
      <c r="FH143" s="59">
        <f t="shared" si="903"/>
        <v>54903.277063635011</v>
      </c>
      <c r="FI143" s="57">
        <f t="shared" si="904"/>
        <v>16217.386185000005</v>
      </c>
      <c r="FJ143" s="59">
        <f t="shared" si="905"/>
        <v>53611.435250373019</v>
      </c>
      <c r="FK143" s="55">
        <f t="shared" si="906"/>
        <v>15826.605795000003</v>
      </c>
      <c r="FL143" s="59">
        <f t="shared" si="907"/>
        <v>52319.593437111012</v>
      </c>
      <c r="FM143" s="60">
        <f t="shared" si="908"/>
        <v>15435.825405000003</v>
      </c>
      <c r="FN143" s="59">
        <f t="shared" si="909"/>
        <v>51027.751623849013</v>
      </c>
      <c r="FO143" s="60">
        <f t="shared" si="910"/>
        <v>15045.045015000003</v>
      </c>
      <c r="FP143" s="59">
        <f t="shared" si="911"/>
        <v>49735.909810587014</v>
      </c>
      <c r="FQ143" s="60">
        <f t="shared" si="912"/>
        <v>14654.264625000002</v>
      </c>
      <c r="FR143" s="59">
        <f t="shared" si="913"/>
        <v>48444.067997325008</v>
      </c>
      <c r="FS143" s="55">
        <f t="shared" si="914"/>
        <v>14263.484235000002</v>
      </c>
      <c r="FT143" s="59">
        <f t="shared" si="915"/>
        <v>47152.226184063009</v>
      </c>
      <c r="FU143" s="60">
        <f t="shared" si="916"/>
        <v>13872.703845000002</v>
      </c>
      <c r="FV143" s="59">
        <f t="shared" si="917"/>
        <v>45860.38437080101</v>
      </c>
      <c r="FW143" s="60">
        <f t="shared" si="918"/>
        <v>13481.923455</v>
      </c>
      <c r="FX143" s="59">
        <f t="shared" si="919"/>
        <v>44568.542557539004</v>
      </c>
      <c r="FY143" s="60">
        <f t="shared" si="920"/>
        <v>13091.143065</v>
      </c>
      <c r="FZ143" s="59">
        <f t="shared" si="921"/>
        <v>43276.700744277005</v>
      </c>
      <c r="GA143" s="60">
        <f t="shared" si="922"/>
        <v>12700.362675</v>
      </c>
      <c r="GB143" s="59">
        <f t="shared" si="923"/>
        <v>41984.858931015006</v>
      </c>
      <c r="GC143" s="55">
        <f t="shared" si="924"/>
        <v>12309.582284999999</v>
      </c>
      <c r="GD143" s="59">
        <f t="shared" si="925"/>
        <v>40693.017117752999</v>
      </c>
      <c r="GE143" s="60">
        <f t="shared" si="926"/>
        <v>11918.801894999999</v>
      </c>
      <c r="GF143" s="59">
        <f t="shared" si="927"/>
        <v>39401.175304491</v>
      </c>
      <c r="GG143" s="60">
        <f t="shared" si="928"/>
        <v>11528.021504999999</v>
      </c>
      <c r="GH143" s="59">
        <f t="shared" si="929"/>
        <v>38109.333491228994</v>
      </c>
      <c r="GI143" s="55">
        <f t="shared" si="930"/>
        <v>11137.241114999999</v>
      </c>
      <c r="GJ143" s="59">
        <f t="shared" si="931"/>
        <v>36817.491677966995</v>
      </c>
      <c r="GK143" s="55"/>
      <c r="GL143" s="55"/>
      <c r="GM143" s="55">
        <v>1</v>
      </c>
      <c r="GN143" s="55">
        <v>0.97</v>
      </c>
      <c r="GO143" s="55">
        <v>0.95</v>
      </c>
      <c r="GP143" s="55">
        <v>0.93</v>
      </c>
      <c r="GQ143" s="55">
        <f t="shared" si="797"/>
        <v>0.91</v>
      </c>
      <c r="GR143" s="55">
        <f t="shared" si="797"/>
        <v>0.89</v>
      </c>
      <c r="GS143" s="55">
        <f t="shared" si="797"/>
        <v>0.87</v>
      </c>
      <c r="GT143" s="55">
        <f t="shared" si="797"/>
        <v>0.85</v>
      </c>
      <c r="GU143" s="55">
        <f t="shared" si="797"/>
        <v>0.83</v>
      </c>
      <c r="GV143" s="55">
        <f t="shared" si="797"/>
        <v>0.80999999999999994</v>
      </c>
      <c r="GW143" s="55">
        <f t="shared" si="797"/>
        <v>0.78999999999999992</v>
      </c>
      <c r="GX143" s="55">
        <f t="shared" si="797"/>
        <v>0.76999999999999991</v>
      </c>
      <c r="GY143" s="55">
        <f t="shared" si="797"/>
        <v>0.74999999999999989</v>
      </c>
      <c r="GZ143" s="55">
        <f t="shared" si="797"/>
        <v>0.72999999999999987</v>
      </c>
      <c r="HA143" s="55">
        <f t="shared" si="797"/>
        <v>0.70999999999999985</v>
      </c>
      <c r="HB143" s="55">
        <f t="shared" si="797"/>
        <v>0.68999999999999984</v>
      </c>
      <c r="HC143" s="55">
        <f t="shared" si="797"/>
        <v>0.66999999999999982</v>
      </c>
      <c r="HD143" s="55">
        <f t="shared" si="797"/>
        <v>0.6499999999999998</v>
      </c>
      <c r="HE143" s="55">
        <f t="shared" si="797"/>
        <v>0.62999999999999978</v>
      </c>
      <c r="HF143" s="55">
        <f t="shared" si="797"/>
        <v>0.60999999999999976</v>
      </c>
      <c r="HG143" s="55">
        <f t="shared" si="797"/>
        <v>0.58999999999999975</v>
      </c>
      <c r="HH143" s="55">
        <f t="shared" si="797"/>
        <v>0.56999999999999973</v>
      </c>
    </row>
    <row r="144" spans="1:216" x14ac:dyDescent="0.3">
      <c r="A144" s="2">
        <v>9</v>
      </c>
      <c r="C144" s="38" t="s">
        <v>63</v>
      </c>
      <c r="D144" s="42">
        <f>TRUNC(12723,-1)</f>
        <v>12720</v>
      </c>
      <c r="E144" s="71">
        <f t="shared" si="802"/>
        <v>42040</v>
      </c>
      <c r="H144" s="55">
        <f t="shared" si="509"/>
        <v>46244.000000000007</v>
      </c>
      <c r="I144" s="55">
        <f t="shared" si="510"/>
        <v>46244.000000000007</v>
      </c>
      <c r="J144" s="59">
        <f t="shared" si="511"/>
        <v>152873.41520000002</v>
      </c>
      <c r="K144" s="55">
        <f t="shared" si="803"/>
        <v>44856.680000000008</v>
      </c>
      <c r="L144" s="59">
        <f t="shared" si="804"/>
        <v>148287.21274400002</v>
      </c>
      <c r="M144" s="55">
        <f t="shared" si="805"/>
        <v>43931.8</v>
      </c>
      <c r="N144" s="59">
        <f t="shared" si="806"/>
        <v>145229.74444000001</v>
      </c>
      <c r="O144" s="55">
        <f t="shared" si="807"/>
        <v>43006.920000000006</v>
      </c>
      <c r="P144" s="59">
        <f t="shared" si="808"/>
        <v>142172.27613600003</v>
      </c>
      <c r="Q144" s="57">
        <f t="shared" si="809"/>
        <v>42082.040000000008</v>
      </c>
      <c r="R144" s="59">
        <f t="shared" si="810"/>
        <v>139114.80783200002</v>
      </c>
      <c r="S144" s="55">
        <f t="shared" si="811"/>
        <v>41157.160000000003</v>
      </c>
      <c r="T144" s="59">
        <f t="shared" si="812"/>
        <v>136057.33952800001</v>
      </c>
      <c r="U144" s="57">
        <f t="shared" si="813"/>
        <v>40232.280000000006</v>
      </c>
      <c r="V144" s="59">
        <f t="shared" si="814"/>
        <v>132999.87122400003</v>
      </c>
      <c r="W144" s="60">
        <f t="shared" si="815"/>
        <v>39307.400000000009</v>
      </c>
      <c r="X144" s="59">
        <f t="shared" si="816"/>
        <v>129942.40292000004</v>
      </c>
      <c r="Y144" s="57">
        <f t="shared" si="817"/>
        <v>38382.520000000004</v>
      </c>
      <c r="Z144" s="59">
        <f t="shared" si="818"/>
        <v>126884.93461600001</v>
      </c>
      <c r="AA144" s="55">
        <f t="shared" si="819"/>
        <v>37457.640000000007</v>
      </c>
      <c r="AB144" s="59">
        <f t="shared" si="820"/>
        <v>123827.46631200002</v>
      </c>
      <c r="AC144" s="60">
        <f t="shared" si="821"/>
        <v>36532.76</v>
      </c>
      <c r="AD144" s="59">
        <f t="shared" si="822"/>
        <v>120769.99800800001</v>
      </c>
      <c r="AE144" s="60">
        <f t="shared" si="823"/>
        <v>35607.880000000005</v>
      </c>
      <c r="AF144" s="59">
        <f t="shared" si="824"/>
        <v>117712.52970400002</v>
      </c>
      <c r="AG144" s="60">
        <f t="shared" si="825"/>
        <v>34683</v>
      </c>
      <c r="AH144" s="59">
        <f t="shared" si="826"/>
        <v>114655.06140000001</v>
      </c>
      <c r="AI144" s="55">
        <f t="shared" si="827"/>
        <v>33758.120000000003</v>
      </c>
      <c r="AJ144" s="59">
        <f t="shared" si="828"/>
        <v>111597.59309600001</v>
      </c>
      <c r="AK144" s="60">
        <f t="shared" si="829"/>
        <v>32833.24</v>
      </c>
      <c r="AL144" s="59">
        <f t="shared" si="830"/>
        <v>108540.124792</v>
      </c>
      <c r="AM144" s="60">
        <f t="shared" si="831"/>
        <v>31908.359999999997</v>
      </c>
      <c r="AN144" s="59">
        <f t="shared" si="832"/>
        <v>105482.65648799999</v>
      </c>
      <c r="AO144" s="60">
        <f t="shared" si="833"/>
        <v>30983.479999999996</v>
      </c>
      <c r="AP144" s="59">
        <f t="shared" si="834"/>
        <v>102425.18818399998</v>
      </c>
      <c r="AQ144" s="60">
        <f t="shared" si="835"/>
        <v>30058.599999999995</v>
      </c>
      <c r="AR144" s="59">
        <f t="shared" si="836"/>
        <v>99367.71987999999</v>
      </c>
      <c r="AS144" s="55">
        <f t="shared" si="837"/>
        <v>29133.719999999994</v>
      </c>
      <c r="AT144" s="59">
        <f t="shared" si="838"/>
        <v>96310.251575999981</v>
      </c>
      <c r="AU144" s="60">
        <f t="shared" si="839"/>
        <v>28208.839999999993</v>
      </c>
      <c r="AV144" s="59">
        <f t="shared" si="840"/>
        <v>93252.783271999971</v>
      </c>
      <c r="AW144" s="60">
        <f t="shared" si="841"/>
        <v>27283.959999999992</v>
      </c>
      <c r="AX144" s="59">
        <f t="shared" si="842"/>
        <v>90195.314967999977</v>
      </c>
      <c r="AY144" s="55">
        <f t="shared" si="843"/>
        <v>26359.079999999991</v>
      </c>
      <c r="AZ144" s="59">
        <f t="shared" si="844"/>
        <v>87137.846663999968</v>
      </c>
      <c r="BC144" s="55">
        <v>1</v>
      </c>
      <c r="BD144" s="55">
        <v>0.97</v>
      </c>
      <c r="BE144" s="55">
        <v>0.95</v>
      </c>
      <c r="BF144" s="55">
        <v>0.93</v>
      </c>
      <c r="BG144" s="55">
        <f t="shared" si="845"/>
        <v>0.91</v>
      </c>
      <c r="BH144" s="55">
        <f t="shared" si="845"/>
        <v>0.89</v>
      </c>
      <c r="BI144" s="55">
        <f t="shared" si="845"/>
        <v>0.87</v>
      </c>
      <c r="BJ144" s="55">
        <f t="shared" si="845"/>
        <v>0.85</v>
      </c>
      <c r="BK144" s="55">
        <f t="shared" si="845"/>
        <v>0.83</v>
      </c>
      <c r="BL144" s="55">
        <f t="shared" si="845"/>
        <v>0.80999999999999994</v>
      </c>
      <c r="BM144" s="55">
        <f t="shared" si="845"/>
        <v>0.78999999999999992</v>
      </c>
      <c r="BN144" s="55">
        <f t="shared" si="845"/>
        <v>0.76999999999999991</v>
      </c>
      <c r="BO144" s="55">
        <f t="shared" si="845"/>
        <v>0.74999999999999989</v>
      </c>
      <c r="BP144" s="55">
        <f t="shared" si="845"/>
        <v>0.72999999999999987</v>
      </c>
      <c r="BQ144" s="55">
        <f t="shared" si="845"/>
        <v>0.70999999999999985</v>
      </c>
      <c r="BR144" s="55">
        <f t="shared" si="845"/>
        <v>0.68999999999999984</v>
      </c>
      <c r="BS144" s="55">
        <f t="shared" si="845"/>
        <v>0.66999999999999982</v>
      </c>
      <c r="BT144" s="55">
        <f t="shared" si="845"/>
        <v>0.6499999999999998</v>
      </c>
      <c r="BU144" s="55">
        <f t="shared" si="845"/>
        <v>0.62999999999999978</v>
      </c>
      <c r="BV144" s="55">
        <f t="shared" si="845"/>
        <v>0.60999999999999976</v>
      </c>
      <c r="BW144" s="55">
        <f t="shared" si="845"/>
        <v>0.58999999999999975</v>
      </c>
      <c r="BX144" s="55">
        <f t="shared" si="845"/>
        <v>0.56999999999999973</v>
      </c>
      <c r="BZ144" s="55">
        <f t="shared" si="512"/>
        <v>42082.040000000008</v>
      </c>
      <c r="CA144" s="55">
        <f t="shared" si="513"/>
        <v>42082.040000000008</v>
      </c>
      <c r="CB144" s="59">
        <f t="shared" si="846"/>
        <v>139114.80783200002</v>
      </c>
      <c r="CC144" s="55">
        <f t="shared" si="847"/>
        <v>40819.57880000001</v>
      </c>
      <c r="CD144" s="59">
        <f t="shared" si="848"/>
        <v>134941.36359704004</v>
      </c>
      <c r="CE144" s="55">
        <f t="shared" si="849"/>
        <v>39977.938000000009</v>
      </c>
      <c r="CF144" s="59">
        <f t="shared" si="850"/>
        <v>132159.06744040005</v>
      </c>
      <c r="CG144" s="55">
        <f t="shared" si="851"/>
        <v>39136.297200000008</v>
      </c>
      <c r="CH144" s="59">
        <f t="shared" si="852"/>
        <v>129376.77128376003</v>
      </c>
      <c r="CI144" s="57">
        <f t="shared" si="853"/>
        <v>38294.656400000007</v>
      </c>
      <c r="CJ144" s="59">
        <f t="shared" si="854"/>
        <v>126594.47512712002</v>
      </c>
      <c r="CK144" s="55">
        <f t="shared" si="855"/>
        <v>37453.015600000006</v>
      </c>
      <c r="CL144" s="59">
        <f t="shared" si="856"/>
        <v>123812.17897048002</v>
      </c>
      <c r="CM144" s="57">
        <f t="shared" si="857"/>
        <v>36611.374800000005</v>
      </c>
      <c r="CN144" s="59">
        <f t="shared" si="858"/>
        <v>121029.88281384001</v>
      </c>
      <c r="CO144" s="60">
        <f t="shared" si="859"/>
        <v>35769.734000000004</v>
      </c>
      <c r="CP144" s="59">
        <f t="shared" si="860"/>
        <v>118247.58665720001</v>
      </c>
      <c r="CQ144" s="57">
        <f t="shared" si="861"/>
        <v>34928.093200000003</v>
      </c>
      <c r="CR144" s="59">
        <f t="shared" si="862"/>
        <v>115465.29050056002</v>
      </c>
      <c r="CS144" s="55">
        <f t="shared" si="863"/>
        <v>34086.452400000002</v>
      </c>
      <c r="CT144" s="59">
        <f t="shared" si="864"/>
        <v>112682.99434392001</v>
      </c>
      <c r="CU144" s="60">
        <f t="shared" si="865"/>
        <v>33244.811600000001</v>
      </c>
      <c r="CV144" s="59">
        <f t="shared" si="866"/>
        <v>109900.69818728001</v>
      </c>
      <c r="CW144" s="60">
        <f t="shared" si="867"/>
        <v>32403.170800000004</v>
      </c>
      <c r="CX144" s="59">
        <f t="shared" si="868"/>
        <v>107118.40203064002</v>
      </c>
      <c r="CY144" s="60">
        <f t="shared" si="869"/>
        <v>31561.530000000002</v>
      </c>
      <c r="CZ144" s="59">
        <f t="shared" si="870"/>
        <v>104336.10587400002</v>
      </c>
      <c r="DA144" s="55">
        <f t="shared" si="871"/>
        <v>30719.889200000001</v>
      </c>
      <c r="DB144" s="59">
        <f t="shared" si="872"/>
        <v>101553.80971736001</v>
      </c>
      <c r="DC144" s="60">
        <f t="shared" si="873"/>
        <v>29878.2484</v>
      </c>
      <c r="DD144" s="59">
        <f t="shared" si="874"/>
        <v>98771.513560720006</v>
      </c>
      <c r="DE144" s="60">
        <f t="shared" si="875"/>
        <v>29036.607599999999</v>
      </c>
      <c r="DF144" s="59">
        <f t="shared" si="876"/>
        <v>95989.217404080002</v>
      </c>
      <c r="DG144" s="60">
        <f t="shared" si="877"/>
        <v>28194.966799999998</v>
      </c>
      <c r="DH144" s="59">
        <f t="shared" si="878"/>
        <v>93206.921247439997</v>
      </c>
      <c r="DI144" s="60">
        <f t="shared" si="879"/>
        <v>27353.325999999997</v>
      </c>
      <c r="DJ144" s="59">
        <f t="shared" si="880"/>
        <v>90424.625090799993</v>
      </c>
      <c r="DK144" s="55">
        <f t="shared" si="881"/>
        <v>26511.685199999996</v>
      </c>
      <c r="DL144" s="59">
        <f t="shared" si="882"/>
        <v>87642.328934159988</v>
      </c>
      <c r="DM144" s="60">
        <f t="shared" si="883"/>
        <v>25670.044399999995</v>
      </c>
      <c r="DN144" s="59">
        <f t="shared" si="884"/>
        <v>84860.032777519984</v>
      </c>
      <c r="DO144" s="60">
        <f t="shared" si="885"/>
        <v>24828.403599999994</v>
      </c>
      <c r="DP144" s="59">
        <f t="shared" si="886"/>
        <v>82077.736620879979</v>
      </c>
      <c r="DQ144" s="55">
        <f t="shared" si="887"/>
        <v>23986.762799999993</v>
      </c>
      <c r="DR144" s="59">
        <f t="shared" si="888"/>
        <v>79295.440464239975</v>
      </c>
      <c r="DU144" s="55">
        <v>1</v>
      </c>
      <c r="DV144" s="55">
        <v>0.97</v>
      </c>
      <c r="DW144" s="55">
        <v>0.95</v>
      </c>
      <c r="DX144" s="55">
        <v>0.93</v>
      </c>
      <c r="DY144" s="55">
        <f t="shared" si="796"/>
        <v>0.91</v>
      </c>
      <c r="DZ144" s="55">
        <f t="shared" si="796"/>
        <v>0.89</v>
      </c>
      <c r="EA144" s="55">
        <f t="shared" si="796"/>
        <v>0.87</v>
      </c>
      <c r="EB144" s="55">
        <f t="shared" ref="EB144:EP144" si="932">+EA144-0.02</f>
        <v>0.85</v>
      </c>
      <c r="EC144" s="55">
        <f t="shared" si="932"/>
        <v>0.83</v>
      </c>
      <c r="ED144" s="55">
        <f t="shared" si="932"/>
        <v>0.80999999999999994</v>
      </c>
      <c r="EE144" s="55">
        <f t="shared" si="932"/>
        <v>0.78999999999999992</v>
      </c>
      <c r="EF144" s="55">
        <f t="shared" si="932"/>
        <v>0.76999999999999991</v>
      </c>
      <c r="EG144" s="55">
        <f t="shared" si="932"/>
        <v>0.74999999999999989</v>
      </c>
      <c r="EH144" s="55">
        <f t="shared" si="932"/>
        <v>0.72999999999999987</v>
      </c>
      <c r="EI144" s="55">
        <f t="shared" si="932"/>
        <v>0.70999999999999985</v>
      </c>
      <c r="EJ144" s="55">
        <f t="shared" si="932"/>
        <v>0.68999999999999984</v>
      </c>
      <c r="EK144" s="55">
        <f t="shared" si="932"/>
        <v>0.66999999999999982</v>
      </c>
      <c r="EL144" s="55">
        <f t="shared" si="932"/>
        <v>0.6499999999999998</v>
      </c>
      <c r="EM144" s="55">
        <f t="shared" si="932"/>
        <v>0.62999999999999978</v>
      </c>
      <c r="EN144" s="55">
        <f t="shared" si="932"/>
        <v>0.60999999999999976</v>
      </c>
      <c r="EO144" s="55">
        <f t="shared" si="932"/>
        <v>0.58999999999999975</v>
      </c>
      <c r="EP144" s="55">
        <f t="shared" si="932"/>
        <v>0.56999999999999973</v>
      </c>
      <c r="ER144" s="55">
        <f t="shared" si="652"/>
        <v>38294.656400000007</v>
      </c>
      <c r="ES144" s="55">
        <f t="shared" si="514"/>
        <v>38294.656400000007</v>
      </c>
      <c r="ET144" s="59">
        <f t="shared" si="889"/>
        <v>126594.47512712002</v>
      </c>
      <c r="EU144" s="55">
        <f t="shared" si="890"/>
        <v>37145.816708000006</v>
      </c>
      <c r="EV144" s="59">
        <f t="shared" si="891"/>
        <v>122796.64087330642</v>
      </c>
      <c r="EW144" s="55">
        <f t="shared" si="892"/>
        <v>36379.923580000002</v>
      </c>
      <c r="EX144" s="59">
        <f t="shared" si="893"/>
        <v>120264.75137076402</v>
      </c>
      <c r="EY144" s="55">
        <f t="shared" si="894"/>
        <v>35614.030452000006</v>
      </c>
      <c r="EZ144" s="59">
        <f t="shared" si="895"/>
        <v>117732.86186822162</v>
      </c>
      <c r="FA144" s="57">
        <f t="shared" si="896"/>
        <v>34848.13732400001</v>
      </c>
      <c r="FB144" s="59">
        <f t="shared" si="897"/>
        <v>115200.97236567923</v>
      </c>
      <c r="FC144" s="55">
        <f t="shared" si="898"/>
        <v>34082.244196000007</v>
      </c>
      <c r="FD144" s="59">
        <f t="shared" si="899"/>
        <v>112669.08286313682</v>
      </c>
      <c r="FE144" s="57">
        <f t="shared" si="900"/>
        <v>33316.351068000004</v>
      </c>
      <c r="FF144" s="59">
        <f t="shared" si="901"/>
        <v>110137.19336059442</v>
      </c>
      <c r="FG144" s="60">
        <f t="shared" si="902"/>
        <v>32550.457940000004</v>
      </c>
      <c r="FH144" s="59">
        <f t="shared" si="903"/>
        <v>107605.30385805202</v>
      </c>
      <c r="FI144" s="57">
        <f t="shared" si="904"/>
        <v>31784.564812000004</v>
      </c>
      <c r="FJ144" s="59">
        <f t="shared" si="905"/>
        <v>105073.41435550961</v>
      </c>
      <c r="FK144" s="55">
        <f t="shared" si="906"/>
        <v>31018.671684000004</v>
      </c>
      <c r="FL144" s="59">
        <f t="shared" si="907"/>
        <v>102541.52485296721</v>
      </c>
      <c r="FM144" s="60">
        <f t="shared" si="908"/>
        <v>30252.778556000001</v>
      </c>
      <c r="FN144" s="59">
        <f t="shared" si="909"/>
        <v>100009.63535042481</v>
      </c>
      <c r="FO144" s="60">
        <f t="shared" si="910"/>
        <v>29486.885428000001</v>
      </c>
      <c r="FP144" s="59">
        <f t="shared" si="911"/>
        <v>97477.745847882412</v>
      </c>
      <c r="FQ144" s="60">
        <f t="shared" si="912"/>
        <v>28720.992300000002</v>
      </c>
      <c r="FR144" s="59">
        <f t="shared" si="913"/>
        <v>94945.856345340013</v>
      </c>
      <c r="FS144" s="55">
        <f t="shared" si="914"/>
        <v>27955.099172000002</v>
      </c>
      <c r="FT144" s="59">
        <f t="shared" si="915"/>
        <v>92413.966842797614</v>
      </c>
      <c r="FU144" s="60">
        <f t="shared" si="916"/>
        <v>27189.206043999999</v>
      </c>
      <c r="FV144" s="59">
        <f t="shared" si="917"/>
        <v>89882.0773402552</v>
      </c>
      <c r="FW144" s="60">
        <f t="shared" si="918"/>
        <v>26423.312915999999</v>
      </c>
      <c r="FX144" s="59">
        <f t="shared" si="919"/>
        <v>87350.187837712801</v>
      </c>
      <c r="FY144" s="60">
        <f t="shared" si="920"/>
        <v>25657.419787999999</v>
      </c>
      <c r="FZ144" s="59">
        <f t="shared" si="921"/>
        <v>84818.298335170402</v>
      </c>
      <c r="GA144" s="60">
        <f t="shared" si="922"/>
        <v>24891.526659999996</v>
      </c>
      <c r="GB144" s="59">
        <f t="shared" si="923"/>
        <v>82286.408832627989</v>
      </c>
      <c r="GC144" s="55">
        <f t="shared" si="924"/>
        <v>24125.633531999996</v>
      </c>
      <c r="GD144" s="59">
        <f t="shared" si="925"/>
        <v>79754.51933008559</v>
      </c>
      <c r="GE144" s="60">
        <f t="shared" si="926"/>
        <v>23359.740403999996</v>
      </c>
      <c r="GF144" s="59">
        <f t="shared" si="927"/>
        <v>77222.629827543191</v>
      </c>
      <c r="GG144" s="60">
        <f t="shared" si="928"/>
        <v>22593.847275999993</v>
      </c>
      <c r="GH144" s="59">
        <f t="shared" si="929"/>
        <v>74690.740325000777</v>
      </c>
      <c r="GI144" s="55">
        <f t="shared" si="930"/>
        <v>21827.954147999993</v>
      </c>
      <c r="GJ144" s="59">
        <f t="shared" si="931"/>
        <v>72158.850822458378</v>
      </c>
      <c r="GK144" s="55"/>
      <c r="GL144" s="55"/>
      <c r="GM144" s="55">
        <v>1</v>
      </c>
      <c r="GN144" s="55">
        <v>0.97</v>
      </c>
      <c r="GO144" s="55">
        <v>0.95</v>
      </c>
      <c r="GP144" s="55">
        <v>0.93</v>
      </c>
      <c r="GQ144" s="55">
        <f t="shared" si="797"/>
        <v>0.91</v>
      </c>
      <c r="GR144" s="55">
        <f t="shared" si="797"/>
        <v>0.89</v>
      </c>
      <c r="GS144" s="55">
        <f t="shared" si="797"/>
        <v>0.87</v>
      </c>
      <c r="GT144" s="55">
        <f t="shared" ref="GT144:HH144" si="933">+GS144-0.02</f>
        <v>0.85</v>
      </c>
      <c r="GU144" s="55">
        <f t="shared" si="933"/>
        <v>0.83</v>
      </c>
      <c r="GV144" s="55">
        <f t="shared" si="933"/>
        <v>0.80999999999999994</v>
      </c>
      <c r="GW144" s="55">
        <f t="shared" si="933"/>
        <v>0.78999999999999992</v>
      </c>
      <c r="GX144" s="55">
        <f t="shared" si="933"/>
        <v>0.76999999999999991</v>
      </c>
      <c r="GY144" s="55">
        <f t="shared" si="933"/>
        <v>0.74999999999999989</v>
      </c>
      <c r="GZ144" s="55">
        <f t="shared" si="933"/>
        <v>0.72999999999999987</v>
      </c>
      <c r="HA144" s="55">
        <f t="shared" si="933"/>
        <v>0.70999999999999985</v>
      </c>
      <c r="HB144" s="55">
        <f t="shared" si="933"/>
        <v>0.68999999999999984</v>
      </c>
      <c r="HC144" s="55">
        <f t="shared" si="933"/>
        <v>0.66999999999999982</v>
      </c>
      <c r="HD144" s="55">
        <f t="shared" si="933"/>
        <v>0.6499999999999998</v>
      </c>
      <c r="HE144" s="55">
        <f t="shared" si="933"/>
        <v>0.62999999999999978</v>
      </c>
      <c r="HF144" s="55">
        <f t="shared" si="933"/>
        <v>0.60999999999999976</v>
      </c>
      <c r="HG144" s="55">
        <f t="shared" si="933"/>
        <v>0.58999999999999975</v>
      </c>
      <c r="HH144" s="55">
        <f t="shared" si="933"/>
        <v>0.56999999999999973</v>
      </c>
    </row>
    <row r="145" spans="1:216" ht="17.25" thickBot="1" x14ac:dyDescent="0.35">
      <c r="A145" s="2">
        <v>10</v>
      </c>
      <c r="C145" s="38" t="s">
        <v>149</v>
      </c>
      <c r="D145" s="43">
        <v>0</v>
      </c>
      <c r="E145" s="72">
        <f t="shared" si="802"/>
        <v>0</v>
      </c>
      <c r="H145" s="55">
        <f t="shared" si="509"/>
        <v>0</v>
      </c>
      <c r="I145" s="55">
        <f t="shared" si="510"/>
        <v>0</v>
      </c>
      <c r="J145" s="59">
        <f t="shared" si="511"/>
        <v>0</v>
      </c>
      <c r="K145" s="55">
        <f t="shared" si="803"/>
        <v>0</v>
      </c>
      <c r="L145" s="59">
        <f t="shared" si="804"/>
        <v>0</v>
      </c>
      <c r="M145" s="55">
        <f t="shared" si="805"/>
        <v>0</v>
      </c>
      <c r="N145" s="59">
        <f t="shared" si="806"/>
        <v>0</v>
      </c>
      <c r="O145" s="55">
        <f t="shared" si="807"/>
        <v>0</v>
      </c>
      <c r="P145" s="59">
        <f t="shared" si="808"/>
        <v>0</v>
      </c>
      <c r="Q145" s="57">
        <f t="shared" si="809"/>
        <v>0</v>
      </c>
      <c r="R145" s="59">
        <f t="shared" si="810"/>
        <v>0</v>
      </c>
      <c r="S145" s="55">
        <f t="shared" si="811"/>
        <v>0</v>
      </c>
      <c r="T145" s="59">
        <f t="shared" si="812"/>
        <v>0</v>
      </c>
      <c r="U145" s="57">
        <f t="shared" si="813"/>
        <v>0</v>
      </c>
      <c r="V145" s="59">
        <f t="shared" si="814"/>
        <v>0</v>
      </c>
      <c r="W145" s="60">
        <f t="shared" si="815"/>
        <v>0</v>
      </c>
      <c r="X145" s="59">
        <f t="shared" si="816"/>
        <v>0</v>
      </c>
      <c r="Y145" s="57">
        <f t="shared" si="817"/>
        <v>0</v>
      </c>
      <c r="Z145" s="59">
        <f t="shared" si="818"/>
        <v>0</v>
      </c>
      <c r="AA145" s="55">
        <f t="shared" si="819"/>
        <v>0</v>
      </c>
      <c r="AB145" s="59">
        <f t="shared" si="820"/>
        <v>0</v>
      </c>
      <c r="AC145" s="60">
        <f t="shared" si="821"/>
        <v>0</v>
      </c>
      <c r="AD145" s="59">
        <f t="shared" si="822"/>
        <v>0</v>
      </c>
      <c r="AE145" s="60">
        <f t="shared" si="823"/>
        <v>0</v>
      </c>
      <c r="AF145" s="59">
        <f t="shared" si="824"/>
        <v>0</v>
      </c>
      <c r="AG145" s="60">
        <f t="shared" si="825"/>
        <v>0</v>
      </c>
      <c r="AH145" s="59">
        <f t="shared" si="826"/>
        <v>0</v>
      </c>
      <c r="AI145" s="55">
        <f t="shared" si="827"/>
        <v>0</v>
      </c>
      <c r="AJ145" s="59">
        <f t="shared" si="828"/>
        <v>0</v>
      </c>
      <c r="AK145" s="60">
        <f t="shared" si="829"/>
        <v>0</v>
      </c>
      <c r="AL145" s="59">
        <f t="shared" si="830"/>
        <v>0</v>
      </c>
      <c r="AM145" s="60">
        <f t="shared" si="831"/>
        <v>0</v>
      </c>
      <c r="AN145" s="59">
        <f t="shared" si="832"/>
        <v>0</v>
      </c>
      <c r="AO145" s="60">
        <f t="shared" si="833"/>
        <v>0</v>
      </c>
      <c r="AP145" s="59">
        <f t="shared" si="834"/>
        <v>0</v>
      </c>
      <c r="AQ145" s="60">
        <f t="shared" si="835"/>
        <v>0</v>
      </c>
      <c r="AR145" s="59">
        <f t="shared" si="836"/>
        <v>0</v>
      </c>
      <c r="AS145" s="55">
        <f t="shared" si="837"/>
        <v>0</v>
      </c>
      <c r="AT145" s="59">
        <f t="shared" si="838"/>
        <v>0</v>
      </c>
      <c r="AU145" s="60">
        <f t="shared" si="839"/>
        <v>0</v>
      </c>
      <c r="AV145" s="59">
        <f t="shared" si="840"/>
        <v>0</v>
      </c>
      <c r="AW145" s="60">
        <f t="shared" si="841"/>
        <v>0</v>
      </c>
      <c r="AX145" s="59">
        <f t="shared" si="842"/>
        <v>0</v>
      </c>
      <c r="AY145" s="55">
        <f t="shared" si="843"/>
        <v>0</v>
      </c>
      <c r="AZ145" s="59">
        <f t="shared" si="844"/>
        <v>0</v>
      </c>
      <c r="BC145" s="55">
        <v>1</v>
      </c>
      <c r="BD145" s="55">
        <v>0.97</v>
      </c>
      <c r="BE145" s="55">
        <v>0.95</v>
      </c>
      <c r="BF145" s="55">
        <v>0.93</v>
      </c>
      <c r="BG145" s="55">
        <f t="shared" si="845"/>
        <v>0.91</v>
      </c>
      <c r="BH145" s="55">
        <f t="shared" si="845"/>
        <v>0.89</v>
      </c>
      <c r="BI145" s="55">
        <f t="shared" si="845"/>
        <v>0.87</v>
      </c>
      <c r="BJ145" s="55">
        <f t="shared" si="845"/>
        <v>0.85</v>
      </c>
      <c r="BK145" s="55">
        <f t="shared" si="845"/>
        <v>0.83</v>
      </c>
      <c r="BL145" s="55">
        <f t="shared" si="845"/>
        <v>0.80999999999999994</v>
      </c>
      <c r="BM145" s="55">
        <f t="shared" si="845"/>
        <v>0.78999999999999992</v>
      </c>
      <c r="BN145" s="55">
        <f t="shared" si="845"/>
        <v>0.76999999999999991</v>
      </c>
      <c r="BO145" s="55">
        <f t="shared" si="845"/>
        <v>0.74999999999999989</v>
      </c>
      <c r="BP145" s="55">
        <f t="shared" si="845"/>
        <v>0.72999999999999987</v>
      </c>
      <c r="BQ145" s="55">
        <f t="shared" si="845"/>
        <v>0.70999999999999985</v>
      </c>
      <c r="BR145" s="55">
        <f t="shared" si="845"/>
        <v>0.68999999999999984</v>
      </c>
      <c r="BS145" s="55">
        <f t="shared" si="845"/>
        <v>0.66999999999999982</v>
      </c>
      <c r="BT145" s="55">
        <f t="shared" si="845"/>
        <v>0.6499999999999998</v>
      </c>
      <c r="BU145" s="55">
        <f t="shared" si="845"/>
        <v>0.62999999999999978</v>
      </c>
      <c r="BV145" s="55">
        <f t="shared" si="845"/>
        <v>0.60999999999999976</v>
      </c>
      <c r="BW145" s="55">
        <f t="shared" si="845"/>
        <v>0.58999999999999975</v>
      </c>
      <c r="BX145" s="55">
        <f t="shared" si="845"/>
        <v>0.56999999999999973</v>
      </c>
      <c r="BZ145" s="55">
        <f t="shared" si="512"/>
        <v>0</v>
      </c>
      <c r="CA145" s="55">
        <f t="shared" si="513"/>
        <v>0</v>
      </c>
      <c r="CB145" s="59">
        <f t="shared" si="846"/>
        <v>0</v>
      </c>
      <c r="CC145" s="55">
        <f t="shared" si="847"/>
        <v>0</v>
      </c>
      <c r="CD145" s="59">
        <f t="shared" si="848"/>
        <v>0</v>
      </c>
      <c r="CE145" s="55">
        <f t="shared" si="849"/>
        <v>0</v>
      </c>
      <c r="CF145" s="59">
        <f t="shared" si="850"/>
        <v>0</v>
      </c>
      <c r="CG145" s="55">
        <f t="shared" si="851"/>
        <v>0</v>
      </c>
      <c r="CH145" s="59">
        <f t="shared" si="852"/>
        <v>0</v>
      </c>
      <c r="CI145" s="57">
        <f t="shared" si="853"/>
        <v>0</v>
      </c>
      <c r="CJ145" s="59">
        <f t="shared" si="854"/>
        <v>0</v>
      </c>
      <c r="CK145" s="55">
        <f t="shared" si="855"/>
        <v>0</v>
      </c>
      <c r="CL145" s="59">
        <f t="shared" si="856"/>
        <v>0</v>
      </c>
      <c r="CM145" s="57">
        <f t="shared" si="857"/>
        <v>0</v>
      </c>
      <c r="CN145" s="59">
        <f t="shared" si="858"/>
        <v>0</v>
      </c>
      <c r="CO145" s="60">
        <f t="shared" si="859"/>
        <v>0</v>
      </c>
      <c r="CP145" s="59">
        <f t="shared" si="860"/>
        <v>0</v>
      </c>
      <c r="CQ145" s="57">
        <f t="shared" si="861"/>
        <v>0</v>
      </c>
      <c r="CR145" s="59">
        <f t="shared" si="862"/>
        <v>0</v>
      </c>
      <c r="CS145" s="55">
        <f t="shared" si="863"/>
        <v>0</v>
      </c>
      <c r="CT145" s="59">
        <f t="shared" si="864"/>
        <v>0</v>
      </c>
      <c r="CU145" s="60">
        <f t="shared" si="865"/>
        <v>0</v>
      </c>
      <c r="CV145" s="59">
        <f t="shared" si="866"/>
        <v>0</v>
      </c>
      <c r="CW145" s="60">
        <f t="shared" si="867"/>
        <v>0</v>
      </c>
      <c r="CX145" s="59">
        <f t="shared" si="868"/>
        <v>0</v>
      </c>
      <c r="CY145" s="60">
        <f t="shared" si="869"/>
        <v>0</v>
      </c>
      <c r="CZ145" s="59">
        <f t="shared" si="870"/>
        <v>0</v>
      </c>
      <c r="DA145" s="55">
        <f t="shared" si="871"/>
        <v>0</v>
      </c>
      <c r="DB145" s="59">
        <f t="shared" si="872"/>
        <v>0</v>
      </c>
      <c r="DC145" s="60">
        <f t="shared" si="873"/>
        <v>0</v>
      </c>
      <c r="DD145" s="59">
        <f t="shared" si="874"/>
        <v>0</v>
      </c>
      <c r="DE145" s="60">
        <f t="shared" si="875"/>
        <v>0</v>
      </c>
      <c r="DF145" s="59">
        <f t="shared" si="876"/>
        <v>0</v>
      </c>
      <c r="DG145" s="60">
        <f t="shared" si="877"/>
        <v>0</v>
      </c>
      <c r="DH145" s="59">
        <f t="shared" si="878"/>
        <v>0</v>
      </c>
      <c r="DI145" s="60">
        <f t="shared" si="879"/>
        <v>0</v>
      </c>
      <c r="DJ145" s="59">
        <f t="shared" si="880"/>
        <v>0</v>
      </c>
      <c r="DK145" s="55">
        <f t="shared" si="881"/>
        <v>0</v>
      </c>
      <c r="DL145" s="59">
        <f t="shared" si="882"/>
        <v>0</v>
      </c>
      <c r="DM145" s="60">
        <f t="shared" si="883"/>
        <v>0</v>
      </c>
      <c r="DN145" s="59">
        <f t="shared" si="884"/>
        <v>0</v>
      </c>
      <c r="DO145" s="60">
        <f t="shared" si="885"/>
        <v>0</v>
      </c>
      <c r="DP145" s="59">
        <f t="shared" si="886"/>
        <v>0</v>
      </c>
      <c r="DQ145" s="55">
        <f t="shared" si="887"/>
        <v>0</v>
      </c>
      <c r="DR145" s="59">
        <f t="shared" si="888"/>
        <v>0</v>
      </c>
      <c r="DU145" s="55">
        <v>1</v>
      </c>
      <c r="DV145" s="55">
        <v>0.97</v>
      </c>
      <c r="DW145" s="55">
        <v>0.95</v>
      </c>
      <c r="DX145" s="55">
        <v>0.93</v>
      </c>
      <c r="DY145" s="55">
        <f t="shared" ref="DY145:EP159" si="934">+DX145-0.02</f>
        <v>0.91</v>
      </c>
      <c r="DZ145" s="55">
        <f t="shared" si="934"/>
        <v>0.89</v>
      </c>
      <c r="EA145" s="55">
        <f t="shared" si="934"/>
        <v>0.87</v>
      </c>
      <c r="EB145" s="55">
        <f t="shared" si="934"/>
        <v>0.85</v>
      </c>
      <c r="EC145" s="55">
        <f t="shared" si="934"/>
        <v>0.83</v>
      </c>
      <c r="ED145" s="55">
        <f t="shared" si="934"/>
        <v>0.80999999999999994</v>
      </c>
      <c r="EE145" s="55">
        <f t="shared" si="934"/>
        <v>0.78999999999999992</v>
      </c>
      <c r="EF145" s="55">
        <f t="shared" si="934"/>
        <v>0.76999999999999991</v>
      </c>
      <c r="EG145" s="55">
        <f t="shared" si="934"/>
        <v>0.74999999999999989</v>
      </c>
      <c r="EH145" s="55">
        <f t="shared" si="934"/>
        <v>0.72999999999999987</v>
      </c>
      <c r="EI145" s="55">
        <f t="shared" si="934"/>
        <v>0.70999999999999985</v>
      </c>
      <c r="EJ145" s="55">
        <f t="shared" si="934"/>
        <v>0.68999999999999984</v>
      </c>
      <c r="EK145" s="55">
        <f t="shared" si="934"/>
        <v>0.66999999999999982</v>
      </c>
      <c r="EL145" s="55">
        <f t="shared" si="934"/>
        <v>0.6499999999999998</v>
      </c>
      <c r="EM145" s="55">
        <f t="shared" si="934"/>
        <v>0.62999999999999978</v>
      </c>
      <c r="EN145" s="55">
        <f t="shared" si="934"/>
        <v>0.60999999999999976</v>
      </c>
      <c r="EO145" s="55">
        <f t="shared" si="934"/>
        <v>0.58999999999999975</v>
      </c>
      <c r="EP145" s="55">
        <f t="shared" si="934"/>
        <v>0.56999999999999973</v>
      </c>
      <c r="ER145" s="55">
        <f t="shared" si="652"/>
        <v>0</v>
      </c>
      <c r="ES145" s="55">
        <f t="shared" si="514"/>
        <v>0</v>
      </c>
      <c r="ET145" s="59">
        <f t="shared" si="889"/>
        <v>0</v>
      </c>
      <c r="EU145" s="55">
        <f t="shared" si="890"/>
        <v>0</v>
      </c>
      <c r="EV145" s="59">
        <f t="shared" si="891"/>
        <v>0</v>
      </c>
      <c r="EW145" s="55">
        <f t="shared" si="892"/>
        <v>0</v>
      </c>
      <c r="EX145" s="59">
        <f t="shared" si="893"/>
        <v>0</v>
      </c>
      <c r="EY145" s="55">
        <f t="shared" si="894"/>
        <v>0</v>
      </c>
      <c r="EZ145" s="59">
        <f t="shared" si="895"/>
        <v>0</v>
      </c>
      <c r="FA145" s="57">
        <f t="shared" si="896"/>
        <v>0</v>
      </c>
      <c r="FB145" s="59">
        <f t="shared" si="897"/>
        <v>0</v>
      </c>
      <c r="FC145" s="55">
        <f t="shared" si="898"/>
        <v>0</v>
      </c>
      <c r="FD145" s="59">
        <f t="shared" si="899"/>
        <v>0</v>
      </c>
      <c r="FE145" s="57">
        <f t="shared" si="900"/>
        <v>0</v>
      </c>
      <c r="FF145" s="59">
        <f t="shared" si="901"/>
        <v>0</v>
      </c>
      <c r="FG145" s="60">
        <f t="shared" si="902"/>
        <v>0</v>
      </c>
      <c r="FH145" s="59">
        <f t="shared" si="903"/>
        <v>0</v>
      </c>
      <c r="FI145" s="57">
        <f t="shared" si="904"/>
        <v>0</v>
      </c>
      <c r="FJ145" s="59">
        <f t="shared" si="905"/>
        <v>0</v>
      </c>
      <c r="FK145" s="55">
        <f t="shared" si="906"/>
        <v>0</v>
      </c>
      <c r="FL145" s="59">
        <f t="shared" si="907"/>
        <v>0</v>
      </c>
      <c r="FM145" s="60">
        <f t="shared" si="908"/>
        <v>0</v>
      </c>
      <c r="FN145" s="59">
        <f t="shared" si="909"/>
        <v>0</v>
      </c>
      <c r="FO145" s="60">
        <f t="shared" si="910"/>
        <v>0</v>
      </c>
      <c r="FP145" s="59">
        <f t="shared" si="911"/>
        <v>0</v>
      </c>
      <c r="FQ145" s="60">
        <f t="shared" si="912"/>
        <v>0</v>
      </c>
      <c r="FR145" s="59">
        <f t="shared" si="913"/>
        <v>0</v>
      </c>
      <c r="FS145" s="55">
        <f t="shared" si="914"/>
        <v>0</v>
      </c>
      <c r="FT145" s="59">
        <f t="shared" si="915"/>
        <v>0</v>
      </c>
      <c r="FU145" s="60">
        <f t="shared" si="916"/>
        <v>0</v>
      </c>
      <c r="FV145" s="59">
        <f t="shared" si="917"/>
        <v>0</v>
      </c>
      <c r="FW145" s="60">
        <f t="shared" si="918"/>
        <v>0</v>
      </c>
      <c r="FX145" s="59">
        <f t="shared" si="919"/>
        <v>0</v>
      </c>
      <c r="FY145" s="60">
        <f t="shared" si="920"/>
        <v>0</v>
      </c>
      <c r="FZ145" s="59">
        <f t="shared" si="921"/>
        <v>0</v>
      </c>
      <c r="GA145" s="60">
        <f t="shared" si="922"/>
        <v>0</v>
      </c>
      <c r="GB145" s="59">
        <f t="shared" si="923"/>
        <v>0</v>
      </c>
      <c r="GC145" s="55">
        <f t="shared" si="924"/>
        <v>0</v>
      </c>
      <c r="GD145" s="59">
        <f t="shared" si="925"/>
        <v>0</v>
      </c>
      <c r="GE145" s="60">
        <f t="shared" si="926"/>
        <v>0</v>
      </c>
      <c r="GF145" s="59">
        <f t="shared" si="927"/>
        <v>0</v>
      </c>
      <c r="GG145" s="60">
        <f t="shared" si="928"/>
        <v>0</v>
      </c>
      <c r="GH145" s="59">
        <f t="shared" si="929"/>
        <v>0</v>
      </c>
      <c r="GI145" s="55">
        <f t="shared" si="930"/>
        <v>0</v>
      </c>
      <c r="GJ145" s="59">
        <f t="shared" si="931"/>
        <v>0</v>
      </c>
      <c r="GK145" s="55"/>
      <c r="GL145" s="55"/>
      <c r="GM145" s="55">
        <v>1</v>
      </c>
      <c r="GN145" s="55">
        <v>0.97</v>
      </c>
      <c r="GO145" s="55">
        <v>0.95</v>
      </c>
      <c r="GP145" s="55">
        <v>0.93</v>
      </c>
      <c r="GQ145" s="55">
        <f t="shared" ref="GQ145:HH159" si="935">+GP145-0.02</f>
        <v>0.91</v>
      </c>
      <c r="GR145" s="55">
        <f t="shared" si="935"/>
        <v>0.89</v>
      </c>
      <c r="GS145" s="55">
        <f t="shared" si="935"/>
        <v>0.87</v>
      </c>
      <c r="GT145" s="55">
        <f t="shared" si="935"/>
        <v>0.85</v>
      </c>
      <c r="GU145" s="55">
        <f t="shared" si="935"/>
        <v>0.83</v>
      </c>
      <c r="GV145" s="55">
        <f t="shared" si="935"/>
        <v>0.80999999999999994</v>
      </c>
      <c r="GW145" s="55">
        <f t="shared" si="935"/>
        <v>0.78999999999999992</v>
      </c>
      <c r="GX145" s="55">
        <f t="shared" si="935"/>
        <v>0.76999999999999991</v>
      </c>
      <c r="GY145" s="55">
        <f t="shared" si="935"/>
        <v>0.74999999999999989</v>
      </c>
      <c r="GZ145" s="55">
        <f t="shared" si="935"/>
        <v>0.72999999999999987</v>
      </c>
      <c r="HA145" s="55">
        <f t="shared" si="935"/>
        <v>0.70999999999999985</v>
      </c>
      <c r="HB145" s="55">
        <f t="shared" si="935"/>
        <v>0.68999999999999984</v>
      </c>
      <c r="HC145" s="55">
        <f t="shared" si="935"/>
        <v>0.66999999999999982</v>
      </c>
      <c r="HD145" s="55">
        <f t="shared" si="935"/>
        <v>0.6499999999999998</v>
      </c>
      <c r="HE145" s="55">
        <f t="shared" si="935"/>
        <v>0.62999999999999978</v>
      </c>
      <c r="HF145" s="55">
        <f t="shared" si="935"/>
        <v>0.60999999999999976</v>
      </c>
      <c r="HG145" s="55">
        <f t="shared" si="935"/>
        <v>0.58999999999999975</v>
      </c>
      <c r="HH145" s="55">
        <f t="shared" si="935"/>
        <v>0.56999999999999973</v>
      </c>
    </row>
    <row r="146" spans="1:216" x14ac:dyDescent="0.3">
      <c r="A146" s="2">
        <v>11</v>
      </c>
      <c r="C146" s="27" t="s">
        <v>112</v>
      </c>
      <c r="D146" s="39">
        <f>SUM(D136:D145)</f>
        <v>83760</v>
      </c>
      <c r="E146" s="39">
        <f>SUM(E136:E145)</f>
        <v>276840</v>
      </c>
      <c r="H146" s="55">
        <f t="shared" si="509"/>
        <v>304524</v>
      </c>
      <c r="I146" s="55">
        <f t="shared" si="510"/>
        <v>304524</v>
      </c>
      <c r="J146" s="59">
        <f t="shared" si="511"/>
        <v>1006695.4392</v>
      </c>
      <c r="K146" s="55">
        <f t="shared" si="803"/>
        <v>295388.27999999997</v>
      </c>
      <c r="L146" s="59">
        <f t="shared" si="804"/>
        <v>976494.57602399995</v>
      </c>
      <c r="M146" s="55">
        <f t="shared" si="805"/>
        <v>289297.8</v>
      </c>
      <c r="N146" s="59">
        <f t="shared" si="806"/>
        <v>956360.66723999998</v>
      </c>
      <c r="O146" s="55">
        <f t="shared" si="807"/>
        <v>283207.32</v>
      </c>
      <c r="P146" s="59">
        <f t="shared" si="808"/>
        <v>936226.75845600001</v>
      </c>
      <c r="Q146" s="57">
        <f t="shared" si="809"/>
        <v>277116.84000000003</v>
      </c>
      <c r="R146" s="59">
        <f t="shared" si="810"/>
        <v>916092.84967200016</v>
      </c>
      <c r="S146" s="55">
        <f t="shared" si="811"/>
        <v>271026.36</v>
      </c>
      <c r="T146" s="59">
        <f t="shared" si="812"/>
        <v>895958.94088799995</v>
      </c>
      <c r="U146" s="57">
        <f t="shared" si="813"/>
        <v>264935.88</v>
      </c>
      <c r="V146" s="59">
        <f t="shared" si="814"/>
        <v>875825.03210399998</v>
      </c>
      <c r="W146" s="60">
        <f t="shared" si="815"/>
        <v>258845.4</v>
      </c>
      <c r="X146" s="59">
        <f t="shared" si="816"/>
        <v>855691.12332000001</v>
      </c>
      <c r="Y146" s="57">
        <f t="shared" si="817"/>
        <v>252754.91999999998</v>
      </c>
      <c r="Z146" s="59">
        <f t="shared" si="818"/>
        <v>835557.21453599993</v>
      </c>
      <c r="AA146" s="55">
        <f t="shared" si="819"/>
        <v>246664.43999999997</v>
      </c>
      <c r="AB146" s="59">
        <f t="shared" si="820"/>
        <v>815423.30575199996</v>
      </c>
      <c r="AC146" s="60">
        <f t="shared" si="821"/>
        <v>240573.95999999996</v>
      </c>
      <c r="AD146" s="59">
        <f t="shared" si="822"/>
        <v>795289.39696799987</v>
      </c>
      <c r="AE146" s="60">
        <f t="shared" si="823"/>
        <v>234483.47999999998</v>
      </c>
      <c r="AF146" s="59">
        <f t="shared" si="824"/>
        <v>775155.4881839999</v>
      </c>
      <c r="AG146" s="60">
        <f t="shared" si="825"/>
        <v>228392.99999999997</v>
      </c>
      <c r="AH146" s="59">
        <f t="shared" si="826"/>
        <v>755021.57939999993</v>
      </c>
      <c r="AI146" s="55">
        <f t="shared" si="827"/>
        <v>222302.51999999996</v>
      </c>
      <c r="AJ146" s="59">
        <f t="shared" si="828"/>
        <v>734887.67061599984</v>
      </c>
      <c r="AK146" s="60">
        <f t="shared" si="829"/>
        <v>216212.03999999995</v>
      </c>
      <c r="AL146" s="59">
        <f t="shared" si="830"/>
        <v>714753.76183199987</v>
      </c>
      <c r="AM146" s="60">
        <f t="shared" si="831"/>
        <v>210121.55999999994</v>
      </c>
      <c r="AN146" s="59">
        <f t="shared" si="832"/>
        <v>694619.85304799979</v>
      </c>
      <c r="AO146" s="60">
        <f t="shared" si="833"/>
        <v>204031.07999999996</v>
      </c>
      <c r="AP146" s="59">
        <f t="shared" si="834"/>
        <v>674485.94426399993</v>
      </c>
      <c r="AQ146" s="60">
        <f t="shared" si="835"/>
        <v>197940.59999999995</v>
      </c>
      <c r="AR146" s="59">
        <f t="shared" si="836"/>
        <v>654352.03547999985</v>
      </c>
      <c r="AS146" s="55">
        <f t="shared" si="837"/>
        <v>191850.11999999994</v>
      </c>
      <c r="AT146" s="59">
        <f t="shared" si="838"/>
        <v>634218.12669599976</v>
      </c>
      <c r="AU146" s="60">
        <f t="shared" si="839"/>
        <v>185759.63999999993</v>
      </c>
      <c r="AV146" s="59">
        <f t="shared" si="840"/>
        <v>614084.21791199979</v>
      </c>
      <c r="AW146" s="60">
        <f t="shared" si="841"/>
        <v>179669.15999999992</v>
      </c>
      <c r="AX146" s="59">
        <f t="shared" si="842"/>
        <v>593950.3091279997</v>
      </c>
      <c r="AY146" s="55">
        <f t="shared" si="843"/>
        <v>173578.67999999991</v>
      </c>
      <c r="AZ146" s="59">
        <f t="shared" si="844"/>
        <v>573816.40034399973</v>
      </c>
      <c r="BC146" s="55">
        <v>1</v>
      </c>
      <c r="BD146" s="55">
        <v>0.97</v>
      </c>
      <c r="BE146" s="55">
        <v>0.95</v>
      </c>
      <c r="BF146" s="55">
        <v>0.93</v>
      </c>
      <c r="BG146" s="55">
        <f t="shared" si="845"/>
        <v>0.91</v>
      </c>
      <c r="BH146" s="55">
        <f t="shared" si="845"/>
        <v>0.89</v>
      </c>
      <c r="BI146" s="55">
        <f t="shared" si="845"/>
        <v>0.87</v>
      </c>
      <c r="BJ146" s="55">
        <f t="shared" si="845"/>
        <v>0.85</v>
      </c>
      <c r="BK146" s="55">
        <f t="shared" si="845"/>
        <v>0.83</v>
      </c>
      <c r="BL146" s="55">
        <f t="shared" si="845"/>
        <v>0.80999999999999994</v>
      </c>
      <c r="BM146" s="55">
        <f t="shared" si="845"/>
        <v>0.78999999999999992</v>
      </c>
      <c r="BN146" s="55">
        <f t="shared" si="845"/>
        <v>0.76999999999999991</v>
      </c>
      <c r="BO146" s="55">
        <f t="shared" si="845"/>
        <v>0.74999999999999989</v>
      </c>
      <c r="BP146" s="55">
        <f t="shared" si="845"/>
        <v>0.72999999999999987</v>
      </c>
      <c r="BQ146" s="55">
        <f t="shared" si="845"/>
        <v>0.70999999999999985</v>
      </c>
      <c r="BR146" s="55">
        <f t="shared" si="845"/>
        <v>0.68999999999999984</v>
      </c>
      <c r="BS146" s="55">
        <f t="shared" si="845"/>
        <v>0.66999999999999982</v>
      </c>
      <c r="BT146" s="55">
        <f t="shared" si="845"/>
        <v>0.6499999999999998</v>
      </c>
      <c r="BU146" s="55">
        <f t="shared" si="845"/>
        <v>0.62999999999999978</v>
      </c>
      <c r="BV146" s="55">
        <f t="shared" si="845"/>
        <v>0.60999999999999976</v>
      </c>
      <c r="BW146" s="55">
        <f t="shared" si="845"/>
        <v>0.58999999999999975</v>
      </c>
      <c r="BX146" s="55">
        <f t="shared" si="845"/>
        <v>0.56999999999999973</v>
      </c>
      <c r="BZ146" s="55">
        <f t="shared" si="512"/>
        <v>277116.84000000003</v>
      </c>
      <c r="CA146" s="55">
        <f t="shared" si="513"/>
        <v>277116.84000000003</v>
      </c>
      <c r="CB146" s="59">
        <f t="shared" si="846"/>
        <v>916092.84967200016</v>
      </c>
      <c r="CC146" s="55">
        <f t="shared" si="847"/>
        <v>268803.33480000001</v>
      </c>
      <c r="CD146" s="59">
        <f t="shared" si="848"/>
        <v>888610.06418184005</v>
      </c>
      <c r="CE146" s="55">
        <f t="shared" si="849"/>
        <v>263260.99800000002</v>
      </c>
      <c r="CF146" s="59">
        <f t="shared" si="850"/>
        <v>870288.20718840009</v>
      </c>
      <c r="CG146" s="55">
        <f t="shared" si="851"/>
        <v>257718.66120000003</v>
      </c>
      <c r="CH146" s="59">
        <f t="shared" si="852"/>
        <v>851966.35019496013</v>
      </c>
      <c r="CI146" s="57">
        <f t="shared" si="853"/>
        <v>252176.32440000004</v>
      </c>
      <c r="CJ146" s="59">
        <f t="shared" si="854"/>
        <v>833644.49320152018</v>
      </c>
      <c r="CK146" s="55">
        <f t="shared" si="855"/>
        <v>246633.98760000002</v>
      </c>
      <c r="CL146" s="59">
        <f t="shared" si="856"/>
        <v>815322.6362080801</v>
      </c>
      <c r="CM146" s="57">
        <f t="shared" si="857"/>
        <v>241091.65080000003</v>
      </c>
      <c r="CN146" s="59">
        <f t="shared" si="858"/>
        <v>797000.77921464015</v>
      </c>
      <c r="CO146" s="60">
        <f t="shared" si="859"/>
        <v>235549.31400000001</v>
      </c>
      <c r="CP146" s="59">
        <f t="shared" si="860"/>
        <v>778678.92222120008</v>
      </c>
      <c r="CQ146" s="57">
        <f t="shared" si="861"/>
        <v>230006.97720000002</v>
      </c>
      <c r="CR146" s="59">
        <f t="shared" si="862"/>
        <v>760357.06522776012</v>
      </c>
      <c r="CS146" s="55">
        <f t="shared" si="863"/>
        <v>224464.6404</v>
      </c>
      <c r="CT146" s="59">
        <f t="shared" si="864"/>
        <v>742035.20823432005</v>
      </c>
      <c r="CU146" s="60">
        <f t="shared" si="865"/>
        <v>218922.30360000001</v>
      </c>
      <c r="CV146" s="59">
        <f t="shared" si="866"/>
        <v>723713.35124088009</v>
      </c>
      <c r="CW146" s="60">
        <f t="shared" si="867"/>
        <v>213379.96679999999</v>
      </c>
      <c r="CX146" s="59">
        <f t="shared" si="868"/>
        <v>705391.49424744002</v>
      </c>
      <c r="CY146" s="60">
        <f t="shared" si="869"/>
        <v>207837.62999999998</v>
      </c>
      <c r="CZ146" s="59">
        <f t="shared" si="870"/>
        <v>687069.63725399994</v>
      </c>
      <c r="DA146" s="55">
        <f t="shared" si="871"/>
        <v>202295.29319999999</v>
      </c>
      <c r="DB146" s="59">
        <f t="shared" si="872"/>
        <v>668747.78026055999</v>
      </c>
      <c r="DC146" s="60">
        <f t="shared" si="873"/>
        <v>196752.95639999997</v>
      </c>
      <c r="DD146" s="59">
        <f t="shared" si="874"/>
        <v>650425.92326711991</v>
      </c>
      <c r="DE146" s="60">
        <f t="shared" si="875"/>
        <v>191210.61959999998</v>
      </c>
      <c r="DF146" s="59">
        <f t="shared" si="876"/>
        <v>632104.06627367996</v>
      </c>
      <c r="DG146" s="60">
        <f t="shared" si="877"/>
        <v>185668.28279999996</v>
      </c>
      <c r="DH146" s="59">
        <f t="shared" si="878"/>
        <v>613782.20928023988</v>
      </c>
      <c r="DI146" s="60">
        <f t="shared" si="879"/>
        <v>180125.94599999997</v>
      </c>
      <c r="DJ146" s="59">
        <f t="shared" si="880"/>
        <v>595460.35228679993</v>
      </c>
      <c r="DK146" s="55">
        <f t="shared" si="881"/>
        <v>174583.60919999995</v>
      </c>
      <c r="DL146" s="59">
        <f t="shared" si="882"/>
        <v>577138.49529335985</v>
      </c>
      <c r="DM146" s="60">
        <f t="shared" si="883"/>
        <v>169041.27239999996</v>
      </c>
      <c r="DN146" s="59">
        <f t="shared" si="884"/>
        <v>558816.6382999199</v>
      </c>
      <c r="DO146" s="60">
        <f t="shared" si="885"/>
        <v>163498.93559999994</v>
      </c>
      <c r="DP146" s="59">
        <f t="shared" si="886"/>
        <v>540494.78130647982</v>
      </c>
      <c r="DQ146" s="55">
        <f t="shared" si="887"/>
        <v>157956.59879999995</v>
      </c>
      <c r="DR146" s="59">
        <f t="shared" si="888"/>
        <v>522172.92431303987</v>
      </c>
      <c r="DU146" s="55">
        <v>1</v>
      </c>
      <c r="DV146" s="55">
        <v>0.97</v>
      </c>
      <c r="DW146" s="55">
        <v>0.95</v>
      </c>
      <c r="DX146" s="55">
        <v>0.93</v>
      </c>
      <c r="DY146" s="55">
        <f t="shared" si="934"/>
        <v>0.91</v>
      </c>
      <c r="DZ146" s="55">
        <f t="shared" si="934"/>
        <v>0.89</v>
      </c>
      <c r="EA146" s="55">
        <f t="shared" si="934"/>
        <v>0.87</v>
      </c>
      <c r="EB146" s="55">
        <f t="shared" si="934"/>
        <v>0.85</v>
      </c>
      <c r="EC146" s="55">
        <f t="shared" si="934"/>
        <v>0.83</v>
      </c>
      <c r="ED146" s="55">
        <f t="shared" si="934"/>
        <v>0.80999999999999994</v>
      </c>
      <c r="EE146" s="55">
        <f t="shared" si="934"/>
        <v>0.78999999999999992</v>
      </c>
      <c r="EF146" s="55">
        <f t="shared" si="934"/>
        <v>0.76999999999999991</v>
      </c>
      <c r="EG146" s="55">
        <f t="shared" si="934"/>
        <v>0.74999999999999989</v>
      </c>
      <c r="EH146" s="55">
        <f t="shared" si="934"/>
        <v>0.72999999999999987</v>
      </c>
      <c r="EI146" s="55">
        <f t="shared" si="934"/>
        <v>0.70999999999999985</v>
      </c>
      <c r="EJ146" s="55">
        <f t="shared" si="934"/>
        <v>0.68999999999999984</v>
      </c>
      <c r="EK146" s="55">
        <f t="shared" si="934"/>
        <v>0.66999999999999982</v>
      </c>
      <c r="EL146" s="55">
        <f t="shared" si="934"/>
        <v>0.6499999999999998</v>
      </c>
      <c r="EM146" s="55">
        <f t="shared" si="934"/>
        <v>0.62999999999999978</v>
      </c>
      <c r="EN146" s="55">
        <f t="shared" si="934"/>
        <v>0.60999999999999976</v>
      </c>
      <c r="EO146" s="55">
        <f t="shared" si="934"/>
        <v>0.58999999999999975</v>
      </c>
      <c r="EP146" s="55">
        <f t="shared" si="934"/>
        <v>0.56999999999999973</v>
      </c>
      <c r="ER146" s="55">
        <f t="shared" si="652"/>
        <v>252176.32440000004</v>
      </c>
      <c r="ES146" s="55">
        <f t="shared" si="514"/>
        <v>252176.32440000004</v>
      </c>
      <c r="ET146" s="59">
        <f t="shared" si="889"/>
        <v>833644.49320152018</v>
      </c>
      <c r="EU146" s="55">
        <f t="shared" si="890"/>
        <v>244611.03466800004</v>
      </c>
      <c r="EV146" s="59">
        <f t="shared" si="891"/>
        <v>808635.1584054745</v>
      </c>
      <c r="EW146" s="55">
        <f t="shared" si="892"/>
        <v>239567.50818000003</v>
      </c>
      <c r="EX146" s="59">
        <f t="shared" si="893"/>
        <v>791962.26854144409</v>
      </c>
      <c r="EY146" s="55">
        <f t="shared" si="894"/>
        <v>234523.98169200006</v>
      </c>
      <c r="EZ146" s="59">
        <f t="shared" si="895"/>
        <v>775289.3786774138</v>
      </c>
      <c r="FA146" s="57">
        <f t="shared" si="896"/>
        <v>229480.45520400006</v>
      </c>
      <c r="FB146" s="59">
        <f t="shared" si="897"/>
        <v>758616.48881338339</v>
      </c>
      <c r="FC146" s="55">
        <f t="shared" si="898"/>
        <v>224436.92871600005</v>
      </c>
      <c r="FD146" s="59">
        <f t="shared" si="899"/>
        <v>741943.59894935298</v>
      </c>
      <c r="FE146" s="57">
        <f t="shared" si="900"/>
        <v>219393.40222800002</v>
      </c>
      <c r="FF146" s="59">
        <f t="shared" si="901"/>
        <v>725270.70908532245</v>
      </c>
      <c r="FG146" s="60">
        <f t="shared" si="902"/>
        <v>214349.87574000002</v>
      </c>
      <c r="FH146" s="59">
        <f t="shared" si="903"/>
        <v>708597.81922129204</v>
      </c>
      <c r="FI146" s="57">
        <f t="shared" si="904"/>
        <v>209306.34925200001</v>
      </c>
      <c r="FJ146" s="59">
        <f t="shared" si="905"/>
        <v>691924.92935726163</v>
      </c>
      <c r="FK146" s="55">
        <f t="shared" si="906"/>
        <v>204262.82276400001</v>
      </c>
      <c r="FL146" s="59">
        <f t="shared" si="907"/>
        <v>675252.03949323122</v>
      </c>
      <c r="FM146" s="60">
        <f t="shared" si="908"/>
        <v>199219.29627600001</v>
      </c>
      <c r="FN146" s="59">
        <f t="shared" si="909"/>
        <v>658579.14962920081</v>
      </c>
      <c r="FO146" s="60">
        <f t="shared" si="910"/>
        <v>194175.76978800001</v>
      </c>
      <c r="FP146" s="59">
        <f t="shared" si="911"/>
        <v>641906.2597651704</v>
      </c>
      <c r="FQ146" s="60">
        <f t="shared" si="912"/>
        <v>189132.2433</v>
      </c>
      <c r="FR146" s="59">
        <f t="shared" si="913"/>
        <v>625233.36990113999</v>
      </c>
      <c r="FS146" s="55">
        <f t="shared" si="914"/>
        <v>184088.716812</v>
      </c>
      <c r="FT146" s="59">
        <f t="shared" si="915"/>
        <v>608560.48003710958</v>
      </c>
      <c r="FU146" s="60">
        <f t="shared" si="916"/>
        <v>179045.190324</v>
      </c>
      <c r="FV146" s="59">
        <f t="shared" si="917"/>
        <v>591887.59017307917</v>
      </c>
      <c r="FW146" s="60">
        <f t="shared" si="918"/>
        <v>174001.66383599999</v>
      </c>
      <c r="FX146" s="59">
        <f t="shared" si="919"/>
        <v>575214.70030904876</v>
      </c>
      <c r="FY146" s="60">
        <f t="shared" si="920"/>
        <v>168958.13734799999</v>
      </c>
      <c r="FZ146" s="59">
        <f t="shared" si="921"/>
        <v>558541.81044501835</v>
      </c>
      <c r="GA146" s="60">
        <f t="shared" si="922"/>
        <v>163914.61085999999</v>
      </c>
      <c r="GB146" s="59">
        <f t="shared" si="923"/>
        <v>541868.92058098793</v>
      </c>
      <c r="GC146" s="55">
        <f t="shared" si="924"/>
        <v>158871.08437199998</v>
      </c>
      <c r="GD146" s="59">
        <f t="shared" si="925"/>
        <v>525196.03071695752</v>
      </c>
      <c r="GE146" s="60">
        <f t="shared" si="926"/>
        <v>153827.55788399998</v>
      </c>
      <c r="GF146" s="59">
        <f t="shared" si="927"/>
        <v>508523.14085292717</v>
      </c>
      <c r="GG146" s="60">
        <f t="shared" si="928"/>
        <v>148784.03139599995</v>
      </c>
      <c r="GH146" s="59">
        <f t="shared" si="929"/>
        <v>491850.25098889665</v>
      </c>
      <c r="GI146" s="55">
        <f t="shared" si="930"/>
        <v>143740.50490799994</v>
      </c>
      <c r="GJ146" s="59">
        <f t="shared" si="931"/>
        <v>475177.36112486623</v>
      </c>
      <c r="GK146" s="55"/>
      <c r="GL146" s="55"/>
      <c r="GM146" s="55">
        <v>1</v>
      </c>
      <c r="GN146" s="55">
        <v>0.97</v>
      </c>
      <c r="GO146" s="55">
        <v>0.95</v>
      </c>
      <c r="GP146" s="55">
        <v>0.93</v>
      </c>
      <c r="GQ146" s="55">
        <f t="shared" si="935"/>
        <v>0.91</v>
      </c>
      <c r="GR146" s="55">
        <f t="shared" si="935"/>
        <v>0.89</v>
      </c>
      <c r="GS146" s="55">
        <f t="shared" si="935"/>
        <v>0.87</v>
      </c>
      <c r="GT146" s="55">
        <f t="shared" si="935"/>
        <v>0.85</v>
      </c>
      <c r="GU146" s="55">
        <f t="shared" si="935"/>
        <v>0.83</v>
      </c>
      <c r="GV146" s="55">
        <f t="shared" si="935"/>
        <v>0.80999999999999994</v>
      </c>
      <c r="GW146" s="55">
        <f t="shared" si="935"/>
        <v>0.78999999999999992</v>
      </c>
      <c r="GX146" s="55">
        <f t="shared" si="935"/>
        <v>0.76999999999999991</v>
      </c>
      <c r="GY146" s="55">
        <f t="shared" si="935"/>
        <v>0.74999999999999989</v>
      </c>
      <c r="GZ146" s="55">
        <f t="shared" si="935"/>
        <v>0.72999999999999987</v>
      </c>
      <c r="HA146" s="55">
        <f t="shared" si="935"/>
        <v>0.70999999999999985</v>
      </c>
      <c r="HB146" s="55">
        <f t="shared" si="935"/>
        <v>0.68999999999999984</v>
      </c>
      <c r="HC146" s="55">
        <f t="shared" si="935"/>
        <v>0.66999999999999982</v>
      </c>
      <c r="HD146" s="55">
        <f t="shared" si="935"/>
        <v>0.6499999999999998</v>
      </c>
      <c r="HE146" s="55">
        <f t="shared" si="935"/>
        <v>0.62999999999999978</v>
      </c>
      <c r="HF146" s="55">
        <f t="shared" si="935"/>
        <v>0.60999999999999976</v>
      </c>
      <c r="HG146" s="55">
        <f t="shared" si="935"/>
        <v>0.58999999999999975</v>
      </c>
      <c r="HH146" s="55">
        <f t="shared" si="935"/>
        <v>0.56999999999999973</v>
      </c>
    </row>
    <row r="147" spans="1:216" s="64" customFormat="1" x14ac:dyDescent="0.3">
      <c r="C147" s="65"/>
      <c r="D147" s="65"/>
      <c r="E147" s="65"/>
      <c r="G147" s="61"/>
      <c r="H147" s="61"/>
      <c r="I147" s="61"/>
      <c r="J147" s="61"/>
      <c r="K147" s="61"/>
      <c r="L147" s="61"/>
      <c r="M147" s="61"/>
      <c r="N147" s="61"/>
      <c r="O147" s="61"/>
      <c r="P147" s="62"/>
      <c r="Q147" s="61"/>
      <c r="R147" s="61"/>
      <c r="S147" s="61"/>
      <c r="T147" s="62"/>
      <c r="U147" s="61"/>
      <c r="V147" s="63"/>
      <c r="W147" s="61"/>
      <c r="X147" s="62"/>
      <c r="Y147" s="61"/>
      <c r="Z147" s="61"/>
      <c r="AA147" s="61"/>
      <c r="AB147" s="63"/>
      <c r="AC147" s="61"/>
      <c r="AD147" s="63"/>
      <c r="AE147" s="61"/>
      <c r="AF147" s="63"/>
      <c r="AG147" s="61"/>
      <c r="AH147" s="61"/>
      <c r="AI147" s="61"/>
      <c r="AJ147" s="63"/>
      <c r="AK147" s="61"/>
      <c r="AL147" s="63"/>
      <c r="AM147" s="61"/>
      <c r="AN147" s="63"/>
      <c r="AO147" s="61"/>
      <c r="AP147" s="63"/>
      <c r="AQ147" s="61"/>
      <c r="AR147" s="61"/>
      <c r="AS147" s="61"/>
      <c r="AT147" s="63"/>
      <c r="AU147" s="61"/>
      <c r="AV147" s="63"/>
      <c r="AW147" s="61"/>
      <c r="AX147" s="61"/>
      <c r="AY147" s="61"/>
      <c r="AZ147" s="61"/>
      <c r="BA147" s="61"/>
      <c r="BB147" s="61"/>
      <c r="BC147" s="61"/>
      <c r="BD147" s="61"/>
      <c r="BE147" s="61"/>
      <c r="BF147" s="61"/>
      <c r="BG147" s="61"/>
      <c r="BH147" s="61"/>
      <c r="BI147" s="6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  <c r="BV147" s="61"/>
      <c r="BW147" s="61"/>
      <c r="BX147" s="61"/>
      <c r="BY147" s="61">
        <f t="shared" ref="BY147:BY148" si="936">+G147*0.91</f>
        <v>0</v>
      </c>
      <c r="BZ147" s="61"/>
      <c r="CA147" s="61"/>
      <c r="CB147" s="61"/>
      <c r="CC147" s="61"/>
      <c r="CD147" s="61"/>
      <c r="CE147" s="61"/>
      <c r="CF147" s="61"/>
      <c r="CG147" s="61"/>
      <c r="CH147" s="62"/>
      <c r="CI147" s="61"/>
      <c r="CJ147" s="61"/>
      <c r="CK147" s="61"/>
      <c r="CL147" s="62"/>
      <c r="CM147" s="61"/>
      <c r="CN147" s="63"/>
      <c r="CO147" s="61"/>
      <c r="CP147" s="62"/>
      <c r="CQ147" s="61"/>
      <c r="CR147" s="61"/>
      <c r="CS147" s="61"/>
      <c r="CT147" s="63"/>
      <c r="CU147" s="61"/>
      <c r="CV147" s="63"/>
      <c r="CW147" s="61"/>
      <c r="CX147" s="63"/>
      <c r="CY147" s="61"/>
      <c r="CZ147" s="61"/>
      <c r="DA147" s="61"/>
      <c r="DB147" s="63"/>
      <c r="DC147" s="61"/>
      <c r="DD147" s="63"/>
      <c r="DE147" s="61"/>
      <c r="DF147" s="63"/>
      <c r="DG147" s="61"/>
      <c r="DH147" s="63"/>
      <c r="DI147" s="61"/>
      <c r="DJ147" s="61"/>
      <c r="DK147" s="61"/>
      <c r="DL147" s="63"/>
      <c r="DM147" s="61"/>
      <c r="DN147" s="63"/>
      <c r="DO147" s="61"/>
      <c r="DP147" s="61"/>
      <c r="DQ147" s="61"/>
      <c r="DR147" s="61"/>
      <c r="DS147" s="61"/>
      <c r="DT147" s="61">
        <v>1</v>
      </c>
      <c r="DU147" s="61">
        <v>0.97</v>
      </c>
      <c r="DV147" s="61">
        <v>0.95</v>
      </c>
      <c r="DW147" s="61">
        <v>0.93</v>
      </c>
      <c r="DX147" s="61">
        <f t="shared" ref="DX147:EO148" si="937">+DW147-0.02</f>
        <v>0.91</v>
      </c>
      <c r="DY147" s="61">
        <f t="shared" si="937"/>
        <v>0.89</v>
      </c>
      <c r="DZ147" s="61">
        <f t="shared" si="937"/>
        <v>0.87</v>
      </c>
      <c r="EA147" s="61">
        <f t="shared" si="937"/>
        <v>0.85</v>
      </c>
      <c r="EB147" s="61">
        <f t="shared" si="937"/>
        <v>0.83</v>
      </c>
      <c r="EC147" s="61">
        <f t="shared" si="937"/>
        <v>0.80999999999999994</v>
      </c>
      <c r="ED147" s="61">
        <f t="shared" si="937"/>
        <v>0.78999999999999992</v>
      </c>
      <c r="EE147" s="61">
        <f t="shared" si="937"/>
        <v>0.76999999999999991</v>
      </c>
      <c r="EF147" s="61">
        <f t="shared" si="937"/>
        <v>0.74999999999999989</v>
      </c>
      <c r="EG147" s="61">
        <f t="shared" si="937"/>
        <v>0.72999999999999987</v>
      </c>
      <c r="EH147" s="61">
        <f t="shared" si="937"/>
        <v>0.70999999999999985</v>
      </c>
      <c r="EI147" s="61">
        <f t="shared" si="937"/>
        <v>0.68999999999999984</v>
      </c>
      <c r="EJ147" s="61">
        <f t="shared" si="937"/>
        <v>0.66999999999999982</v>
      </c>
      <c r="EK147" s="61">
        <f t="shared" si="937"/>
        <v>0.6499999999999998</v>
      </c>
      <c r="EL147" s="61">
        <f t="shared" si="937"/>
        <v>0.62999999999999978</v>
      </c>
      <c r="EM147" s="61">
        <f t="shared" si="937"/>
        <v>0.60999999999999976</v>
      </c>
      <c r="EN147" s="61">
        <f t="shared" si="937"/>
        <v>0.58999999999999975</v>
      </c>
      <c r="EO147" s="61">
        <f t="shared" si="937"/>
        <v>0.56999999999999973</v>
      </c>
      <c r="EQ147" s="61">
        <f t="shared" ref="EQ147:EQ148" si="938">+BY147*0.91</f>
        <v>0</v>
      </c>
      <c r="ER147" s="61"/>
      <c r="ES147" s="61"/>
      <c r="ET147" s="61"/>
      <c r="EU147" s="61"/>
      <c r="EV147" s="61"/>
      <c r="EW147" s="61"/>
      <c r="EX147" s="61"/>
      <c r="EY147" s="61"/>
      <c r="EZ147" s="62"/>
      <c r="FA147" s="61"/>
      <c r="FB147" s="61"/>
      <c r="FC147" s="61"/>
      <c r="FD147" s="62"/>
      <c r="FE147" s="61"/>
      <c r="FF147" s="63"/>
      <c r="FG147" s="61"/>
      <c r="FH147" s="62"/>
      <c r="FI147" s="61"/>
      <c r="FJ147" s="61"/>
      <c r="FK147" s="61"/>
      <c r="FL147" s="63"/>
      <c r="FM147" s="61"/>
      <c r="FN147" s="63"/>
      <c r="FO147" s="61"/>
      <c r="FP147" s="63"/>
      <c r="FQ147" s="61"/>
      <c r="FR147" s="61"/>
      <c r="FS147" s="61"/>
      <c r="FT147" s="63"/>
      <c r="FU147" s="61"/>
      <c r="FV147" s="63"/>
      <c r="FW147" s="61"/>
      <c r="FX147" s="63"/>
      <c r="FY147" s="61"/>
      <c r="FZ147" s="63"/>
      <c r="GA147" s="61"/>
      <c r="GB147" s="61"/>
      <c r="GC147" s="61"/>
      <c r="GD147" s="63"/>
      <c r="GE147" s="61"/>
      <c r="GF147" s="63"/>
      <c r="GG147" s="61"/>
      <c r="GH147" s="61"/>
      <c r="GI147" s="61"/>
      <c r="GJ147" s="61"/>
      <c r="GK147" s="61"/>
      <c r="GL147" s="61">
        <v>1</v>
      </c>
      <c r="GM147" s="61">
        <v>0.97</v>
      </c>
      <c r="GN147" s="61">
        <v>0.95</v>
      </c>
      <c r="GO147" s="61">
        <v>0.93</v>
      </c>
      <c r="GP147" s="61">
        <f t="shared" ref="GP147:HG148" si="939">+GO147-0.02</f>
        <v>0.91</v>
      </c>
      <c r="GQ147" s="61">
        <f t="shared" si="939"/>
        <v>0.89</v>
      </c>
      <c r="GR147" s="61">
        <f t="shared" si="939"/>
        <v>0.87</v>
      </c>
      <c r="GS147" s="61">
        <f t="shared" si="939"/>
        <v>0.85</v>
      </c>
      <c r="GT147" s="61">
        <f t="shared" si="939"/>
        <v>0.83</v>
      </c>
      <c r="GU147" s="61">
        <f t="shared" si="939"/>
        <v>0.80999999999999994</v>
      </c>
      <c r="GV147" s="61">
        <f t="shared" si="939"/>
        <v>0.78999999999999992</v>
      </c>
      <c r="GW147" s="61">
        <f t="shared" si="939"/>
        <v>0.76999999999999991</v>
      </c>
      <c r="GX147" s="61">
        <f t="shared" si="939"/>
        <v>0.74999999999999989</v>
      </c>
      <c r="GY147" s="61">
        <f t="shared" si="939"/>
        <v>0.72999999999999987</v>
      </c>
      <c r="GZ147" s="61">
        <f t="shared" si="939"/>
        <v>0.70999999999999985</v>
      </c>
      <c r="HA147" s="61">
        <f t="shared" si="939"/>
        <v>0.68999999999999984</v>
      </c>
      <c r="HB147" s="61">
        <f t="shared" si="939"/>
        <v>0.66999999999999982</v>
      </c>
      <c r="HC147" s="61">
        <f t="shared" si="939"/>
        <v>0.6499999999999998</v>
      </c>
      <c r="HD147" s="61">
        <f t="shared" si="939"/>
        <v>0.62999999999999978</v>
      </c>
      <c r="HE147" s="61">
        <f t="shared" si="939"/>
        <v>0.60999999999999976</v>
      </c>
      <c r="HF147" s="61">
        <f t="shared" si="939"/>
        <v>0.58999999999999975</v>
      </c>
      <c r="HG147" s="61">
        <f t="shared" si="939"/>
        <v>0.56999999999999973</v>
      </c>
    </row>
    <row r="148" spans="1:216" s="64" customFormat="1" ht="17.25" thickBot="1" x14ac:dyDescent="0.35">
      <c r="B148" s="64" t="s">
        <v>301</v>
      </c>
      <c r="C148" s="64" t="s">
        <v>297</v>
      </c>
      <c r="D148" s="65" t="s">
        <v>271</v>
      </c>
      <c r="E148" s="65" t="s">
        <v>154</v>
      </c>
      <c r="G148" s="61"/>
      <c r="H148" s="61"/>
      <c r="I148" s="61"/>
      <c r="J148" s="61"/>
      <c r="K148" s="61"/>
      <c r="L148" s="61"/>
      <c r="M148" s="61"/>
      <c r="N148" s="61"/>
      <c r="O148" s="61"/>
      <c r="P148" s="62"/>
      <c r="Q148" s="61"/>
      <c r="R148" s="61"/>
      <c r="S148" s="61"/>
      <c r="T148" s="62"/>
      <c r="U148" s="61"/>
      <c r="V148" s="63"/>
      <c r="W148" s="61"/>
      <c r="X148" s="62"/>
      <c r="Y148" s="61"/>
      <c r="Z148" s="61"/>
      <c r="AA148" s="61"/>
      <c r="AB148" s="63"/>
      <c r="AC148" s="61"/>
      <c r="AD148" s="63"/>
      <c r="AE148" s="61"/>
      <c r="AF148" s="63"/>
      <c r="AG148" s="61"/>
      <c r="AH148" s="61"/>
      <c r="AI148" s="61"/>
      <c r="AJ148" s="63"/>
      <c r="AK148" s="61"/>
      <c r="AL148" s="63"/>
      <c r="AM148" s="61"/>
      <c r="AN148" s="63"/>
      <c r="AO148" s="61"/>
      <c r="AP148" s="63"/>
      <c r="AQ148" s="61"/>
      <c r="AR148" s="61"/>
      <c r="AS148" s="61"/>
      <c r="AT148" s="63"/>
      <c r="AU148" s="61"/>
      <c r="AV148" s="63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6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  <c r="BV148" s="61"/>
      <c r="BW148" s="61"/>
      <c r="BX148" s="61"/>
      <c r="BY148" s="61">
        <f t="shared" si="936"/>
        <v>0</v>
      </c>
      <c r="BZ148" s="61"/>
      <c r="CA148" s="61"/>
      <c r="CB148" s="61"/>
      <c r="CC148" s="61"/>
      <c r="CD148" s="61"/>
      <c r="CE148" s="61"/>
      <c r="CF148" s="61"/>
      <c r="CG148" s="61"/>
      <c r="CH148" s="62"/>
      <c r="CI148" s="61"/>
      <c r="CJ148" s="61"/>
      <c r="CK148" s="61"/>
      <c r="CL148" s="62"/>
      <c r="CM148" s="61"/>
      <c r="CN148" s="63"/>
      <c r="CO148" s="61"/>
      <c r="CP148" s="62"/>
      <c r="CQ148" s="61"/>
      <c r="CR148" s="61"/>
      <c r="CS148" s="61"/>
      <c r="CT148" s="63"/>
      <c r="CU148" s="61"/>
      <c r="CV148" s="63"/>
      <c r="CW148" s="61"/>
      <c r="CX148" s="63"/>
      <c r="CY148" s="61"/>
      <c r="CZ148" s="61"/>
      <c r="DA148" s="61"/>
      <c r="DB148" s="63"/>
      <c r="DC148" s="61"/>
      <c r="DD148" s="63"/>
      <c r="DE148" s="61"/>
      <c r="DF148" s="63"/>
      <c r="DG148" s="61"/>
      <c r="DH148" s="63"/>
      <c r="DI148" s="61"/>
      <c r="DJ148" s="61"/>
      <c r="DK148" s="61"/>
      <c r="DL148" s="63"/>
      <c r="DM148" s="61"/>
      <c r="DN148" s="63"/>
      <c r="DO148" s="61"/>
      <c r="DP148" s="61"/>
      <c r="DQ148" s="61"/>
      <c r="DR148" s="61"/>
      <c r="DS148" s="61"/>
      <c r="DT148" s="61">
        <v>1</v>
      </c>
      <c r="DU148" s="61">
        <v>0.97</v>
      </c>
      <c r="DV148" s="61">
        <v>0.95</v>
      </c>
      <c r="DW148" s="61">
        <v>0.93</v>
      </c>
      <c r="DX148" s="61">
        <f t="shared" si="937"/>
        <v>0.91</v>
      </c>
      <c r="DY148" s="61">
        <f t="shared" si="937"/>
        <v>0.89</v>
      </c>
      <c r="DZ148" s="61">
        <f t="shared" si="937"/>
        <v>0.87</v>
      </c>
      <c r="EA148" s="61">
        <f t="shared" si="937"/>
        <v>0.85</v>
      </c>
      <c r="EB148" s="61">
        <f t="shared" si="937"/>
        <v>0.83</v>
      </c>
      <c r="EC148" s="61">
        <f t="shared" si="937"/>
        <v>0.80999999999999994</v>
      </c>
      <c r="ED148" s="61">
        <f t="shared" si="937"/>
        <v>0.78999999999999992</v>
      </c>
      <c r="EE148" s="61">
        <f t="shared" si="937"/>
        <v>0.76999999999999991</v>
      </c>
      <c r="EF148" s="61">
        <f t="shared" si="937"/>
        <v>0.74999999999999989</v>
      </c>
      <c r="EG148" s="61">
        <f t="shared" si="937"/>
        <v>0.72999999999999987</v>
      </c>
      <c r="EH148" s="61">
        <f t="shared" si="937"/>
        <v>0.70999999999999985</v>
      </c>
      <c r="EI148" s="61">
        <f t="shared" si="937"/>
        <v>0.68999999999999984</v>
      </c>
      <c r="EJ148" s="61">
        <f t="shared" si="937"/>
        <v>0.66999999999999982</v>
      </c>
      <c r="EK148" s="61">
        <f t="shared" si="937"/>
        <v>0.6499999999999998</v>
      </c>
      <c r="EL148" s="61">
        <f t="shared" si="937"/>
        <v>0.62999999999999978</v>
      </c>
      <c r="EM148" s="61">
        <f t="shared" si="937"/>
        <v>0.60999999999999976</v>
      </c>
      <c r="EN148" s="61">
        <f t="shared" si="937"/>
        <v>0.58999999999999975</v>
      </c>
      <c r="EO148" s="61">
        <f t="shared" si="937"/>
        <v>0.56999999999999973</v>
      </c>
      <c r="EQ148" s="61">
        <f t="shared" si="938"/>
        <v>0</v>
      </c>
      <c r="ER148" s="61"/>
      <c r="ES148" s="61"/>
      <c r="ET148" s="61"/>
      <c r="EU148" s="61"/>
      <c r="EV148" s="61"/>
      <c r="EW148" s="61"/>
      <c r="EX148" s="61"/>
      <c r="EY148" s="61"/>
      <c r="EZ148" s="62"/>
      <c r="FA148" s="61"/>
      <c r="FB148" s="61"/>
      <c r="FC148" s="61"/>
      <c r="FD148" s="62"/>
      <c r="FE148" s="61"/>
      <c r="FF148" s="63"/>
      <c r="FG148" s="61"/>
      <c r="FH148" s="62"/>
      <c r="FI148" s="61"/>
      <c r="FJ148" s="61"/>
      <c r="FK148" s="61"/>
      <c r="FL148" s="63"/>
      <c r="FM148" s="61"/>
      <c r="FN148" s="63"/>
      <c r="FO148" s="61"/>
      <c r="FP148" s="63"/>
      <c r="FQ148" s="61"/>
      <c r="FR148" s="61"/>
      <c r="FS148" s="61"/>
      <c r="FT148" s="63"/>
      <c r="FU148" s="61"/>
      <c r="FV148" s="63"/>
      <c r="FW148" s="61"/>
      <c r="FX148" s="63"/>
      <c r="FY148" s="61"/>
      <c r="FZ148" s="63"/>
      <c r="GA148" s="61"/>
      <c r="GB148" s="61"/>
      <c r="GC148" s="61"/>
      <c r="GD148" s="63"/>
      <c r="GE148" s="61"/>
      <c r="GF148" s="63"/>
      <c r="GG148" s="61"/>
      <c r="GH148" s="61"/>
      <c r="GI148" s="61"/>
      <c r="GJ148" s="61"/>
      <c r="GK148" s="61"/>
      <c r="GL148" s="61">
        <v>1</v>
      </c>
      <c r="GM148" s="61">
        <v>0.97</v>
      </c>
      <c r="GN148" s="61">
        <v>0.95</v>
      </c>
      <c r="GO148" s="61">
        <v>0.93</v>
      </c>
      <c r="GP148" s="61">
        <f t="shared" si="939"/>
        <v>0.91</v>
      </c>
      <c r="GQ148" s="61">
        <f t="shared" si="939"/>
        <v>0.89</v>
      </c>
      <c r="GR148" s="61">
        <f t="shared" si="939"/>
        <v>0.87</v>
      </c>
      <c r="GS148" s="61">
        <f t="shared" si="939"/>
        <v>0.85</v>
      </c>
      <c r="GT148" s="61">
        <f t="shared" si="939"/>
        <v>0.83</v>
      </c>
      <c r="GU148" s="61">
        <f t="shared" si="939"/>
        <v>0.80999999999999994</v>
      </c>
      <c r="GV148" s="61">
        <f t="shared" si="939"/>
        <v>0.78999999999999992</v>
      </c>
      <c r="GW148" s="61">
        <f t="shared" si="939"/>
        <v>0.76999999999999991</v>
      </c>
      <c r="GX148" s="61">
        <f t="shared" si="939"/>
        <v>0.74999999999999989</v>
      </c>
      <c r="GY148" s="61">
        <f t="shared" si="939"/>
        <v>0.72999999999999987</v>
      </c>
      <c r="GZ148" s="61">
        <f t="shared" si="939"/>
        <v>0.70999999999999985</v>
      </c>
      <c r="HA148" s="61">
        <f t="shared" si="939"/>
        <v>0.68999999999999984</v>
      </c>
      <c r="HB148" s="61">
        <f t="shared" si="939"/>
        <v>0.66999999999999982</v>
      </c>
      <c r="HC148" s="61">
        <f t="shared" si="939"/>
        <v>0.6499999999999998</v>
      </c>
      <c r="HD148" s="61">
        <f t="shared" si="939"/>
        <v>0.62999999999999978</v>
      </c>
      <c r="HE148" s="61">
        <f t="shared" si="939"/>
        <v>0.60999999999999976</v>
      </c>
      <c r="HF148" s="61">
        <f t="shared" si="939"/>
        <v>0.58999999999999975</v>
      </c>
      <c r="HG148" s="61">
        <f t="shared" si="939"/>
        <v>0.56999999999999973</v>
      </c>
    </row>
    <row r="149" spans="1:216" x14ac:dyDescent="0.3">
      <c r="A149" s="2">
        <v>1</v>
      </c>
      <c r="C149" s="38" t="s">
        <v>48</v>
      </c>
      <c r="D149" s="40">
        <f>TRUNC(6542+1158,-1)</f>
        <v>7700</v>
      </c>
      <c r="E149" s="70">
        <f>TRUNC(+D149*3.3058,-1)</f>
        <v>25450</v>
      </c>
      <c r="F149" s="2" t="s">
        <v>315</v>
      </c>
      <c r="H149" s="55">
        <f t="shared" si="509"/>
        <v>27995.000000000004</v>
      </c>
      <c r="I149" s="55">
        <f t="shared" si="510"/>
        <v>27995.000000000004</v>
      </c>
      <c r="J149" s="59">
        <f t="shared" si="511"/>
        <v>92545.871000000014</v>
      </c>
      <c r="K149" s="55">
        <f t="shared" ref="K149:K154" si="940">+I149*BD149</f>
        <v>27155.15</v>
      </c>
      <c r="L149" s="59">
        <f t="shared" ref="L149:L154" si="941">+K149*3.3058</f>
        <v>89769.49487000001</v>
      </c>
      <c r="M149" s="55">
        <f t="shared" ref="M149:M154" si="942">+I149*BE149</f>
        <v>26595.250000000004</v>
      </c>
      <c r="N149" s="59">
        <f t="shared" ref="N149:N154" si="943">+M149*3.3058</f>
        <v>87918.577450000012</v>
      </c>
      <c r="O149" s="55">
        <f t="shared" ref="O149:O154" si="944">+I149*BF149</f>
        <v>26035.350000000006</v>
      </c>
      <c r="P149" s="59">
        <f t="shared" ref="P149:P154" si="945">+O149*3.3058</f>
        <v>86067.660030000028</v>
      </c>
      <c r="Q149" s="57">
        <f t="shared" ref="Q149:Q154" si="946">+I149*BG149</f>
        <v>25475.450000000004</v>
      </c>
      <c r="R149" s="59">
        <f t="shared" ref="R149:R154" si="947">+Q149*3.3058</f>
        <v>84216.742610000016</v>
      </c>
      <c r="S149" s="55">
        <f t="shared" ref="S149:S154" si="948">+I149*BH149</f>
        <v>24915.550000000003</v>
      </c>
      <c r="T149" s="59">
        <f t="shared" ref="T149:T154" si="949">+S149*3.3058</f>
        <v>82365.825190000018</v>
      </c>
      <c r="U149" s="57">
        <f t="shared" ref="U149:U154" si="950">+I149*BI149</f>
        <v>24355.65</v>
      </c>
      <c r="V149" s="59">
        <f t="shared" ref="V149:V154" si="951">+U149*3.3058</f>
        <v>80514.907770000005</v>
      </c>
      <c r="W149" s="60">
        <f t="shared" ref="W149:W154" si="952">+I149*BJ149</f>
        <v>23795.750000000004</v>
      </c>
      <c r="X149" s="59">
        <f t="shared" ref="X149:X154" si="953">+W149*3.3058</f>
        <v>78663.990350000007</v>
      </c>
      <c r="Y149" s="57">
        <f t="shared" ref="Y149:Y154" si="954">+I149*BK149</f>
        <v>23235.850000000002</v>
      </c>
      <c r="Z149" s="59">
        <f t="shared" ref="Z149:Z154" si="955">+Y149*3.3058</f>
        <v>76813.072930000009</v>
      </c>
      <c r="AA149" s="55">
        <f t="shared" ref="AA149:AA154" si="956">+I149*BL149</f>
        <v>22675.95</v>
      </c>
      <c r="AB149" s="59">
        <f t="shared" ref="AB149:AB154" si="957">+AA149*3.3058</f>
        <v>74962.155509999997</v>
      </c>
      <c r="AC149" s="60">
        <f t="shared" ref="AC149:AC154" si="958">+I149*BM149</f>
        <v>22116.05</v>
      </c>
      <c r="AD149" s="59">
        <f t="shared" ref="AD149:AD154" si="959">+AC149*3.3058</f>
        <v>73111.238089999999</v>
      </c>
      <c r="AE149" s="60">
        <f t="shared" ref="AE149:AE154" si="960">+I149*BN149</f>
        <v>21556.15</v>
      </c>
      <c r="AF149" s="59">
        <f t="shared" ref="AF149:AF154" si="961">+AE149*3.3058</f>
        <v>71260.320670000001</v>
      </c>
      <c r="AG149" s="60">
        <f t="shared" ref="AG149:AG154" si="962">+I149*BO149</f>
        <v>20996.25</v>
      </c>
      <c r="AH149" s="59">
        <f t="shared" ref="AH149:AH154" si="963">+AG149*3.3058</f>
        <v>69409.403250000003</v>
      </c>
      <c r="AI149" s="55">
        <f t="shared" ref="AI149:AI154" si="964">+I149*BP149</f>
        <v>20436.349999999999</v>
      </c>
      <c r="AJ149" s="59">
        <f t="shared" ref="AJ149:AJ154" si="965">+AI149*3.3058</f>
        <v>67558.485829999991</v>
      </c>
      <c r="AK149" s="60">
        <f t="shared" ref="AK149:AK154" si="966">+I149*BQ149</f>
        <v>19876.449999999997</v>
      </c>
      <c r="AL149" s="59">
        <f t="shared" ref="AL149:AL154" si="967">+AK149*3.3058</f>
        <v>65707.568409999993</v>
      </c>
      <c r="AM149" s="60">
        <f t="shared" ref="AM149:AM154" si="968">+I149*BR149</f>
        <v>19316.55</v>
      </c>
      <c r="AN149" s="59">
        <f t="shared" ref="AN149:AN154" si="969">+AM149*3.3058</f>
        <v>63856.650990000002</v>
      </c>
      <c r="AO149" s="60">
        <f t="shared" ref="AO149:AO154" si="970">+I149*BS149</f>
        <v>18756.649999999998</v>
      </c>
      <c r="AP149" s="59">
        <f t="shared" ref="AP149:AP154" si="971">+AO149*3.3058</f>
        <v>62005.733569999997</v>
      </c>
      <c r="AQ149" s="60">
        <f t="shared" ref="AQ149:AQ154" si="972">+I149*BT149</f>
        <v>18196.749999999996</v>
      </c>
      <c r="AR149" s="59">
        <f t="shared" ref="AR149:AR154" si="973">+AQ149*3.3058</f>
        <v>60154.816149999991</v>
      </c>
      <c r="AS149" s="55">
        <f t="shared" ref="AS149:AS154" si="974">+I149*BU149</f>
        <v>17636.849999999995</v>
      </c>
      <c r="AT149" s="59">
        <f t="shared" ref="AT149:AT154" si="975">+AS149*3.3058</f>
        <v>58303.898729999986</v>
      </c>
      <c r="AU149" s="60">
        <f t="shared" ref="AU149:AU154" si="976">+I149*BV149</f>
        <v>17076.949999999997</v>
      </c>
      <c r="AV149" s="59">
        <f t="shared" ref="AV149:AV154" si="977">+AU149*3.3058</f>
        <v>56452.981309999988</v>
      </c>
      <c r="AW149" s="60">
        <f t="shared" ref="AW149:AW154" si="978">+I149*BW149</f>
        <v>16517.049999999996</v>
      </c>
      <c r="AX149" s="59">
        <f t="shared" ref="AX149:AX154" si="979">+AW149*3.3058</f>
        <v>54602.06388999999</v>
      </c>
      <c r="AY149" s="55">
        <f t="shared" ref="AY149:AY154" si="980">+I149*BX149</f>
        <v>15957.149999999994</v>
      </c>
      <c r="AZ149" s="59">
        <f t="shared" ref="AZ149:AZ154" si="981">+AY149*3.3058</f>
        <v>52751.146469999985</v>
      </c>
      <c r="BC149" s="55">
        <v>1</v>
      </c>
      <c r="BD149" s="55">
        <v>0.97</v>
      </c>
      <c r="BE149" s="55">
        <v>0.95</v>
      </c>
      <c r="BF149" s="55">
        <v>0.93</v>
      </c>
      <c r="BG149" s="55">
        <f t="shared" ref="BG149:BX154" si="982">+BF149-0.02</f>
        <v>0.91</v>
      </c>
      <c r="BH149" s="55">
        <f t="shared" si="982"/>
        <v>0.89</v>
      </c>
      <c r="BI149" s="55">
        <f t="shared" si="982"/>
        <v>0.87</v>
      </c>
      <c r="BJ149" s="55">
        <f t="shared" si="982"/>
        <v>0.85</v>
      </c>
      <c r="BK149" s="55">
        <f t="shared" si="982"/>
        <v>0.83</v>
      </c>
      <c r="BL149" s="55">
        <f t="shared" si="982"/>
        <v>0.80999999999999994</v>
      </c>
      <c r="BM149" s="55">
        <f t="shared" si="982"/>
        <v>0.78999999999999992</v>
      </c>
      <c r="BN149" s="55">
        <f t="shared" si="982"/>
        <v>0.76999999999999991</v>
      </c>
      <c r="BO149" s="55">
        <f t="shared" si="982"/>
        <v>0.74999999999999989</v>
      </c>
      <c r="BP149" s="55">
        <f t="shared" si="982"/>
        <v>0.72999999999999987</v>
      </c>
      <c r="BQ149" s="55">
        <f t="shared" si="982"/>
        <v>0.70999999999999985</v>
      </c>
      <c r="BR149" s="55">
        <f t="shared" si="982"/>
        <v>0.68999999999999984</v>
      </c>
      <c r="BS149" s="55">
        <f t="shared" si="982"/>
        <v>0.66999999999999982</v>
      </c>
      <c r="BT149" s="55">
        <f t="shared" si="982"/>
        <v>0.6499999999999998</v>
      </c>
      <c r="BU149" s="55">
        <f t="shared" si="982"/>
        <v>0.62999999999999978</v>
      </c>
      <c r="BV149" s="55">
        <f t="shared" si="982"/>
        <v>0.60999999999999976</v>
      </c>
      <c r="BW149" s="55">
        <f t="shared" si="982"/>
        <v>0.58999999999999975</v>
      </c>
      <c r="BX149" s="55">
        <f t="shared" si="982"/>
        <v>0.56999999999999973</v>
      </c>
      <c r="BZ149" s="55">
        <f t="shared" si="512"/>
        <v>25475.450000000004</v>
      </c>
      <c r="CA149" s="55">
        <f t="shared" si="513"/>
        <v>25475.450000000004</v>
      </c>
      <c r="CB149" s="59">
        <f t="shared" ref="CB149:CB154" si="983">+CA149*3.3058</f>
        <v>84216.742610000016</v>
      </c>
      <c r="CC149" s="55">
        <f t="shared" ref="CC149:CC154" si="984">+CA149*DV149</f>
        <v>24711.186500000003</v>
      </c>
      <c r="CD149" s="59">
        <f t="shared" ref="CD149:CD154" si="985">+CC149*3.3058</f>
        <v>81690.240331700013</v>
      </c>
      <c r="CE149" s="55">
        <f t="shared" ref="CE149:CE154" si="986">+CA149*DW149</f>
        <v>24201.677500000002</v>
      </c>
      <c r="CF149" s="59">
        <f t="shared" ref="CF149:CF154" si="987">+CE149*3.3058</f>
        <v>80005.905479500012</v>
      </c>
      <c r="CG149" s="55">
        <f t="shared" ref="CG149:CG154" si="988">+CA149*DX149</f>
        <v>23692.168500000007</v>
      </c>
      <c r="CH149" s="59">
        <f t="shared" ref="CH149:CH154" si="989">+CG149*3.3058</f>
        <v>78321.570627300025</v>
      </c>
      <c r="CI149" s="57">
        <f t="shared" ref="CI149:CI154" si="990">+CA149*DY149</f>
        <v>23182.659500000005</v>
      </c>
      <c r="CJ149" s="59">
        <f t="shared" ref="CJ149:CJ154" si="991">+CI149*3.3058</f>
        <v>76637.235775100024</v>
      </c>
      <c r="CK149" s="55">
        <f t="shared" ref="CK149:CK154" si="992">+CA149*DZ149</f>
        <v>22673.150500000003</v>
      </c>
      <c r="CL149" s="59">
        <f t="shared" ref="CL149:CL154" si="993">+CK149*3.3058</f>
        <v>74952.900922900008</v>
      </c>
      <c r="CM149" s="57">
        <f t="shared" ref="CM149:CM154" si="994">+CA149*EA149</f>
        <v>22163.641500000005</v>
      </c>
      <c r="CN149" s="59">
        <f t="shared" ref="CN149:CN154" si="995">+CM149*3.3058</f>
        <v>73268.566070700021</v>
      </c>
      <c r="CO149" s="60">
        <f t="shared" ref="CO149:CO154" si="996">+CA149*EB149</f>
        <v>21654.132500000003</v>
      </c>
      <c r="CP149" s="59">
        <f t="shared" ref="CP149:CP154" si="997">+CO149*3.3058</f>
        <v>71584.231218500019</v>
      </c>
      <c r="CQ149" s="57">
        <f t="shared" ref="CQ149:CQ154" si="998">+CA149*EC149</f>
        <v>21144.623500000002</v>
      </c>
      <c r="CR149" s="59">
        <f t="shared" ref="CR149:CR154" si="999">+CQ149*3.3058</f>
        <v>69899.896366300003</v>
      </c>
      <c r="CS149" s="55">
        <f t="shared" ref="CS149:CS154" si="1000">+CA149*ED149</f>
        <v>20635.114500000003</v>
      </c>
      <c r="CT149" s="59">
        <f t="shared" ref="CT149:CT154" si="1001">+CS149*3.3058</f>
        <v>68215.561514100016</v>
      </c>
      <c r="CU149" s="60">
        <f t="shared" ref="CU149:CU154" si="1002">+CA149*EE149</f>
        <v>20125.605500000001</v>
      </c>
      <c r="CV149" s="59">
        <f t="shared" ref="CV149:CV154" si="1003">+CU149*3.3058</f>
        <v>66531.2266619</v>
      </c>
      <c r="CW149" s="60">
        <f t="shared" ref="CW149:CW154" si="1004">+CA149*EF149</f>
        <v>19616.0965</v>
      </c>
      <c r="CX149" s="59">
        <f t="shared" ref="CX149:CX154" si="1005">+CW149*3.3058</f>
        <v>64846.891809699999</v>
      </c>
      <c r="CY149" s="60">
        <f t="shared" ref="CY149:CY154" si="1006">+CA149*EG149</f>
        <v>19106.587500000001</v>
      </c>
      <c r="CZ149" s="59">
        <f t="shared" ref="CZ149:CZ154" si="1007">+CY149*3.3058</f>
        <v>63162.556957500005</v>
      </c>
      <c r="DA149" s="55">
        <f t="shared" ref="DA149:DA154" si="1008">+CA149*EH149</f>
        <v>18597.0785</v>
      </c>
      <c r="DB149" s="59">
        <f t="shared" ref="DB149:DB154" si="1009">+DA149*3.3058</f>
        <v>61478.222105300003</v>
      </c>
      <c r="DC149" s="60">
        <f t="shared" ref="DC149:DC154" si="1010">+CA149*EI149</f>
        <v>18087.569499999998</v>
      </c>
      <c r="DD149" s="59">
        <f t="shared" ref="DD149:DD154" si="1011">+DC149*3.3058</f>
        <v>59793.887253099994</v>
      </c>
      <c r="DE149" s="60">
        <f t="shared" ref="DE149:DE154" si="1012">+CA149*EJ149</f>
        <v>17578.0605</v>
      </c>
      <c r="DF149" s="59">
        <f t="shared" ref="DF149:DF154" si="1013">+DE149*3.3058</f>
        <v>58109.5524009</v>
      </c>
      <c r="DG149" s="60">
        <f t="shared" ref="DG149:DG154" si="1014">+CA149*EK149</f>
        <v>17068.551499999998</v>
      </c>
      <c r="DH149" s="59">
        <f t="shared" ref="DH149:DH154" si="1015">+DG149*3.3058</f>
        <v>56425.217548699991</v>
      </c>
      <c r="DI149" s="60">
        <f t="shared" ref="DI149:DI154" si="1016">+CA149*EL149</f>
        <v>16559.0425</v>
      </c>
      <c r="DJ149" s="59">
        <f t="shared" ref="DJ149:DJ154" si="1017">+DI149*3.3058</f>
        <v>54740.882696499997</v>
      </c>
      <c r="DK149" s="55">
        <f t="shared" ref="DK149:DK154" si="1018">+CA149*EM149</f>
        <v>16049.533499999998</v>
      </c>
      <c r="DL149" s="59">
        <f t="shared" ref="DL149:DL154" si="1019">+DK149*3.3058</f>
        <v>53056.547844299996</v>
      </c>
      <c r="DM149" s="60">
        <f t="shared" ref="DM149:DM154" si="1020">+CA149*EN149</f>
        <v>15540.024499999996</v>
      </c>
      <c r="DN149" s="59">
        <f t="shared" ref="DN149:DN154" si="1021">+DM149*3.3058</f>
        <v>51372.212992099987</v>
      </c>
      <c r="DO149" s="60">
        <f t="shared" ref="DO149:DO154" si="1022">+CA149*EO149</f>
        <v>15030.515499999996</v>
      </c>
      <c r="DP149" s="59">
        <f t="shared" ref="DP149:DP154" si="1023">+DO149*3.3058</f>
        <v>49687.878139899985</v>
      </c>
      <c r="DQ149" s="55">
        <f t="shared" ref="DQ149:DQ154" si="1024">+CA149*EP149</f>
        <v>14521.006499999996</v>
      </c>
      <c r="DR149" s="59">
        <f t="shared" ref="DR149:DR154" si="1025">+DQ149*3.3058</f>
        <v>48003.543287699984</v>
      </c>
      <c r="DU149" s="55">
        <v>1</v>
      </c>
      <c r="DV149" s="55">
        <v>0.97</v>
      </c>
      <c r="DW149" s="55">
        <v>0.95</v>
      </c>
      <c r="DX149" s="55">
        <v>0.93</v>
      </c>
      <c r="DY149" s="55">
        <f t="shared" si="934"/>
        <v>0.91</v>
      </c>
      <c r="DZ149" s="55">
        <f t="shared" si="934"/>
        <v>0.89</v>
      </c>
      <c r="EA149" s="55">
        <f t="shared" si="934"/>
        <v>0.87</v>
      </c>
      <c r="EB149" s="55">
        <f t="shared" si="934"/>
        <v>0.85</v>
      </c>
      <c r="EC149" s="55">
        <f t="shared" si="934"/>
        <v>0.83</v>
      </c>
      <c r="ED149" s="55">
        <f t="shared" si="934"/>
        <v>0.80999999999999994</v>
      </c>
      <c r="EE149" s="55">
        <f t="shared" si="934"/>
        <v>0.78999999999999992</v>
      </c>
      <c r="EF149" s="55">
        <f t="shared" si="934"/>
        <v>0.76999999999999991</v>
      </c>
      <c r="EG149" s="55">
        <f t="shared" si="934"/>
        <v>0.74999999999999989</v>
      </c>
      <c r="EH149" s="55">
        <f t="shared" si="934"/>
        <v>0.72999999999999987</v>
      </c>
      <c r="EI149" s="55">
        <f t="shared" si="934"/>
        <v>0.70999999999999985</v>
      </c>
      <c r="EJ149" s="55">
        <f t="shared" si="934"/>
        <v>0.68999999999999984</v>
      </c>
      <c r="EK149" s="55">
        <f t="shared" si="934"/>
        <v>0.66999999999999982</v>
      </c>
      <c r="EL149" s="55">
        <f t="shared" si="934"/>
        <v>0.6499999999999998</v>
      </c>
      <c r="EM149" s="55">
        <f t="shared" si="934"/>
        <v>0.62999999999999978</v>
      </c>
      <c r="EN149" s="55">
        <f t="shared" si="934"/>
        <v>0.60999999999999976</v>
      </c>
      <c r="EO149" s="55">
        <f t="shared" si="934"/>
        <v>0.58999999999999975</v>
      </c>
      <c r="EP149" s="55">
        <f t="shared" si="934"/>
        <v>0.56999999999999973</v>
      </c>
      <c r="ER149" s="55">
        <f t="shared" si="652"/>
        <v>23182.659500000005</v>
      </c>
      <c r="ES149" s="55">
        <f t="shared" si="514"/>
        <v>23182.659500000005</v>
      </c>
      <c r="ET149" s="59">
        <f t="shared" ref="ET149:ET154" si="1026">+ES149*3.3058</f>
        <v>76637.235775100024</v>
      </c>
      <c r="EU149" s="55">
        <f t="shared" ref="EU149:EU154" si="1027">+ES149*GN149</f>
        <v>22487.179715000006</v>
      </c>
      <c r="EV149" s="59">
        <f t="shared" ref="EV149:EV154" si="1028">+EU149*3.3058</f>
        <v>74338.118701847023</v>
      </c>
      <c r="EW149" s="55">
        <f t="shared" ref="EW149:EW154" si="1029">+ES149*GO149</f>
        <v>22023.526525000005</v>
      </c>
      <c r="EX149" s="59">
        <f t="shared" ref="EX149:EX154" si="1030">+EW149*3.3058</f>
        <v>72805.373986345017</v>
      </c>
      <c r="EY149" s="55">
        <f t="shared" ref="EY149:EY154" si="1031">+ES149*GP149</f>
        <v>21559.873335000008</v>
      </c>
      <c r="EZ149" s="59">
        <f t="shared" ref="EZ149:EZ154" si="1032">+EY149*3.3058</f>
        <v>71272.629270843026</v>
      </c>
      <c r="FA149" s="57">
        <f t="shared" ref="FA149:FA154" si="1033">+ES149*GQ149</f>
        <v>21096.220145000007</v>
      </c>
      <c r="FB149" s="59">
        <f t="shared" ref="FB149:FB154" si="1034">+FA149*3.3058</f>
        <v>69739.884555341021</v>
      </c>
      <c r="FC149" s="55">
        <f t="shared" ref="FC149:FC154" si="1035">+ES149*GR149</f>
        <v>20632.566955000006</v>
      </c>
      <c r="FD149" s="59">
        <f t="shared" ref="FD149:FD154" si="1036">+FC149*3.3058</f>
        <v>68207.139839839016</v>
      </c>
      <c r="FE149" s="57">
        <f t="shared" ref="FE149:FE154" si="1037">+ES149*GS149</f>
        <v>20168.913765000005</v>
      </c>
      <c r="FF149" s="59">
        <f t="shared" ref="FF149:FF154" si="1038">+FE149*3.3058</f>
        <v>66674.39512433701</v>
      </c>
      <c r="FG149" s="60">
        <f t="shared" ref="FG149:FG154" si="1039">+ES149*GT149</f>
        <v>19705.260575000004</v>
      </c>
      <c r="FH149" s="59">
        <f t="shared" ref="FH149:FH154" si="1040">+FG149*3.3058</f>
        <v>65141.650408835012</v>
      </c>
      <c r="FI149" s="57">
        <f t="shared" ref="FI149:FI154" si="1041">+ES149*GU149</f>
        <v>19241.607385000003</v>
      </c>
      <c r="FJ149" s="59">
        <f t="shared" ref="FJ149:FJ154" si="1042">+FI149*3.3058</f>
        <v>63608.905693333014</v>
      </c>
      <c r="FK149" s="55">
        <f t="shared" ref="FK149:FK154" si="1043">+ES149*GV149</f>
        <v>18777.954195000002</v>
      </c>
      <c r="FL149" s="59">
        <f t="shared" ref="FL149:FL154" si="1044">+FK149*3.3058</f>
        <v>62076.160977831008</v>
      </c>
      <c r="FM149" s="60">
        <f t="shared" ref="FM149:FM154" si="1045">+ES149*GW149</f>
        <v>18314.301005000001</v>
      </c>
      <c r="FN149" s="59">
        <f t="shared" ref="FN149:FN154" si="1046">+FM149*3.3058</f>
        <v>60543.416262329003</v>
      </c>
      <c r="FO149" s="60">
        <f t="shared" ref="FO149:FO154" si="1047">+ES149*GX149</f>
        <v>17850.647815</v>
      </c>
      <c r="FP149" s="59">
        <f t="shared" ref="FP149:FP154" si="1048">+FO149*3.3058</f>
        <v>59010.671546827005</v>
      </c>
      <c r="FQ149" s="60">
        <f t="shared" ref="FQ149:FQ154" si="1049">+ES149*GY149</f>
        <v>17386.994625000003</v>
      </c>
      <c r="FR149" s="59">
        <f t="shared" ref="FR149:FR154" si="1050">+FQ149*3.3058</f>
        <v>57477.926831325014</v>
      </c>
      <c r="FS149" s="55">
        <f t="shared" ref="FS149:FS154" si="1051">+ES149*GZ149</f>
        <v>16923.341435000002</v>
      </c>
      <c r="FT149" s="59">
        <f t="shared" ref="FT149:FT154" si="1052">+FS149*3.3058</f>
        <v>55945.182115823009</v>
      </c>
      <c r="FU149" s="60">
        <f t="shared" ref="FU149:FU154" si="1053">+ES149*HA149</f>
        <v>16459.688245000001</v>
      </c>
      <c r="FV149" s="59">
        <f t="shared" ref="FV149:FV154" si="1054">+FU149*3.3058</f>
        <v>54412.437400321003</v>
      </c>
      <c r="FW149" s="60">
        <f t="shared" ref="FW149:FW154" si="1055">+ES149*HB149</f>
        <v>15996.035055</v>
      </c>
      <c r="FX149" s="59">
        <f t="shared" ref="FX149:FX154" si="1056">+FW149*3.3058</f>
        <v>52879.692684819005</v>
      </c>
      <c r="FY149" s="60">
        <f t="shared" ref="FY149:FY154" si="1057">+ES149*HC149</f>
        <v>15532.381864999999</v>
      </c>
      <c r="FZ149" s="59">
        <f t="shared" ref="FZ149:FZ154" si="1058">+FY149*3.3058</f>
        <v>51346.947969317</v>
      </c>
      <c r="GA149" s="60">
        <f t="shared" ref="GA149:GA154" si="1059">+ES149*HD149</f>
        <v>15068.728674999998</v>
      </c>
      <c r="GB149" s="59">
        <f t="shared" ref="GB149:GB154" si="1060">+GA149*3.3058</f>
        <v>49814.203253814994</v>
      </c>
      <c r="GC149" s="55">
        <f t="shared" ref="GC149:GC154" si="1061">+ES149*HE149</f>
        <v>14605.075484999998</v>
      </c>
      <c r="GD149" s="59">
        <f t="shared" ref="GD149:GD154" si="1062">+GC149*3.3058</f>
        <v>48281.458538312996</v>
      </c>
      <c r="GE149" s="60">
        <f t="shared" ref="GE149:GE154" si="1063">+ES149*HF149</f>
        <v>14141.422294999998</v>
      </c>
      <c r="GF149" s="59">
        <f t="shared" ref="GF149:GF154" si="1064">+GE149*3.3058</f>
        <v>46748.713822810998</v>
      </c>
      <c r="GG149" s="60">
        <f t="shared" ref="GG149:GG154" si="1065">+ES149*HG149</f>
        <v>13677.769104999998</v>
      </c>
      <c r="GH149" s="59">
        <f t="shared" ref="GH149:GH154" si="1066">+GG149*3.3058</f>
        <v>45215.969107308993</v>
      </c>
      <c r="GI149" s="55">
        <f t="shared" ref="GI149:GI154" si="1067">+ES149*HH149</f>
        <v>13214.115914999997</v>
      </c>
      <c r="GJ149" s="59">
        <f t="shared" ref="GJ149:GJ154" si="1068">+GI149*3.3058</f>
        <v>43683.224391806987</v>
      </c>
      <c r="GK149" s="55"/>
      <c r="GL149" s="55"/>
      <c r="GM149" s="55">
        <v>1</v>
      </c>
      <c r="GN149" s="55">
        <v>0.97</v>
      </c>
      <c r="GO149" s="55">
        <v>0.95</v>
      </c>
      <c r="GP149" s="55">
        <v>0.93</v>
      </c>
      <c r="GQ149" s="55">
        <f t="shared" si="935"/>
        <v>0.91</v>
      </c>
      <c r="GR149" s="55">
        <f t="shared" si="935"/>
        <v>0.89</v>
      </c>
      <c r="GS149" s="55">
        <f t="shared" si="935"/>
        <v>0.87</v>
      </c>
      <c r="GT149" s="55">
        <f t="shared" si="935"/>
        <v>0.85</v>
      </c>
      <c r="GU149" s="55">
        <f t="shared" si="935"/>
        <v>0.83</v>
      </c>
      <c r="GV149" s="55">
        <f t="shared" si="935"/>
        <v>0.80999999999999994</v>
      </c>
      <c r="GW149" s="55">
        <f t="shared" si="935"/>
        <v>0.78999999999999992</v>
      </c>
      <c r="GX149" s="55">
        <f t="shared" si="935"/>
        <v>0.76999999999999991</v>
      </c>
      <c r="GY149" s="55">
        <f t="shared" si="935"/>
        <v>0.74999999999999989</v>
      </c>
      <c r="GZ149" s="55">
        <f t="shared" si="935"/>
        <v>0.72999999999999987</v>
      </c>
      <c r="HA149" s="55">
        <f t="shared" si="935"/>
        <v>0.70999999999999985</v>
      </c>
      <c r="HB149" s="55">
        <f t="shared" si="935"/>
        <v>0.68999999999999984</v>
      </c>
      <c r="HC149" s="55">
        <f t="shared" si="935"/>
        <v>0.66999999999999982</v>
      </c>
      <c r="HD149" s="55">
        <f t="shared" si="935"/>
        <v>0.6499999999999998</v>
      </c>
      <c r="HE149" s="55">
        <f t="shared" si="935"/>
        <v>0.62999999999999978</v>
      </c>
      <c r="HF149" s="55">
        <f t="shared" si="935"/>
        <v>0.60999999999999976</v>
      </c>
      <c r="HG149" s="55">
        <f t="shared" si="935"/>
        <v>0.58999999999999975</v>
      </c>
      <c r="HH149" s="55">
        <f t="shared" si="935"/>
        <v>0.56999999999999973</v>
      </c>
    </row>
    <row r="150" spans="1:216" x14ac:dyDescent="0.3">
      <c r="A150" s="2">
        <v>2</v>
      </c>
      <c r="C150" s="38" t="s">
        <v>49</v>
      </c>
      <c r="D150" s="42">
        <f>TRUNC(6826,-1)</f>
        <v>6820</v>
      </c>
      <c r="E150" s="71">
        <f>TRUNC(+D150*3.3058,-1)</f>
        <v>22540</v>
      </c>
      <c r="H150" s="55">
        <f t="shared" si="509"/>
        <v>24794.000000000004</v>
      </c>
      <c r="I150" s="55">
        <f t="shared" si="510"/>
        <v>24794.000000000004</v>
      </c>
      <c r="J150" s="59">
        <f t="shared" si="511"/>
        <v>81964.005200000014</v>
      </c>
      <c r="K150" s="55">
        <f t="shared" si="940"/>
        <v>24050.180000000004</v>
      </c>
      <c r="L150" s="59">
        <f t="shared" si="941"/>
        <v>79505.085044000021</v>
      </c>
      <c r="M150" s="55">
        <f t="shared" si="942"/>
        <v>23554.300000000003</v>
      </c>
      <c r="N150" s="59">
        <f t="shared" si="943"/>
        <v>77865.804940000016</v>
      </c>
      <c r="O150" s="55">
        <f t="shared" si="944"/>
        <v>23058.420000000006</v>
      </c>
      <c r="P150" s="59">
        <f t="shared" si="945"/>
        <v>76226.524836000026</v>
      </c>
      <c r="Q150" s="57">
        <f t="shared" si="946"/>
        <v>22562.540000000005</v>
      </c>
      <c r="R150" s="59">
        <f t="shared" si="947"/>
        <v>74587.244732000021</v>
      </c>
      <c r="S150" s="55">
        <f t="shared" si="948"/>
        <v>22066.660000000003</v>
      </c>
      <c r="T150" s="59">
        <f t="shared" si="949"/>
        <v>72947.964628000016</v>
      </c>
      <c r="U150" s="57">
        <f t="shared" si="950"/>
        <v>21570.780000000002</v>
      </c>
      <c r="V150" s="59">
        <f t="shared" si="951"/>
        <v>71308.684524000011</v>
      </c>
      <c r="W150" s="60">
        <f t="shared" si="952"/>
        <v>21074.9</v>
      </c>
      <c r="X150" s="59">
        <f t="shared" si="953"/>
        <v>69669.404420000006</v>
      </c>
      <c r="Y150" s="57">
        <f t="shared" si="954"/>
        <v>20579.02</v>
      </c>
      <c r="Z150" s="59">
        <f t="shared" si="955"/>
        <v>68030.124316000001</v>
      </c>
      <c r="AA150" s="55">
        <f t="shared" si="956"/>
        <v>20083.140000000003</v>
      </c>
      <c r="AB150" s="59">
        <f t="shared" si="957"/>
        <v>66390.844212000011</v>
      </c>
      <c r="AC150" s="60">
        <f t="shared" si="958"/>
        <v>19587.260000000002</v>
      </c>
      <c r="AD150" s="59">
        <f t="shared" si="959"/>
        <v>64751.564108000006</v>
      </c>
      <c r="AE150" s="60">
        <f t="shared" si="960"/>
        <v>19091.38</v>
      </c>
      <c r="AF150" s="59">
        <f t="shared" si="961"/>
        <v>63112.284004000008</v>
      </c>
      <c r="AG150" s="60">
        <f t="shared" si="962"/>
        <v>18595.5</v>
      </c>
      <c r="AH150" s="59">
        <f t="shared" si="963"/>
        <v>61473.003900000003</v>
      </c>
      <c r="AI150" s="55">
        <f t="shared" si="964"/>
        <v>18099.62</v>
      </c>
      <c r="AJ150" s="59">
        <f t="shared" si="965"/>
        <v>59833.723795999998</v>
      </c>
      <c r="AK150" s="60">
        <f t="shared" si="966"/>
        <v>17603.739999999998</v>
      </c>
      <c r="AL150" s="59">
        <f t="shared" si="967"/>
        <v>58194.443691999993</v>
      </c>
      <c r="AM150" s="60">
        <f t="shared" si="968"/>
        <v>17107.859999999997</v>
      </c>
      <c r="AN150" s="59">
        <f t="shared" si="969"/>
        <v>56555.163587999989</v>
      </c>
      <c r="AO150" s="60">
        <f t="shared" si="970"/>
        <v>16611.98</v>
      </c>
      <c r="AP150" s="59">
        <f t="shared" si="971"/>
        <v>54915.883483999998</v>
      </c>
      <c r="AQ150" s="60">
        <f t="shared" si="972"/>
        <v>16116.099999999997</v>
      </c>
      <c r="AR150" s="59">
        <f t="shared" si="973"/>
        <v>53276.603379999993</v>
      </c>
      <c r="AS150" s="55">
        <f t="shared" si="974"/>
        <v>15620.219999999998</v>
      </c>
      <c r="AT150" s="59">
        <f t="shared" si="975"/>
        <v>51637.323275999996</v>
      </c>
      <c r="AU150" s="60">
        <f t="shared" si="976"/>
        <v>15124.339999999997</v>
      </c>
      <c r="AV150" s="59">
        <f t="shared" si="977"/>
        <v>49998.043171999991</v>
      </c>
      <c r="AW150" s="60">
        <f t="shared" si="978"/>
        <v>14628.459999999995</v>
      </c>
      <c r="AX150" s="59">
        <f t="shared" si="979"/>
        <v>48358.763067999986</v>
      </c>
      <c r="AY150" s="55">
        <f t="shared" si="980"/>
        <v>14132.579999999994</v>
      </c>
      <c r="AZ150" s="59">
        <f t="shared" si="981"/>
        <v>46719.482963999981</v>
      </c>
      <c r="BC150" s="55">
        <v>1</v>
      </c>
      <c r="BD150" s="55">
        <v>0.97</v>
      </c>
      <c r="BE150" s="55">
        <v>0.95</v>
      </c>
      <c r="BF150" s="55">
        <v>0.93</v>
      </c>
      <c r="BG150" s="55">
        <f t="shared" si="982"/>
        <v>0.91</v>
      </c>
      <c r="BH150" s="55">
        <f t="shared" si="982"/>
        <v>0.89</v>
      </c>
      <c r="BI150" s="55">
        <f t="shared" si="982"/>
        <v>0.87</v>
      </c>
      <c r="BJ150" s="55">
        <f t="shared" si="982"/>
        <v>0.85</v>
      </c>
      <c r="BK150" s="55">
        <f t="shared" si="982"/>
        <v>0.83</v>
      </c>
      <c r="BL150" s="55">
        <f t="shared" si="982"/>
        <v>0.80999999999999994</v>
      </c>
      <c r="BM150" s="55">
        <f t="shared" si="982"/>
        <v>0.78999999999999992</v>
      </c>
      <c r="BN150" s="55">
        <f t="shared" si="982"/>
        <v>0.76999999999999991</v>
      </c>
      <c r="BO150" s="55">
        <f t="shared" si="982"/>
        <v>0.74999999999999989</v>
      </c>
      <c r="BP150" s="55">
        <f t="shared" si="982"/>
        <v>0.72999999999999987</v>
      </c>
      <c r="BQ150" s="55">
        <f t="shared" si="982"/>
        <v>0.70999999999999985</v>
      </c>
      <c r="BR150" s="55">
        <f t="shared" si="982"/>
        <v>0.68999999999999984</v>
      </c>
      <c r="BS150" s="55">
        <f t="shared" si="982"/>
        <v>0.66999999999999982</v>
      </c>
      <c r="BT150" s="55">
        <f t="shared" si="982"/>
        <v>0.6499999999999998</v>
      </c>
      <c r="BU150" s="55">
        <f t="shared" si="982"/>
        <v>0.62999999999999978</v>
      </c>
      <c r="BV150" s="55">
        <f t="shared" si="982"/>
        <v>0.60999999999999976</v>
      </c>
      <c r="BW150" s="55">
        <f t="shared" si="982"/>
        <v>0.58999999999999975</v>
      </c>
      <c r="BX150" s="55">
        <f t="shared" si="982"/>
        <v>0.56999999999999973</v>
      </c>
      <c r="BZ150" s="55">
        <f t="shared" si="512"/>
        <v>22562.540000000005</v>
      </c>
      <c r="CA150" s="55">
        <f t="shared" si="513"/>
        <v>22562.540000000005</v>
      </c>
      <c r="CB150" s="59">
        <f t="shared" si="983"/>
        <v>74587.244732000021</v>
      </c>
      <c r="CC150" s="55">
        <f t="shared" si="984"/>
        <v>21885.663800000002</v>
      </c>
      <c r="CD150" s="59">
        <f t="shared" si="985"/>
        <v>72349.627390040012</v>
      </c>
      <c r="CE150" s="55">
        <f t="shared" si="986"/>
        <v>21434.413000000004</v>
      </c>
      <c r="CF150" s="59">
        <f t="shared" si="987"/>
        <v>70857.882495400016</v>
      </c>
      <c r="CG150" s="55">
        <f t="shared" si="988"/>
        <v>20983.162200000006</v>
      </c>
      <c r="CH150" s="59">
        <f t="shared" si="989"/>
        <v>69366.137600760019</v>
      </c>
      <c r="CI150" s="57">
        <f t="shared" si="990"/>
        <v>20531.911400000005</v>
      </c>
      <c r="CJ150" s="59">
        <f t="shared" si="991"/>
        <v>67874.392706120023</v>
      </c>
      <c r="CK150" s="55">
        <f t="shared" si="992"/>
        <v>20080.660600000003</v>
      </c>
      <c r="CL150" s="59">
        <f t="shared" si="993"/>
        <v>66382.647811480012</v>
      </c>
      <c r="CM150" s="57">
        <f t="shared" si="994"/>
        <v>19629.409800000005</v>
      </c>
      <c r="CN150" s="59">
        <f t="shared" si="995"/>
        <v>64890.902916840016</v>
      </c>
      <c r="CO150" s="60">
        <f t="shared" si="996"/>
        <v>19178.159000000003</v>
      </c>
      <c r="CP150" s="59">
        <f t="shared" si="997"/>
        <v>63399.158022200012</v>
      </c>
      <c r="CQ150" s="57">
        <f t="shared" si="998"/>
        <v>18726.908200000002</v>
      </c>
      <c r="CR150" s="59">
        <f t="shared" si="999"/>
        <v>61907.413127560008</v>
      </c>
      <c r="CS150" s="55">
        <f t="shared" si="1000"/>
        <v>18275.657400000004</v>
      </c>
      <c r="CT150" s="59">
        <f t="shared" si="1001"/>
        <v>60415.668232920012</v>
      </c>
      <c r="CU150" s="60">
        <f t="shared" si="1002"/>
        <v>17824.406600000002</v>
      </c>
      <c r="CV150" s="59">
        <f t="shared" si="1003"/>
        <v>58923.923338280008</v>
      </c>
      <c r="CW150" s="60">
        <f t="shared" si="1004"/>
        <v>17373.1558</v>
      </c>
      <c r="CX150" s="59">
        <f t="shared" si="1005"/>
        <v>57432.178443640005</v>
      </c>
      <c r="CY150" s="60">
        <f t="shared" si="1006"/>
        <v>16921.905000000002</v>
      </c>
      <c r="CZ150" s="59">
        <f t="shared" si="1007"/>
        <v>55940.433549000008</v>
      </c>
      <c r="DA150" s="55">
        <f t="shared" si="1008"/>
        <v>16470.654200000001</v>
      </c>
      <c r="DB150" s="59">
        <f t="shared" si="1009"/>
        <v>54448.688654360005</v>
      </c>
      <c r="DC150" s="60">
        <f t="shared" si="1010"/>
        <v>16019.403399999999</v>
      </c>
      <c r="DD150" s="59">
        <f t="shared" si="1011"/>
        <v>52956.943759720001</v>
      </c>
      <c r="DE150" s="60">
        <f t="shared" si="1012"/>
        <v>15568.152599999999</v>
      </c>
      <c r="DF150" s="59">
        <f t="shared" si="1013"/>
        <v>51465.198865079998</v>
      </c>
      <c r="DG150" s="60">
        <f t="shared" si="1014"/>
        <v>15116.9018</v>
      </c>
      <c r="DH150" s="59">
        <f t="shared" si="1015"/>
        <v>49973.453970440001</v>
      </c>
      <c r="DI150" s="60">
        <f t="shared" si="1016"/>
        <v>14665.650999999998</v>
      </c>
      <c r="DJ150" s="59">
        <f t="shared" si="1017"/>
        <v>48481.709075799998</v>
      </c>
      <c r="DK150" s="55">
        <f t="shared" si="1018"/>
        <v>14214.400199999998</v>
      </c>
      <c r="DL150" s="59">
        <f t="shared" si="1019"/>
        <v>46989.964181159994</v>
      </c>
      <c r="DM150" s="60">
        <f t="shared" si="1020"/>
        <v>13763.149399999997</v>
      </c>
      <c r="DN150" s="59">
        <f t="shared" si="1021"/>
        <v>45498.21928651999</v>
      </c>
      <c r="DO150" s="60">
        <f t="shared" si="1022"/>
        <v>13311.898599999997</v>
      </c>
      <c r="DP150" s="59">
        <f t="shared" si="1023"/>
        <v>44006.474391879987</v>
      </c>
      <c r="DQ150" s="55">
        <f t="shared" si="1024"/>
        <v>12860.647799999997</v>
      </c>
      <c r="DR150" s="59">
        <f t="shared" si="1025"/>
        <v>42514.72949723999</v>
      </c>
      <c r="DU150" s="55">
        <v>1</v>
      </c>
      <c r="DV150" s="55">
        <v>0.97</v>
      </c>
      <c r="DW150" s="55">
        <v>0.95</v>
      </c>
      <c r="DX150" s="55">
        <v>0.93</v>
      </c>
      <c r="DY150" s="55">
        <f t="shared" si="934"/>
        <v>0.91</v>
      </c>
      <c r="DZ150" s="55">
        <f t="shared" si="934"/>
        <v>0.89</v>
      </c>
      <c r="EA150" s="55">
        <f t="shared" si="934"/>
        <v>0.87</v>
      </c>
      <c r="EB150" s="55">
        <f t="shared" si="934"/>
        <v>0.85</v>
      </c>
      <c r="EC150" s="55">
        <f t="shared" si="934"/>
        <v>0.83</v>
      </c>
      <c r="ED150" s="55">
        <f t="shared" si="934"/>
        <v>0.80999999999999994</v>
      </c>
      <c r="EE150" s="55">
        <f t="shared" si="934"/>
        <v>0.78999999999999992</v>
      </c>
      <c r="EF150" s="55">
        <f t="shared" si="934"/>
        <v>0.76999999999999991</v>
      </c>
      <c r="EG150" s="55">
        <f t="shared" si="934"/>
        <v>0.74999999999999989</v>
      </c>
      <c r="EH150" s="55">
        <f t="shared" si="934"/>
        <v>0.72999999999999987</v>
      </c>
      <c r="EI150" s="55">
        <f t="shared" si="934"/>
        <v>0.70999999999999985</v>
      </c>
      <c r="EJ150" s="55">
        <f t="shared" si="934"/>
        <v>0.68999999999999984</v>
      </c>
      <c r="EK150" s="55">
        <f t="shared" si="934"/>
        <v>0.66999999999999982</v>
      </c>
      <c r="EL150" s="55">
        <f t="shared" si="934"/>
        <v>0.6499999999999998</v>
      </c>
      <c r="EM150" s="55">
        <f t="shared" si="934"/>
        <v>0.62999999999999978</v>
      </c>
      <c r="EN150" s="55">
        <f t="shared" si="934"/>
        <v>0.60999999999999976</v>
      </c>
      <c r="EO150" s="55">
        <f t="shared" si="934"/>
        <v>0.58999999999999975</v>
      </c>
      <c r="EP150" s="55">
        <f t="shared" si="934"/>
        <v>0.56999999999999973</v>
      </c>
      <c r="ER150" s="55">
        <f t="shared" si="652"/>
        <v>20531.911400000005</v>
      </c>
      <c r="ES150" s="55">
        <f t="shared" si="514"/>
        <v>20531.911400000005</v>
      </c>
      <c r="ET150" s="59">
        <f t="shared" si="1026"/>
        <v>67874.392706120023</v>
      </c>
      <c r="EU150" s="55">
        <f t="shared" si="1027"/>
        <v>19915.954058000003</v>
      </c>
      <c r="EV150" s="59">
        <f t="shared" si="1028"/>
        <v>65838.160924936412</v>
      </c>
      <c r="EW150" s="55">
        <f t="shared" si="1029"/>
        <v>19505.315830000003</v>
      </c>
      <c r="EX150" s="59">
        <f t="shared" si="1030"/>
        <v>64480.673070814009</v>
      </c>
      <c r="EY150" s="55">
        <f t="shared" si="1031"/>
        <v>19094.677602000003</v>
      </c>
      <c r="EZ150" s="59">
        <f t="shared" si="1032"/>
        <v>63123.185216691614</v>
      </c>
      <c r="FA150" s="57">
        <f t="shared" si="1033"/>
        <v>18684.039374000004</v>
      </c>
      <c r="FB150" s="59">
        <f t="shared" si="1034"/>
        <v>61765.697362569212</v>
      </c>
      <c r="FC150" s="55">
        <f t="shared" si="1035"/>
        <v>18273.401146000004</v>
      </c>
      <c r="FD150" s="59">
        <f t="shared" si="1036"/>
        <v>60408.209508446816</v>
      </c>
      <c r="FE150" s="57">
        <f t="shared" si="1037"/>
        <v>17862.762918000004</v>
      </c>
      <c r="FF150" s="59">
        <f t="shared" si="1038"/>
        <v>59050.721654324414</v>
      </c>
      <c r="FG150" s="60">
        <f t="shared" si="1039"/>
        <v>17452.124690000004</v>
      </c>
      <c r="FH150" s="59">
        <f t="shared" si="1040"/>
        <v>57693.233800202011</v>
      </c>
      <c r="FI150" s="57">
        <f t="shared" si="1041"/>
        <v>17041.486462000004</v>
      </c>
      <c r="FJ150" s="59">
        <f t="shared" si="1042"/>
        <v>56335.745946079616</v>
      </c>
      <c r="FK150" s="55">
        <f t="shared" si="1043"/>
        <v>16630.848234000001</v>
      </c>
      <c r="FL150" s="59">
        <f t="shared" si="1044"/>
        <v>54978.258091957206</v>
      </c>
      <c r="FM150" s="60">
        <f t="shared" si="1045"/>
        <v>16220.210006000001</v>
      </c>
      <c r="FN150" s="59">
        <f t="shared" si="1046"/>
        <v>53620.770237834804</v>
      </c>
      <c r="FO150" s="60">
        <f t="shared" si="1047"/>
        <v>15809.571778000001</v>
      </c>
      <c r="FP150" s="59">
        <f t="shared" si="1048"/>
        <v>52263.282383712409</v>
      </c>
      <c r="FQ150" s="60">
        <f t="shared" si="1049"/>
        <v>15398.933550000002</v>
      </c>
      <c r="FR150" s="59">
        <f t="shared" si="1050"/>
        <v>50905.794529590006</v>
      </c>
      <c r="FS150" s="55">
        <f t="shared" si="1051"/>
        <v>14988.295322</v>
      </c>
      <c r="FT150" s="59">
        <f t="shared" si="1052"/>
        <v>49548.306675467604</v>
      </c>
      <c r="FU150" s="60">
        <f t="shared" si="1053"/>
        <v>14577.657094</v>
      </c>
      <c r="FV150" s="59">
        <f t="shared" si="1054"/>
        <v>48190.818821345201</v>
      </c>
      <c r="FW150" s="60">
        <f t="shared" si="1055"/>
        <v>14167.018866</v>
      </c>
      <c r="FX150" s="59">
        <f t="shared" si="1056"/>
        <v>46833.330967222799</v>
      </c>
      <c r="FY150" s="60">
        <f t="shared" si="1057"/>
        <v>13756.380637999999</v>
      </c>
      <c r="FZ150" s="59">
        <f t="shared" si="1058"/>
        <v>45475.843113100396</v>
      </c>
      <c r="GA150" s="60">
        <f t="shared" si="1059"/>
        <v>13345.742409999999</v>
      </c>
      <c r="GB150" s="59">
        <f t="shared" si="1060"/>
        <v>44118.355258977994</v>
      </c>
      <c r="GC150" s="55">
        <f t="shared" si="1061"/>
        <v>12935.104181999999</v>
      </c>
      <c r="GD150" s="59">
        <f t="shared" si="1062"/>
        <v>42760.867404855599</v>
      </c>
      <c r="GE150" s="60">
        <f t="shared" si="1063"/>
        <v>12524.465953999998</v>
      </c>
      <c r="GF150" s="59">
        <f t="shared" si="1064"/>
        <v>41403.379550733196</v>
      </c>
      <c r="GG150" s="60">
        <f t="shared" si="1065"/>
        <v>12113.827725999998</v>
      </c>
      <c r="GH150" s="59">
        <f t="shared" si="1066"/>
        <v>40045.891696610794</v>
      </c>
      <c r="GI150" s="55">
        <f t="shared" si="1067"/>
        <v>11703.189497999998</v>
      </c>
      <c r="GJ150" s="59">
        <f t="shared" si="1068"/>
        <v>38688.403842488391</v>
      </c>
      <c r="GK150" s="55"/>
      <c r="GL150" s="55"/>
      <c r="GM150" s="55">
        <v>1</v>
      </c>
      <c r="GN150" s="55">
        <v>0.97</v>
      </c>
      <c r="GO150" s="55">
        <v>0.95</v>
      </c>
      <c r="GP150" s="55">
        <v>0.93</v>
      </c>
      <c r="GQ150" s="55">
        <f t="shared" si="935"/>
        <v>0.91</v>
      </c>
      <c r="GR150" s="55">
        <f t="shared" si="935"/>
        <v>0.89</v>
      </c>
      <c r="GS150" s="55">
        <f t="shared" si="935"/>
        <v>0.87</v>
      </c>
      <c r="GT150" s="55">
        <f t="shared" si="935"/>
        <v>0.85</v>
      </c>
      <c r="GU150" s="55">
        <f t="shared" si="935"/>
        <v>0.83</v>
      </c>
      <c r="GV150" s="55">
        <f t="shared" si="935"/>
        <v>0.80999999999999994</v>
      </c>
      <c r="GW150" s="55">
        <f t="shared" si="935"/>
        <v>0.78999999999999992</v>
      </c>
      <c r="GX150" s="55">
        <f t="shared" si="935"/>
        <v>0.76999999999999991</v>
      </c>
      <c r="GY150" s="55">
        <f t="shared" si="935"/>
        <v>0.74999999999999989</v>
      </c>
      <c r="GZ150" s="55">
        <f t="shared" si="935"/>
        <v>0.72999999999999987</v>
      </c>
      <c r="HA150" s="55">
        <f t="shared" si="935"/>
        <v>0.70999999999999985</v>
      </c>
      <c r="HB150" s="55">
        <f t="shared" si="935"/>
        <v>0.68999999999999984</v>
      </c>
      <c r="HC150" s="55">
        <f t="shared" si="935"/>
        <v>0.66999999999999982</v>
      </c>
      <c r="HD150" s="55">
        <f t="shared" si="935"/>
        <v>0.6499999999999998</v>
      </c>
      <c r="HE150" s="55">
        <f t="shared" si="935"/>
        <v>0.62999999999999978</v>
      </c>
      <c r="HF150" s="55">
        <f t="shared" si="935"/>
        <v>0.60999999999999976</v>
      </c>
      <c r="HG150" s="55">
        <f t="shared" si="935"/>
        <v>0.58999999999999975</v>
      </c>
      <c r="HH150" s="55">
        <f t="shared" si="935"/>
        <v>0.56999999999999973</v>
      </c>
    </row>
    <row r="151" spans="1:216" x14ac:dyDescent="0.3">
      <c r="A151" s="2">
        <v>3</v>
      </c>
      <c r="C151" s="38" t="s">
        <v>50</v>
      </c>
      <c r="D151" s="42">
        <f>TRUNC(23299,-1)</f>
        <v>23290</v>
      </c>
      <c r="E151" s="71">
        <f>TRUNC(+D151*3.3058,-1)</f>
        <v>76990</v>
      </c>
      <c r="H151" s="55">
        <f t="shared" si="509"/>
        <v>84689</v>
      </c>
      <c r="I151" s="55">
        <f t="shared" si="510"/>
        <v>84689</v>
      </c>
      <c r="J151" s="59">
        <f t="shared" si="511"/>
        <v>279964.89620000002</v>
      </c>
      <c r="K151" s="55">
        <f t="shared" si="940"/>
        <v>82148.33</v>
      </c>
      <c r="L151" s="59">
        <f t="shared" si="941"/>
        <v>271565.94931400003</v>
      </c>
      <c r="M151" s="55">
        <f t="shared" si="942"/>
        <v>80454.55</v>
      </c>
      <c r="N151" s="59">
        <f t="shared" si="943"/>
        <v>265966.65139000001</v>
      </c>
      <c r="O151" s="55">
        <f t="shared" si="944"/>
        <v>78760.77</v>
      </c>
      <c r="P151" s="59">
        <f t="shared" si="945"/>
        <v>260367.35346600003</v>
      </c>
      <c r="Q151" s="57">
        <f t="shared" si="946"/>
        <v>77066.990000000005</v>
      </c>
      <c r="R151" s="59">
        <f t="shared" si="947"/>
        <v>254768.05554200002</v>
      </c>
      <c r="S151" s="55">
        <f t="shared" si="948"/>
        <v>75373.210000000006</v>
      </c>
      <c r="T151" s="59">
        <f t="shared" si="949"/>
        <v>249168.75761800003</v>
      </c>
      <c r="U151" s="57">
        <f t="shared" si="950"/>
        <v>73679.429999999993</v>
      </c>
      <c r="V151" s="59">
        <f t="shared" si="951"/>
        <v>243569.45969399999</v>
      </c>
      <c r="W151" s="60">
        <f t="shared" si="952"/>
        <v>71985.649999999994</v>
      </c>
      <c r="X151" s="59">
        <f t="shared" si="953"/>
        <v>237970.16176999998</v>
      </c>
      <c r="Y151" s="57">
        <f t="shared" si="954"/>
        <v>70291.87</v>
      </c>
      <c r="Z151" s="59">
        <f t="shared" si="955"/>
        <v>232370.86384599999</v>
      </c>
      <c r="AA151" s="55">
        <f t="shared" si="956"/>
        <v>68598.09</v>
      </c>
      <c r="AB151" s="59">
        <f t="shared" si="957"/>
        <v>226771.56592199998</v>
      </c>
      <c r="AC151" s="60">
        <f t="shared" si="958"/>
        <v>66904.31</v>
      </c>
      <c r="AD151" s="59">
        <f t="shared" si="959"/>
        <v>221172.267998</v>
      </c>
      <c r="AE151" s="60">
        <f t="shared" si="960"/>
        <v>65210.529999999992</v>
      </c>
      <c r="AF151" s="59">
        <f t="shared" si="961"/>
        <v>215572.97007399998</v>
      </c>
      <c r="AG151" s="60">
        <f t="shared" si="962"/>
        <v>63516.749999999993</v>
      </c>
      <c r="AH151" s="59">
        <f t="shared" si="963"/>
        <v>209973.67214999997</v>
      </c>
      <c r="AI151" s="55">
        <f t="shared" si="964"/>
        <v>61822.969999999987</v>
      </c>
      <c r="AJ151" s="59">
        <f t="shared" si="965"/>
        <v>204374.37422599996</v>
      </c>
      <c r="AK151" s="60">
        <f t="shared" si="966"/>
        <v>60129.189999999988</v>
      </c>
      <c r="AL151" s="59">
        <f t="shared" si="967"/>
        <v>198775.07630199997</v>
      </c>
      <c r="AM151" s="60">
        <f t="shared" si="968"/>
        <v>58435.409999999989</v>
      </c>
      <c r="AN151" s="59">
        <f t="shared" si="969"/>
        <v>193175.77837799996</v>
      </c>
      <c r="AO151" s="60">
        <f t="shared" si="970"/>
        <v>56741.629999999983</v>
      </c>
      <c r="AP151" s="59">
        <f t="shared" si="971"/>
        <v>187576.48045399995</v>
      </c>
      <c r="AQ151" s="60">
        <f t="shared" si="972"/>
        <v>55047.849999999984</v>
      </c>
      <c r="AR151" s="59">
        <f t="shared" si="973"/>
        <v>181977.18252999996</v>
      </c>
      <c r="AS151" s="55">
        <f t="shared" si="974"/>
        <v>53354.069999999985</v>
      </c>
      <c r="AT151" s="59">
        <f t="shared" si="975"/>
        <v>176377.88460599995</v>
      </c>
      <c r="AU151" s="60">
        <f t="shared" si="976"/>
        <v>51660.289999999979</v>
      </c>
      <c r="AV151" s="59">
        <f t="shared" si="977"/>
        <v>170778.58668199994</v>
      </c>
      <c r="AW151" s="60">
        <f t="shared" si="978"/>
        <v>49966.50999999998</v>
      </c>
      <c r="AX151" s="59">
        <f t="shared" si="979"/>
        <v>165179.28875799995</v>
      </c>
      <c r="AY151" s="55">
        <f t="shared" si="980"/>
        <v>48272.729999999974</v>
      </c>
      <c r="AZ151" s="59">
        <f t="shared" si="981"/>
        <v>159579.99083399991</v>
      </c>
      <c r="BC151" s="55">
        <v>1</v>
      </c>
      <c r="BD151" s="55">
        <v>0.97</v>
      </c>
      <c r="BE151" s="55">
        <v>0.95</v>
      </c>
      <c r="BF151" s="55">
        <v>0.93</v>
      </c>
      <c r="BG151" s="55">
        <f t="shared" si="982"/>
        <v>0.91</v>
      </c>
      <c r="BH151" s="55">
        <f t="shared" si="982"/>
        <v>0.89</v>
      </c>
      <c r="BI151" s="55">
        <f t="shared" si="982"/>
        <v>0.87</v>
      </c>
      <c r="BJ151" s="55">
        <f t="shared" si="982"/>
        <v>0.85</v>
      </c>
      <c r="BK151" s="55">
        <f t="shared" si="982"/>
        <v>0.83</v>
      </c>
      <c r="BL151" s="55">
        <f t="shared" si="982"/>
        <v>0.80999999999999994</v>
      </c>
      <c r="BM151" s="55">
        <f t="shared" si="982"/>
        <v>0.78999999999999992</v>
      </c>
      <c r="BN151" s="55">
        <f t="shared" si="982"/>
        <v>0.76999999999999991</v>
      </c>
      <c r="BO151" s="55">
        <f t="shared" si="982"/>
        <v>0.74999999999999989</v>
      </c>
      <c r="BP151" s="55">
        <f t="shared" si="982"/>
        <v>0.72999999999999987</v>
      </c>
      <c r="BQ151" s="55">
        <f t="shared" si="982"/>
        <v>0.70999999999999985</v>
      </c>
      <c r="BR151" s="55">
        <f t="shared" si="982"/>
        <v>0.68999999999999984</v>
      </c>
      <c r="BS151" s="55">
        <f t="shared" si="982"/>
        <v>0.66999999999999982</v>
      </c>
      <c r="BT151" s="55">
        <f t="shared" si="982"/>
        <v>0.6499999999999998</v>
      </c>
      <c r="BU151" s="55">
        <f t="shared" si="982"/>
        <v>0.62999999999999978</v>
      </c>
      <c r="BV151" s="55">
        <f t="shared" si="982"/>
        <v>0.60999999999999976</v>
      </c>
      <c r="BW151" s="55">
        <f t="shared" si="982"/>
        <v>0.58999999999999975</v>
      </c>
      <c r="BX151" s="55">
        <f t="shared" si="982"/>
        <v>0.56999999999999973</v>
      </c>
      <c r="BZ151" s="55">
        <f t="shared" si="512"/>
        <v>77066.990000000005</v>
      </c>
      <c r="CA151" s="55">
        <f t="shared" si="513"/>
        <v>77066.990000000005</v>
      </c>
      <c r="CB151" s="59">
        <f t="shared" si="983"/>
        <v>254768.05554200002</v>
      </c>
      <c r="CC151" s="55">
        <f t="shared" si="984"/>
        <v>74754.98030000001</v>
      </c>
      <c r="CD151" s="59">
        <f t="shared" si="985"/>
        <v>247125.01387574003</v>
      </c>
      <c r="CE151" s="55">
        <f t="shared" si="986"/>
        <v>73213.640500000009</v>
      </c>
      <c r="CF151" s="59">
        <f t="shared" si="987"/>
        <v>242029.65276490003</v>
      </c>
      <c r="CG151" s="55">
        <f t="shared" si="988"/>
        <v>71672.300700000007</v>
      </c>
      <c r="CH151" s="59">
        <f t="shared" si="989"/>
        <v>236934.29165406004</v>
      </c>
      <c r="CI151" s="57">
        <f t="shared" si="990"/>
        <v>70130.960900000005</v>
      </c>
      <c r="CJ151" s="59">
        <f t="shared" si="991"/>
        <v>231838.93054322002</v>
      </c>
      <c r="CK151" s="55">
        <f t="shared" si="992"/>
        <v>68589.621100000004</v>
      </c>
      <c r="CL151" s="59">
        <f t="shared" si="993"/>
        <v>226743.56943238003</v>
      </c>
      <c r="CM151" s="57">
        <f t="shared" si="994"/>
        <v>67048.281300000002</v>
      </c>
      <c r="CN151" s="59">
        <f t="shared" si="995"/>
        <v>221648.20832154001</v>
      </c>
      <c r="CO151" s="60">
        <f t="shared" si="996"/>
        <v>65506.941500000001</v>
      </c>
      <c r="CP151" s="59">
        <f t="shared" si="997"/>
        <v>216552.84721070001</v>
      </c>
      <c r="CQ151" s="57">
        <f t="shared" si="998"/>
        <v>63965.601699999999</v>
      </c>
      <c r="CR151" s="59">
        <f t="shared" si="999"/>
        <v>211457.48609985999</v>
      </c>
      <c r="CS151" s="55">
        <f t="shared" si="1000"/>
        <v>62424.261899999998</v>
      </c>
      <c r="CT151" s="59">
        <f t="shared" si="1001"/>
        <v>206362.12498902</v>
      </c>
      <c r="CU151" s="60">
        <f t="shared" si="1002"/>
        <v>60882.922099999996</v>
      </c>
      <c r="CV151" s="59">
        <f t="shared" si="1003"/>
        <v>201266.76387818001</v>
      </c>
      <c r="CW151" s="60">
        <f t="shared" si="1004"/>
        <v>59341.582299999995</v>
      </c>
      <c r="CX151" s="59">
        <f t="shared" si="1005"/>
        <v>196171.40276733998</v>
      </c>
      <c r="CY151" s="60">
        <f t="shared" si="1006"/>
        <v>57800.242499999993</v>
      </c>
      <c r="CZ151" s="59">
        <f t="shared" si="1007"/>
        <v>191076.04165649999</v>
      </c>
      <c r="DA151" s="55">
        <f t="shared" si="1008"/>
        <v>56258.902699999991</v>
      </c>
      <c r="DB151" s="59">
        <f t="shared" si="1009"/>
        <v>185980.68054565997</v>
      </c>
      <c r="DC151" s="60">
        <f t="shared" si="1010"/>
        <v>54717.56289999999</v>
      </c>
      <c r="DD151" s="59">
        <f t="shared" si="1011"/>
        <v>180885.31943481998</v>
      </c>
      <c r="DE151" s="60">
        <f t="shared" si="1012"/>
        <v>53176.223099999988</v>
      </c>
      <c r="DF151" s="59">
        <f t="shared" si="1013"/>
        <v>175789.95832397995</v>
      </c>
      <c r="DG151" s="60">
        <f t="shared" si="1014"/>
        <v>51634.883299999987</v>
      </c>
      <c r="DH151" s="59">
        <f t="shared" si="1015"/>
        <v>170694.59721313996</v>
      </c>
      <c r="DI151" s="60">
        <f t="shared" si="1016"/>
        <v>50093.543499999985</v>
      </c>
      <c r="DJ151" s="59">
        <f t="shared" si="1017"/>
        <v>165599.23610229997</v>
      </c>
      <c r="DK151" s="55">
        <f t="shared" si="1018"/>
        <v>48552.203699999984</v>
      </c>
      <c r="DL151" s="59">
        <f t="shared" si="1019"/>
        <v>160503.87499145995</v>
      </c>
      <c r="DM151" s="60">
        <f t="shared" si="1020"/>
        <v>47010.863899999982</v>
      </c>
      <c r="DN151" s="59">
        <f t="shared" si="1021"/>
        <v>155408.51388061995</v>
      </c>
      <c r="DO151" s="60">
        <f t="shared" si="1022"/>
        <v>45469.524099999981</v>
      </c>
      <c r="DP151" s="59">
        <f t="shared" si="1023"/>
        <v>150313.15276977993</v>
      </c>
      <c r="DQ151" s="55">
        <f t="shared" si="1024"/>
        <v>43928.184299999979</v>
      </c>
      <c r="DR151" s="59">
        <f t="shared" si="1025"/>
        <v>145217.79165893994</v>
      </c>
      <c r="DU151" s="55">
        <v>1</v>
      </c>
      <c r="DV151" s="55">
        <v>0.97</v>
      </c>
      <c r="DW151" s="55">
        <v>0.95</v>
      </c>
      <c r="DX151" s="55">
        <v>0.93</v>
      </c>
      <c r="DY151" s="55">
        <f t="shared" si="934"/>
        <v>0.91</v>
      </c>
      <c r="DZ151" s="55">
        <f t="shared" si="934"/>
        <v>0.89</v>
      </c>
      <c r="EA151" s="55">
        <f t="shared" si="934"/>
        <v>0.87</v>
      </c>
      <c r="EB151" s="55">
        <f t="shared" si="934"/>
        <v>0.85</v>
      </c>
      <c r="EC151" s="55">
        <f t="shared" si="934"/>
        <v>0.83</v>
      </c>
      <c r="ED151" s="55">
        <f t="shared" si="934"/>
        <v>0.80999999999999994</v>
      </c>
      <c r="EE151" s="55">
        <f t="shared" si="934"/>
        <v>0.78999999999999992</v>
      </c>
      <c r="EF151" s="55">
        <f t="shared" si="934"/>
        <v>0.76999999999999991</v>
      </c>
      <c r="EG151" s="55">
        <f t="shared" si="934"/>
        <v>0.74999999999999989</v>
      </c>
      <c r="EH151" s="55">
        <f t="shared" si="934"/>
        <v>0.72999999999999987</v>
      </c>
      <c r="EI151" s="55">
        <f t="shared" si="934"/>
        <v>0.70999999999999985</v>
      </c>
      <c r="EJ151" s="55">
        <f t="shared" si="934"/>
        <v>0.68999999999999984</v>
      </c>
      <c r="EK151" s="55">
        <f t="shared" si="934"/>
        <v>0.66999999999999982</v>
      </c>
      <c r="EL151" s="55">
        <f t="shared" si="934"/>
        <v>0.6499999999999998</v>
      </c>
      <c r="EM151" s="55">
        <f t="shared" si="934"/>
        <v>0.62999999999999978</v>
      </c>
      <c r="EN151" s="55">
        <f t="shared" si="934"/>
        <v>0.60999999999999976</v>
      </c>
      <c r="EO151" s="55">
        <f t="shared" si="934"/>
        <v>0.58999999999999975</v>
      </c>
      <c r="EP151" s="55">
        <f t="shared" si="934"/>
        <v>0.56999999999999973</v>
      </c>
      <c r="ER151" s="55">
        <f t="shared" si="652"/>
        <v>70130.960900000005</v>
      </c>
      <c r="ES151" s="55">
        <f t="shared" si="514"/>
        <v>70130.960900000005</v>
      </c>
      <c r="ET151" s="59">
        <f t="shared" si="1026"/>
        <v>231838.93054322002</v>
      </c>
      <c r="EU151" s="55">
        <f t="shared" si="1027"/>
        <v>68027.032073000009</v>
      </c>
      <c r="EV151" s="59">
        <f t="shared" si="1028"/>
        <v>224883.76262692345</v>
      </c>
      <c r="EW151" s="55">
        <f t="shared" si="1029"/>
        <v>66624.412855000002</v>
      </c>
      <c r="EX151" s="59">
        <f t="shared" si="1030"/>
        <v>220246.98401605902</v>
      </c>
      <c r="EY151" s="55">
        <f t="shared" si="1031"/>
        <v>65221.79363700001</v>
      </c>
      <c r="EZ151" s="59">
        <f t="shared" si="1032"/>
        <v>215610.20540519463</v>
      </c>
      <c r="FA151" s="57">
        <f t="shared" si="1033"/>
        <v>63819.17441900001</v>
      </c>
      <c r="FB151" s="59">
        <f t="shared" si="1034"/>
        <v>210973.42679433024</v>
      </c>
      <c r="FC151" s="55">
        <f t="shared" si="1035"/>
        <v>62416.555201000003</v>
      </c>
      <c r="FD151" s="59">
        <f t="shared" si="1036"/>
        <v>206336.64818346582</v>
      </c>
      <c r="FE151" s="57">
        <f t="shared" si="1037"/>
        <v>61013.935983000003</v>
      </c>
      <c r="FF151" s="59">
        <f t="shared" si="1038"/>
        <v>201699.86957260143</v>
      </c>
      <c r="FG151" s="60">
        <f t="shared" si="1039"/>
        <v>59611.316765000003</v>
      </c>
      <c r="FH151" s="59">
        <f t="shared" si="1040"/>
        <v>197063.09096173701</v>
      </c>
      <c r="FI151" s="57">
        <f t="shared" si="1041"/>
        <v>58208.697547000003</v>
      </c>
      <c r="FJ151" s="59">
        <f t="shared" si="1042"/>
        <v>192426.31235087261</v>
      </c>
      <c r="FK151" s="55">
        <f t="shared" si="1043"/>
        <v>56806.078329000004</v>
      </c>
      <c r="FL151" s="59">
        <f t="shared" si="1044"/>
        <v>187789.53374000822</v>
      </c>
      <c r="FM151" s="60">
        <f t="shared" si="1045"/>
        <v>55403.459110999996</v>
      </c>
      <c r="FN151" s="59">
        <f t="shared" si="1046"/>
        <v>183152.7551291438</v>
      </c>
      <c r="FO151" s="60">
        <f t="shared" si="1047"/>
        <v>54000.839892999997</v>
      </c>
      <c r="FP151" s="59">
        <f t="shared" si="1048"/>
        <v>178515.97651827941</v>
      </c>
      <c r="FQ151" s="60">
        <f t="shared" si="1049"/>
        <v>52598.220674999997</v>
      </c>
      <c r="FR151" s="59">
        <f t="shared" si="1050"/>
        <v>173879.19790741499</v>
      </c>
      <c r="FS151" s="55">
        <f t="shared" si="1051"/>
        <v>51195.601456999997</v>
      </c>
      <c r="FT151" s="59">
        <f t="shared" si="1052"/>
        <v>169242.41929655059</v>
      </c>
      <c r="FU151" s="60">
        <f t="shared" si="1053"/>
        <v>49792.982238999997</v>
      </c>
      <c r="FV151" s="59">
        <f t="shared" si="1054"/>
        <v>164605.6406856862</v>
      </c>
      <c r="FW151" s="60">
        <f t="shared" si="1055"/>
        <v>48390.36302099999</v>
      </c>
      <c r="FX151" s="59">
        <f t="shared" si="1056"/>
        <v>159968.86207482178</v>
      </c>
      <c r="FY151" s="60">
        <f t="shared" si="1057"/>
        <v>46987.74380299999</v>
      </c>
      <c r="FZ151" s="59">
        <f t="shared" si="1058"/>
        <v>155332.08346395736</v>
      </c>
      <c r="GA151" s="60">
        <f t="shared" si="1059"/>
        <v>45585.12458499999</v>
      </c>
      <c r="GB151" s="59">
        <f t="shared" si="1060"/>
        <v>150695.30485309297</v>
      </c>
      <c r="GC151" s="55">
        <f t="shared" si="1061"/>
        <v>44182.505366999991</v>
      </c>
      <c r="GD151" s="59">
        <f t="shared" si="1062"/>
        <v>146058.52624222857</v>
      </c>
      <c r="GE151" s="60">
        <f t="shared" si="1063"/>
        <v>42779.886148999984</v>
      </c>
      <c r="GF151" s="59">
        <f t="shared" si="1064"/>
        <v>141421.74763136415</v>
      </c>
      <c r="GG151" s="60">
        <f t="shared" si="1065"/>
        <v>41377.266930999984</v>
      </c>
      <c r="GH151" s="59">
        <f t="shared" si="1066"/>
        <v>136784.96902049976</v>
      </c>
      <c r="GI151" s="55">
        <f t="shared" si="1067"/>
        <v>39974.647712999984</v>
      </c>
      <c r="GJ151" s="59">
        <f t="shared" si="1068"/>
        <v>132148.19040963534</v>
      </c>
      <c r="GK151" s="55"/>
      <c r="GL151" s="55"/>
      <c r="GM151" s="55">
        <v>1</v>
      </c>
      <c r="GN151" s="55">
        <v>0.97</v>
      </c>
      <c r="GO151" s="55">
        <v>0.95</v>
      </c>
      <c r="GP151" s="55">
        <v>0.93</v>
      </c>
      <c r="GQ151" s="55">
        <f t="shared" si="935"/>
        <v>0.91</v>
      </c>
      <c r="GR151" s="55">
        <f t="shared" si="935"/>
        <v>0.89</v>
      </c>
      <c r="GS151" s="55">
        <f t="shared" si="935"/>
        <v>0.87</v>
      </c>
      <c r="GT151" s="55">
        <f t="shared" si="935"/>
        <v>0.85</v>
      </c>
      <c r="GU151" s="55">
        <f t="shared" si="935"/>
        <v>0.83</v>
      </c>
      <c r="GV151" s="55">
        <f t="shared" si="935"/>
        <v>0.80999999999999994</v>
      </c>
      <c r="GW151" s="55">
        <f t="shared" si="935"/>
        <v>0.78999999999999992</v>
      </c>
      <c r="GX151" s="55">
        <f t="shared" si="935"/>
        <v>0.76999999999999991</v>
      </c>
      <c r="GY151" s="55">
        <f t="shared" si="935"/>
        <v>0.74999999999999989</v>
      </c>
      <c r="GZ151" s="55">
        <f t="shared" si="935"/>
        <v>0.72999999999999987</v>
      </c>
      <c r="HA151" s="55">
        <f t="shared" si="935"/>
        <v>0.70999999999999985</v>
      </c>
      <c r="HB151" s="55">
        <f t="shared" si="935"/>
        <v>0.68999999999999984</v>
      </c>
      <c r="HC151" s="55">
        <f t="shared" si="935"/>
        <v>0.66999999999999982</v>
      </c>
      <c r="HD151" s="55">
        <f t="shared" si="935"/>
        <v>0.6499999999999998</v>
      </c>
      <c r="HE151" s="55">
        <f t="shared" si="935"/>
        <v>0.62999999999999978</v>
      </c>
      <c r="HF151" s="55">
        <f t="shared" si="935"/>
        <v>0.60999999999999976</v>
      </c>
      <c r="HG151" s="55">
        <f t="shared" si="935"/>
        <v>0.58999999999999975</v>
      </c>
      <c r="HH151" s="55">
        <f t="shared" si="935"/>
        <v>0.56999999999999973</v>
      </c>
    </row>
    <row r="152" spans="1:216" x14ac:dyDescent="0.3">
      <c r="A152" s="2">
        <v>4</v>
      </c>
      <c r="C152" s="38" t="s">
        <v>47</v>
      </c>
      <c r="D152" s="42">
        <f>TRUNC(189+327,-1)</f>
        <v>510</v>
      </c>
      <c r="E152" s="71">
        <f>TRUNC(+D152*3.3058,-1)</f>
        <v>1680</v>
      </c>
      <c r="F152" s="2" t="s">
        <v>316</v>
      </c>
      <c r="H152" s="55">
        <f t="shared" si="509"/>
        <v>1848.0000000000002</v>
      </c>
      <c r="I152" s="55">
        <f t="shared" si="510"/>
        <v>1848.0000000000002</v>
      </c>
      <c r="J152" s="59">
        <f t="shared" si="511"/>
        <v>6109.1184000000012</v>
      </c>
      <c r="K152" s="55">
        <f t="shared" si="940"/>
        <v>1792.5600000000002</v>
      </c>
      <c r="L152" s="59">
        <f t="shared" si="941"/>
        <v>5925.8448480000006</v>
      </c>
      <c r="M152" s="55">
        <f t="shared" si="942"/>
        <v>1755.6000000000001</v>
      </c>
      <c r="N152" s="59">
        <f t="shared" si="943"/>
        <v>5803.6624800000009</v>
      </c>
      <c r="O152" s="55">
        <f t="shared" si="944"/>
        <v>1718.6400000000003</v>
      </c>
      <c r="P152" s="59">
        <f t="shared" si="945"/>
        <v>5681.4801120000011</v>
      </c>
      <c r="Q152" s="57">
        <f t="shared" si="946"/>
        <v>1681.6800000000003</v>
      </c>
      <c r="R152" s="59">
        <f t="shared" si="947"/>
        <v>5559.2977440000013</v>
      </c>
      <c r="S152" s="55">
        <f t="shared" si="948"/>
        <v>1644.7200000000003</v>
      </c>
      <c r="T152" s="59">
        <f t="shared" si="949"/>
        <v>5437.1153760000007</v>
      </c>
      <c r="U152" s="57">
        <f t="shared" si="950"/>
        <v>1607.7600000000002</v>
      </c>
      <c r="V152" s="59">
        <f t="shared" si="951"/>
        <v>5314.9330080000009</v>
      </c>
      <c r="W152" s="60">
        <f t="shared" si="952"/>
        <v>1570.8000000000002</v>
      </c>
      <c r="X152" s="59">
        <f t="shared" si="953"/>
        <v>5192.7506400000011</v>
      </c>
      <c r="Y152" s="57">
        <f t="shared" si="954"/>
        <v>1533.8400000000001</v>
      </c>
      <c r="Z152" s="59">
        <f t="shared" si="955"/>
        <v>5070.5682720000004</v>
      </c>
      <c r="AA152" s="55">
        <f t="shared" si="956"/>
        <v>1496.88</v>
      </c>
      <c r="AB152" s="59">
        <f t="shared" si="957"/>
        <v>4948.3859040000007</v>
      </c>
      <c r="AC152" s="60">
        <f t="shared" si="958"/>
        <v>1459.92</v>
      </c>
      <c r="AD152" s="59">
        <f t="shared" si="959"/>
        <v>4826.203536</v>
      </c>
      <c r="AE152" s="60">
        <f t="shared" si="960"/>
        <v>1422.96</v>
      </c>
      <c r="AF152" s="59">
        <f t="shared" si="961"/>
        <v>4704.0211680000002</v>
      </c>
      <c r="AG152" s="60">
        <f t="shared" si="962"/>
        <v>1386</v>
      </c>
      <c r="AH152" s="59">
        <f t="shared" si="963"/>
        <v>4581.8388000000004</v>
      </c>
      <c r="AI152" s="55">
        <f t="shared" si="964"/>
        <v>1349.04</v>
      </c>
      <c r="AJ152" s="59">
        <f t="shared" si="965"/>
        <v>4459.6564319999998</v>
      </c>
      <c r="AK152" s="60">
        <f t="shared" si="966"/>
        <v>1312.08</v>
      </c>
      <c r="AL152" s="59">
        <f t="shared" si="967"/>
        <v>4337.474064</v>
      </c>
      <c r="AM152" s="60">
        <f t="shared" si="968"/>
        <v>1275.1199999999999</v>
      </c>
      <c r="AN152" s="59">
        <f t="shared" si="969"/>
        <v>4215.2916959999993</v>
      </c>
      <c r="AO152" s="60">
        <f t="shared" si="970"/>
        <v>1238.1599999999999</v>
      </c>
      <c r="AP152" s="59">
        <f t="shared" si="971"/>
        <v>4093.1093279999996</v>
      </c>
      <c r="AQ152" s="60">
        <f t="shared" si="972"/>
        <v>1201.1999999999998</v>
      </c>
      <c r="AR152" s="59">
        <f t="shared" si="973"/>
        <v>3970.9269599999993</v>
      </c>
      <c r="AS152" s="55">
        <f t="shared" si="974"/>
        <v>1164.2399999999998</v>
      </c>
      <c r="AT152" s="59">
        <f t="shared" si="975"/>
        <v>3848.7445919999996</v>
      </c>
      <c r="AU152" s="60">
        <f t="shared" si="976"/>
        <v>1127.2799999999997</v>
      </c>
      <c r="AV152" s="59">
        <f t="shared" si="977"/>
        <v>3726.5622239999993</v>
      </c>
      <c r="AW152" s="60">
        <f t="shared" si="978"/>
        <v>1090.3199999999997</v>
      </c>
      <c r="AX152" s="59">
        <f t="shared" si="979"/>
        <v>3604.3798559999991</v>
      </c>
      <c r="AY152" s="55">
        <f t="shared" si="980"/>
        <v>1053.3599999999997</v>
      </c>
      <c r="AZ152" s="59">
        <f t="shared" si="981"/>
        <v>3482.1974879999989</v>
      </c>
      <c r="BC152" s="55">
        <v>1</v>
      </c>
      <c r="BD152" s="55">
        <v>0.97</v>
      </c>
      <c r="BE152" s="55">
        <v>0.95</v>
      </c>
      <c r="BF152" s="55">
        <v>0.93</v>
      </c>
      <c r="BG152" s="55">
        <f t="shared" si="982"/>
        <v>0.91</v>
      </c>
      <c r="BH152" s="55">
        <f t="shared" si="982"/>
        <v>0.89</v>
      </c>
      <c r="BI152" s="55">
        <f t="shared" si="982"/>
        <v>0.87</v>
      </c>
      <c r="BJ152" s="55">
        <f t="shared" si="982"/>
        <v>0.85</v>
      </c>
      <c r="BK152" s="55">
        <f t="shared" si="982"/>
        <v>0.83</v>
      </c>
      <c r="BL152" s="55">
        <f t="shared" si="982"/>
        <v>0.80999999999999994</v>
      </c>
      <c r="BM152" s="55">
        <f t="shared" si="982"/>
        <v>0.78999999999999992</v>
      </c>
      <c r="BN152" s="55">
        <f t="shared" si="982"/>
        <v>0.76999999999999991</v>
      </c>
      <c r="BO152" s="55">
        <f t="shared" si="982"/>
        <v>0.74999999999999989</v>
      </c>
      <c r="BP152" s="55">
        <f t="shared" si="982"/>
        <v>0.72999999999999987</v>
      </c>
      <c r="BQ152" s="55">
        <f t="shared" si="982"/>
        <v>0.70999999999999985</v>
      </c>
      <c r="BR152" s="55">
        <f t="shared" si="982"/>
        <v>0.68999999999999984</v>
      </c>
      <c r="BS152" s="55">
        <f t="shared" si="982"/>
        <v>0.66999999999999982</v>
      </c>
      <c r="BT152" s="55">
        <f t="shared" si="982"/>
        <v>0.6499999999999998</v>
      </c>
      <c r="BU152" s="55">
        <f t="shared" si="982"/>
        <v>0.62999999999999978</v>
      </c>
      <c r="BV152" s="55">
        <f t="shared" si="982"/>
        <v>0.60999999999999976</v>
      </c>
      <c r="BW152" s="55">
        <f t="shared" si="982"/>
        <v>0.58999999999999975</v>
      </c>
      <c r="BX152" s="55">
        <f t="shared" si="982"/>
        <v>0.56999999999999973</v>
      </c>
      <c r="BZ152" s="55">
        <f t="shared" si="512"/>
        <v>1681.6800000000003</v>
      </c>
      <c r="CA152" s="55">
        <f t="shared" si="513"/>
        <v>1681.6800000000003</v>
      </c>
      <c r="CB152" s="59">
        <f t="shared" si="983"/>
        <v>5559.2977440000013</v>
      </c>
      <c r="CC152" s="55">
        <f t="shared" si="984"/>
        <v>1631.2296000000003</v>
      </c>
      <c r="CD152" s="59">
        <f t="shared" si="985"/>
        <v>5392.5188116800009</v>
      </c>
      <c r="CE152" s="55">
        <f t="shared" si="986"/>
        <v>1597.5960000000002</v>
      </c>
      <c r="CF152" s="59">
        <f t="shared" si="987"/>
        <v>5281.3328568000006</v>
      </c>
      <c r="CG152" s="55">
        <f t="shared" si="988"/>
        <v>1563.9624000000003</v>
      </c>
      <c r="CH152" s="59">
        <f t="shared" si="989"/>
        <v>5170.1469019200013</v>
      </c>
      <c r="CI152" s="57">
        <f t="shared" si="990"/>
        <v>1530.3288000000002</v>
      </c>
      <c r="CJ152" s="59">
        <f t="shared" si="991"/>
        <v>5058.960947040001</v>
      </c>
      <c r="CK152" s="55">
        <f t="shared" si="992"/>
        <v>1496.6952000000003</v>
      </c>
      <c r="CL152" s="59">
        <f t="shared" si="993"/>
        <v>4947.7749921600016</v>
      </c>
      <c r="CM152" s="57">
        <f t="shared" si="994"/>
        <v>1463.0616000000002</v>
      </c>
      <c r="CN152" s="59">
        <f t="shared" si="995"/>
        <v>4836.5890372800004</v>
      </c>
      <c r="CO152" s="60">
        <f t="shared" si="996"/>
        <v>1429.4280000000001</v>
      </c>
      <c r="CP152" s="59">
        <f t="shared" si="997"/>
        <v>4725.4030824000001</v>
      </c>
      <c r="CQ152" s="57">
        <f t="shared" si="998"/>
        <v>1395.7944000000002</v>
      </c>
      <c r="CR152" s="59">
        <f t="shared" si="999"/>
        <v>4614.2171275200008</v>
      </c>
      <c r="CS152" s="55">
        <f t="shared" si="1000"/>
        <v>1362.1608000000001</v>
      </c>
      <c r="CT152" s="59">
        <f t="shared" si="1001"/>
        <v>4503.0311726400005</v>
      </c>
      <c r="CU152" s="60">
        <f t="shared" si="1002"/>
        <v>1328.5272</v>
      </c>
      <c r="CV152" s="59">
        <f t="shared" si="1003"/>
        <v>4391.8452177600002</v>
      </c>
      <c r="CW152" s="60">
        <f t="shared" si="1004"/>
        <v>1294.8936000000001</v>
      </c>
      <c r="CX152" s="59">
        <f t="shared" si="1005"/>
        <v>4280.6592628800008</v>
      </c>
      <c r="CY152" s="60">
        <f t="shared" si="1006"/>
        <v>1261.26</v>
      </c>
      <c r="CZ152" s="59">
        <f t="shared" si="1007"/>
        <v>4169.4733079999996</v>
      </c>
      <c r="DA152" s="55">
        <f t="shared" si="1008"/>
        <v>1227.6264000000001</v>
      </c>
      <c r="DB152" s="59">
        <f t="shared" si="1009"/>
        <v>4058.2873531200003</v>
      </c>
      <c r="DC152" s="60">
        <f t="shared" si="1010"/>
        <v>1193.9928</v>
      </c>
      <c r="DD152" s="59">
        <f t="shared" si="1011"/>
        <v>3947.10139824</v>
      </c>
      <c r="DE152" s="60">
        <f t="shared" si="1012"/>
        <v>1160.3591999999999</v>
      </c>
      <c r="DF152" s="59">
        <f t="shared" si="1013"/>
        <v>3835.9154433599997</v>
      </c>
      <c r="DG152" s="60">
        <f t="shared" si="1014"/>
        <v>1126.7256</v>
      </c>
      <c r="DH152" s="59">
        <f t="shared" si="1015"/>
        <v>3724.7294884799999</v>
      </c>
      <c r="DI152" s="60">
        <f t="shared" si="1016"/>
        <v>1093.0919999999999</v>
      </c>
      <c r="DJ152" s="59">
        <f t="shared" si="1017"/>
        <v>3613.5435335999996</v>
      </c>
      <c r="DK152" s="55">
        <f t="shared" si="1018"/>
        <v>1059.4583999999998</v>
      </c>
      <c r="DL152" s="59">
        <f t="shared" si="1019"/>
        <v>3502.3575787199993</v>
      </c>
      <c r="DM152" s="60">
        <f t="shared" si="1020"/>
        <v>1025.8247999999999</v>
      </c>
      <c r="DN152" s="59">
        <f t="shared" si="1021"/>
        <v>3391.1716238399995</v>
      </c>
      <c r="DO152" s="60">
        <f t="shared" si="1022"/>
        <v>992.19119999999975</v>
      </c>
      <c r="DP152" s="59">
        <f t="shared" si="1023"/>
        <v>3279.9856689599992</v>
      </c>
      <c r="DQ152" s="55">
        <f t="shared" si="1024"/>
        <v>958.55759999999975</v>
      </c>
      <c r="DR152" s="59">
        <f t="shared" si="1025"/>
        <v>3168.7997140799994</v>
      </c>
      <c r="DU152" s="55">
        <v>1</v>
      </c>
      <c r="DV152" s="55">
        <v>0.97</v>
      </c>
      <c r="DW152" s="55">
        <v>0.95</v>
      </c>
      <c r="DX152" s="55">
        <v>0.93</v>
      </c>
      <c r="DY152" s="55">
        <f t="shared" si="934"/>
        <v>0.91</v>
      </c>
      <c r="DZ152" s="55">
        <f t="shared" si="934"/>
        <v>0.89</v>
      </c>
      <c r="EA152" s="55">
        <f t="shared" si="934"/>
        <v>0.87</v>
      </c>
      <c r="EB152" s="55">
        <f t="shared" si="934"/>
        <v>0.85</v>
      </c>
      <c r="EC152" s="55">
        <f t="shared" si="934"/>
        <v>0.83</v>
      </c>
      <c r="ED152" s="55">
        <f t="shared" si="934"/>
        <v>0.80999999999999994</v>
      </c>
      <c r="EE152" s="55">
        <f t="shared" si="934"/>
        <v>0.78999999999999992</v>
      </c>
      <c r="EF152" s="55">
        <f t="shared" si="934"/>
        <v>0.76999999999999991</v>
      </c>
      <c r="EG152" s="55">
        <f t="shared" si="934"/>
        <v>0.74999999999999989</v>
      </c>
      <c r="EH152" s="55">
        <f t="shared" si="934"/>
        <v>0.72999999999999987</v>
      </c>
      <c r="EI152" s="55">
        <f t="shared" si="934"/>
        <v>0.70999999999999985</v>
      </c>
      <c r="EJ152" s="55">
        <f t="shared" si="934"/>
        <v>0.68999999999999984</v>
      </c>
      <c r="EK152" s="55">
        <f t="shared" si="934"/>
        <v>0.66999999999999982</v>
      </c>
      <c r="EL152" s="55">
        <f t="shared" si="934"/>
        <v>0.6499999999999998</v>
      </c>
      <c r="EM152" s="55">
        <f t="shared" si="934"/>
        <v>0.62999999999999978</v>
      </c>
      <c r="EN152" s="55">
        <f t="shared" si="934"/>
        <v>0.60999999999999976</v>
      </c>
      <c r="EO152" s="55">
        <f t="shared" si="934"/>
        <v>0.58999999999999975</v>
      </c>
      <c r="EP152" s="55">
        <f t="shared" si="934"/>
        <v>0.56999999999999973</v>
      </c>
      <c r="ER152" s="55">
        <f t="shared" si="652"/>
        <v>1530.3288000000002</v>
      </c>
      <c r="ES152" s="55">
        <f t="shared" si="514"/>
        <v>1530.3288000000002</v>
      </c>
      <c r="ET152" s="59">
        <f t="shared" si="1026"/>
        <v>5058.960947040001</v>
      </c>
      <c r="EU152" s="55">
        <f t="shared" si="1027"/>
        <v>1484.4189360000003</v>
      </c>
      <c r="EV152" s="59">
        <f t="shared" si="1028"/>
        <v>4907.1921186288009</v>
      </c>
      <c r="EW152" s="55">
        <f t="shared" si="1029"/>
        <v>1453.8123600000001</v>
      </c>
      <c r="EX152" s="59">
        <f t="shared" si="1030"/>
        <v>4806.0128996880003</v>
      </c>
      <c r="EY152" s="55">
        <f t="shared" si="1031"/>
        <v>1423.2057840000002</v>
      </c>
      <c r="EZ152" s="59">
        <f t="shared" si="1032"/>
        <v>4704.8336807472006</v>
      </c>
      <c r="FA152" s="57">
        <f t="shared" si="1033"/>
        <v>1392.5992080000003</v>
      </c>
      <c r="FB152" s="59">
        <f t="shared" si="1034"/>
        <v>4603.6544618064008</v>
      </c>
      <c r="FC152" s="55">
        <f t="shared" si="1035"/>
        <v>1361.9926320000002</v>
      </c>
      <c r="FD152" s="59">
        <f t="shared" si="1036"/>
        <v>4502.4752428656011</v>
      </c>
      <c r="FE152" s="57">
        <f t="shared" si="1037"/>
        <v>1331.3860560000003</v>
      </c>
      <c r="FF152" s="59">
        <f t="shared" si="1038"/>
        <v>4401.2960239248014</v>
      </c>
      <c r="FG152" s="60">
        <f t="shared" si="1039"/>
        <v>1300.7794800000001</v>
      </c>
      <c r="FH152" s="59">
        <f t="shared" si="1040"/>
        <v>4300.1168049840007</v>
      </c>
      <c r="FI152" s="57">
        <f t="shared" si="1041"/>
        <v>1270.172904</v>
      </c>
      <c r="FJ152" s="59">
        <f t="shared" si="1042"/>
        <v>4198.9375860432001</v>
      </c>
      <c r="FK152" s="55">
        <f t="shared" si="1043"/>
        <v>1239.5663280000001</v>
      </c>
      <c r="FL152" s="59">
        <f t="shared" si="1044"/>
        <v>4097.7583671024004</v>
      </c>
      <c r="FM152" s="60">
        <f t="shared" si="1045"/>
        <v>1208.959752</v>
      </c>
      <c r="FN152" s="59">
        <f t="shared" si="1046"/>
        <v>3996.5791481616002</v>
      </c>
      <c r="FO152" s="60">
        <f t="shared" si="1047"/>
        <v>1178.3531760000001</v>
      </c>
      <c r="FP152" s="59">
        <f t="shared" si="1048"/>
        <v>3895.3999292208005</v>
      </c>
      <c r="FQ152" s="60">
        <f t="shared" si="1049"/>
        <v>1147.7465999999999</v>
      </c>
      <c r="FR152" s="59">
        <f t="shared" si="1050"/>
        <v>3794.2207102799998</v>
      </c>
      <c r="FS152" s="55">
        <f t="shared" si="1051"/>
        <v>1117.140024</v>
      </c>
      <c r="FT152" s="59">
        <f t="shared" si="1052"/>
        <v>3693.0414913392001</v>
      </c>
      <c r="FU152" s="60">
        <f t="shared" si="1053"/>
        <v>1086.5334479999999</v>
      </c>
      <c r="FV152" s="59">
        <f t="shared" si="1054"/>
        <v>3591.8622723983999</v>
      </c>
      <c r="FW152" s="60">
        <f t="shared" si="1055"/>
        <v>1055.926872</v>
      </c>
      <c r="FX152" s="59">
        <f t="shared" si="1056"/>
        <v>3490.6830534576002</v>
      </c>
      <c r="FY152" s="60">
        <f t="shared" si="1057"/>
        <v>1025.3202959999999</v>
      </c>
      <c r="FZ152" s="59">
        <f t="shared" si="1058"/>
        <v>3389.5038345167995</v>
      </c>
      <c r="GA152" s="60">
        <f t="shared" si="1059"/>
        <v>994.71371999999985</v>
      </c>
      <c r="GB152" s="59">
        <f t="shared" si="1060"/>
        <v>3288.3246155759994</v>
      </c>
      <c r="GC152" s="55">
        <f t="shared" si="1061"/>
        <v>964.10714399999983</v>
      </c>
      <c r="GD152" s="59">
        <f t="shared" si="1062"/>
        <v>3187.1453966351996</v>
      </c>
      <c r="GE152" s="60">
        <f t="shared" si="1063"/>
        <v>933.50056799999982</v>
      </c>
      <c r="GF152" s="59">
        <f t="shared" si="1064"/>
        <v>3085.9661776943994</v>
      </c>
      <c r="GG152" s="60">
        <f t="shared" si="1065"/>
        <v>902.8939919999998</v>
      </c>
      <c r="GH152" s="59">
        <f t="shared" si="1066"/>
        <v>2984.7869587535993</v>
      </c>
      <c r="GI152" s="55">
        <f t="shared" si="1067"/>
        <v>872.28741599999967</v>
      </c>
      <c r="GJ152" s="59">
        <f t="shared" si="1068"/>
        <v>2883.6077398127991</v>
      </c>
      <c r="GK152" s="55"/>
      <c r="GL152" s="55"/>
      <c r="GM152" s="55">
        <v>1</v>
      </c>
      <c r="GN152" s="55">
        <v>0.97</v>
      </c>
      <c r="GO152" s="55">
        <v>0.95</v>
      </c>
      <c r="GP152" s="55">
        <v>0.93</v>
      </c>
      <c r="GQ152" s="55">
        <f t="shared" si="935"/>
        <v>0.91</v>
      </c>
      <c r="GR152" s="55">
        <f t="shared" si="935"/>
        <v>0.89</v>
      </c>
      <c r="GS152" s="55">
        <f t="shared" si="935"/>
        <v>0.87</v>
      </c>
      <c r="GT152" s="55">
        <f t="shared" si="935"/>
        <v>0.85</v>
      </c>
      <c r="GU152" s="55">
        <f t="shared" si="935"/>
        <v>0.83</v>
      </c>
      <c r="GV152" s="55">
        <f t="shared" si="935"/>
        <v>0.80999999999999994</v>
      </c>
      <c r="GW152" s="55">
        <f t="shared" si="935"/>
        <v>0.78999999999999992</v>
      </c>
      <c r="GX152" s="55">
        <f t="shared" si="935"/>
        <v>0.76999999999999991</v>
      </c>
      <c r="GY152" s="55">
        <f t="shared" si="935"/>
        <v>0.74999999999999989</v>
      </c>
      <c r="GZ152" s="55">
        <f t="shared" si="935"/>
        <v>0.72999999999999987</v>
      </c>
      <c r="HA152" s="55">
        <f t="shared" si="935"/>
        <v>0.70999999999999985</v>
      </c>
      <c r="HB152" s="55">
        <f t="shared" si="935"/>
        <v>0.68999999999999984</v>
      </c>
      <c r="HC152" s="55">
        <f t="shared" si="935"/>
        <v>0.66999999999999982</v>
      </c>
      <c r="HD152" s="55">
        <f t="shared" si="935"/>
        <v>0.6499999999999998</v>
      </c>
      <c r="HE152" s="55">
        <f t="shared" si="935"/>
        <v>0.62999999999999978</v>
      </c>
      <c r="HF152" s="55">
        <f t="shared" si="935"/>
        <v>0.60999999999999976</v>
      </c>
      <c r="HG152" s="55">
        <f t="shared" si="935"/>
        <v>0.58999999999999975</v>
      </c>
      <c r="HH152" s="55">
        <f t="shared" si="935"/>
        <v>0.56999999999999973</v>
      </c>
    </row>
    <row r="153" spans="1:216" ht="17.25" thickBot="1" x14ac:dyDescent="0.35">
      <c r="A153" s="2">
        <v>5</v>
      </c>
      <c r="C153" s="38" t="s">
        <v>149</v>
      </c>
      <c r="D153" s="43">
        <f>TRUNC(1099,-1)</f>
        <v>1090</v>
      </c>
      <c r="E153" s="72">
        <f>TRUNC(+D153*3.3058,-1)</f>
        <v>3600</v>
      </c>
      <c r="H153" s="55">
        <f t="shared" si="509"/>
        <v>3960.0000000000005</v>
      </c>
      <c r="I153" s="55">
        <f t="shared" si="510"/>
        <v>3960.0000000000005</v>
      </c>
      <c r="J153" s="59">
        <f t="shared" si="511"/>
        <v>13090.968000000003</v>
      </c>
      <c r="K153" s="55">
        <f t="shared" si="940"/>
        <v>3841.2000000000003</v>
      </c>
      <c r="L153" s="59">
        <f t="shared" si="941"/>
        <v>12698.238960000001</v>
      </c>
      <c r="M153" s="55">
        <f t="shared" si="942"/>
        <v>3762.0000000000005</v>
      </c>
      <c r="N153" s="59">
        <f t="shared" si="943"/>
        <v>12436.419600000001</v>
      </c>
      <c r="O153" s="55">
        <f t="shared" si="944"/>
        <v>3682.8000000000006</v>
      </c>
      <c r="P153" s="59">
        <f t="shared" si="945"/>
        <v>12174.600240000002</v>
      </c>
      <c r="Q153" s="57">
        <f t="shared" si="946"/>
        <v>3603.6000000000004</v>
      </c>
      <c r="R153" s="59">
        <f t="shared" si="947"/>
        <v>11912.780880000002</v>
      </c>
      <c r="S153" s="55">
        <f t="shared" si="948"/>
        <v>3524.4000000000005</v>
      </c>
      <c r="T153" s="59">
        <f t="shared" si="949"/>
        <v>11650.961520000003</v>
      </c>
      <c r="U153" s="57">
        <f t="shared" si="950"/>
        <v>3445.2000000000003</v>
      </c>
      <c r="V153" s="59">
        <f t="shared" si="951"/>
        <v>11389.142160000001</v>
      </c>
      <c r="W153" s="60">
        <f t="shared" si="952"/>
        <v>3366.0000000000005</v>
      </c>
      <c r="X153" s="59">
        <f t="shared" si="953"/>
        <v>11127.322800000002</v>
      </c>
      <c r="Y153" s="57">
        <f t="shared" si="954"/>
        <v>3286.8</v>
      </c>
      <c r="Z153" s="59">
        <f t="shared" si="955"/>
        <v>10865.50344</v>
      </c>
      <c r="AA153" s="55">
        <f t="shared" si="956"/>
        <v>3207.6000000000004</v>
      </c>
      <c r="AB153" s="59">
        <f t="shared" si="957"/>
        <v>10603.684080000001</v>
      </c>
      <c r="AC153" s="60">
        <f t="shared" si="958"/>
        <v>3128.4</v>
      </c>
      <c r="AD153" s="59">
        <f t="shared" si="959"/>
        <v>10341.864720000001</v>
      </c>
      <c r="AE153" s="60">
        <f t="shared" si="960"/>
        <v>3049.2</v>
      </c>
      <c r="AF153" s="59">
        <f t="shared" si="961"/>
        <v>10080.04536</v>
      </c>
      <c r="AG153" s="60">
        <f t="shared" si="962"/>
        <v>2970</v>
      </c>
      <c r="AH153" s="59">
        <f t="shared" si="963"/>
        <v>9818.2260000000006</v>
      </c>
      <c r="AI153" s="55">
        <f t="shared" si="964"/>
        <v>2890.7999999999997</v>
      </c>
      <c r="AJ153" s="59">
        <f t="shared" si="965"/>
        <v>9556.4066399999992</v>
      </c>
      <c r="AK153" s="60">
        <f t="shared" si="966"/>
        <v>2811.6</v>
      </c>
      <c r="AL153" s="59">
        <f t="shared" si="967"/>
        <v>9294.5872799999997</v>
      </c>
      <c r="AM153" s="60">
        <f t="shared" si="968"/>
        <v>2732.3999999999996</v>
      </c>
      <c r="AN153" s="59">
        <f t="shared" si="969"/>
        <v>9032.7679199999984</v>
      </c>
      <c r="AO153" s="60">
        <f t="shared" si="970"/>
        <v>2653.1999999999994</v>
      </c>
      <c r="AP153" s="59">
        <f t="shared" si="971"/>
        <v>8770.9485599999989</v>
      </c>
      <c r="AQ153" s="60">
        <f t="shared" si="972"/>
        <v>2573.9999999999995</v>
      </c>
      <c r="AR153" s="59">
        <f t="shared" si="973"/>
        <v>8509.1291999999994</v>
      </c>
      <c r="AS153" s="55">
        <f t="shared" si="974"/>
        <v>2494.7999999999993</v>
      </c>
      <c r="AT153" s="59">
        <f t="shared" si="975"/>
        <v>8247.3098399999981</v>
      </c>
      <c r="AU153" s="60">
        <f t="shared" si="976"/>
        <v>2415.5999999999995</v>
      </c>
      <c r="AV153" s="59">
        <f t="shared" si="977"/>
        <v>7985.4904799999986</v>
      </c>
      <c r="AW153" s="60">
        <f t="shared" si="978"/>
        <v>2336.3999999999992</v>
      </c>
      <c r="AX153" s="59">
        <f t="shared" si="979"/>
        <v>7723.6711199999972</v>
      </c>
      <c r="AY153" s="55">
        <f t="shared" si="980"/>
        <v>2257.1999999999994</v>
      </c>
      <c r="AZ153" s="59">
        <f t="shared" si="981"/>
        <v>7461.8517599999977</v>
      </c>
      <c r="BC153" s="55">
        <v>1</v>
      </c>
      <c r="BD153" s="55">
        <v>0.97</v>
      </c>
      <c r="BE153" s="55">
        <v>0.95</v>
      </c>
      <c r="BF153" s="55">
        <v>0.93</v>
      </c>
      <c r="BG153" s="55">
        <f t="shared" si="982"/>
        <v>0.91</v>
      </c>
      <c r="BH153" s="55">
        <f t="shared" si="982"/>
        <v>0.89</v>
      </c>
      <c r="BI153" s="55">
        <f t="shared" si="982"/>
        <v>0.87</v>
      </c>
      <c r="BJ153" s="55">
        <f t="shared" si="982"/>
        <v>0.85</v>
      </c>
      <c r="BK153" s="55">
        <f t="shared" si="982"/>
        <v>0.83</v>
      </c>
      <c r="BL153" s="55">
        <f t="shared" si="982"/>
        <v>0.80999999999999994</v>
      </c>
      <c r="BM153" s="55">
        <f t="shared" si="982"/>
        <v>0.78999999999999992</v>
      </c>
      <c r="BN153" s="55">
        <f t="shared" si="982"/>
        <v>0.76999999999999991</v>
      </c>
      <c r="BO153" s="55">
        <f t="shared" si="982"/>
        <v>0.74999999999999989</v>
      </c>
      <c r="BP153" s="55">
        <f t="shared" si="982"/>
        <v>0.72999999999999987</v>
      </c>
      <c r="BQ153" s="55">
        <f t="shared" si="982"/>
        <v>0.70999999999999985</v>
      </c>
      <c r="BR153" s="55">
        <f t="shared" si="982"/>
        <v>0.68999999999999984</v>
      </c>
      <c r="BS153" s="55">
        <f t="shared" si="982"/>
        <v>0.66999999999999982</v>
      </c>
      <c r="BT153" s="55">
        <f t="shared" si="982"/>
        <v>0.6499999999999998</v>
      </c>
      <c r="BU153" s="55">
        <f t="shared" si="982"/>
        <v>0.62999999999999978</v>
      </c>
      <c r="BV153" s="55">
        <f t="shared" si="982"/>
        <v>0.60999999999999976</v>
      </c>
      <c r="BW153" s="55">
        <f t="shared" si="982"/>
        <v>0.58999999999999975</v>
      </c>
      <c r="BX153" s="55">
        <f t="shared" si="982"/>
        <v>0.56999999999999973</v>
      </c>
      <c r="BZ153" s="55">
        <f t="shared" si="512"/>
        <v>3603.6000000000004</v>
      </c>
      <c r="CA153" s="55">
        <f t="shared" si="513"/>
        <v>3603.6000000000004</v>
      </c>
      <c r="CB153" s="59">
        <f t="shared" si="983"/>
        <v>11912.780880000002</v>
      </c>
      <c r="CC153" s="55">
        <f t="shared" si="984"/>
        <v>3495.4920000000002</v>
      </c>
      <c r="CD153" s="59">
        <f t="shared" si="985"/>
        <v>11555.397453600001</v>
      </c>
      <c r="CE153" s="55">
        <f t="shared" si="986"/>
        <v>3423.42</v>
      </c>
      <c r="CF153" s="59">
        <f t="shared" si="987"/>
        <v>11317.141836000001</v>
      </c>
      <c r="CG153" s="55">
        <f t="shared" si="988"/>
        <v>3351.3480000000004</v>
      </c>
      <c r="CH153" s="59">
        <f t="shared" si="989"/>
        <v>11078.886218400001</v>
      </c>
      <c r="CI153" s="57">
        <f t="shared" si="990"/>
        <v>3279.2760000000003</v>
      </c>
      <c r="CJ153" s="59">
        <f t="shared" si="991"/>
        <v>10840.630600800001</v>
      </c>
      <c r="CK153" s="55">
        <f t="shared" si="992"/>
        <v>3207.2040000000002</v>
      </c>
      <c r="CL153" s="59">
        <f t="shared" si="993"/>
        <v>10602.374983200001</v>
      </c>
      <c r="CM153" s="57">
        <f t="shared" si="994"/>
        <v>3135.1320000000005</v>
      </c>
      <c r="CN153" s="59">
        <f t="shared" si="995"/>
        <v>10364.119365600001</v>
      </c>
      <c r="CO153" s="60">
        <f t="shared" si="996"/>
        <v>3063.0600000000004</v>
      </c>
      <c r="CP153" s="59">
        <f t="shared" si="997"/>
        <v>10125.863748000002</v>
      </c>
      <c r="CQ153" s="57">
        <f t="shared" si="998"/>
        <v>2990.9880000000003</v>
      </c>
      <c r="CR153" s="59">
        <f t="shared" si="999"/>
        <v>9887.6081304000018</v>
      </c>
      <c r="CS153" s="55">
        <f t="shared" si="1000"/>
        <v>2918.9160000000002</v>
      </c>
      <c r="CT153" s="59">
        <f t="shared" si="1001"/>
        <v>9649.3525128000001</v>
      </c>
      <c r="CU153" s="60">
        <f t="shared" si="1002"/>
        <v>2846.8440000000001</v>
      </c>
      <c r="CV153" s="59">
        <f t="shared" si="1003"/>
        <v>9411.0968952000003</v>
      </c>
      <c r="CW153" s="60">
        <f t="shared" si="1004"/>
        <v>2774.7719999999999</v>
      </c>
      <c r="CX153" s="59">
        <f t="shared" si="1005"/>
        <v>9172.8412776000005</v>
      </c>
      <c r="CY153" s="60">
        <f t="shared" si="1006"/>
        <v>2702.7</v>
      </c>
      <c r="CZ153" s="59">
        <f t="shared" si="1007"/>
        <v>8934.5856599999988</v>
      </c>
      <c r="DA153" s="55">
        <f t="shared" si="1008"/>
        <v>2630.6279999999997</v>
      </c>
      <c r="DB153" s="59">
        <f t="shared" si="1009"/>
        <v>8696.330042399999</v>
      </c>
      <c r="DC153" s="60">
        <f t="shared" si="1010"/>
        <v>2558.5559999999996</v>
      </c>
      <c r="DD153" s="59">
        <f t="shared" si="1011"/>
        <v>8458.0744247999992</v>
      </c>
      <c r="DE153" s="60">
        <f t="shared" si="1012"/>
        <v>2486.4839999999995</v>
      </c>
      <c r="DF153" s="59">
        <f t="shared" si="1013"/>
        <v>8219.8188071999975</v>
      </c>
      <c r="DG153" s="60">
        <f t="shared" si="1014"/>
        <v>2414.4119999999998</v>
      </c>
      <c r="DH153" s="59">
        <f t="shared" si="1015"/>
        <v>7981.5631895999995</v>
      </c>
      <c r="DI153" s="60">
        <f t="shared" si="1016"/>
        <v>2342.3399999999997</v>
      </c>
      <c r="DJ153" s="59">
        <f t="shared" si="1017"/>
        <v>7743.3075719999988</v>
      </c>
      <c r="DK153" s="55">
        <f t="shared" si="1018"/>
        <v>2270.2679999999996</v>
      </c>
      <c r="DL153" s="59">
        <f t="shared" si="1019"/>
        <v>7505.051954399999</v>
      </c>
      <c r="DM153" s="60">
        <f t="shared" si="1020"/>
        <v>2198.1959999999995</v>
      </c>
      <c r="DN153" s="59">
        <f t="shared" si="1021"/>
        <v>7266.7963367999982</v>
      </c>
      <c r="DO153" s="60">
        <f t="shared" si="1022"/>
        <v>2126.1239999999993</v>
      </c>
      <c r="DP153" s="59">
        <f t="shared" si="1023"/>
        <v>7028.5407191999984</v>
      </c>
      <c r="DQ153" s="55">
        <f t="shared" si="1024"/>
        <v>2054.0519999999992</v>
      </c>
      <c r="DR153" s="59">
        <f t="shared" si="1025"/>
        <v>6790.2851015999977</v>
      </c>
      <c r="DU153" s="55">
        <v>1</v>
      </c>
      <c r="DV153" s="55">
        <v>0.97</v>
      </c>
      <c r="DW153" s="55">
        <v>0.95</v>
      </c>
      <c r="DX153" s="55">
        <v>0.93</v>
      </c>
      <c r="DY153" s="55">
        <f t="shared" si="934"/>
        <v>0.91</v>
      </c>
      <c r="DZ153" s="55">
        <f t="shared" si="934"/>
        <v>0.89</v>
      </c>
      <c r="EA153" s="55">
        <f t="shared" si="934"/>
        <v>0.87</v>
      </c>
      <c r="EB153" s="55">
        <f t="shared" si="934"/>
        <v>0.85</v>
      </c>
      <c r="EC153" s="55">
        <f t="shared" si="934"/>
        <v>0.83</v>
      </c>
      <c r="ED153" s="55">
        <f t="shared" si="934"/>
        <v>0.80999999999999994</v>
      </c>
      <c r="EE153" s="55">
        <f t="shared" si="934"/>
        <v>0.78999999999999992</v>
      </c>
      <c r="EF153" s="55">
        <f t="shared" si="934"/>
        <v>0.76999999999999991</v>
      </c>
      <c r="EG153" s="55">
        <f t="shared" si="934"/>
        <v>0.74999999999999989</v>
      </c>
      <c r="EH153" s="55">
        <f t="shared" si="934"/>
        <v>0.72999999999999987</v>
      </c>
      <c r="EI153" s="55">
        <f t="shared" si="934"/>
        <v>0.70999999999999985</v>
      </c>
      <c r="EJ153" s="55">
        <f t="shared" si="934"/>
        <v>0.68999999999999984</v>
      </c>
      <c r="EK153" s="55">
        <f t="shared" si="934"/>
        <v>0.66999999999999982</v>
      </c>
      <c r="EL153" s="55">
        <f t="shared" si="934"/>
        <v>0.6499999999999998</v>
      </c>
      <c r="EM153" s="55">
        <f t="shared" si="934"/>
        <v>0.62999999999999978</v>
      </c>
      <c r="EN153" s="55">
        <f t="shared" si="934"/>
        <v>0.60999999999999976</v>
      </c>
      <c r="EO153" s="55">
        <f t="shared" si="934"/>
        <v>0.58999999999999975</v>
      </c>
      <c r="EP153" s="55">
        <f t="shared" si="934"/>
        <v>0.56999999999999973</v>
      </c>
      <c r="ER153" s="55">
        <f t="shared" si="652"/>
        <v>3279.2760000000003</v>
      </c>
      <c r="ES153" s="55">
        <f t="shared" si="514"/>
        <v>3279.2760000000003</v>
      </c>
      <c r="ET153" s="59">
        <f t="shared" si="1026"/>
        <v>10840.630600800001</v>
      </c>
      <c r="EU153" s="55">
        <f t="shared" si="1027"/>
        <v>3180.8977200000004</v>
      </c>
      <c r="EV153" s="59">
        <f t="shared" si="1028"/>
        <v>10515.411682776001</v>
      </c>
      <c r="EW153" s="55">
        <f t="shared" si="1029"/>
        <v>3115.3122000000003</v>
      </c>
      <c r="EX153" s="59">
        <f t="shared" si="1030"/>
        <v>10298.599070760001</v>
      </c>
      <c r="EY153" s="55">
        <f t="shared" si="1031"/>
        <v>3049.7266800000002</v>
      </c>
      <c r="EZ153" s="59">
        <f t="shared" si="1032"/>
        <v>10081.786458744002</v>
      </c>
      <c r="FA153" s="57">
        <f t="shared" si="1033"/>
        <v>2984.1411600000006</v>
      </c>
      <c r="FB153" s="59">
        <f t="shared" si="1034"/>
        <v>9864.9738467280022</v>
      </c>
      <c r="FC153" s="55">
        <f t="shared" si="1035"/>
        <v>2918.5556400000005</v>
      </c>
      <c r="FD153" s="59">
        <f t="shared" si="1036"/>
        <v>9648.1612347120026</v>
      </c>
      <c r="FE153" s="57">
        <f t="shared" si="1037"/>
        <v>2852.9701200000004</v>
      </c>
      <c r="FF153" s="59">
        <f t="shared" si="1038"/>
        <v>9431.3486226960013</v>
      </c>
      <c r="FG153" s="60">
        <f t="shared" si="1039"/>
        <v>2787.3846000000003</v>
      </c>
      <c r="FH153" s="59">
        <f t="shared" si="1040"/>
        <v>9214.5360106800017</v>
      </c>
      <c r="FI153" s="57">
        <f t="shared" si="1041"/>
        <v>2721.7990800000002</v>
      </c>
      <c r="FJ153" s="59">
        <f t="shared" si="1042"/>
        <v>8997.7233986640003</v>
      </c>
      <c r="FK153" s="55">
        <f t="shared" si="1043"/>
        <v>2656.2135600000001</v>
      </c>
      <c r="FL153" s="59">
        <f t="shared" si="1044"/>
        <v>8780.9107866480008</v>
      </c>
      <c r="FM153" s="60">
        <f t="shared" si="1045"/>
        <v>2590.6280400000001</v>
      </c>
      <c r="FN153" s="59">
        <f t="shared" si="1046"/>
        <v>8564.0981746320012</v>
      </c>
      <c r="FO153" s="60">
        <f t="shared" si="1047"/>
        <v>2525.04252</v>
      </c>
      <c r="FP153" s="59">
        <f t="shared" si="1048"/>
        <v>8347.2855626159999</v>
      </c>
      <c r="FQ153" s="60">
        <f t="shared" si="1049"/>
        <v>2459.4569999999999</v>
      </c>
      <c r="FR153" s="59">
        <f t="shared" si="1050"/>
        <v>8130.4729505999994</v>
      </c>
      <c r="FS153" s="55">
        <f t="shared" si="1051"/>
        <v>2393.8714799999998</v>
      </c>
      <c r="FT153" s="59">
        <f t="shared" si="1052"/>
        <v>7913.6603385839999</v>
      </c>
      <c r="FU153" s="60">
        <f t="shared" si="1053"/>
        <v>2328.2859599999997</v>
      </c>
      <c r="FV153" s="59">
        <f t="shared" si="1054"/>
        <v>7696.8477265679994</v>
      </c>
      <c r="FW153" s="60">
        <f t="shared" si="1055"/>
        <v>2262.7004399999996</v>
      </c>
      <c r="FX153" s="59">
        <f t="shared" si="1056"/>
        <v>7480.035114551999</v>
      </c>
      <c r="FY153" s="60">
        <f t="shared" si="1057"/>
        <v>2197.1149199999995</v>
      </c>
      <c r="FZ153" s="59">
        <f t="shared" si="1058"/>
        <v>7263.2225025359985</v>
      </c>
      <c r="GA153" s="60">
        <f t="shared" si="1059"/>
        <v>2131.5293999999994</v>
      </c>
      <c r="GB153" s="59">
        <f t="shared" si="1060"/>
        <v>7046.409890519998</v>
      </c>
      <c r="GC153" s="55">
        <f t="shared" si="1061"/>
        <v>2065.9438799999994</v>
      </c>
      <c r="GD153" s="59">
        <f t="shared" si="1062"/>
        <v>6829.5972785039976</v>
      </c>
      <c r="GE153" s="60">
        <f t="shared" si="1063"/>
        <v>2000.3583599999995</v>
      </c>
      <c r="GF153" s="59">
        <f t="shared" si="1064"/>
        <v>6612.784666487998</v>
      </c>
      <c r="GG153" s="60">
        <f t="shared" si="1065"/>
        <v>1934.7728399999994</v>
      </c>
      <c r="GH153" s="59">
        <f t="shared" si="1066"/>
        <v>6395.9720544719985</v>
      </c>
      <c r="GI153" s="55">
        <f t="shared" si="1067"/>
        <v>1869.1873199999993</v>
      </c>
      <c r="GJ153" s="59">
        <f t="shared" si="1068"/>
        <v>6179.159442455998</v>
      </c>
      <c r="GK153" s="55"/>
      <c r="GL153" s="55"/>
      <c r="GM153" s="55">
        <v>1</v>
      </c>
      <c r="GN153" s="55">
        <v>0.97</v>
      </c>
      <c r="GO153" s="55">
        <v>0.95</v>
      </c>
      <c r="GP153" s="55">
        <v>0.93</v>
      </c>
      <c r="GQ153" s="55">
        <f t="shared" si="935"/>
        <v>0.91</v>
      </c>
      <c r="GR153" s="55">
        <f t="shared" si="935"/>
        <v>0.89</v>
      </c>
      <c r="GS153" s="55">
        <f t="shared" si="935"/>
        <v>0.87</v>
      </c>
      <c r="GT153" s="55">
        <f t="shared" si="935"/>
        <v>0.85</v>
      </c>
      <c r="GU153" s="55">
        <f t="shared" si="935"/>
        <v>0.83</v>
      </c>
      <c r="GV153" s="55">
        <f t="shared" si="935"/>
        <v>0.80999999999999994</v>
      </c>
      <c r="GW153" s="55">
        <f t="shared" si="935"/>
        <v>0.78999999999999992</v>
      </c>
      <c r="GX153" s="55">
        <f t="shared" si="935"/>
        <v>0.76999999999999991</v>
      </c>
      <c r="GY153" s="55">
        <f t="shared" si="935"/>
        <v>0.74999999999999989</v>
      </c>
      <c r="GZ153" s="55">
        <f t="shared" si="935"/>
        <v>0.72999999999999987</v>
      </c>
      <c r="HA153" s="55">
        <f t="shared" si="935"/>
        <v>0.70999999999999985</v>
      </c>
      <c r="HB153" s="55">
        <f t="shared" si="935"/>
        <v>0.68999999999999984</v>
      </c>
      <c r="HC153" s="55">
        <f t="shared" si="935"/>
        <v>0.66999999999999982</v>
      </c>
      <c r="HD153" s="55">
        <f t="shared" si="935"/>
        <v>0.6499999999999998</v>
      </c>
      <c r="HE153" s="55">
        <f t="shared" si="935"/>
        <v>0.62999999999999978</v>
      </c>
      <c r="HF153" s="55">
        <f t="shared" si="935"/>
        <v>0.60999999999999976</v>
      </c>
      <c r="HG153" s="55">
        <f t="shared" si="935"/>
        <v>0.58999999999999975</v>
      </c>
      <c r="HH153" s="55">
        <f t="shared" si="935"/>
        <v>0.56999999999999973</v>
      </c>
    </row>
    <row r="154" spans="1:216" x14ac:dyDescent="0.3">
      <c r="A154" s="2">
        <v>6</v>
      </c>
      <c r="C154" s="27" t="s">
        <v>112</v>
      </c>
      <c r="D154" s="39">
        <f>SUM(D149:D153)</f>
        <v>39410</v>
      </c>
      <c r="E154" s="39">
        <f>SUM(E149:E153)</f>
        <v>130260</v>
      </c>
      <c r="H154" s="55">
        <f t="shared" ref="H154:H161" si="1069">+E154*1.1</f>
        <v>143286</v>
      </c>
      <c r="I154" s="55">
        <f t="shared" ref="I154:I161" si="1070">+H154</f>
        <v>143286</v>
      </c>
      <c r="J154" s="59">
        <f t="shared" ref="J154:J161" si="1071">+I154*3.3058</f>
        <v>473674.85879999999</v>
      </c>
      <c r="K154" s="55">
        <f t="shared" si="940"/>
        <v>138987.41999999998</v>
      </c>
      <c r="L154" s="59">
        <f t="shared" si="941"/>
        <v>459464.61303599994</v>
      </c>
      <c r="M154" s="55">
        <f t="shared" si="942"/>
        <v>136121.69999999998</v>
      </c>
      <c r="N154" s="59">
        <f t="shared" si="943"/>
        <v>449991.11585999996</v>
      </c>
      <c r="O154" s="55">
        <f t="shared" si="944"/>
        <v>133255.98000000001</v>
      </c>
      <c r="P154" s="59">
        <f t="shared" si="945"/>
        <v>440517.61868400004</v>
      </c>
      <c r="Q154" s="57">
        <f t="shared" si="946"/>
        <v>130390.26000000001</v>
      </c>
      <c r="R154" s="59">
        <f t="shared" si="947"/>
        <v>431044.12150800001</v>
      </c>
      <c r="S154" s="55">
        <f t="shared" si="948"/>
        <v>127524.54000000001</v>
      </c>
      <c r="T154" s="59">
        <f t="shared" si="949"/>
        <v>421570.62433200004</v>
      </c>
      <c r="U154" s="57">
        <f t="shared" si="950"/>
        <v>124658.81999999999</v>
      </c>
      <c r="V154" s="59">
        <f t="shared" si="951"/>
        <v>412097.127156</v>
      </c>
      <c r="W154" s="60">
        <f t="shared" si="952"/>
        <v>121793.09999999999</v>
      </c>
      <c r="X154" s="59">
        <f t="shared" si="953"/>
        <v>402623.62997999997</v>
      </c>
      <c r="Y154" s="57">
        <f t="shared" si="954"/>
        <v>118927.37999999999</v>
      </c>
      <c r="Z154" s="59">
        <f t="shared" si="955"/>
        <v>393150.13280399999</v>
      </c>
      <c r="AA154" s="55">
        <f t="shared" si="956"/>
        <v>116061.65999999999</v>
      </c>
      <c r="AB154" s="59">
        <f t="shared" si="957"/>
        <v>383676.63562799996</v>
      </c>
      <c r="AC154" s="60">
        <f t="shared" si="958"/>
        <v>113195.93999999999</v>
      </c>
      <c r="AD154" s="59">
        <f t="shared" si="959"/>
        <v>374203.13845199998</v>
      </c>
      <c r="AE154" s="60">
        <f t="shared" si="960"/>
        <v>110330.21999999999</v>
      </c>
      <c r="AF154" s="59">
        <f t="shared" si="961"/>
        <v>364729.64127599995</v>
      </c>
      <c r="AG154" s="60">
        <f t="shared" si="962"/>
        <v>107464.49999999999</v>
      </c>
      <c r="AH154" s="59">
        <f t="shared" si="963"/>
        <v>355256.14409999998</v>
      </c>
      <c r="AI154" s="55">
        <f t="shared" si="964"/>
        <v>104598.77999999998</v>
      </c>
      <c r="AJ154" s="59">
        <f t="shared" si="965"/>
        <v>345782.64692399994</v>
      </c>
      <c r="AK154" s="60">
        <f t="shared" si="966"/>
        <v>101733.05999999998</v>
      </c>
      <c r="AL154" s="59">
        <f t="shared" si="967"/>
        <v>336309.14974799997</v>
      </c>
      <c r="AM154" s="60">
        <f t="shared" si="968"/>
        <v>98867.339999999982</v>
      </c>
      <c r="AN154" s="59">
        <f t="shared" si="969"/>
        <v>326835.65257199993</v>
      </c>
      <c r="AO154" s="60">
        <f t="shared" si="970"/>
        <v>96001.619999999981</v>
      </c>
      <c r="AP154" s="59">
        <f t="shared" si="971"/>
        <v>317362.15539599996</v>
      </c>
      <c r="AQ154" s="60">
        <f t="shared" si="972"/>
        <v>93135.899999999965</v>
      </c>
      <c r="AR154" s="59">
        <f t="shared" si="973"/>
        <v>307888.65821999987</v>
      </c>
      <c r="AS154" s="55">
        <f t="shared" si="974"/>
        <v>90270.179999999964</v>
      </c>
      <c r="AT154" s="59">
        <f t="shared" si="975"/>
        <v>298415.16104399989</v>
      </c>
      <c r="AU154" s="60">
        <f t="shared" si="976"/>
        <v>87404.459999999963</v>
      </c>
      <c r="AV154" s="59">
        <f t="shared" si="977"/>
        <v>288941.66386799986</v>
      </c>
      <c r="AW154" s="60">
        <f t="shared" si="978"/>
        <v>84538.739999999962</v>
      </c>
      <c r="AX154" s="59">
        <f t="shared" si="979"/>
        <v>279468.16669199988</v>
      </c>
      <c r="AY154" s="55">
        <f t="shared" si="980"/>
        <v>81673.01999999996</v>
      </c>
      <c r="AZ154" s="59">
        <f t="shared" si="981"/>
        <v>269994.66951599985</v>
      </c>
      <c r="BC154" s="55">
        <v>1</v>
      </c>
      <c r="BD154" s="55">
        <v>0.97</v>
      </c>
      <c r="BE154" s="55">
        <v>0.95</v>
      </c>
      <c r="BF154" s="55">
        <v>0.93</v>
      </c>
      <c r="BG154" s="55">
        <f t="shared" si="982"/>
        <v>0.91</v>
      </c>
      <c r="BH154" s="55">
        <f t="shared" si="982"/>
        <v>0.89</v>
      </c>
      <c r="BI154" s="55">
        <f t="shared" si="982"/>
        <v>0.87</v>
      </c>
      <c r="BJ154" s="55">
        <f t="shared" si="982"/>
        <v>0.85</v>
      </c>
      <c r="BK154" s="55">
        <f t="shared" si="982"/>
        <v>0.83</v>
      </c>
      <c r="BL154" s="55">
        <f t="shared" si="982"/>
        <v>0.80999999999999994</v>
      </c>
      <c r="BM154" s="55">
        <f t="shared" si="982"/>
        <v>0.78999999999999992</v>
      </c>
      <c r="BN154" s="55">
        <f t="shared" si="982"/>
        <v>0.76999999999999991</v>
      </c>
      <c r="BO154" s="55">
        <f t="shared" si="982"/>
        <v>0.74999999999999989</v>
      </c>
      <c r="BP154" s="55">
        <f t="shared" si="982"/>
        <v>0.72999999999999987</v>
      </c>
      <c r="BQ154" s="55">
        <f t="shared" si="982"/>
        <v>0.70999999999999985</v>
      </c>
      <c r="BR154" s="55">
        <f t="shared" si="982"/>
        <v>0.68999999999999984</v>
      </c>
      <c r="BS154" s="55">
        <f t="shared" si="982"/>
        <v>0.66999999999999982</v>
      </c>
      <c r="BT154" s="55">
        <f t="shared" si="982"/>
        <v>0.6499999999999998</v>
      </c>
      <c r="BU154" s="55">
        <f t="shared" si="982"/>
        <v>0.62999999999999978</v>
      </c>
      <c r="BV154" s="55">
        <f t="shared" si="982"/>
        <v>0.60999999999999976</v>
      </c>
      <c r="BW154" s="55">
        <f t="shared" si="982"/>
        <v>0.58999999999999975</v>
      </c>
      <c r="BX154" s="55">
        <f t="shared" si="982"/>
        <v>0.56999999999999973</v>
      </c>
      <c r="BZ154" s="55">
        <f t="shared" ref="BZ154:BZ161" si="1072">+H154*0.91</f>
        <v>130390.26000000001</v>
      </c>
      <c r="CA154" s="55">
        <f t="shared" ref="CA154:CA161" si="1073">+BZ154</f>
        <v>130390.26000000001</v>
      </c>
      <c r="CB154" s="59">
        <f t="shared" si="983"/>
        <v>431044.12150800001</v>
      </c>
      <c r="CC154" s="55">
        <f t="shared" si="984"/>
        <v>126478.55220000001</v>
      </c>
      <c r="CD154" s="59">
        <f t="shared" si="985"/>
        <v>418112.79786276002</v>
      </c>
      <c r="CE154" s="55">
        <f t="shared" si="986"/>
        <v>123870.747</v>
      </c>
      <c r="CF154" s="59">
        <f t="shared" si="987"/>
        <v>409491.91543260001</v>
      </c>
      <c r="CG154" s="55">
        <f t="shared" si="988"/>
        <v>121262.94180000002</v>
      </c>
      <c r="CH154" s="59">
        <f t="shared" si="989"/>
        <v>400871.03300244006</v>
      </c>
      <c r="CI154" s="57">
        <f t="shared" si="990"/>
        <v>118655.13660000001</v>
      </c>
      <c r="CJ154" s="59">
        <f t="shared" si="991"/>
        <v>392250.15057228005</v>
      </c>
      <c r="CK154" s="55">
        <f t="shared" si="992"/>
        <v>116047.33140000001</v>
      </c>
      <c r="CL154" s="59">
        <f t="shared" si="993"/>
        <v>383629.26814212004</v>
      </c>
      <c r="CM154" s="57">
        <f t="shared" si="994"/>
        <v>113439.52620000001</v>
      </c>
      <c r="CN154" s="59">
        <f t="shared" si="995"/>
        <v>375008.38571196003</v>
      </c>
      <c r="CO154" s="60">
        <f t="shared" si="996"/>
        <v>110831.72100000001</v>
      </c>
      <c r="CP154" s="59">
        <f t="shared" si="997"/>
        <v>366387.50328180002</v>
      </c>
      <c r="CQ154" s="57">
        <f t="shared" si="998"/>
        <v>108223.9158</v>
      </c>
      <c r="CR154" s="59">
        <f t="shared" si="999"/>
        <v>357766.62085164001</v>
      </c>
      <c r="CS154" s="55">
        <f t="shared" si="1000"/>
        <v>105616.1106</v>
      </c>
      <c r="CT154" s="59">
        <f t="shared" si="1001"/>
        <v>349145.73842148</v>
      </c>
      <c r="CU154" s="60">
        <f t="shared" si="1002"/>
        <v>103008.3054</v>
      </c>
      <c r="CV154" s="59">
        <f t="shared" si="1003"/>
        <v>340524.85599131999</v>
      </c>
      <c r="CW154" s="60">
        <f t="shared" si="1004"/>
        <v>100400.50019999999</v>
      </c>
      <c r="CX154" s="59">
        <f t="shared" si="1005"/>
        <v>331903.97356115998</v>
      </c>
      <c r="CY154" s="60">
        <f t="shared" si="1006"/>
        <v>97792.694999999992</v>
      </c>
      <c r="CZ154" s="59">
        <f t="shared" si="1007"/>
        <v>323283.09113099996</v>
      </c>
      <c r="DA154" s="55">
        <f t="shared" si="1008"/>
        <v>95184.88979999999</v>
      </c>
      <c r="DB154" s="59">
        <f t="shared" si="1009"/>
        <v>314662.20870083995</v>
      </c>
      <c r="DC154" s="60">
        <f t="shared" si="1010"/>
        <v>92577.084599999987</v>
      </c>
      <c r="DD154" s="59">
        <f t="shared" si="1011"/>
        <v>306041.32627067994</v>
      </c>
      <c r="DE154" s="60">
        <f t="shared" si="1012"/>
        <v>89969.279399999985</v>
      </c>
      <c r="DF154" s="59">
        <f t="shared" si="1013"/>
        <v>297420.44384051993</v>
      </c>
      <c r="DG154" s="60">
        <f t="shared" si="1014"/>
        <v>87361.474199999982</v>
      </c>
      <c r="DH154" s="59">
        <f t="shared" si="1015"/>
        <v>288799.56141035992</v>
      </c>
      <c r="DI154" s="60">
        <f t="shared" si="1016"/>
        <v>84753.66899999998</v>
      </c>
      <c r="DJ154" s="59">
        <f t="shared" si="1017"/>
        <v>280178.67898019991</v>
      </c>
      <c r="DK154" s="55">
        <f t="shared" si="1018"/>
        <v>82145.863799999977</v>
      </c>
      <c r="DL154" s="59">
        <f t="shared" si="1019"/>
        <v>271557.79655003996</v>
      </c>
      <c r="DM154" s="60">
        <f t="shared" si="1020"/>
        <v>79538.058599999975</v>
      </c>
      <c r="DN154" s="59">
        <f t="shared" si="1021"/>
        <v>262936.91411987995</v>
      </c>
      <c r="DO154" s="60">
        <f t="shared" si="1022"/>
        <v>76930.253399999972</v>
      </c>
      <c r="DP154" s="59">
        <f t="shared" si="1023"/>
        <v>254316.03168971991</v>
      </c>
      <c r="DQ154" s="55">
        <f t="shared" si="1024"/>
        <v>74322.44819999997</v>
      </c>
      <c r="DR154" s="59">
        <f t="shared" si="1025"/>
        <v>245695.1492595599</v>
      </c>
      <c r="DU154" s="55">
        <v>1</v>
      </c>
      <c r="DV154" s="55">
        <v>0.97</v>
      </c>
      <c r="DW154" s="55">
        <v>0.95</v>
      </c>
      <c r="DX154" s="55">
        <v>0.93</v>
      </c>
      <c r="DY154" s="55">
        <f t="shared" si="934"/>
        <v>0.91</v>
      </c>
      <c r="DZ154" s="55">
        <f t="shared" si="934"/>
        <v>0.89</v>
      </c>
      <c r="EA154" s="55">
        <f t="shared" si="934"/>
        <v>0.87</v>
      </c>
      <c r="EB154" s="55">
        <f t="shared" si="934"/>
        <v>0.85</v>
      </c>
      <c r="EC154" s="55">
        <f t="shared" si="934"/>
        <v>0.83</v>
      </c>
      <c r="ED154" s="55">
        <f t="shared" si="934"/>
        <v>0.80999999999999994</v>
      </c>
      <c r="EE154" s="55">
        <f t="shared" si="934"/>
        <v>0.78999999999999992</v>
      </c>
      <c r="EF154" s="55">
        <f t="shared" si="934"/>
        <v>0.76999999999999991</v>
      </c>
      <c r="EG154" s="55">
        <f t="shared" si="934"/>
        <v>0.74999999999999989</v>
      </c>
      <c r="EH154" s="55">
        <f t="shared" si="934"/>
        <v>0.72999999999999987</v>
      </c>
      <c r="EI154" s="55">
        <f t="shared" si="934"/>
        <v>0.70999999999999985</v>
      </c>
      <c r="EJ154" s="55">
        <f t="shared" si="934"/>
        <v>0.68999999999999984</v>
      </c>
      <c r="EK154" s="55">
        <f t="shared" si="934"/>
        <v>0.66999999999999982</v>
      </c>
      <c r="EL154" s="55">
        <f t="shared" si="934"/>
        <v>0.6499999999999998</v>
      </c>
      <c r="EM154" s="55">
        <f t="shared" si="934"/>
        <v>0.62999999999999978</v>
      </c>
      <c r="EN154" s="55">
        <f t="shared" si="934"/>
        <v>0.60999999999999976</v>
      </c>
      <c r="EO154" s="55">
        <f t="shared" si="934"/>
        <v>0.58999999999999975</v>
      </c>
      <c r="EP154" s="55">
        <f t="shared" si="934"/>
        <v>0.56999999999999973</v>
      </c>
      <c r="ER154" s="55">
        <f t="shared" si="652"/>
        <v>118655.13660000001</v>
      </c>
      <c r="ES154" s="55">
        <f t="shared" ref="ES154:ES161" si="1074">+ER154</f>
        <v>118655.13660000001</v>
      </c>
      <c r="ET154" s="59">
        <f t="shared" si="1026"/>
        <v>392250.15057228005</v>
      </c>
      <c r="EU154" s="55">
        <f t="shared" si="1027"/>
        <v>115095.48250200001</v>
      </c>
      <c r="EV154" s="59">
        <f t="shared" si="1028"/>
        <v>380482.64605511166</v>
      </c>
      <c r="EW154" s="55">
        <f t="shared" si="1029"/>
        <v>112722.37977</v>
      </c>
      <c r="EX154" s="59">
        <f t="shared" si="1030"/>
        <v>372637.64304366603</v>
      </c>
      <c r="EY154" s="55">
        <f t="shared" si="1031"/>
        <v>110349.27703800001</v>
      </c>
      <c r="EZ154" s="59">
        <f t="shared" si="1032"/>
        <v>364792.64003222046</v>
      </c>
      <c r="FA154" s="57">
        <f t="shared" si="1033"/>
        <v>107976.17430600002</v>
      </c>
      <c r="FB154" s="59">
        <f t="shared" si="1034"/>
        <v>356947.63702077488</v>
      </c>
      <c r="FC154" s="55">
        <f t="shared" si="1035"/>
        <v>105603.07157400002</v>
      </c>
      <c r="FD154" s="59">
        <f t="shared" si="1036"/>
        <v>349102.63400932925</v>
      </c>
      <c r="FE154" s="57">
        <f t="shared" si="1037"/>
        <v>103229.96884200002</v>
      </c>
      <c r="FF154" s="59">
        <f t="shared" si="1038"/>
        <v>341257.63099788368</v>
      </c>
      <c r="FG154" s="60">
        <f t="shared" si="1039"/>
        <v>100856.86611</v>
      </c>
      <c r="FH154" s="59">
        <f t="shared" si="1040"/>
        <v>333412.62798643799</v>
      </c>
      <c r="FI154" s="57">
        <f t="shared" si="1041"/>
        <v>98483.763378000003</v>
      </c>
      <c r="FJ154" s="59">
        <f t="shared" si="1042"/>
        <v>325567.62497499242</v>
      </c>
      <c r="FK154" s="55">
        <f t="shared" si="1043"/>
        <v>96110.660646000004</v>
      </c>
      <c r="FL154" s="59">
        <f t="shared" si="1044"/>
        <v>317722.62196354684</v>
      </c>
      <c r="FM154" s="60">
        <f t="shared" si="1045"/>
        <v>93737.557914000005</v>
      </c>
      <c r="FN154" s="59">
        <f t="shared" si="1046"/>
        <v>309877.61895210121</v>
      </c>
      <c r="FO154" s="60">
        <f t="shared" si="1047"/>
        <v>91364.455182000005</v>
      </c>
      <c r="FP154" s="59">
        <f t="shared" si="1048"/>
        <v>302032.61594065564</v>
      </c>
      <c r="FQ154" s="60">
        <f t="shared" si="1049"/>
        <v>88991.352449999991</v>
      </c>
      <c r="FR154" s="59">
        <f t="shared" si="1050"/>
        <v>294187.61292920995</v>
      </c>
      <c r="FS154" s="55">
        <f t="shared" si="1051"/>
        <v>86618.249717999992</v>
      </c>
      <c r="FT154" s="59">
        <f t="shared" si="1052"/>
        <v>286342.60991776438</v>
      </c>
      <c r="FU154" s="60">
        <f t="shared" si="1053"/>
        <v>84245.146985999992</v>
      </c>
      <c r="FV154" s="59">
        <f t="shared" si="1054"/>
        <v>278497.6069063188</v>
      </c>
      <c r="FW154" s="60">
        <f t="shared" si="1055"/>
        <v>81872.044253999993</v>
      </c>
      <c r="FX154" s="59">
        <f t="shared" si="1056"/>
        <v>270652.60389487317</v>
      </c>
      <c r="FY154" s="60">
        <f t="shared" si="1057"/>
        <v>79498.941521999994</v>
      </c>
      <c r="FZ154" s="59">
        <f t="shared" si="1058"/>
        <v>262807.6008834276</v>
      </c>
      <c r="GA154" s="60">
        <f t="shared" si="1059"/>
        <v>77125.83878999998</v>
      </c>
      <c r="GB154" s="59">
        <f t="shared" si="1060"/>
        <v>254962.59787198194</v>
      </c>
      <c r="GC154" s="55">
        <f t="shared" si="1061"/>
        <v>74752.73605799998</v>
      </c>
      <c r="GD154" s="59">
        <f t="shared" si="1062"/>
        <v>247117.59486053634</v>
      </c>
      <c r="GE154" s="60">
        <f t="shared" si="1063"/>
        <v>72379.633325999981</v>
      </c>
      <c r="GF154" s="59">
        <f t="shared" si="1064"/>
        <v>239272.59184909074</v>
      </c>
      <c r="GG154" s="60">
        <f t="shared" si="1065"/>
        <v>70006.530593999982</v>
      </c>
      <c r="GH154" s="59">
        <f t="shared" si="1066"/>
        <v>231427.58883764513</v>
      </c>
      <c r="GI154" s="55">
        <f t="shared" si="1067"/>
        <v>67633.427861999982</v>
      </c>
      <c r="GJ154" s="59">
        <f t="shared" si="1068"/>
        <v>223582.58582619956</v>
      </c>
      <c r="GK154" s="55"/>
      <c r="GL154" s="55"/>
      <c r="GM154" s="55">
        <v>1</v>
      </c>
      <c r="GN154" s="55">
        <v>0.97</v>
      </c>
      <c r="GO154" s="55">
        <v>0.95</v>
      </c>
      <c r="GP154" s="55">
        <v>0.93</v>
      </c>
      <c r="GQ154" s="55">
        <f t="shared" si="935"/>
        <v>0.91</v>
      </c>
      <c r="GR154" s="55">
        <f t="shared" si="935"/>
        <v>0.89</v>
      </c>
      <c r="GS154" s="55">
        <f t="shared" si="935"/>
        <v>0.87</v>
      </c>
      <c r="GT154" s="55">
        <f t="shared" si="935"/>
        <v>0.85</v>
      </c>
      <c r="GU154" s="55">
        <f t="shared" si="935"/>
        <v>0.83</v>
      </c>
      <c r="GV154" s="55">
        <f t="shared" si="935"/>
        <v>0.80999999999999994</v>
      </c>
      <c r="GW154" s="55">
        <f t="shared" si="935"/>
        <v>0.78999999999999992</v>
      </c>
      <c r="GX154" s="55">
        <f t="shared" si="935"/>
        <v>0.76999999999999991</v>
      </c>
      <c r="GY154" s="55">
        <f t="shared" si="935"/>
        <v>0.74999999999999989</v>
      </c>
      <c r="GZ154" s="55">
        <f t="shared" si="935"/>
        <v>0.72999999999999987</v>
      </c>
      <c r="HA154" s="55">
        <f t="shared" si="935"/>
        <v>0.70999999999999985</v>
      </c>
      <c r="HB154" s="55">
        <f t="shared" si="935"/>
        <v>0.68999999999999984</v>
      </c>
      <c r="HC154" s="55">
        <f t="shared" si="935"/>
        <v>0.66999999999999982</v>
      </c>
      <c r="HD154" s="55">
        <f t="shared" si="935"/>
        <v>0.6499999999999998</v>
      </c>
      <c r="HE154" s="55">
        <f t="shared" si="935"/>
        <v>0.62999999999999978</v>
      </c>
      <c r="HF154" s="55">
        <f t="shared" si="935"/>
        <v>0.60999999999999976</v>
      </c>
      <c r="HG154" s="55">
        <f t="shared" si="935"/>
        <v>0.58999999999999975</v>
      </c>
      <c r="HH154" s="55">
        <f t="shared" si="935"/>
        <v>0.56999999999999973</v>
      </c>
    </row>
    <row r="155" spans="1:216" s="64" customFormat="1" x14ac:dyDescent="0.3">
      <c r="C155" s="65"/>
      <c r="D155" s="65"/>
      <c r="E155" s="65"/>
      <c r="G155" s="61"/>
      <c r="H155" s="61"/>
      <c r="I155" s="61"/>
      <c r="J155" s="61"/>
      <c r="K155" s="61"/>
      <c r="L155" s="61"/>
      <c r="M155" s="61"/>
      <c r="N155" s="61"/>
      <c r="O155" s="61"/>
      <c r="P155" s="62"/>
      <c r="Q155" s="61"/>
      <c r="R155" s="61"/>
      <c r="S155" s="61"/>
      <c r="T155" s="62"/>
      <c r="U155" s="61"/>
      <c r="V155" s="63"/>
      <c r="W155" s="61"/>
      <c r="X155" s="62"/>
      <c r="Y155" s="61"/>
      <c r="Z155" s="61"/>
      <c r="AA155" s="61"/>
      <c r="AB155" s="63"/>
      <c r="AC155" s="61"/>
      <c r="AD155" s="63"/>
      <c r="AE155" s="61"/>
      <c r="AF155" s="63"/>
      <c r="AG155" s="61"/>
      <c r="AH155" s="61"/>
      <c r="AI155" s="61"/>
      <c r="AJ155" s="63"/>
      <c r="AK155" s="61"/>
      <c r="AL155" s="63"/>
      <c r="AM155" s="61"/>
      <c r="AN155" s="63"/>
      <c r="AO155" s="61"/>
      <c r="AP155" s="63"/>
      <c r="AQ155" s="61"/>
      <c r="AR155" s="61"/>
      <c r="AS155" s="61"/>
      <c r="AT155" s="63"/>
      <c r="AU155" s="61"/>
      <c r="AV155" s="63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6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  <c r="BV155" s="61"/>
      <c r="BW155" s="61"/>
      <c r="BX155" s="61"/>
      <c r="BY155" s="61">
        <f t="shared" ref="BY155:BY156" si="1075">+G155*0.91</f>
        <v>0</v>
      </c>
      <c r="BZ155" s="61"/>
      <c r="CA155" s="61"/>
      <c r="CB155" s="61"/>
      <c r="CC155" s="61"/>
      <c r="CD155" s="61"/>
      <c r="CE155" s="61"/>
      <c r="CF155" s="61"/>
      <c r="CG155" s="61"/>
      <c r="CH155" s="62"/>
      <c r="CI155" s="61"/>
      <c r="CJ155" s="61"/>
      <c r="CK155" s="61"/>
      <c r="CL155" s="62"/>
      <c r="CM155" s="61"/>
      <c r="CN155" s="63"/>
      <c r="CO155" s="61"/>
      <c r="CP155" s="62"/>
      <c r="CQ155" s="61"/>
      <c r="CR155" s="61"/>
      <c r="CS155" s="61"/>
      <c r="CT155" s="63"/>
      <c r="CU155" s="61"/>
      <c r="CV155" s="63"/>
      <c r="CW155" s="61"/>
      <c r="CX155" s="63"/>
      <c r="CY155" s="61"/>
      <c r="CZ155" s="61"/>
      <c r="DA155" s="61"/>
      <c r="DB155" s="63"/>
      <c r="DC155" s="61"/>
      <c r="DD155" s="63"/>
      <c r="DE155" s="61"/>
      <c r="DF155" s="63"/>
      <c r="DG155" s="61"/>
      <c r="DH155" s="63"/>
      <c r="DI155" s="61"/>
      <c r="DJ155" s="61"/>
      <c r="DK155" s="61"/>
      <c r="DL155" s="63"/>
      <c r="DM155" s="61"/>
      <c r="DN155" s="63"/>
      <c r="DO155" s="61"/>
      <c r="DP155" s="61"/>
      <c r="DQ155" s="61"/>
      <c r="DR155" s="61"/>
      <c r="DS155" s="61"/>
      <c r="DT155" s="61">
        <v>1</v>
      </c>
      <c r="DU155" s="61">
        <v>0.97</v>
      </c>
      <c r="DV155" s="61">
        <v>0.95</v>
      </c>
      <c r="DW155" s="61">
        <v>0.93</v>
      </c>
      <c r="DX155" s="61">
        <f t="shared" ref="DX155:EO156" si="1076">+DW155-0.02</f>
        <v>0.91</v>
      </c>
      <c r="DY155" s="61">
        <f t="shared" si="1076"/>
        <v>0.89</v>
      </c>
      <c r="DZ155" s="61">
        <f t="shared" si="1076"/>
        <v>0.87</v>
      </c>
      <c r="EA155" s="61">
        <f t="shared" si="1076"/>
        <v>0.85</v>
      </c>
      <c r="EB155" s="61">
        <f t="shared" si="1076"/>
        <v>0.83</v>
      </c>
      <c r="EC155" s="61">
        <f t="shared" si="1076"/>
        <v>0.80999999999999994</v>
      </c>
      <c r="ED155" s="61">
        <f t="shared" si="1076"/>
        <v>0.78999999999999992</v>
      </c>
      <c r="EE155" s="61">
        <f t="shared" si="1076"/>
        <v>0.76999999999999991</v>
      </c>
      <c r="EF155" s="61">
        <f t="shared" si="1076"/>
        <v>0.74999999999999989</v>
      </c>
      <c r="EG155" s="61">
        <f t="shared" si="1076"/>
        <v>0.72999999999999987</v>
      </c>
      <c r="EH155" s="61">
        <f t="shared" si="1076"/>
        <v>0.70999999999999985</v>
      </c>
      <c r="EI155" s="61">
        <f t="shared" si="1076"/>
        <v>0.68999999999999984</v>
      </c>
      <c r="EJ155" s="61">
        <f t="shared" si="1076"/>
        <v>0.66999999999999982</v>
      </c>
      <c r="EK155" s="61">
        <f t="shared" si="1076"/>
        <v>0.6499999999999998</v>
      </c>
      <c r="EL155" s="61">
        <f t="shared" si="1076"/>
        <v>0.62999999999999978</v>
      </c>
      <c r="EM155" s="61">
        <f t="shared" si="1076"/>
        <v>0.60999999999999976</v>
      </c>
      <c r="EN155" s="61">
        <f t="shared" si="1076"/>
        <v>0.58999999999999975</v>
      </c>
      <c r="EO155" s="61">
        <f t="shared" si="1076"/>
        <v>0.56999999999999973</v>
      </c>
      <c r="EQ155" s="61">
        <f t="shared" ref="EQ155:EQ156" si="1077">+BY155*0.91</f>
        <v>0</v>
      </c>
      <c r="ER155" s="61"/>
      <c r="ES155" s="61"/>
      <c r="ET155" s="61"/>
      <c r="EU155" s="61"/>
      <c r="EV155" s="61"/>
      <c r="EW155" s="61"/>
      <c r="EX155" s="61"/>
      <c r="EY155" s="61"/>
      <c r="EZ155" s="62"/>
      <c r="FA155" s="61"/>
      <c r="FB155" s="61"/>
      <c r="FC155" s="61"/>
      <c r="FD155" s="62"/>
      <c r="FE155" s="61"/>
      <c r="FF155" s="63"/>
      <c r="FG155" s="61"/>
      <c r="FH155" s="62"/>
      <c r="FI155" s="61"/>
      <c r="FJ155" s="61"/>
      <c r="FK155" s="61"/>
      <c r="FL155" s="63"/>
      <c r="FM155" s="61"/>
      <c r="FN155" s="63"/>
      <c r="FO155" s="61"/>
      <c r="FP155" s="63"/>
      <c r="FQ155" s="61"/>
      <c r="FR155" s="61"/>
      <c r="FS155" s="61"/>
      <c r="FT155" s="63"/>
      <c r="FU155" s="61"/>
      <c r="FV155" s="63"/>
      <c r="FW155" s="61"/>
      <c r="FX155" s="63"/>
      <c r="FY155" s="61"/>
      <c r="FZ155" s="63"/>
      <c r="GA155" s="61"/>
      <c r="GB155" s="61"/>
      <c r="GC155" s="61"/>
      <c r="GD155" s="63"/>
      <c r="GE155" s="61"/>
      <c r="GF155" s="63"/>
      <c r="GG155" s="61"/>
      <c r="GH155" s="61"/>
      <c r="GI155" s="61"/>
      <c r="GJ155" s="61"/>
      <c r="GK155" s="61"/>
      <c r="GL155" s="61">
        <v>1</v>
      </c>
      <c r="GM155" s="61">
        <v>0.97</v>
      </c>
      <c r="GN155" s="61">
        <v>0.95</v>
      </c>
      <c r="GO155" s="61">
        <v>0.93</v>
      </c>
      <c r="GP155" s="61">
        <f t="shared" ref="GP155:HG156" si="1078">+GO155-0.02</f>
        <v>0.91</v>
      </c>
      <c r="GQ155" s="61">
        <f t="shared" si="1078"/>
        <v>0.89</v>
      </c>
      <c r="GR155" s="61">
        <f t="shared" si="1078"/>
        <v>0.87</v>
      </c>
      <c r="GS155" s="61">
        <f t="shared" si="1078"/>
        <v>0.85</v>
      </c>
      <c r="GT155" s="61">
        <f t="shared" si="1078"/>
        <v>0.83</v>
      </c>
      <c r="GU155" s="61">
        <f t="shared" si="1078"/>
        <v>0.80999999999999994</v>
      </c>
      <c r="GV155" s="61">
        <f t="shared" si="1078"/>
        <v>0.78999999999999992</v>
      </c>
      <c r="GW155" s="61">
        <f t="shared" si="1078"/>
        <v>0.76999999999999991</v>
      </c>
      <c r="GX155" s="61">
        <f t="shared" si="1078"/>
        <v>0.74999999999999989</v>
      </c>
      <c r="GY155" s="61">
        <f t="shared" si="1078"/>
        <v>0.72999999999999987</v>
      </c>
      <c r="GZ155" s="61">
        <f t="shared" si="1078"/>
        <v>0.70999999999999985</v>
      </c>
      <c r="HA155" s="61">
        <f t="shared" si="1078"/>
        <v>0.68999999999999984</v>
      </c>
      <c r="HB155" s="61">
        <f t="shared" si="1078"/>
        <v>0.66999999999999982</v>
      </c>
      <c r="HC155" s="61">
        <f t="shared" si="1078"/>
        <v>0.6499999999999998</v>
      </c>
      <c r="HD155" s="61">
        <f t="shared" si="1078"/>
        <v>0.62999999999999978</v>
      </c>
      <c r="HE155" s="61">
        <f t="shared" si="1078"/>
        <v>0.60999999999999976</v>
      </c>
      <c r="HF155" s="61">
        <f t="shared" si="1078"/>
        <v>0.58999999999999975</v>
      </c>
      <c r="HG155" s="61">
        <f t="shared" si="1078"/>
        <v>0.56999999999999973</v>
      </c>
    </row>
    <row r="156" spans="1:216" s="64" customFormat="1" ht="17.25" thickBot="1" x14ac:dyDescent="0.35">
      <c r="B156" s="64" t="s">
        <v>302</v>
      </c>
      <c r="C156" s="64" t="s">
        <v>297</v>
      </c>
      <c r="D156" s="65" t="s">
        <v>271</v>
      </c>
      <c r="E156" s="65" t="s">
        <v>154</v>
      </c>
      <c r="G156" s="61"/>
      <c r="H156" s="61"/>
      <c r="I156" s="61"/>
      <c r="J156" s="61"/>
      <c r="K156" s="61"/>
      <c r="L156" s="61"/>
      <c r="M156" s="61"/>
      <c r="N156" s="61"/>
      <c r="O156" s="61"/>
      <c r="P156" s="62"/>
      <c r="Q156" s="61"/>
      <c r="R156" s="61"/>
      <c r="S156" s="61"/>
      <c r="T156" s="62"/>
      <c r="U156" s="61"/>
      <c r="V156" s="63"/>
      <c r="W156" s="61"/>
      <c r="X156" s="62"/>
      <c r="Y156" s="61"/>
      <c r="Z156" s="61"/>
      <c r="AA156" s="61"/>
      <c r="AB156" s="63"/>
      <c r="AC156" s="61"/>
      <c r="AD156" s="63"/>
      <c r="AE156" s="61"/>
      <c r="AF156" s="63"/>
      <c r="AG156" s="61"/>
      <c r="AH156" s="61"/>
      <c r="AI156" s="61"/>
      <c r="AJ156" s="63"/>
      <c r="AK156" s="61"/>
      <c r="AL156" s="63"/>
      <c r="AM156" s="61"/>
      <c r="AN156" s="63"/>
      <c r="AO156" s="61"/>
      <c r="AP156" s="63"/>
      <c r="AQ156" s="61"/>
      <c r="AR156" s="61"/>
      <c r="AS156" s="61"/>
      <c r="AT156" s="63"/>
      <c r="AU156" s="61"/>
      <c r="AV156" s="63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61"/>
      <c r="BU156" s="61"/>
      <c r="BV156" s="61"/>
      <c r="BW156" s="61"/>
      <c r="BX156" s="61"/>
      <c r="BY156" s="61">
        <f t="shared" si="1075"/>
        <v>0</v>
      </c>
      <c r="BZ156" s="61"/>
      <c r="CA156" s="61"/>
      <c r="CB156" s="61"/>
      <c r="CC156" s="61"/>
      <c r="CD156" s="61"/>
      <c r="CE156" s="61"/>
      <c r="CF156" s="61"/>
      <c r="CG156" s="61"/>
      <c r="CH156" s="62"/>
      <c r="CI156" s="61"/>
      <c r="CJ156" s="61"/>
      <c r="CK156" s="61"/>
      <c r="CL156" s="62"/>
      <c r="CM156" s="61"/>
      <c r="CN156" s="63"/>
      <c r="CO156" s="61"/>
      <c r="CP156" s="62"/>
      <c r="CQ156" s="61"/>
      <c r="CR156" s="61"/>
      <c r="CS156" s="61"/>
      <c r="CT156" s="63"/>
      <c r="CU156" s="61"/>
      <c r="CV156" s="63"/>
      <c r="CW156" s="61"/>
      <c r="CX156" s="63"/>
      <c r="CY156" s="61"/>
      <c r="CZ156" s="61"/>
      <c r="DA156" s="61"/>
      <c r="DB156" s="63"/>
      <c r="DC156" s="61"/>
      <c r="DD156" s="63"/>
      <c r="DE156" s="61"/>
      <c r="DF156" s="63"/>
      <c r="DG156" s="61"/>
      <c r="DH156" s="63"/>
      <c r="DI156" s="61"/>
      <c r="DJ156" s="61"/>
      <c r="DK156" s="61"/>
      <c r="DL156" s="63"/>
      <c r="DM156" s="61"/>
      <c r="DN156" s="63"/>
      <c r="DO156" s="61"/>
      <c r="DP156" s="61"/>
      <c r="DQ156" s="61"/>
      <c r="DR156" s="61"/>
      <c r="DS156" s="61"/>
      <c r="DT156" s="61">
        <v>1</v>
      </c>
      <c r="DU156" s="61">
        <v>0.97</v>
      </c>
      <c r="DV156" s="61">
        <v>0.95</v>
      </c>
      <c r="DW156" s="61">
        <v>0.93</v>
      </c>
      <c r="DX156" s="61">
        <f t="shared" si="1076"/>
        <v>0.91</v>
      </c>
      <c r="DY156" s="61">
        <f t="shared" si="1076"/>
        <v>0.89</v>
      </c>
      <c r="DZ156" s="61">
        <f t="shared" si="1076"/>
        <v>0.87</v>
      </c>
      <c r="EA156" s="61">
        <f t="shared" si="1076"/>
        <v>0.85</v>
      </c>
      <c r="EB156" s="61">
        <f t="shared" si="1076"/>
        <v>0.83</v>
      </c>
      <c r="EC156" s="61">
        <f t="shared" si="1076"/>
        <v>0.80999999999999994</v>
      </c>
      <c r="ED156" s="61">
        <f t="shared" si="1076"/>
        <v>0.78999999999999992</v>
      </c>
      <c r="EE156" s="61">
        <f t="shared" si="1076"/>
        <v>0.76999999999999991</v>
      </c>
      <c r="EF156" s="61">
        <f t="shared" si="1076"/>
        <v>0.74999999999999989</v>
      </c>
      <c r="EG156" s="61">
        <f t="shared" si="1076"/>
        <v>0.72999999999999987</v>
      </c>
      <c r="EH156" s="61">
        <f t="shared" si="1076"/>
        <v>0.70999999999999985</v>
      </c>
      <c r="EI156" s="61">
        <f t="shared" si="1076"/>
        <v>0.68999999999999984</v>
      </c>
      <c r="EJ156" s="61">
        <f t="shared" si="1076"/>
        <v>0.66999999999999982</v>
      </c>
      <c r="EK156" s="61">
        <f t="shared" si="1076"/>
        <v>0.6499999999999998</v>
      </c>
      <c r="EL156" s="61">
        <f t="shared" si="1076"/>
        <v>0.62999999999999978</v>
      </c>
      <c r="EM156" s="61">
        <f t="shared" si="1076"/>
        <v>0.60999999999999976</v>
      </c>
      <c r="EN156" s="61">
        <f t="shared" si="1076"/>
        <v>0.58999999999999975</v>
      </c>
      <c r="EO156" s="61">
        <f t="shared" si="1076"/>
        <v>0.56999999999999973</v>
      </c>
      <c r="EQ156" s="61">
        <f t="shared" si="1077"/>
        <v>0</v>
      </c>
      <c r="ER156" s="61"/>
      <c r="ES156" s="61"/>
      <c r="ET156" s="61"/>
      <c r="EU156" s="61"/>
      <c r="EV156" s="61"/>
      <c r="EW156" s="61"/>
      <c r="EX156" s="61"/>
      <c r="EY156" s="61"/>
      <c r="EZ156" s="62"/>
      <c r="FA156" s="61"/>
      <c r="FB156" s="61"/>
      <c r="FC156" s="61"/>
      <c r="FD156" s="62"/>
      <c r="FE156" s="61"/>
      <c r="FF156" s="63"/>
      <c r="FG156" s="61"/>
      <c r="FH156" s="62"/>
      <c r="FI156" s="61"/>
      <c r="FJ156" s="61"/>
      <c r="FK156" s="61"/>
      <c r="FL156" s="63"/>
      <c r="FM156" s="61"/>
      <c r="FN156" s="63"/>
      <c r="FO156" s="61"/>
      <c r="FP156" s="63"/>
      <c r="FQ156" s="61"/>
      <c r="FR156" s="61"/>
      <c r="FS156" s="61"/>
      <c r="FT156" s="63"/>
      <c r="FU156" s="61"/>
      <c r="FV156" s="63"/>
      <c r="FW156" s="61"/>
      <c r="FX156" s="63"/>
      <c r="FY156" s="61"/>
      <c r="FZ156" s="63"/>
      <c r="GA156" s="61"/>
      <c r="GB156" s="61"/>
      <c r="GC156" s="61"/>
      <c r="GD156" s="63"/>
      <c r="GE156" s="61"/>
      <c r="GF156" s="63"/>
      <c r="GG156" s="61"/>
      <c r="GH156" s="61"/>
      <c r="GI156" s="61"/>
      <c r="GJ156" s="61"/>
      <c r="GK156" s="61"/>
      <c r="GL156" s="61">
        <v>1</v>
      </c>
      <c r="GM156" s="61">
        <v>0.97</v>
      </c>
      <c r="GN156" s="61">
        <v>0.95</v>
      </c>
      <c r="GO156" s="61">
        <v>0.93</v>
      </c>
      <c r="GP156" s="61">
        <f t="shared" si="1078"/>
        <v>0.91</v>
      </c>
      <c r="GQ156" s="61">
        <f t="shared" si="1078"/>
        <v>0.89</v>
      </c>
      <c r="GR156" s="61">
        <f t="shared" si="1078"/>
        <v>0.87</v>
      </c>
      <c r="GS156" s="61">
        <f t="shared" si="1078"/>
        <v>0.85</v>
      </c>
      <c r="GT156" s="61">
        <f t="shared" si="1078"/>
        <v>0.83</v>
      </c>
      <c r="GU156" s="61">
        <f t="shared" si="1078"/>
        <v>0.80999999999999994</v>
      </c>
      <c r="GV156" s="61">
        <f t="shared" si="1078"/>
        <v>0.78999999999999992</v>
      </c>
      <c r="GW156" s="61">
        <f t="shared" si="1078"/>
        <v>0.76999999999999991</v>
      </c>
      <c r="GX156" s="61">
        <f t="shared" si="1078"/>
        <v>0.74999999999999989</v>
      </c>
      <c r="GY156" s="61">
        <f t="shared" si="1078"/>
        <v>0.72999999999999987</v>
      </c>
      <c r="GZ156" s="61">
        <f t="shared" si="1078"/>
        <v>0.70999999999999985</v>
      </c>
      <c r="HA156" s="61">
        <f t="shared" si="1078"/>
        <v>0.68999999999999984</v>
      </c>
      <c r="HB156" s="61">
        <f t="shared" si="1078"/>
        <v>0.66999999999999982</v>
      </c>
      <c r="HC156" s="61">
        <f t="shared" si="1078"/>
        <v>0.6499999999999998</v>
      </c>
      <c r="HD156" s="61">
        <f t="shared" si="1078"/>
        <v>0.62999999999999978</v>
      </c>
      <c r="HE156" s="61">
        <f t="shared" si="1078"/>
        <v>0.60999999999999976</v>
      </c>
      <c r="HF156" s="61">
        <f t="shared" si="1078"/>
        <v>0.58999999999999975</v>
      </c>
      <c r="HG156" s="61">
        <f t="shared" si="1078"/>
        <v>0.56999999999999973</v>
      </c>
    </row>
    <row r="157" spans="1:216" x14ac:dyDescent="0.3">
      <c r="A157" s="2">
        <v>1</v>
      </c>
      <c r="C157" s="38" t="s">
        <v>51</v>
      </c>
      <c r="D157" s="40">
        <v>0</v>
      </c>
      <c r="E157" s="70">
        <f>TRUNC(+D157*3.3058,-1)</f>
        <v>0</v>
      </c>
      <c r="H157" s="55">
        <f t="shared" si="1069"/>
        <v>0</v>
      </c>
      <c r="I157" s="55">
        <f t="shared" si="1070"/>
        <v>0</v>
      </c>
      <c r="J157" s="59">
        <f t="shared" si="1071"/>
        <v>0</v>
      </c>
      <c r="K157" s="55">
        <f t="shared" ref="K157:K161" si="1079">+I157*BD157</f>
        <v>0</v>
      </c>
      <c r="L157" s="59">
        <f t="shared" ref="L157:L161" si="1080">+K157*3.3058</f>
        <v>0</v>
      </c>
      <c r="M157" s="55">
        <f t="shared" ref="M157:M161" si="1081">+I157*BE157</f>
        <v>0</v>
      </c>
      <c r="N157" s="59">
        <f t="shared" ref="N157:N161" si="1082">+M157*3.3058</f>
        <v>0</v>
      </c>
      <c r="O157" s="55">
        <f>+I157*BF157</f>
        <v>0</v>
      </c>
      <c r="P157" s="59">
        <f t="shared" ref="P157:P161" si="1083">+O157*3.3058</f>
        <v>0</v>
      </c>
      <c r="Q157" s="57">
        <f>+I157*BG157</f>
        <v>0</v>
      </c>
      <c r="R157" s="59">
        <f t="shared" ref="R157:R161" si="1084">+Q157*3.3058</f>
        <v>0</v>
      </c>
      <c r="S157" s="55">
        <f>+I157*BH157</f>
        <v>0</v>
      </c>
      <c r="T157" s="59">
        <f t="shared" ref="T157:T161" si="1085">+S157*3.3058</f>
        <v>0</v>
      </c>
      <c r="U157" s="57">
        <f>+I157*BI157</f>
        <v>0</v>
      </c>
      <c r="V157" s="59">
        <f t="shared" ref="V157:V161" si="1086">+U157*3.3058</f>
        <v>0</v>
      </c>
      <c r="W157" s="60">
        <f>+I157*BJ157</f>
        <v>0</v>
      </c>
      <c r="X157" s="59">
        <f t="shared" ref="X157:X161" si="1087">+W157*3.3058</f>
        <v>0</v>
      </c>
      <c r="Y157" s="57">
        <f>+I157*BK157</f>
        <v>0</v>
      </c>
      <c r="Z157" s="59">
        <f t="shared" ref="Z157:Z161" si="1088">+Y157*3.3058</f>
        <v>0</v>
      </c>
      <c r="AA157" s="55">
        <f>+I157*BL157</f>
        <v>0</v>
      </c>
      <c r="AB157" s="59">
        <f t="shared" ref="AB157:AB161" si="1089">+AA157*3.3058</f>
        <v>0</v>
      </c>
      <c r="AC157" s="60">
        <f>+I157*BM157</f>
        <v>0</v>
      </c>
      <c r="AD157" s="59">
        <f t="shared" ref="AD157:AD161" si="1090">+AC157*3.3058</f>
        <v>0</v>
      </c>
      <c r="AE157" s="60">
        <f>+I157*BN157</f>
        <v>0</v>
      </c>
      <c r="AF157" s="59">
        <f t="shared" ref="AF157:AF161" si="1091">+AE157*3.3058</f>
        <v>0</v>
      </c>
      <c r="AG157" s="60">
        <f>+I157*BO157</f>
        <v>0</v>
      </c>
      <c r="AH157" s="59">
        <f t="shared" ref="AH157:AH161" si="1092">+AG157*3.3058</f>
        <v>0</v>
      </c>
      <c r="AI157" s="55">
        <f>+I157*BP157</f>
        <v>0</v>
      </c>
      <c r="AJ157" s="59">
        <f t="shared" ref="AJ157:AJ161" si="1093">+AI157*3.3058</f>
        <v>0</v>
      </c>
      <c r="AK157" s="60">
        <f>+I157*BQ157</f>
        <v>0</v>
      </c>
      <c r="AL157" s="59">
        <f t="shared" ref="AL157:AL161" si="1094">+AK157*3.3058</f>
        <v>0</v>
      </c>
      <c r="AM157" s="60">
        <f>+I157*BR157</f>
        <v>0</v>
      </c>
      <c r="AN157" s="59">
        <f t="shared" ref="AN157:AN161" si="1095">+AM157*3.3058</f>
        <v>0</v>
      </c>
      <c r="AO157" s="60">
        <f>+I157*BS157</f>
        <v>0</v>
      </c>
      <c r="AP157" s="59">
        <f t="shared" ref="AP157:AP161" si="1096">+AO157*3.3058</f>
        <v>0</v>
      </c>
      <c r="AQ157" s="60">
        <f>+I157*BT157</f>
        <v>0</v>
      </c>
      <c r="AR157" s="59">
        <f t="shared" ref="AR157:AR161" si="1097">+AQ157*3.3058</f>
        <v>0</v>
      </c>
      <c r="AS157" s="55">
        <f>+I157*BU157</f>
        <v>0</v>
      </c>
      <c r="AT157" s="59">
        <f t="shared" ref="AT157:AT161" si="1098">+AS157*3.3058</f>
        <v>0</v>
      </c>
      <c r="AU157" s="60">
        <f>+I157*BV157</f>
        <v>0</v>
      </c>
      <c r="AV157" s="59">
        <f t="shared" ref="AV157:AV161" si="1099">+AU157*3.3058</f>
        <v>0</v>
      </c>
      <c r="AW157" s="60">
        <f>+I157*BW157</f>
        <v>0</v>
      </c>
      <c r="AX157" s="59">
        <f t="shared" ref="AX157:AX161" si="1100">+AW157*3.3058</f>
        <v>0</v>
      </c>
      <c r="AY157" s="55">
        <f>+I157*BX157</f>
        <v>0</v>
      </c>
      <c r="AZ157" s="59">
        <f t="shared" ref="AZ157:AZ161" si="1101">+AY157*3.3058</f>
        <v>0</v>
      </c>
      <c r="BC157" s="55">
        <v>1</v>
      </c>
      <c r="BD157" s="55">
        <v>0.97</v>
      </c>
      <c r="BE157" s="55">
        <v>0.95</v>
      </c>
      <c r="BF157" s="55">
        <v>0.93</v>
      </c>
      <c r="BG157" s="55">
        <f t="shared" ref="BG157:BX161" si="1102">+BF157-0.02</f>
        <v>0.91</v>
      </c>
      <c r="BH157" s="55">
        <f t="shared" si="1102"/>
        <v>0.89</v>
      </c>
      <c r="BI157" s="55">
        <f t="shared" si="1102"/>
        <v>0.87</v>
      </c>
      <c r="BJ157" s="55">
        <f t="shared" si="1102"/>
        <v>0.85</v>
      </c>
      <c r="BK157" s="55">
        <f t="shared" si="1102"/>
        <v>0.83</v>
      </c>
      <c r="BL157" s="55">
        <f t="shared" si="1102"/>
        <v>0.80999999999999994</v>
      </c>
      <c r="BM157" s="55">
        <f t="shared" si="1102"/>
        <v>0.78999999999999992</v>
      </c>
      <c r="BN157" s="55">
        <f t="shared" si="1102"/>
        <v>0.76999999999999991</v>
      </c>
      <c r="BO157" s="55">
        <f t="shared" si="1102"/>
        <v>0.74999999999999989</v>
      </c>
      <c r="BP157" s="55">
        <f t="shared" si="1102"/>
        <v>0.72999999999999987</v>
      </c>
      <c r="BQ157" s="55">
        <f t="shared" si="1102"/>
        <v>0.70999999999999985</v>
      </c>
      <c r="BR157" s="55">
        <f t="shared" si="1102"/>
        <v>0.68999999999999984</v>
      </c>
      <c r="BS157" s="55">
        <f t="shared" si="1102"/>
        <v>0.66999999999999982</v>
      </c>
      <c r="BT157" s="55">
        <f t="shared" si="1102"/>
        <v>0.6499999999999998</v>
      </c>
      <c r="BU157" s="55">
        <f t="shared" si="1102"/>
        <v>0.62999999999999978</v>
      </c>
      <c r="BV157" s="55">
        <f t="shared" si="1102"/>
        <v>0.60999999999999976</v>
      </c>
      <c r="BW157" s="55">
        <f t="shared" si="1102"/>
        <v>0.58999999999999975</v>
      </c>
      <c r="BX157" s="55">
        <f t="shared" si="1102"/>
        <v>0.56999999999999973</v>
      </c>
      <c r="BZ157" s="55">
        <f t="shared" si="1072"/>
        <v>0</v>
      </c>
      <c r="CA157" s="55">
        <f t="shared" si="1073"/>
        <v>0</v>
      </c>
      <c r="CB157" s="59">
        <f t="shared" ref="CB157:CB161" si="1103">+CA157*3.3058</f>
        <v>0</v>
      </c>
      <c r="CC157" s="55">
        <f t="shared" ref="CC157:CC161" si="1104">+CA157*DV157</f>
        <v>0</v>
      </c>
      <c r="CD157" s="59">
        <f t="shared" ref="CD157:CD161" si="1105">+CC157*3.3058</f>
        <v>0</v>
      </c>
      <c r="CE157" s="55">
        <f t="shared" ref="CE157:CE161" si="1106">+CA157*DW157</f>
        <v>0</v>
      </c>
      <c r="CF157" s="59">
        <f t="shared" ref="CF157:CF161" si="1107">+CE157*3.3058</f>
        <v>0</v>
      </c>
      <c r="CG157" s="55">
        <f>+CA157*DX157</f>
        <v>0</v>
      </c>
      <c r="CH157" s="59">
        <f t="shared" ref="CH157:CH161" si="1108">+CG157*3.3058</f>
        <v>0</v>
      </c>
      <c r="CI157" s="57">
        <f>+CA157*DY157</f>
        <v>0</v>
      </c>
      <c r="CJ157" s="59">
        <f t="shared" ref="CJ157:CJ161" si="1109">+CI157*3.3058</f>
        <v>0</v>
      </c>
      <c r="CK157" s="55">
        <f>+CA157*DZ157</f>
        <v>0</v>
      </c>
      <c r="CL157" s="59">
        <f t="shared" ref="CL157:CL161" si="1110">+CK157*3.3058</f>
        <v>0</v>
      </c>
      <c r="CM157" s="57">
        <f>+CA157*EA157</f>
        <v>0</v>
      </c>
      <c r="CN157" s="59">
        <f t="shared" ref="CN157:CN161" si="1111">+CM157*3.3058</f>
        <v>0</v>
      </c>
      <c r="CO157" s="60">
        <f>+CA157*EB157</f>
        <v>0</v>
      </c>
      <c r="CP157" s="59">
        <f t="shared" ref="CP157:CP161" si="1112">+CO157*3.3058</f>
        <v>0</v>
      </c>
      <c r="CQ157" s="57">
        <f>+CA157*EC157</f>
        <v>0</v>
      </c>
      <c r="CR157" s="59">
        <f t="shared" ref="CR157:CR161" si="1113">+CQ157*3.3058</f>
        <v>0</v>
      </c>
      <c r="CS157" s="55">
        <f>+CA157*ED157</f>
        <v>0</v>
      </c>
      <c r="CT157" s="59">
        <f t="shared" ref="CT157:CT161" si="1114">+CS157*3.3058</f>
        <v>0</v>
      </c>
      <c r="CU157" s="60">
        <f>+CA157*EE157</f>
        <v>0</v>
      </c>
      <c r="CV157" s="59">
        <f t="shared" ref="CV157:CV161" si="1115">+CU157*3.3058</f>
        <v>0</v>
      </c>
      <c r="CW157" s="60">
        <f>+CA157*EF157</f>
        <v>0</v>
      </c>
      <c r="CX157" s="59">
        <f t="shared" ref="CX157:CX161" si="1116">+CW157*3.3058</f>
        <v>0</v>
      </c>
      <c r="CY157" s="60">
        <f>+CA157*EG157</f>
        <v>0</v>
      </c>
      <c r="CZ157" s="59">
        <f t="shared" ref="CZ157:CZ161" si="1117">+CY157*3.3058</f>
        <v>0</v>
      </c>
      <c r="DA157" s="55">
        <f>+CA157*EH157</f>
        <v>0</v>
      </c>
      <c r="DB157" s="59">
        <f t="shared" ref="DB157:DB161" si="1118">+DA157*3.3058</f>
        <v>0</v>
      </c>
      <c r="DC157" s="60">
        <f>+CA157*EI157</f>
        <v>0</v>
      </c>
      <c r="DD157" s="59">
        <f t="shared" ref="DD157:DD161" si="1119">+DC157*3.3058</f>
        <v>0</v>
      </c>
      <c r="DE157" s="60">
        <f>+CA157*EJ157</f>
        <v>0</v>
      </c>
      <c r="DF157" s="59">
        <f t="shared" ref="DF157:DF161" si="1120">+DE157*3.3058</f>
        <v>0</v>
      </c>
      <c r="DG157" s="60">
        <f>+CA157*EK157</f>
        <v>0</v>
      </c>
      <c r="DH157" s="59">
        <f t="shared" ref="DH157:DH161" si="1121">+DG157*3.3058</f>
        <v>0</v>
      </c>
      <c r="DI157" s="60">
        <f>+CA157*EL157</f>
        <v>0</v>
      </c>
      <c r="DJ157" s="59">
        <f t="shared" ref="DJ157:DJ161" si="1122">+DI157*3.3058</f>
        <v>0</v>
      </c>
      <c r="DK157" s="55">
        <f>+CA157*EM157</f>
        <v>0</v>
      </c>
      <c r="DL157" s="59">
        <f t="shared" ref="DL157:DL161" si="1123">+DK157*3.3058</f>
        <v>0</v>
      </c>
      <c r="DM157" s="60">
        <f>+CA157*EN157</f>
        <v>0</v>
      </c>
      <c r="DN157" s="59">
        <f t="shared" ref="DN157:DN161" si="1124">+DM157*3.3058</f>
        <v>0</v>
      </c>
      <c r="DO157" s="60">
        <f>+CA157*EO157</f>
        <v>0</v>
      </c>
      <c r="DP157" s="59">
        <f t="shared" ref="DP157:DP161" si="1125">+DO157*3.3058</f>
        <v>0</v>
      </c>
      <c r="DQ157" s="55">
        <f>+CA157*EP157</f>
        <v>0</v>
      </c>
      <c r="DR157" s="59">
        <f t="shared" ref="DR157:DR161" si="1126">+DQ157*3.3058</f>
        <v>0</v>
      </c>
      <c r="DU157" s="55">
        <v>1</v>
      </c>
      <c r="DV157" s="55">
        <v>0.97</v>
      </c>
      <c r="DW157" s="55">
        <v>0.95</v>
      </c>
      <c r="DX157" s="55">
        <v>0.93</v>
      </c>
      <c r="DY157" s="55">
        <f t="shared" si="934"/>
        <v>0.91</v>
      </c>
      <c r="DZ157" s="55">
        <f t="shared" si="934"/>
        <v>0.89</v>
      </c>
      <c r="EA157" s="55">
        <f t="shared" si="934"/>
        <v>0.87</v>
      </c>
      <c r="EB157" s="55">
        <f t="shared" si="934"/>
        <v>0.85</v>
      </c>
      <c r="EC157" s="55">
        <f t="shared" si="934"/>
        <v>0.83</v>
      </c>
      <c r="ED157" s="55">
        <f t="shared" si="934"/>
        <v>0.80999999999999994</v>
      </c>
      <c r="EE157" s="55">
        <f t="shared" si="934"/>
        <v>0.78999999999999992</v>
      </c>
      <c r="EF157" s="55">
        <f t="shared" si="934"/>
        <v>0.76999999999999991</v>
      </c>
      <c r="EG157" s="55">
        <f t="shared" si="934"/>
        <v>0.74999999999999989</v>
      </c>
      <c r="EH157" s="55">
        <f t="shared" si="934"/>
        <v>0.72999999999999987</v>
      </c>
      <c r="EI157" s="55">
        <f t="shared" si="934"/>
        <v>0.70999999999999985</v>
      </c>
      <c r="EJ157" s="55">
        <f t="shared" si="934"/>
        <v>0.68999999999999984</v>
      </c>
      <c r="EK157" s="55">
        <f t="shared" si="934"/>
        <v>0.66999999999999982</v>
      </c>
      <c r="EL157" s="55">
        <f t="shared" si="934"/>
        <v>0.6499999999999998</v>
      </c>
      <c r="EM157" s="55">
        <f t="shared" si="934"/>
        <v>0.62999999999999978</v>
      </c>
      <c r="EN157" s="55">
        <f t="shared" si="934"/>
        <v>0.60999999999999976</v>
      </c>
      <c r="EO157" s="55">
        <f t="shared" si="934"/>
        <v>0.58999999999999975</v>
      </c>
      <c r="EP157" s="55">
        <f t="shared" si="934"/>
        <v>0.56999999999999973</v>
      </c>
      <c r="ER157" s="55">
        <f t="shared" si="652"/>
        <v>0</v>
      </c>
      <c r="ES157" s="55">
        <f t="shared" si="1074"/>
        <v>0</v>
      </c>
      <c r="ET157" s="59">
        <f t="shared" ref="ET157:ET161" si="1127">+ES157*3.3058</f>
        <v>0</v>
      </c>
      <c r="EU157" s="55">
        <f t="shared" ref="EU157:EU161" si="1128">+ES157*GN157</f>
        <v>0</v>
      </c>
      <c r="EV157" s="59">
        <f t="shared" ref="EV157:EV161" si="1129">+EU157*3.3058</f>
        <v>0</v>
      </c>
      <c r="EW157" s="55">
        <f t="shared" ref="EW157:EW161" si="1130">+ES157*GO157</f>
        <v>0</v>
      </c>
      <c r="EX157" s="59">
        <f t="shared" ref="EX157:EX161" si="1131">+EW157*3.3058</f>
        <v>0</v>
      </c>
      <c r="EY157" s="55">
        <f>+ES157*GP157</f>
        <v>0</v>
      </c>
      <c r="EZ157" s="59">
        <f t="shared" ref="EZ157:EZ161" si="1132">+EY157*3.3058</f>
        <v>0</v>
      </c>
      <c r="FA157" s="57">
        <f>+ES157*GQ157</f>
        <v>0</v>
      </c>
      <c r="FB157" s="59">
        <f t="shared" ref="FB157:FB161" si="1133">+FA157*3.3058</f>
        <v>0</v>
      </c>
      <c r="FC157" s="55">
        <f>+ES157*GR157</f>
        <v>0</v>
      </c>
      <c r="FD157" s="59">
        <f t="shared" ref="FD157:FD161" si="1134">+FC157*3.3058</f>
        <v>0</v>
      </c>
      <c r="FE157" s="57">
        <f>+ES157*GS157</f>
        <v>0</v>
      </c>
      <c r="FF157" s="59">
        <f t="shared" ref="FF157:FF161" si="1135">+FE157*3.3058</f>
        <v>0</v>
      </c>
      <c r="FG157" s="60">
        <f>+ES157*GT157</f>
        <v>0</v>
      </c>
      <c r="FH157" s="59">
        <f t="shared" ref="FH157:FH161" si="1136">+FG157*3.3058</f>
        <v>0</v>
      </c>
      <c r="FI157" s="57">
        <f>+ES157*GU157</f>
        <v>0</v>
      </c>
      <c r="FJ157" s="59">
        <f t="shared" ref="FJ157:FJ161" si="1137">+FI157*3.3058</f>
        <v>0</v>
      </c>
      <c r="FK157" s="55">
        <f>+ES157*GV157</f>
        <v>0</v>
      </c>
      <c r="FL157" s="59">
        <f t="shared" ref="FL157:FL161" si="1138">+FK157*3.3058</f>
        <v>0</v>
      </c>
      <c r="FM157" s="60">
        <f>+ES157*GW157</f>
        <v>0</v>
      </c>
      <c r="FN157" s="59">
        <f t="shared" ref="FN157:FN161" si="1139">+FM157*3.3058</f>
        <v>0</v>
      </c>
      <c r="FO157" s="60">
        <f>+ES157*GX157</f>
        <v>0</v>
      </c>
      <c r="FP157" s="59">
        <f t="shared" ref="FP157:FP161" si="1140">+FO157*3.3058</f>
        <v>0</v>
      </c>
      <c r="FQ157" s="60">
        <f>+ES157*GY157</f>
        <v>0</v>
      </c>
      <c r="FR157" s="59">
        <f t="shared" ref="FR157:FR161" si="1141">+FQ157*3.3058</f>
        <v>0</v>
      </c>
      <c r="FS157" s="55">
        <f>+ES157*GZ157</f>
        <v>0</v>
      </c>
      <c r="FT157" s="59">
        <f t="shared" ref="FT157:FT161" si="1142">+FS157*3.3058</f>
        <v>0</v>
      </c>
      <c r="FU157" s="60">
        <f>+ES157*HA157</f>
        <v>0</v>
      </c>
      <c r="FV157" s="59">
        <f t="shared" ref="FV157:FV161" si="1143">+FU157*3.3058</f>
        <v>0</v>
      </c>
      <c r="FW157" s="60">
        <f>+ES157*HB157</f>
        <v>0</v>
      </c>
      <c r="FX157" s="59">
        <f t="shared" ref="FX157:FX161" si="1144">+FW157*3.3058</f>
        <v>0</v>
      </c>
      <c r="FY157" s="60">
        <f>+ES157*HC157</f>
        <v>0</v>
      </c>
      <c r="FZ157" s="59">
        <f t="shared" ref="FZ157:FZ161" si="1145">+FY157*3.3058</f>
        <v>0</v>
      </c>
      <c r="GA157" s="60">
        <f>+ES157*HD157</f>
        <v>0</v>
      </c>
      <c r="GB157" s="59">
        <f t="shared" ref="GB157:GB161" si="1146">+GA157*3.3058</f>
        <v>0</v>
      </c>
      <c r="GC157" s="55">
        <f>+ES157*HE157</f>
        <v>0</v>
      </c>
      <c r="GD157" s="59">
        <f t="shared" ref="GD157:GD161" si="1147">+GC157*3.3058</f>
        <v>0</v>
      </c>
      <c r="GE157" s="60">
        <f>+ES157*HF157</f>
        <v>0</v>
      </c>
      <c r="GF157" s="59">
        <f t="shared" ref="GF157:GF161" si="1148">+GE157*3.3058</f>
        <v>0</v>
      </c>
      <c r="GG157" s="60">
        <f>+ES157*HG157</f>
        <v>0</v>
      </c>
      <c r="GH157" s="59">
        <f t="shared" ref="GH157:GH161" si="1149">+GG157*3.3058</f>
        <v>0</v>
      </c>
      <c r="GI157" s="55">
        <f>+ES157*HH157</f>
        <v>0</v>
      </c>
      <c r="GJ157" s="59">
        <f t="shared" ref="GJ157:GJ161" si="1150">+GI157*3.3058</f>
        <v>0</v>
      </c>
      <c r="GK157" s="55"/>
      <c r="GL157" s="55"/>
      <c r="GM157" s="55">
        <v>1</v>
      </c>
      <c r="GN157" s="55">
        <v>0.97</v>
      </c>
      <c r="GO157" s="55">
        <v>0.95</v>
      </c>
      <c r="GP157" s="55">
        <v>0.93</v>
      </c>
      <c r="GQ157" s="55">
        <f t="shared" si="935"/>
        <v>0.91</v>
      </c>
      <c r="GR157" s="55">
        <f t="shared" si="935"/>
        <v>0.89</v>
      </c>
      <c r="GS157" s="55">
        <f t="shared" si="935"/>
        <v>0.87</v>
      </c>
      <c r="GT157" s="55">
        <f t="shared" si="935"/>
        <v>0.85</v>
      </c>
      <c r="GU157" s="55">
        <f t="shared" si="935"/>
        <v>0.83</v>
      </c>
      <c r="GV157" s="55">
        <f t="shared" si="935"/>
        <v>0.80999999999999994</v>
      </c>
      <c r="GW157" s="55">
        <f t="shared" si="935"/>
        <v>0.78999999999999992</v>
      </c>
      <c r="GX157" s="55">
        <f t="shared" si="935"/>
        <v>0.76999999999999991</v>
      </c>
      <c r="GY157" s="55">
        <f t="shared" si="935"/>
        <v>0.74999999999999989</v>
      </c>
      <c r="GZ157" s="55">
        <f t="shared" si="935"/>
        <v>0.72999999999999987</v>
      </c>
      <c r="HA157" s="55">
        <f t="shared" si="935"/>
        <v>0.70999999999999985</v>
      </c>
      <c r="HB157" s="55">
        <f t="shared" si="935"/>
        <v>0.68999999999999984</v>
      </c>
      <c r="HC157" s="55">
        <f t="shared" si="935"/>
        <v>0.66999999999999982</v>
      </c>
      <c r="HD157" s="55">
        <f t="shared" si="935"/>
        <v>0.6499999999999998</v>
      </c>
      <c r="HE157" s="55">
        <f t="shared" si="935"/>
        <v>0.62999999999999978</v>
      </c>
      <c r="HF157" s="55">
        <f t="shared" si="935"/>
        <v>0.60999999999999976</v>
      </c>
      <c r="HG157" s="55">
        <f t="shared" si="935"/>
        <v>0.58999999999999975</v>
      </c>
      <c r="HH157" s="55">
        <f t="shared" si="935"/>
        <v>0.56999999999999973</v>
      </c>
    </row>
    <row r="158" spans="1:216" x14ac:dyDescent="0.3">
      <c r="A158" s="2">
        <v>2</v>
      </c>
      <c r="C158" s="38" t="s">
        <v>52</v>
      </c>
      <c r="D158" s="42">
        <v>0</v>
      </c>
      <c r="E158" s="71">
        <f>TRUNC(+D158*3.3058,-1)</f>
        <v>0</v>
      </c>
      <c r="H158" s="55">
        <f t="shared" si="1069"/>
        <v>0</v>
      </c>
      <c r="I158" s="55">
        <f t="shared" si="1070"/>
        <v>0</v>
      </c>
      <c r="J158" s="59">
        <f t="shared" si="1071"/>
        <v>0</v>
      </c>
      <c r="K158" s="55">
        <f t="shared" si="1079"/>
        <v>0</v>
      </c>
      <c r="L158" s="59">
        <f t="shared" si="1080"/>
        <v>0</v>
      </c>
      <c r="M158" s="55">
        <f t="shared" si="1081"/>
        <v>0</v>
      </c>
      <c r="N158" s="59">
        <f t="shared" si="1082"/>
        <v>0</v>
      </c>
      <c r="O158" s="55">
        <f>+I158*BF158</f>
        <v>0</v>
      </c>
      <c r="P158" s="59">
        <f t="shared" si="1083"/>
        <v>0</v>
      </c>
      <c r="Q158" s="57">
        <f>+I158*BG158</f>
        <v>0</v>
      </c>
      <c r="R158" s="59">
        <f t="shared" si="1084"/>
        <v>0</v>
      </c>
      <c r="S158" s="55">
        <f>+I158*BH158</f>
        <v>0</v>
      </c>
      <c r="T158" s="59">
        <f t="shared" si="1085"/>
        <v>0</v>
      </c>
      <c r="U158" s="57">
        <f>+I158*BI158</f>
        <v>0</v>
      </c>
      <c r="V158" s="59">
        <f t="shared" si="1086"/>
        <v>0</v>
      </c>
      <c r="W158" s="60">
        <f>+I158*BJ158</f>
        <v>0</v>
      </c>
      <c r="X158" s="59">
        <f t="shared" si="1087"/>
        <v>0</v>
      </c>
      <c r="Y158" s="57">
        <f>+I158*BK158</f>
        <v>0</v>
      </c>
      <c r="Z158" s="59">
        <f t="shared" si="1088"/>
        <v>0</v>
      </c>
      <c r="AA158" s="55">
        <f>+I158*BL158</f>
        <v>0</v>
      </c>
      <c r="AB158" s="59">
        <f t="shared" si="1089"/>
        <v>0</v>
      </c>
      <c r="AC158" s="60">
        <f>+I158*BM158</f>
        <v>0</v>
      </c>
      <c r="AD158" s="59">
        <f t="shared" si="1090"/>
        <v>0</v>
      </c>
      <c r="AE158" s="60">
        <f>+I158*BN158</f>
        <v>0</v>
      </c>
      <c r="AF158" s="59">
        <f t="shared" si="1091"/>
        <v>0</v>
      </c>
      <c r="AG158" s="60">
        <f>+I158*BO158</f>
        <v>0</v>
      </c>
      <c r="AH158" s="59">
        <f t="shared" si="1092"/>
        <v>0</v>
      </c>
      <c r="AI158" s="55">
        <f>+I158*BP158</f>
        <v>0</v>
      </c>
      <c r="AJ158" s="59">
        <f t="shared" si="1093"/>
        <v>0</v>
      </c>
      <c r="AK158" s="60">
        <f>+I158*BQ158</f>
        <v>0</v>
      </c>
      <c r="AL158" s="59">
        <f t="shared" si="1094"/>
        <v>0</v>
      </c>
      <c r="AM158" s="60">
        <f>+I158*BR158</f>
        <v>0</v>
      </c>
      <c r="AN158" s="59">
        <f t="shared" si="1095"/>
        <v>0</v>
      </c>
      <c r="AO158" s="60">
        <f>+I158*BS158</f>
        <v>0</v>
      </c>
      <c r="AP158" s="59">
        <f t="shared" si="1096"/>
        <v>0</v>
      </c>
      <c r="AQ158" s="60">
        <f>+I158*BT158</f>
        <v>0</v>
      </c>
      <c r="AR158" s="59">
        <f t="shared" si="1097"/>
        <v>0</v>
      </c>
      <c r="AS158" s="55">
        <f>+I158*BU158</f>
        <v>0</v>
      </c>
      <c r="AT158" s="59">
        <f t="shared" si="1098"/>
        <v>0</v>
      </c>
      <c r="AU158" s="60">
        <f>+I158*BV158</f>
        <v>0</v>
      </c>
      <c r="AV158" s="59">
        <f t="shared" si="1099"/>
        <v>0</v>
      </c>
      <c r="AW158" s="60">
        <f>+I158*BW158</f>
        <v>0</v>
      </c>
      <c r="AX158" s="59">
        <f t="shared" si="1100"/>
        <v>0</v>
      </c>
      <c r="AY158" s="55">
        <f>+I158*BX158</f>
        <v>0</v>
      </c>
      <c r="AZ158" s="59">
        <f t="shared" si="1101"/>
        <v>0</v>
      </c>
      <c r="BC158" s="55">
        <v>1</v>
      </c>
      <c r="BD158" s="55">
        <v>0.97</v>
      </c>
      <c r="BE158" s="55">
        <v>0.95</v>
      </c>
      <c r="BF158" s="55">
        <v>0.93</v>
      </c>
      <c r="BG158" s="55">
        <f t="shared" si="1102"/>
        <v>0.91</v>
      </c>
      <c r="BH158" s="55">
        <f t="shared" si="1102"/>
        <v>0.89</v>
      </c>
      <c r="BI158" s="55">
        <f t="shared" si="1102"/>
        <v>0.87</v>
      </c>
      <c r="BJ158" s="55">
        <f t="shared" si="1102"/>
        <v>0.85</v>
      </c>
      <c r="BK158" s="55">
        <f t="shared" si="1102"/>
        <v>0.83</v>
      </c>
      <c r="BL158" s="55">
        <f t="shared" si="1102"/>
        <v>0.80999999999999994</v>
      </c>
      <c r="BM158" s="55">
        <f t="shared" si="1102"/>
        <v>0.78999999999999992</v>
      </c>
      <c r="BN158" s="55">
        <f t="shared" si="1102"/>
        <v>0.76999999999999991</v>
      </c>
      <c r="BO158" s="55">
        <f t="shared" si="1102"/>
        <v>0.74999999999999989</v>
      </c>
      <c r="BP158" s="55">
        <f t="shared" si="1102"/>
        <v>0.72999999999999987</v>
      </c>
      <c r="BQ158" s="55">
        <f t="shared" si="1102"/>
        <v>0.70999999999999985</v>
      </c>
      <c r="BR158" s="55">
        <f t="shared" si="1102"/>
        <v>0.68999999999999984</v>
      </c>
      <c r="BS158" s="55">
        <f t="shared" si="1102"/>
        <v>0.66999999999999982</v>
      </c>
      <c r="BT158" s="55">
        <f t="shared" si="1102"/>
        <v>0.6499999999999998</v>
      </c>
      <c r="BU158" s="55">
        <f t="shared" si="1102"/>
        <v>0.62999999999999978</v>
      </c>
      <c r="BV158" s="55">
        <f t="shared" si="1102"/>
        <v>0.60999999999999976</v>
      </c>
      <c r="BW158" s="55">
        <f t="shared" si="1102"/>
        <v>0.58999999999999975</v>
      </c>
      <c r="BX158" s="55">
        <f t="shared" si="1102"/>
        <v>0.56999999999999973</v>
      </c>
      <c r="BZ158" s="55">
        <f t="shared" si="1072"/>
        <v>0</v>
      </c>
      <c r="CA158" s="55">
        <f t="shared" si="1073"/>
        <v>0</v>
      </c>
      <c r="CB158" s="59">
        <f t="shared" si="1103"/>
        <v>0</v>
      </c>
      <c r="CC158" s="55">
        <f t="shared" si="1104"/>
        <v>0</v>
      </c>
      <c r="CD158" s="59">
        <f t="shared" si="1105"/>
        <v>0</v>
      </c>
      <c r="CE158" s="55">
        <f t="shared" si="1106"/>
        <v>0</v>
      </c>
      <c r="CF158" s="59">
        <f t="shared" si="1107"/>
        <v>0</v>
      </c>
      <c r="CG158" s="55">
        <f>+CA158*DX158</f>
        <v>0</v>
      </c>
      <c r="CH158" s="59">
        <f t="shared" si="1108"/>
        <v>0</v>
      </c>
      <c r="CI158" s="57">
        <f>+CA158*DY158</f>
        <v>0</v>
      </c>
      <c r="CJ158" s="59">
        <f t="shared" si="1109"/>
        <v>0</v>
      </c>
      <c r="CK158" s="55">
        <f>+CA158*DZ158</f>
        <v>0</v>
      </c>
      <c r="CL158" s="59">
        <f t="shared" si="1110"/>
        <v>0</v>
      </c>
      <c r="CM158" s="57">
        <f>+CA158*EA158</f>
        <v>0</v>
      </c>
      <c r="CN158" s="59">
        <f t="shared" si="1111"/>
        <v>0</v>
      </c>
      <c r="CO158" s="60">
        <f>+CA158*EB158</f>
        <v>0</v>
      </c>
      <c r="CP158" s="59">
        <f t="shared" si="1112"/>
        <v>0</v>
      </c>
      <c r="CQ158" s="57">
        <f>+CA158*EC158</f>
        <v>0</v>
      </c>
      <c r="CR158" s="59">
        <f t="shared" si="1113"/>
        <v>0</v>
      </c>
      <c r="CS158" s="55">
        <f>+CA158*ED158</f>
        <v>0</v>
      </c>
      <c r="CT158" s="59">
        <f t="shared" si="1114"/>
        <v>0</v>
      </c>
      <c r="CU158" s="60">
        <f>+CA158*EE158</f>
        <v>0</v>
      </c>
      <c r="CV158" s="59">
        <f t="shared" si="1115"/>
        <v>0</v>
      </c>
      <c r="CW158" s="60">
        <f>+CA158*EF158</f>
        <v>0</v>
      </c>
      <c r="CX158" s="59">
        <f t="shared" si="1116"/>
        <v>0</v>
      </c>
      <c r="CY158" s="60">
        <f>+CA158*EG158</f>
        <v>0</v>
      </c>
      <c r="CZ158" s="59">
        <f t="shared" si="1117"/>
        <v>0</v>
      </c>
      <c r="DA158" s="55">
        <f>+CA158*EH158</f>
        <v>0</v>
      </c>
      <c r="DB158" s="59">
        <f t="shared" si="1118"/>
        <v>0</v>
      </c>
      <c r="DC158" s="60">
        <f>+CA158*EI158</f>
        <v>0</v>
      </c>
      <c r="DD158" s="59">
        <f t="shared" si="1119"/>
        <v>0</v>
      </c>
      <c r="DE158" s="60">
        <f>+CA158*EJ158</f>
        <v>0</v>
      </c>
      <c r="DF158" s="59">
        <f t="shared" si="1120"/>
        <v>0</v>
      </c>
      <c r="DG158" s="60">
        <f>+CA158*EK158</f>
        <v>0</v>
      </c>
      <c r="DH158" s="59">
        <f t="shared" si="1121"/>
        <v>0</v>
      </c>
      <c r="DI158" s="60">
        <f>+CA158*EL158</f>
        <v>0</v>
      </c>
      <c r="DJ158" s="59">
        <f t="shared" si="1122"/>
        <v>0</v>
      </c>
      <c r="DK158" s="55">
        <f>+CA158*EM158</f>
        <v>0</v>
      </c>
      <c r="DL158" s="59">
        <f t="shared" si="1123"/>
        <v>0</v>
      </c>
      <c r="DM158" s="60">
        <f>+CA158*EN158</f>
        <v>0</v>
      </c>
      <c r="DN158" s="59">
        <f t="shared" si="1124"/>
        <v>0</v>
      </c>
      <c r="DO158" s="60">
        <f>+CA158*EO158</f>
        <v>0</v>
      </c>
      <c r="DP158" s="59">
        <f t="shared" si="1125"/>
        <v>0</v>
      </c>
      <c r="DQ158" s="55">
        <f>+CA158*EP158</f>
        <v>0</v>
      </c>
      <c r="DR158" s="59">
        <f t="shared" si="1126"/>
        <v>0</v>
      </c>
      <c r="DU158" s="55">
        <v>1</v>
      </c>
      <c r="DV158" s="55">
        <v>0.97</v>
      </c>
      <c r="DW158" s="55">
        <v>0.95</v>
      </c>
      <c r="DX158" s="55">
        <v>0.93</v>
      </c>
      <c r="DY158" s="55">
        <f t="shared" si="934"/>
        <v>0.91</v>
      </c>
      <c r="DZ158" s="55">
        <f t="shared" si="934"/>
        <v>0.89</v>
      </c>
      <c r="EA158" s="55">
        <f t="shared" si="934"/>
        <v>0.87</v>
      </c>
      <c r="EB158" s="55">
        <f t="shared" si="934"/>
        <v>0.85</v>
      </c>
      <c r="EC158" s="55">
        <f t="shared" si="934"/>
        <v>0.83</v>
      </c>
      <c r="ED158" s="55">
        <f t="shared" si="934"/>
        <v>0.80999999999999994</v>
      </c>
      <c r="EE158" s="55">
        <f t="shared" si="934"/>
        <v>0.78999999999999992</v>
      </c>
      <c r="EF158" s="55">
        <f t="shared" si="934"/>
        <v>0.76999999999999991</v>
      </c>
      <c r="EG158" s="55">
        <f t="shared" si="934"/>
        <v>0.74999999999999989</v>
      </c>
      <c r="EH158" s="55">
        <f t="shared" si="934"/>
        <v>0.72999999999999987</v>
      </c>
      <c r="EI158" s="55">
        <f t="shared" si="934"/>
        <v>0.70999999999999985</v>
      </c>
      <c r="EJ158" s="55">
        <f t="shared" si="934"/>
        <v>0.68999999999999984</v>
      </c>
      <c r="EK158" s="55">
        <f t="shared" si="934"/>
        <v>0.66999999999999982</v>
      </c>
      <c r="EL158" s="55">
        <f t="shared" si="934"/>
        <v>0.6499999999999998</v>
      </c>
      <c r="EM158" s="55">
        <f t="shared" si="934"/>
        <v>0.62999999999999978</v>
      </c>
      <c r="EN158" s="55">
        <f t="shared" si="934"/>
        <v>0.60999999999999976</v>
      </c>
      <c r="EO158" s="55">
        <f t="shared" si="934"/>
        <v>0.58999999999999975</v>
      </c>
      <c r="EP158" s="55">
        <f t="shared" si="934"/>
        <v>0.56999999999999973</v>
      </c>
      <c r="ER158" s="55">
        <f t="shared" si="652"/>
        <v>0</v>
      </c>
      <c r="ES158" s="55">
        <f t="shared" si="1074"/>
        <v>0</v>
      </c>
      <c r="ET158" s="59">
        <f t="shared" si="1127"/>
        <v>0</v>
      </c>
      <c r="EU158" s="55">
        <f t="shared" si="1128"/>
        <v>0</v>
      </c>
      <c r="EV158" s="59">
        <f t="shared" si="1129"/>
        <v>0</v>
      </c>
      <c r="EW158" s="55">
        <f t="shared" si="1130"/>
        <v>0</v>
      </c>
      <c r="EX158" s="59">
        <f t="shared" si="1131"/>
        <v>0</v>
      </c>
      <c r="EY158" s="55">
        <f>+ES158*GP158</f>
        <v>0</v>
      </c>
      <c r="EZ158" s="59">
        <f t="shared" si="1132"/>
        <v>0</v>
      </c>
      <c r="FA158" s="57">
        <f>+ES158*GQ158</f>
        <v>0</v>
      </c>
      <c r="FB158" s="59">
        <f t="shared" si="1133"/>
        <v>0</v>
      </c>
      <c r="FC158" s="55">
        <f>+ES158*GR158</f>
        <v>0</v>
      </c>
      <c r="FD158" s="59">
        <f t="shared" si="1134"/>
        <v>0</v>
      </c>
      <c r="FE158" s="57">
        <f>+ES158*GS158</f>
        <v>0</v>
      </c>
      <c r="FF158" s="59">
        <f t="shared" si="1135"/>
        <v>0</v>
      </c>
      <c r="FG158" s="60">
        <f>+ES158*GT158</f>
        <v>0</v>
      </c>
      <c r="FH158" s="59">
        <f t="shared" si="1136"/>
        <v>0</v>
      </c>
      <c r="FI158" s="57">
        <f>+ES158*GU158</f>
        <v>0</v>
      </c>
      <c r="FJ158" s="59">
        <f t="shared" si="1137"/>
        <v>0</v>
      </c>
      <c r="FK158" s="55">
        <f>+ES158*GV158</f>
        <v>0</v>
      </c>
      <c r="FL158" s="59">
        <f t="shared" si="1138"/>
        <v>0</v>
      </c>
      <c r="FM158" s="60">
        <f>+ES158*GW158</f>
        <v>0</v>
      </c>
      <c r="FN158" s="59">
        <f t="shared" si="1139"/>
        <v>0</v>
      </c>
      <c r="FO158" s="60">
        <f>+ES158*GX158</f>
        <v>0</v>
      </c>
      <c r="FP158" s="59">
        <f t="shared" si="1140"/>
        <v>0</v>
      </c>
      <c r="FQ158" s="60">
        <f>+ES158*GY158</f>
        <v>0</v>
      </c>
      <c r="FR158" s="59">
        <f t="shared" si="1141"/>
        <v>0</v>
      </c>
      <c r="FS158" s="55">
        <f>+ES158*GZ158</f>
        <v>0</v>
      </c>
      <c r="FT158" s="59">
        <f t="shared" si="1142"/>
        <v>0</v>
      </c>
      <c r="FU158" s="60">
        <f>+ES158*HA158</f>
        <v>0</v>
      </c>
      <c r="FV158" s="59">
        <f t="shared" si="1143"/>
        <v>0</v>
      </c>
      <c r="FW158" s="60">
        <f>+ES158*HB158</f>
        <v>0</v>
      </c>
      <c r="FX158" s="59">
        <f t="shared" si="1144"/>
        <v>0</v>
      </c>
      <c r="FY158" s="60">
        <f>+ES158*HC158</f>
        <v>0</v>
      </c>
      <c r="FZ158" s="59">
        <f t="shared" si="1145"/>
        <v>0</v>
      </c>
      <c r="GA158" s="60">
        <f>+ES158*HD158</f>
        <v>0</v>
      </c>
      <c r="GB158" s="59">
        <f t="shared" si="1146"/>
        <v>0</v>
      </c>
      <c r="GC158" s="55">
        <f>+ES158*HE158</f>
        <v>0</v>
      </c>
      <c r="GD158" s="59">
        <f t="shared" si="1147"/>
        <v>0</v>
      </c>
      <c r="GE158" s="60">
        <f>+ES158*HF158</f>
        <v>0</v>
      </c>
      <c r="GF158" s="59">
        <f t="shared" si="1148"/>
        <v>0</v>
      </c>
      <c r="GG158" s="60">
        <f>+ES158*HG158</f>
        <v>0</v>
      </c>
      <c r="GH158" s="59">
        <f t="shared" si="1149"/>
        <v>0</v>
      </c>
      <c r="GI158" s="55">
        <f>+ES158*HH158</f>
        <v>0</v>
      </c>
      <c r="GJ158" s="59">
        <f t="shared" si="1150"/>
        <v>0</v>
      </c>
      <c r="GK158" s="55"/>
      <c r="GL158" s="55"/>
      <c r="GM158" s="55">
        <v>1</v>
      </c>
      <c r="GN158" s="55">
        <v>0.97</v>
      </c>
      <c r="GO158" s="55">
        <v>0.95</v>
      </c>
      <c r="GP158" s="55">
        <v>0.93</v>
      </c>
      <c r="GQ158" s="55">
        <f t="shared" si="935"/>
        <v>0.91</v>
      </c>
      <c r="GR158" s="55">
        <f t="shared" si="935"/>
        <v>0.89</v>
      </c>
      <c r="GS158" s="55">
        <f t="shared" si="935"/>
        <v>0.87</v>
      </c>
      <c r="GT158" s="55">
        <f t="shared" si="935"/>
        <v>0.85</v>
      </c>
      <c r="GU158" s="55">
        <f t="shared" si="935"/>
        <v>0.83</v>
      </c>
      <c r="GV158" s="55">
        <f t="shared" si="935"/>
        <v>0.80999999999999994</v>
      </c>
      <c r="GW158" s="55">
        <f t="shared" si="935"/>
        <v>0.78999999999999992</v>
      </c>
      <c r="GX158" s="55">
        <f t="shared" si="935"/>
        <v>0.76999999999999991</v>
      </c>
      <c r="GY158" s="55">
        <f t="shared" si="935"/>
        <v>0.74999999999999989</v>
      </c>
      <c r="GZ158" s="55">
        <f t="shared" si="935"/>
        <v>0.72999999999999987</v>
      </c>
      <c r="HA158" s="55">
        <f t="shared" si="935"/>
        <v>0.70999999999999985</v>
      </c>
      <c r="HB158" s="55">
        <f t="shared" si="935"/>
        <v>0.68999999999999984</v>
      </c>
      <c r="HC158" s="55">
        <f t="shared" si="935"/>
        <v>0.66999999999999982</v>
      </c>
      <c r="HD158" s="55">
        <f t="shared" si="935"/>
        <v>0.6499999999999998</v>
      </c>
      <c r="HE158" s="55">
        <f t="shared" si="935"/>
        <v>0.62999999999999978</v>
      </c>
      <c r="HF158" s="55">
        <f t="shared" si="935"/>
        <v>0.60999999999999976</v>
      </c>
      <c r="HG158" s="55">
        <f t="shared" si="935"/>
        <v>0.58999999999999975</v>
      </c>
      <c r="HH158" s="55">
        <f t="shared" si="935"/>
        <v>0.56999999999999973</v>
      </c>
    </row>
    <row r="159" spans="1:216" x14ac:dyDescent="0.3">
      <c r="A159" s="2">
        <v>3</v>
      </c>
      <c r="C159" s="38" t="s">
        <v>47</v>
      </c>
      <c r="D159" s="42">
        <v>0</v>
      </c>
      <c r="E159" s="71">
        <f>TRUNC(+D159*3.3058,-1)</f>
        <v>0</v>
      </c>
      <c r="H159" s="55">
        <f t="shared" si="1069"/>
        <v>0</v>
      </c>
      <c r="I159" s="55">
        <f t="shared" si="1070"/>
        <v>0</v>
      </c>
      <c r="J159" s="59">
        <f t="shared" si="1071"/>
        <v>0</v>
      </c>
      <c r="K159" s="55">
        <f t="shared" si="1079"/>
        <v>0</v>
      </c>
      <c r="L159" s="59">
        <f t="shared" si="1080"/>
        <v>0</v>
      </c>
      <c r="M159" s="55">
        <f t="shared" si="1081"/>
        <v>0</v>
      </c>
      <c r="N159" s="59">
        <f t="shared" si="1082"/>
        <v>0</v>
      </c>
      <c r="O159" s="55">
        <f>+I159*BF159</f>
        <v>0</v>
      </c>
      <c r="P159" s="59">
        <f t="shared" si="1083"/>
        <v>0</v>
      </c>
      <c r="Q159" s="57">
        <f>+I159*BG159</f>
        <v>0</v>
      </c>
      <c r="R159" s="59">
        <f t="shared" si="1084"/>
        <v>0</v>
      </c>
      <c r="S159" s="55">
        <f>+I159*BH159</f>
        <v>0</v>
      </c>
      <c r="T159" s="59">
        <f t="shared" si="1085"/>
        <v>0</v>
      </c>
      <c r="U159" s="57">
        <f>+I159*BI159</f>
        <v>0</v>
      </c>
      <c r="V159" s="59">
        <f t="shared" si="1086"/>
        <v>0</v>
      </c>
      <c r="W159" s="60">
        <f>+I159*BJ159</f>
        <v>0</v>
      </c>
      <c r="X159" s="59">
        <f t="shared" si="1087"/>
        <v>0</v>
      </c>
      <c r="Y159" s="57">
        <f>+I159*BK159</f>
        <v>0</v>
      </c>
      <c r="Z159" s="59">
        <f t="shared" si="1088"/>
        <v>0</v>
      </c>
      <c r="AA159" s="55">
        <f>+I159*BL159</f>
        <v>0</v>
      </c>
      <c r="AB159" s="59">
        <f t="shared" si="1089"/>
        <v>0</v>
      </c>
      <c r="AC159" s="60">
        <f>+I159*BM159</f>
        <v>0</v>
      </c>
      <c r="AD159" s="59">
        <f t="shared" si="1090"/>
        <v>0</v>
      </c>
      <c r="AE159" s="60">
        <f>+I159*BN159</f>
        <v>0</v>
      </c>
      <c r="AF159" s="59">
        <f t="shared" si="1091"/>
        <v>0</v>
      </c>
      <c r="AG159" s="60">
        <f>+I159*BO159</f>
        <v>0</v>
      </c>
      <c r="AH159" s="59">
        <f t="shared" si="1092"/>
        <v>0</v>
      </c>
      <c r="AI159" s="55">
        <f>+I159*BP159</f>
        <v>0</v>
      </c>
      <c r="AJ159" s="59">
        <f t="shared" si="1093"/>
        <v>0</v>
      </c>
      <c r="AK159" s="60">
        <f>+I159*BQ159</f>
        <v>0</v>
      </c>
      <c r="AL159" s="59">
        <f t="shared" si="1094"/>
        <v>0</v>
      </c>
      <c r="AM159" s="60">
        <f>+I159*BR159</f>
        <v>0</v>
      </c>
      <c r="AN159" s="59">
        <f t="shared" si="1095"/>
        <v>0</v>
      </c>
      <c r="AO159" s="60">
        <f>+I159*BS159</f>
        <v>0</v>
      </c>
      <c r="AP159" s="59">
        <f t="shared" si="1096"/>
        <v>0</v>
      </c>
      <c r="AQ159" s="60">
        <f>+I159*BT159</f>
        <v>0</v>
      </c>
      <c r="AR159" s="59">
        <f t="shared" si="1097"/>
        <v>0</v>
      </c>
      <c r="AS159" s="55">
        <f>+I159*BU159</f>
        <v>0</v>
      </c>
      <c r="AT159" s="59">
        <f t="shared" si="1098"/>
        <v>0</v>
      </c>
      <c r="AU159" s="60">
        <f>+I159*BV159</f>
        <v>0</v>
      </c>
      <c r="AV159" s="59">
        <f t="shared" si="1099"/>
        <v>0</v>
      </c>
      <c r="AW159" s="60">
        <f>+I159*BW159</f>
        <v>0</v>
      </c>
      <c r="AX159" s="59">
        <f t="shared" si="1100"/>
        <v>0</v>
      </c>
      <c r="AY159" s="55">
        <f>+I159*BX159</f>
        <v>0</v>
      </c>
      <c r="AZ159" s="59">
        <f t="shared" si="1101"/>
        <v>0</v>
      </c>
      <c r="BC159" s="55">
        <v>1</v>
      </c>
      <c r="BD159" s="55">
        <v>0.97</v>
      </c>
      <c r="BE159" s="55">
        <v>0.95</v>
      </c>
      <c r="BF159" s="55">
        <v>0.93</v>
      </c>
      <c r="BG159" s="55">
        <f t="shared" si="1102"/>
        <v>0.91</v>
      </c>
      <c r="BH159" s="55">
        <f t="shared" si="1102"/>
        <v>0.89</v>
      </c>
      <c r="BI159" s="55">
        <f t="shared" si="1102"/>
        <v>0.87</v>
      </c>
      <c r="BJ159" s="55">
        <f t="shared" si="1102"/>
        <v>0.85</v>
      </c>
      <c r="BK159" s="55">
        <f t="shared" si="1102"/>
        <v>0.83</v>
      </c>
      <c r="BL159" s="55">
        <f t="shared" si="1102"/>
        <v>0.80999999999999994</v>
      </c>
      <c r="BM159" s="55">
        <f t="shared" si="1102"/>
        <v>0.78999999999999992</v>
      </c>
      <c r="BN159" s="55">
        <f t="shared" si="1102"/>
        <v>0.76999999999999991</v>
      </c>
      <c r="BO159" s="55">
        <f t="shared" si="1102"/>
        <v>0.74999999999999989</v>
      </c>
      <c r="BP159" s="55">
        <f t="shared" si="1102"/>
        <v>0.72999999999999987</v>
      </c>
      <c r="BQ159" s="55">
        <f t="shared" si="1102"/>
        <v>0.70999999999999985</v>
      </c>
      <c r="BR159" s="55">
        <f t="shared" si="1102"/>
        <v>0.68999999999999984</v>
      </c>
      <c r="BS159" s="55">
        <f t="shared" si="1102"/>
        <v>0.66999999999999982</v>
      </c>
      <c r="BT159" s="55">
        <f t="shared" si="1102"/>
        <v>0.6499999999999998</v>
      </c>
      <c r="BU159" s="55">
        <f t="shared" si="1102"/>
        <v>0.62999999999999978</v>
      </c>
      <c r="BV159" s="55">
        <f t="shared" si="1102"/>
        <v>0.60999999999999976</v>
      </c>
      <c r="BW159" s="55">
        <f t="shared" si="1102"/>
        <v>0.58999999999999975</v>
      </c>
      <c r="BX159" s="55">
        <f t="shared" si="1102"/>
        <v>0.56999999999999973</v>
      </c>
      <c r="BZ159" s="55">
        <f t="shared" si="1072"/>
        <v>0</v>
      </c>
      <c r="CA159" s="55">
        <f t="shared" si="1073"/>
        <v>0</v>
      </c>
      <c r="CB159" s="59">
        <f t="shared" si="1103"/>
        <v>0</v>
      </c>
      <c r="CC159" s="55">
        <f t="shared" si="1104"/>
        <v>0</v>
      </c>
      <c r="CD159" s="59">
        <f t="shared" si="1105"/>
        <v>0</v>
      </c>
      <c r="CE159" s="55">
        <f t="shared" si="1106"/>
        <v>0</v>
      </c>
      <c r="CF159" s="59">
        <f t="shared" si="1107"/>
        <v>0</v>
      </c>
      <c r="CG159" s="55">
        <f>+CA159*DX159</f>
        <v>0</v>
      </c>
      <c r="CH159" s="59">
        <f t="shared" si="1108"/>
        <v>0</v>
      </c>
      <c r="CI159" s="57">
        <f>+CA159*DY159</f>
        <v>0</v>
      </c>
      <c r="CJ159" s="59">
        <f t="shared" si="1109"/>
        <v>0</v>
      </c>
      <c r="CK159" s="55">
        <f>+CA159*DZ159</f>
        <v>0</v>
      </c>
      <c r="CL159" s="59">
        <f t="shared" si="1110"/>
        <v>0</v>
      </c>
      <c r="CM159" s="57">
        <f>+CA159*EA159</f>
        <v>0</v>
      </c>
      <c r="CN159" s="59">
        <f t="shared" si="1111"/>
        <v>0</v>
      </c>
      <c r="CO159" s="60">
        <f>+CA159*EB159</f>
        <v>0</v>
      </c>
      <c r="CP159" s="59">
        <f t="shared" si="1112"/>
        <v>0</v>
      </c>
      <c r="CQ159" s="57">
        <f>+CA159*EC159</f>
        <v>0</v>
      </c>
      <c r="CR159" s="59">
        <f t="shared" si="1113"/>
        <v>0</v>
      </c>
      <c r="CS159" s="55">
        <f>+CA159*ED159</f>
        <v>0</v>
      </c>
      <c r="CT159" s="59">
        <f t="shared" si="1114"/>
        <v>0</v>
      </c>
      <c r="CU159" s="60">
        <f>+CA159*EE159</f>
        <v>0</v>
      </c>
      <c r="CV159" s="59">
        <f t="shared" si="1115"/>
        <v>0</v>
      </c>
      <c r="CW159" s="60">
        <f>+CA159*EF159</f>
        <v>0</v>
      </c>
      <c r="CX159" s="59">
        <f t="shared" si="1116"/>
        <v>0</v>
      </c>
      <c r="CY159" s="60">
        <f>+CA159*EG159</f>
        <v>0</v>
      </c>
      <c r="CZ159" s="59">
        <f t="shared" si="1117"/>
        <v>0</v>
      </c>
      <c r="DA159" s="55">
        <f>+CA159*EH159</f>
        <v>0</v>
      </c>
      <c r="DB159" s="59">
        <f t="shared" si="1118"/>
        <v>0</v>
      </c>
      <c r="DC159" s="60">
        <f>+CA159*EI159</f>
        <v>0</v>
      </c>
      <c r="DD159" s="59">
        <f t="shared" si="1119"/>
        <v>0</v>
      </c>
      <c r="DE159" s="60">
        <f>+CA159*EJ159</f>
        <v>0</v>
      </c>
      <c r="DF159" s="59">
        <f t="shared" si="1120"/>
        <v>0</v>
      </c>
      <c r="DG159" s="60">
        <f>+CA159*EK159</f>
        <v>0</v>
      </c>
      <c r="DH159" s="59">
        <f t="shared" si="1121"/>
        <v>0</v>
      </c>
      <c r="DI159" s="60">
        <f>+CA159*EL159</f>
        <v>0</v>
      </c>
      <c r="DJ159" s="59">
        <f t="shared" si="1122"/>
        <v>0</v>
      </c>
      <c r="DK159" s="55">
        <f>+CA159*EM159</f>
        <v>0</v>
      </c>
      <c r="DL159" s="59">
        <f t="shared" si="1123"/>
        <v>0</v>
      </c>
      <c r="DM159" s="60">
        <f>+CA159*EN159</f>
        <v>0</v>
      </c>
      <c r="DN159" s="59">
        <f t="shared" si="1124"/>
        <v>0</v>
      </c>
      <c r="DO159" s="60">
        <f>+CA159*EO159</f>
        <v>0</v>
      </c>
      <c r="DP159" s="59">
        <f t="shared" si="1125"/>
        <v>0</v>
      </c>
      <c r="DQ159" s="55">
        <f>+CA159*EP159</f>
        <v>0</v>
      </c>
      <c r="DR159" s="59">
        <f t="shared" si="1126"/>
        <v>0</v>
      </c>
      <c r="DU159" s="55">
        <v>1</v>
      </c>
      <c r="DV159" s="55">
        <v>0.97</v>
      </c>
      <c r="DW159" s="55">
        <v>0.95</v>
      </c>
      <c r="DX159" s="55">
        <v>0.93</v>
      </c>
      <c r="DY159" s="55">
        <f t="shared" si="934"/>
        <v>0.91</v>
      </c>
      <c r="DZ159" s="55">
        <f t="shared" si="934"/>
        <v>0.89</v>
      </c>
      <c r="EA159" s="55">
        <f t="shared" si="934"/>
        <v>0.87</v>
      </c>
      <c r="EB159" s="55">
        <f t="shared" ref="EB159:EP159" si="1151">+EA159-0.02</f>
        <v>0.85</v>
      </c>
      <c r="EC159" s="55">
        <f t="shared" si="1151"/>
        <v>0.83</v>
      </c>
      <c r="ED159" s="55">
        <f t="shared" si="1151"/>
        <v>0.80999999999999994</v>
      </c>
      <c r="EE159" s="55">
        <f t="shared" si="1151"/>
        <v>0.78999999999999992</v>
      </c>
      <c r="EF159" s="55">
        <f t="shared" si="1151"/>
        <v>0.76999999999999991</v>
      </c>
      <c r="EG159" s="55">
        <f t="shared" si="1151"/>
        <v>0.74999999999999989</v>
      </c>
      <c r="EH159" s="55">
        <f t="shared" si="1151"/>
        <v>0.72999999999999987</v>
      </c>
      <c r="EI159" s="55">
        <f t="shared" si="1151"/>
        <v>0.70999999999999985</v>
      </c>
      <c r="EJ159" s="55">
        <f t="shared" si="1151"/>
        <v>0.68999999999999984</v>
      </c>
      <c r="EK159" s="55">
        <f t="shared" si="1151"/>
        <v>0.66999999999999982</v>
      </c>
      <c r="EL159" s="55">
        <f t="shared" si="1151"/>
        <v>0.6499999999999998</v>
      </c>
      <c r="EM159" s="55">
        <f t="shared" si="1151"/>
        <v>0.62999999999999978</v>
      </c>
      <c r="EN159" s="55">
        <f t="shared" si="1151"/>
        <v>0.60999999999999976</v>
      </c>
      <c r="EO159" s="55">
        <f t="shared" si="1151"/>
        <v>0.58999999999999975</v>
      </c>
      <c r="EP159" s="55">
        <f t="shared" si="1151"/>
        <v>0.56999999999999973</v>
      </c>
      <c r="ER159" s="55">
        <f t="shared" si="652"/>
        <v>0</v>
      </c>
      <c r="ES159" s="55">
        <f t="shared" si="1074"/>
        <v>0</v>
      </c>
      <c r="ET159" s="59">
        <f t="shared" si="1127"/>
        <v>0</v>
      </c>
      <c r="EU159" s="55">
        <f t="shared" si="1128"/>
        <v>0</v>
      </c>
      <c r="EV159" s="59">
        <f t="shared" si="1129"/>
        <v>0</v>
      </c>
      <c r="EW159" s="55">
        <f t="shared" si="1130"/>
        <v>0</v>
      </c>
      <c r="EX159" s="59">
        <f t="shared" si="1131"/>
        <v>0</v>
      </c>
      <c r="EY159" s="55">
        <f>+ES159*GP159</f>
        <v>0</v>
      </c>
      <c r="EZ159" s="59">
        <f t="shared" si="1132"/>
        <v>0</v>
      </c>
      <c r="FA159" s="57">
        <f>+ES159*GQ159</f>
        <v>0</v>
      </c>
      <c r="FB159" s="59">
        <f t="shared" si="1133"/>
        <v>0</v>
      </c>
      <c r="FC159" s="55">
        <f>+ES159*GR159</f>
        <v>0</v>
      </c>
      <c r="FD159" s="59">
        <f t="shared" si="1134"/>
        <v>0</v>
      </c>
      <c r="FE159" s="57">
        <f>+ES159*GS159</f>
        <v>0</v>
      </c>
      <c r="FF159" s="59">
        <f t="shared" si="1135"/>
        <v>0</v>
      </c>
      <c r="FG159" s="60">
        <f>+ES159*GT159</f>
        <v>0</v>
      </c>
      <c r="FH159" s="59">
        <f t="shared" si="1136"/>
        <v>0</v>
      </c>
      <c r="FI159" s="57">
        <f>+ES159*GU159</f>
        <v>0</v>
      </c>
      <c r="FJ159" s="59">
        <f t="shared" si="1137"/>
        <v>0</v>
      </c>
      <c r="FK159" s="55">
        <f>+ES159*GV159</f>
        <v>0</v>
      </c>
      <c r="FL159" s="59">
        <f t="shared" si="1138"/>
        <v>0</v>
      </c>
      <c r="FM159" s="60">
        <f>+ES159*GW159</f>
        <v>0</v>
      </c>
      <c r="FN159" s="59">
        <f t="shared" si="1139"/>
        <v>0</v>
      </c>
      <c r="FO159" s="60">
        <f>+ES159*GX159</f>
        <v>0</v>
      </c>
      <c r="FP159" s="59">
        <f t="shared" si="1140"/>
        <v>0</v>
      </c>
      <c r="FQ159" s="60">
        <f>+ES159*GY159</f>
        <v>0</v>
      </c>
      <c r="FR159" s="59">
        <f t="shared" si="1141"/>
        <v>0</v>
      </c>
      <c r="FS159" s="55">
        <f>+ES159*GZ159</f>
        <v>0</v>
      </c>
      <c r="FT159" s="59">
        <f t="shared" si="1142"/>
        <v>0</v>
      </c>
      <c r="FU159" s="60">
        <f>+ES159*HA159</f>
        <v>0</v>
      </c>
      <c r="FV159" s="59">
        <f t="shared" si="1143"/>
        <v>0</v>
      </c>
      <c r="FW159" s="60">
        <f>+ES159*HB159</f>
        <v>0</v>
      </c>
      <c r="FX159" s="59">
        <f t="shared" si="1144"/>
        <v>0</v>
      </c>
      <c r="FY159" s="60">
        <f>+ES159*HC159</f>
        <v>0</v>
      </c>
      <c r="FZ159" s="59">
        <f t="shared" si="1145"/>
        <v>0</v>
      </c>
      <c r="GA159" s="60">
        <f>+ES159*HD159</f>
        <v>0</v>
      </c>
      <c r="GB159" s="59">
        <f t="shared" si="1146"/>
        <v>0</v>
      </c>
      <c r="GC159" s="55">
        <f>+ES159*HE159</f>
        <v>0</v>
      </c>
      <c r="GD159" s="59">
        <f t="shared" si="1147"/>
        <v>0</v>
      </c>
      <c r="GE159" s="60">
        <f>+ES159*HF159</f>
        <v>0</v>
      </c>
      <c r="GF159" s="59">
        <f t="shared" si="1148"/>
        <v>0</v>
      </c>
      <c r="GG159" s="60">
        <f>+ES159*HG159</f>
        <v>0</v>
      </c>
      <c r="GH159" s="59">
        <f t="shared" si="1149"/>
        <v>0</v>
      </c>
      <c r="GI159" s="55">
        <f>+ES159*HH159</f>
        <v>0</v>
      </c>
      <c r="GJ159" s="59">
        <f t="shared" si="1150"/>
        <v>0</v>
      </c>
      <c r="GK159" s="55"/>
      <c r="GL159" s="55"/>
      <c r="GM159" s="55">
        <v>1</v>
      </c>
      <c r="GN159" s="55">
        <v>0.97</v>
      </c>
      <c r="GO159" s="55">
        <v>0.95</v>
      </c>
      <c r="GP159" s="55">
        <v>0.93</v>
      </c>
      <c r="GQ159" s="55">
        <f t="shared" si="935"/>
        <v>0.91</v>
      </c>
      <c r="GR159" s="55">
        <f t="shared" si="935"/>
        <v>0.89</v>
      </c>
      <c r="GS159" s="55">
        <f t="shared" si="935"/>
        <v>0.87</v>
      </c>
      <c r="GT159" s="55">
        <f t="shared" ref="GT159:HH159" si="1152">+GS159-0.02</f>
        <v>0.85</v>
      </c>
      <c r="GU159" s="55">
        <f t="shared" si="1152"/>
        <v>0.83</v>
      </c>
      <c r="GV159" s="55">
        <f t="shared" si="1152"/>
        <v>0.80999999999999994</v>
      </c>
      <c r="GW159" s="55">
        <f t="shared" si="1152"/>
        <v>0.78999999999999992</v>
      </c>
      <c r="GX159" s="55">
        <f t="shared" si="1152"/>
        <v>0.76999999999999991</v>
      </c>
      <c r="GY159" s="55">
        <f t="shared" si="1152"/>
        <v>0.74999999999999989</v>
      </c>
      <c r="GZ159" s="55">
        <f t="shared" si="1152"/>
        <v>0.72999999999999987</v>
      </c>
      <c r="HA159" s="55">
        <f t="shared" si="1152"/>
        <v>0.70999999999999985</v>
      </c>
      <c r="HB159" s="55">
        <f t="shared" si="1152"/>
        <v>0.68999999999999984</v>
      </c>
      <c r="HC159" s="55">
        <f t="shared" si="1152"/>
        <v>0.66999999999999982</v>
      </c>
      <c r="HD159" s="55">
        <f t="shared" si="1152"/>
        <v>0.6499999999999998</v>
      </c>
      <c r="HE159" s="55">
        <f t="shared" si="1152"/>
        <v>0.62999999999999978</v>
      </c>
      <c r="HF159" s="55">
        <f t="shared" si="1152"/>
        <v>0.60999999999999976</v>
      </c>
      <c r="HG159" s="55">
        <f t="shared" si="1152"/>
        <v>0.58999999999999975</v>
      </c>
      <c r="HH159" s="55">
        <f t="shared" si="1152"/>
        <v>0.56999999999999973</v>
      </c>
    </row>
    <row r="160" spans="1:216" ht="17.25" thickBot="1" x14ac:dyDescent="0.35">
      <c r="A160" s="2">
        <v>4</v>
      </c>
      <c r="C160" s="38" t="s">
        <v>149</v>
      </c>
      <c r="D160" s="43">
        <v>0</v>
      </c>
      <c r="E160" s="72">
        <f>TRUNC(+D160*3.3058,-1)</f>
        <v>0</v>
      </c>
      <c r="H160" s="55">
        <f t="shared" si="1069"/>
        <v>0</v>
      </c>
      <c r="I160" s="55">
        <f t="shared" si="1070"/>
        <v>0</v>
      </c>
      <c r="J160" s="59">
        <f t="shared" si="1071"/>
        <v>0</v>
      </c>
      <c r="K160" s="55">
        <f t="shared" si="1079"/>
        <v>0</v>
      </c>
      <c r="L160" s="59">
        <f t="shared" si="1080"/>
        <v>0</v>
      </c>
      <c r="M160" s="55">
        <f t="shared" si="1081"/>
        <v>0</v>
      </c>
      <c r="N160" s="59">
        <f t="shared" si="1082"/>
        <v>0</v>
      </c>
      <c r="O160" s="55">
        <f>+I160*BF160</f>
        <v>0</v>
      </c>
      <c r="P160" s="59">
        <f t="shared" si="1083"/>
        <v>0</v>
      </c>
      <c r="Q160" s="57">
        <f>+I160*BG160</f>
        <v>0</v>
      </c>
      <c r="R160" s="59">
        <f t="shared" si="1084"/>
        <v>0</v>
      </c>
      <c r="S160" s="55">
        <f>+I160*BH160</f>
        <v>0</v>
      </c>
      <c r="T160" s="59">
        <f t="shared" si="1085"/>
        <v>0</v>
      </c>
      <c r="U160" s="57">
        <f>+I160*BI160</f>
        <v>0</v>
      </c>
      <c r="V160" s="59">
        <f t="shared" si="1086"/>
        <v>0</v>
      </c>
      <c r="W160" s="60">
        <f>+I160*BJ160</f>
        <v>0</v>
      </c>
      <c r="X160" s="59">
        <f t="shared" si="1087"/>
        <v>0</v>
      </c>
      <c r="Y160" s="57">
        <f>+I160*BK160</f>
        <v>0</v>
      </c>
      <c r="Z160" s="59">
        <f t="shared" si="1088"/>
        <v>0</v>
      </c>
      <c r="AA160" s="55">
        <f>+I160*BL160</f>
        <v>0</v>
      </c>
      <c r="AB160" s="59">
        <f t="shared" si="1089"/>
        <v>0</v>
      </c>
      <c r="AC160" s="60">
        <f>+I160*BM160</f>
        <v>0</v>
      </c>
      <c r="AD160" s="59">
        <f t="shared" si="1090"/>
        <v>0</v>
      </c>
      <c r="AE160" s="60">
        <f>+I160*BN160</f>
        <v>0</v>
      </c>
      <c r="AF160" s="59">
        <f t="shared" si="1091"/>
        <v>0</v>
      </c>
      <c r="AG160" s="60">
        <f>+I160*BO160</f>
        <v>0</v>
      </c>
      <c r="AH160" s="59">
        <f t="shared" si="1092"/>
        <v>0</v>
      </c>
      <c r="AI160" s="55">
        <f>+I160*BP160</f>
        <v>0</v>
      </c>
      <c r="AJ160" s="59">
        <f t="shared" si="1093"/>
        <v>0</v>
      </c>
      <c r="AK160" s="60">
        <f>+I160*BQ160</f>
        <v>0</v>
      </c>
      <c r="AL160" s="59">
        <f t="shared" si="1094"/>
        <v>0</v>
      </c>
      <c r="AM160" s="60">
        <f>+I160*BR160</f>
        <v>0</v>
      </c>
      <c r="AN160" s="59">
        <f t="shared" si="1095"/>
        <v>0</v>
      </c>
      <c r="AO160" s="60">
        <f>+I160*BS160</f>
        <v>0</v>
      </c>
      <c r="AP160" s="59">
        <f t="shared" si="1096"/>
        <v>0</v>
      </c>
      <c r="AQ160" s="60">
        <f>+I160*BT160</f>
        <v>0</v>
      </c>
      <c r="AR160" s="59">
        <f t="shared" si="1097"/>
        <v>0</v>
      </c>
      <c r="AS160" s="55">
        <f>+I160*BU160</f>
        <v>0</v>
      </c>
      <c r="AT160" s="59">
        <f t="shared" si="1098"/>
        <v>0</v>
      </c>
      <c r="AU160" s="60">
        <f>+I160*BV160</f>
        <v>0</v>
      </c>
      <c r="AV160" s="59">
        <f t="shared" si="1099"/>
        <v>0</v>
      </c>
      <c r="AW160" s="60">
        <f>+I160*BW160</f>
        <v>0</v>
      </c>
      <c r="AX160" s="59">
        <f t="shared" si="1100"/>
        <v>0</v>
      </c>
      <c r="AY160" s="55">
        <f>+I160*BX160</f>
        <v>0</v>
      </c>
      <c r="AZ160" s="59">
        <f t="shared" si="1101"/>
        <v>0</v>
      </c>
      <c r="BC160" s="55">
        <v>1</v>
      </c>
      <c r="BD160" s="55">
        <v>0.97</v>
      </c>
      <c r="BE160" s="55">
        <v>0.95</v>
      </c>
      <c r="BF160" s="55">
        <v>0.93</v>
      </c>
      <c r="BG160" s="55">
        <f t="shared" si="1102"/>
        <v>0.91</v>
      </c>
      <c r="BH160" s="55">
        <f t="shared" si="1102"/>
        <v>0.89</v>
      </c>
      <c r="BI160" s="55">
        <f t="shared" si="1102"/>
        <v>0.87</v>
      </c>
      <c r="BJ160" s="55">
        <f t="shared" si="1102"/>
        <v>0.85</v>
      </c>
      <c r="BK160" s="55">
        <f t="shared" si="1102"/>
        <v>0.83</v>
      </c>
      <c r="BL160" s="55">
        <f t="shared" si="1102"/>
        <v>0.80999999999999994</v>
      </c>
      <c r="BM160" s="55">
        <f t="shared" si="1102"/>
        <v>0.78999999999999992</v>
      </c>
      <c r="BN160" s="55">
        <f t="shared" si="1102"/>
        <v>0.76999999999999991</v>
      </c>
      <c r="BO160" s="55">
        <f t="shared" si="1102"/>
        <v>0.74999999999999989</v>
      </c>
      <c r="BP160" s="55">
        <f t="shared" si="1102"/>
        <v>0.72999999999999987</v>
      </c>
      <c r="BQ160" s="55">
        <f t="shared" si="1102"/>
        <v>0.70999999999999985</v>
      </c>
      <c r="BR160" s="55">
        <f t="shared" si="1102"/>
        <v>0.68999999999999984</v>
      </c>
      <c r="BS160" s="55">
        <f t="shared" si="1102"/>
        <v>0.66999999999999982</v>
      </c>
      <c r="BT160" s="55">
        <f t="shared" si="1102"/>
        <v>0.6499999999999998</v>
      </c>
      <c r="BU160" s="55">
        <f t="shared" si="1102"/>
        <v>0.62999999999999978</v>
      </c>
      <c r="BV160" s="55">
        <f t="shared" si="1102"/>
        <v>0.60999999999999976</v>
      </c>
      <c r="BW160" s="55">
        <f t="shared" si="1102"/>
        <v>0.58999999999999975</v>
      </c>
      <c r="BX160" s="55">
        <f t="shared" si="1102"/>
        <v>0.56999999999999973</v>
      </c>
      <c r="BZ160" s="55">
        <f t="shared" si="1072"/>
        <v>0</v>
      </c>
      <c r="CA160" s="55">
        <f t="shared" si="1073"/>
        <v>0</v>
      </c>
      <c r="CB160" s="59">
        <f t="shared" si="1103"/>
        <v>0</v>
      </c>
      <c r="CC160" s="55">
        <f t="shared" si="1104"/>
        <v>0</v>
      </c>
      <c r="CD160" s="59">
        <f t="shared" si="1105"/>
        <v>0</v>
      </c>
      <c r="CE160" s="55">
        <f t="shared" si="1106"/>
        <v>0</v>
      </c>
      <c r="CF160" s="59">
        <f t="shared" si="1107"/>
        <v>0</v>
      </c>
      <c r="CG160" s="55">
        <f>+CA160*DX160</f>
        <v>0</v>
      </c>
      <c r="CH160" s="59">
        <f t="shared" si="1108"/>
        <v>0</v>
      </c>
      <c r="CI160" s="57">
        <f>+CA160*DY160</f>
        <v>0</v>
      </c>
      <c r="CJ160" s="59">
        <f t="shared" si="1109"/>
        <v>0</v>
      </c>
      <c r="CK160" s="55">
        <f>+CA160*DZ160</f>
        <v>0</v>
      </c>
      <c r="CL160" s="59">
        <f t="shared" si="1110"/>
        <v>0</v>
      </c>
      <c r="CM160" s="57">
        <f>+CA160*EA160</f>
        <v>0</v>
      </c>
      <c r="CN160" s="59">
        <f t="shared" si="1111"/>
        <v>0</v>
      </c>
      <c r="CO160" s="60">
        <f>+CA160*EB160</f>
        <v>0</v>
      </c>
      <c r="CP160" s="59">
        <f t="shared" si="1112"/>
        <v>0</v>
      </c>
      <c r="CQ160" s="57">
        <f>+CA160*EC160</f>
        <v>0</v>
      </c>
      <c r="CR160" s="59">
        <f t="shared" si="1113"/>
        <v>0</v>
      </c>
      <c r="CS160" s="55">
        <f>+CA160*ED160</f>
        <v>0</v>
      </c>
      <c r="CT160" s="59">
        <f t="shared" si="1114"/>
        <v>0</v>
      </c>
      <c r="CU160" s="60">
        <f>+CA160*EE160</f>
        <v>0</v>
      </c>
      <c r="CV160" s="59">
        <f t="shared" si="1115"/>
        <v>0</v>
      </c>
      <c r="CW160" s="60">
        <f>+CA160*EF160</f>
        <v>0</v>
      </c>
      <c r="CX160" s="59">
        <f t="shared" si="1116"/>
        <v>0</v>
      </c>
      <c r="CY160" s="60">
        <f>+CA160*EG160</f>
        <v>0</v>
      </c>
      <c r="CZ160" s="59">
        <f t="shared" si="1117"/>
        <v>0</v>
      </c>
      <c r="DA160" s="55">
        <f>+CA160*EH160</f>
        <v>0</v>
      </c>
      <c r="DB160" s="59">
        <f t="shared" si="1118"/>
        <v>0</v>
      </c>
      <c r="DC160" s="60">
        <f>+CA160*EI160</f>
        <v>0</v>
      </c>
      <c r="DD160" s="59">
        <f t="shared" si="1119"/>
        <v>0</v>
      </c>
      <c r="DE160" s="60">
        <f>+CA160*EJ160</f>
        <v>0</v>
      </c>
      <c r="DF160" s="59">
        <f t="shared" si="1120"/>
        <v>0</v>
      </c>
      <c r="DG160" s="60">
        <f>+CA160*EK160</f>
        <v>0</v>
      </c>
      <c r="DH160" s="59">
        <f t="shared" si="1121"/>
        <v>0</v>
      </c>
      <c r="DI160" s="60">
        <f>+CA160*EL160</f>
        <v>0</v>
      </c>
      <c r="DJ160" s="59">
        <f t="shared" si="1122"/>
        <v>0</v>
      </c>
      <c r="DK160" s="55">
        <f>+CA160*EM160</f>
        <v>0</v>
      </c>
      <c r="DL160" s="59">
        <f t="shared" si="1123"/>
        <v>0</v>
      </c>
      <c r="DM160" s="60">
        <f>+CA160*EN160</f>
        <v>0</v>
      </c>
      <c r="DN160" s="59">
        <f t="shared" si="1124"/>
        <v>0</v>
      </c>
      <c r="DO160" s="60">
        <f>+CA160*EO160</f>
        <v>0</v>
      </c>
      <c r="DP160" s="59">
        <f t="shared" si="1125"/>
        <v>0</v>
      </c>
      <c r="DQ160" s="55">
        <f>+CA160*EP160</f>
        <v>0</v>
      </c>
      <c r="DR160" s="59">
        <f t="shared" si="1126"/>
        <v>0</v>
      </c>
      <c r="DU160" s="55">
        <v>1</v>
      </c>
      <c r="DV160" s="55">
        <v>0.97</v>
      </c>
      <c r="DW160" s="55">
        <v>0.95</v>
      </c>
      <c r="DX160" s="55">
        <v>0.93</v>
      </c>
      <c r="DY160" s="55">
        <f t="shared" ref="DY160:EP161" si="1153">+DX160-0.02</f>
        <v>0.91</v>
      </c>
      <c r="DZ160" s="55">
        <f t="shared" si="1153"/>
        <v>0.89</v>
      </c>
      <c r="EA160" s="55">
        <f t="shared" si="1153"/>
        <v>0.87</v>
      </c>
      <c r="EB160" s="55">
        <f t="shared" si="1153"/>
        <v>0.85</v>
      </c>
      <c r="EC160" s="55">
        <f t="shared" si="1153"/>
        <v>0.83</v>
      </c>
      <c r="ED160" s="55">
        <f t="shared" si="1153"/>
        <v>0.80999999999999994</v>
      </c>
      <c r="EE160" s="55">
        <f t="shared" si="1153"/>
        <v>0.78999999999999992</v>
      </c>
      <c r="EF160" s="55">
        <f t="shared" si="1153"/>
        <v>0.76999999999999991</v>
      </c>
      <c r="EG160" s="55">
        <f t="shared" si="1153"/>
        <v>0.74999999999999989</v>
      </c>
      <c r="EH160" s="55">
        <f t="shared" si="1153"/>
        <v>0.72999999999999987</v>
      </c>
      <c r="EI160" s="55">
        <f t="shared" si="1153"/>
        <v>0.70999999999999985</v>
      </c>
      <c r="EJ160" s="55">
        <f t="shared" si="1153"/>
        <v>0.68999999999999984</v>
      </c>
      <c r="EK160" s="55">
        <f t="shared" si="1153"/>
        <v>0.66999999999999982</v>
      </c>
      <c r="EL160" s="55">
        <f t="shared" si="1153"/>
        <v>0.6499999999999998</v>
      </c>
      <c r="EM160" s="55">
        <f t="shared" si="1153"/>
        <v>0.62999999999999978</v>
      </c>
      <c r="EN160" s="55">
        <f t="shared" si="1153"/>
        <v>0.60999999999999976</v>
      </c>
      <c r="EO160" s="55">
        <f t="shared" si="1153"/>
        <v>0.58999999999999975</v>
      </c>
      <c r="EP160" s="55">
        <f t="shared" si="1153"/>
        <v>0.56999999999999973</v>
      </c>
      <c r="ER160" s="55">
        <f t="shared" si="652"/>
        <v>0</v>
      </c>
      <c r="ES160" s="55">
        <f t="shared" si="1074"/>
        <v>0</v>
      </c>
      <c r="ET160" s="59">
        <f t="shared" si="1127"/>
        <v>0</v>
      </c>
      <c r="EU160" s="55">
        <f t="shared" si="1128"/>
        <v>0</v>
      </c>
      <c r="EV160" s="59">
        <f t="shared" si="1129"/>
        <v>0</v>
      </c>
      <c r="EW160" s="55">
        <f t="shared" si="1130"/>
        <v>0</v>
      </c>
      <c r="EX160" s="59">
        <f t="shared" si="1131"/>
        <v>0</v>
      </c>
      <c r="EY160" s="55">
        <f>+ES160*GP160</f>
        <v>0</v>
      </c>
      <c r="EZ160" s="59">
        <f t="shared" si="1132"/>
        <v>0</v>
      </c>
      <c r="FA160" s="57">
        <f>+ES160*GQ160</f>
        <v>0</v>
      </c>
      <c r="FB160" s="59">
        <f t="shared" si="1133"/>
        <v>0</v>
      </c>
      <c r="FC160" s="55">
        <f>+ES160*GR160</f>
        <v>0</v>
      </c>
      <c r="FD160" s="59">
        <f t="shared" si="1134"/>
        <v>0</v>
      </c>
      <c r="FE160" s="57">
        <f>+ES160*GS160</f>
        <v>0</v>
      </c>
      <c r="FF160" s="59">
        <f t="shared" si="1135"/>
        <v>0</v>
      </c>
      <c r="FG160" s="60">
        <f>+ES160*GT160</f>
        <v>0</v>
      </c>
      <c r="FH160" s="59">
        <f t="shared" si="1136"/>
        <v>0</v>
      </c>
      <c r="FI160" s="57">
        <f>+ES160*GU160</f>
        <v>0</v>
      </c>
      <c r="FJ160" s="59">
        <f t="shared" si="1137"/>
        <v>0</v>
      </c>
      <c r="FK160" s="55">
        <f>+ES160*GV160</f>
        <v>0</v>
      </c>
      <c r="FL160" s="59">
        <f t="shared" si="1138"/>
        <v>0</v>
      </c>
      <c r="FM160" s="60">
        <f>+ES160*GW160</f>
        <v>0</v>
      </c>
      <c r="FN160" s="59">
        <f t="shared" si="1139"/>
        <v>0</v>
      </c>
      <c r="FO160" s="60">
        <f>+ES160*GX160</f>
        <v>0</v>
      </c>
      <c r="FP160" s="59">
        <f t="shared" si="1140"/>
        <v>0</v>
      </c>
      <c r="FQ160" s="60">
        <f>+ES160*GY160</f>
        <v>0</v>
      </c>
      <c r="FR160" s="59">
        <f t="shared" si="1141"/>
        <v>0</v>
      </c>
      <c r="FS160" s="55">
        <f>+ES160*GZ160</f>
        <v>0</v>
      </c>
      <c r="FT160" s="59">
        <f t="shared" si="1142"/>
        <v>0</v>
      </c>
      <c r="FU160" s="60">
        <f>+ES160*HA160</f>
        <v>0</v>
      </c>
      <c r="FV160" s="59">
        <f t="shared" si="1143"/>
        <v>0</v>
      </c>
      <c r="FW160" s="60">
        <f>+ES160*HB160</f>
        <v>0</v>
      </c>
      <c r="FX160" s="59">
        <f t="shared" si="1144"/>
        <v>0</v>
      </c>
      <c r="FY160" s="60">
        <f>+ES160*HC160</f>
        <v>0</v>
      </c>
      <c r="FZ160" s="59">
        <f t="shared" si="1145"/>
        <v>0</v>
      </c>
      <c r="GA160" s="60">
        <f>+ES160*HD160</f>
        <v>0</v>
      </c>
      <c r="GB160" s="59">
        <f t="shared" si="1146"/>
        <v>0</v>
      </c>
      <c r="GC160" s="55">
        <f>+ES160*HE160</f>
        <v>0</v>
      </c>
      <c r="GD160" s="59">
        <f t="shared" si="1147"/>
        <v>0</v>
      </c>
      <c r="GE160" s="60">
        <f>+ES160*HF160</f>
        <v>0</v>
      </c>
      <c r="GF160" s="59">
        <f t="shared" si="1148"/>
        <v>0</v>
      </c>
      <c r="GG160" s="60">
        <f>+ES160*HG160</f>
        <v>0</v>
      </c>
      <c r="GH160" s="59">
        <f t="shared" si="1149"/>
        <v>0</v>
      </c>
      <c r="GI160" s="55">
        <f>+ES160*HH160</f>
        <v>0</v>
      </c>
      <c r="GJ160" s="59">
        <f t="shared" si="1150"/>
        <v>0</v>
      </c>
      <c r="GK160" s="55"/>
      <c r="GL160" s="55"/>
      <c r="GM160" s="55">
        <v>1</v>
      </c>
      <c r="GN160" s="55">
        <v>0.97</v>
      </c>
      <c r="GO160" s="55">
        <v>0.95</v>
      </c>
      <c r="GP160" s="55">
        <v>0.93</v>
      </c>
      <c r="GQ160" s="55">
        <f t="shared" ref="GQ160:HH161" si="1154">+GP160-0.02</f>
        <v>0.91</v>
      </c>
      <c r="GR160" s="55">
        <f t="shared" si="1154"/>
        <v>0.89</v>
      </c>
      <c r="GS160" s="55">
        <f t="shared" si="1154"/>
        <v>0.87</v>
      </c>
      <c r="GT160" s="55">
        <f t="shared" si="1154"/>
        <v>0.85</v>
      </c>
      <c r="GU160" s="55">
        <f t="shared" si="1154"/>
        <v>0.83</v>
      </c>
      <c r="GV160" s="55">
        <f t="shared" si="1154"/>
        <v>0.80999999999999994</v>
      </c>
      <c r="GW160" s="55">
        <f t="shared" si="1154"/>
        <v>0.78999999999999992</v>
      </c>
      <c r="GX160" s="55">
        <f t="shared" si="1154"/>
        <v>0.76999999999999991</v>
      </c>
      <c r="GY160" s="55">
        <f t="shared" si="1154"/>
        <v>0.74999999999999989</v>
      </c>
      <c r="GZ160" s="55">
        <f t="shared" si="1154"/>
        <v>0.72999999999999987</v>
      </c>
      <c r="HA160" s="55">
        <f t="shared" si="1154"/>
        <v>0.70999999999999985</v>
      </c>
      <c r="HB160" s="55">
        <f t="shared" si="1154"/>
        <v>0.68999999999999984</v>
      </c>
      <c r="HC160" s="55">
        <f t="shared" si="1154"/>
        <v>0.66999999999999982</v>
      </c>
      <c r="HD160" s="55">
        <f t="shared" si="1154"/>
        <v>0.6499999999999998</v>
      </c>
      <c r="HE160" s="55">
        <f t="shared" si="1154"/>
        <v>0.62999999999999978</v>
      </c>
      <c r="HF160" s="55">
        <f t="shared" si="1154"/>
        <v>0.60999999999999976</v>
      </c>
      <c r="HG160" s="55">
        <f t="shared" si="1154"/>
        <v>0.58999999999999975</v>
      </c>
      <c r="HH160" s="55">
        <f t="shared" si="1154"/>
        <v>0.56999999999999973</v>
      </c>
    </row>
    <row r="161" spans="1:216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  <c r="H161" s="55">
        <f t="shared" si="1069"/>
        <v>0</v>
      </c>
      <c r="I161" s="55">
        <f t="shared" si="1070"/>
        <v>0</v>
      </c>
      <c r="J161" s="59">
        <f t="shared" si="1071"/>
        <v>0</v>
      </c>
      <c r="K161" s="55">
        <f t="shared" si="1079"/>
        <v>0</v>
      </c>
      <c r="L161" s="59">
        <f t="shared" si="1080"/>
        <v>0</v>
      </c>
      <c r="M161" s="55">
        <f t="shared" si="1081"/>
        <v>0</v>
      </c>
      <c r="N161" s="59">
        <f t="shared" si="1082"/>
        <v>0</v>
      </c>
      <c r="O161" s="55">
        <f>+I161*BF161</f>
        <v>0</v>
      </c>
      <c r="P161" s="59">
        <f t="shared" si="1083"/>
        <v>0</v>
      </c>
      <c r="Q161" s="57">
        <f>+I161*BG161</f>
        <v>0</v>
      </c>
      <c r="R161" s="59">
        <f t="shared" si="1084"/>
        <v>0</v>
      </c>
      <c r="S161" s="55">
        <f>+I161*BH161</f>
        <v>0</v>
      </c>
      <c r="T161" s="59">
        <f t="shared" si="1085"/>
        <v>0</v>
      </c>
      <c r="U161" s="57">
        <f>+I161*BI161</f>
        <v>0</v>
      </c>
      <c r="V161" s="59">
        <f t="shared" si="1086"/>
        <v>0</v>
      </c>
      <c r="W161" s="60">
        <f>+I161*BJ161</f>
        <v>0</v>
      </c>
      <c r="X161" s="59">
        <f t="shared" si="1087"/>
        <v>0</v>
      </c>
      <c r="Y161" s="57">
        <f>+I161*BK161</f>
        <v>0</v>
      </c>
      <c r="Z161" s="59">
        <f t="shared" si="1088"/>
        <v>0</v>
      </c>
      <c r="AA161" s="55">
        <f>+I161*BL161</f>
        <v>0</v>
      </c>
      <c r="AB161" s="59">
        <f t="shared" si="1089"/>
        <v>0</v>
      </c>
      <c r="AC161" s="60">
        <f>+I161*BM161</f>
        <v>0</v>
      </c>
      <c r="AD161" s="59">
        <f t="shared" si="1090"/>
        <v>0</v>
      </c>
      <c r="AE161" s="60">
        <f>+I161*BN161</f>
        <v>0</v>
      </c>
      <c r="AF161" s="59">
        <f t="shared" si="1091"/>
        <v>0</v>
      </c>
      <c r="AG161" s="60">
        <f>+I161*BO161</f>
        <v>0</v>
      </c>
      <c r="AH161" s="59">
        <f t="shared" si="1092"/>
        <v>0</v>
      </c>
      <c r="AI161" s="55">
        <f>+I161*BP161</f>
        <v>0</v>
      </c>
      <c r="AJ161" s="59">
        <f t="shared" si="1093"/>
        <v>0</v>
      </c>
      <c r="AK161" s="60">
        <f>+I161*BQ161</f>
        <v>0</v>
      </c>
      <c r="AL161" s="59">
        <f t="shared" si="1094"/>
        <v>0</v>
      </c>
      <c r="AM161" s="60">
        <f>+I161*BR161</f>
        <v>0</v>
      </c>
      <c r="AN161" s="59">
        <f t="shared" si="1095"/>
        <v>0</v>
      </c>
      <c r="AO161" s="60">
        <f>+I161*BS161</f>
        <v>0</v>
      </c>
      <c r="AP161" s="59">
        <f t="shared" si="1096"/>
        <v>0</v>
      </c>
      <c r="AQ161" s="60">
        <f>+I161*BT161</f>
        <v>0</v>
      </c>
      <c r="AR161" s="59">
        <f t="shared" si="1097"/>
        <v>0</v>
      </c>
      <c r="AS161" s="55">
        <f>+I161*BU161</f>
        <v>0</v>
      </c>
      <c r="AT161" s="59">
        <f t="shared" si="1098"/>
        <v>0</v>
      </c>
      <c r="AU161" s="60">
        <f>+I161*BV161</f>
        <v>0</v>
      </c>
      <c r="AV161" s="59">
        <f t="shared" si="1099"/>
        <v>0</v>
      </c>
      <c r="AW161" s="60">
        <f>+I161*BW161</f>
        <v>0</v>
      </c>
      <c r="AX161" s="59">
        <f t="shared" si="1100"/>
        <v>0</v>
      </c>
      <c r="AY161" s="55">
        <f>+I161*BX161</f>
        <v>0</v>
      </c>
      <c r="AZ161" s="59">
        <f t="shared" si="1101"/>
        <v>0</v>
      </c>
      <c r="BC161" s="55">
        <v>1</v>
      </c>
      <c r="BD161" s="55">
        <v>0.97</v>
      </c>
      <c r="BE161" s="55">
        <v>0.95</v>
      </c>
      <c r="BF161" s="55">
        <v>0.93</v>
      </c>
      <c r="BG161" s="55">
        <f t="shared" si="1102"/>
        <v>0.91</v>
      </c>
      <c r="BH161" s="55">
        <f t="shared" si="1102"/>
        <v>0.89</v>
      </c>
      <c r="BI161" s="55">
        <f t="shared" si="1102"/>
        <v>0.87</v>
      </c>
      <c r="BJ161" s="55">
        <f t="shared" si="1102"/>
        <v>0.85</v>
      </c>
      <c r="BK161" s="55">
        <f t="shared" si="1102"/>
        <v>0.83</v>
      </c>
      <c r="BL161" s="55">
        <f t="shared" si="1102"/>
        <v>0.80999999999999994</v>
      </c>
      <c r="BM161" s="55">
        <f t="shared" si="1102"/>
        <v>0.78999999999999992</v>
      </c>
      <c r="BN161" s="55">
        <f t="shared" si="1102"/>
        <v>0.76999999999999991</v>
      </c>
      <c r="BO161" s="55">
        <f t="shared" si="1102"/>
        <v>0.74999999999999989</v>
      </c>
      <c r="BP161" s="55">
        <f t="shared" si="1102"/>
        <v>0.72999999999999987</v>
      </c>
      <c r="BQ161" s="55">
        <f t="shared" si="1102"/>
        <v>0.70999999999999985</v>
      </c>
      <c r="BR161" s="55">
        <f t="shared" si="1102"/>
        <v>0.68999999999999984</v>
      </c>
      <c r="BS161" s="55">
        <f t="shared" si="1102"/>
        <v>0.66999999999999982</v>
      </c>
      <c r="BT161" s="55">
        <f t="shared" si="1102"/>
        <v>0.6499999999999998</v>
      </c>
      <c r="BU161" s="55">
        <f t="shared" si="1102"/>
        <v>0.62999999999999978</v>
      </c>
      <c r="BV161" s="55">
        <f t="shared" si="1102"/>
        <v>0.60999999999999976</v>
      </c>
      <c r="BW161" s="55">
        <f t="shared" si="1102"/>
        <v>0.58999999999999975</v>
      </c>
      <c r="BX161" s="55">
        <f t="shared" si="1102"/>
        <v>0.56999999999999973</v>
      </c>
      <c r="BZ161" s="55">
        <f t="shared" si="1072"/>
        <v>0</v>
      </c>
      <c r="CA161" s="55">
        <f t="shared" si="1073"/>
        <v>0</v>
      </c>
      <c r="CB161" s="59">
        <f t="shared" si="1103"/>
        <v>0</v>
      </c>
      <c r="CC161" s="55">
        <f t="shared" si="1104"/>
        <v>0</v>
      </c>
      <c r="CD161" s="59">
        <f t="shared" si="1105"/>
        <v>0</v>
      </c>
      <c r="CE161" s="55">
        <f t="shared" si="1106"/>
        <v>0</v>
      </c>
      <c r="CF161" s="59">
        <f t="shared" si="1107"/>
        <v>0</v>
      </c>
      <c r="CG161" s="55">
        <f>+CA161*DX161</f>
        <v>0</v>
      </c>
      <c r="CH161" s="59">
        <f t="shared" si="1108"/>
        <v>0</v>
      </c>
      <c r="CI161" s="57">
        <f>+CA161*DY161</f>
        <v>0</v>
      </c>
      <c r="CJ161" s="59">
        <f t="shared" si="1109"/>
        <v>0</v>
      </c>
      <c r="CK161" s="55">
        <f>+CA161*DZ161</f>
        <v>0</v>
      </c>
      <c r="CL161" s="59">
        <f t="shared" si="1110"/>
        <v>0</v>
      </c>
      <c r="CM161" s="57">
        <f>+CA161*EA161</f>
        <v>0</v>
      </c>
      <c r="CN161" s="59">
        <f t="shared" si="1111"/>
        <v>0</v>
      </c>
      <c r="CO161" s="60">
        <f>+CA161*EB161</f>
        <v>0</v>
      </c>
      <c r="CP161" s="59">
        <f t="shared" si="1112"/>
        <v>0</v>
      </c>
      <c r="CQ161" s="57">
        <f>+CA161*EC161</f>
        <v>0</v>
      </c>
      <c r="CR161" s="59">
        <f t="shared" si="1113"/>
        <v>0</v>
      </c>
      <c r="CS161" s="55">
        <f>+CA161*ED161</f>
        <v>0</v>
      </c>
      <c r="CT161" s="59">
        <f t="shared" si="1114"/>
        <v>0</v>
      </c>
      <c r="CU161" s="60">
        <f>+CA161*EE161</f>
        <v>0</v>
      </c>
      <c r="CV161" s="59">
        <f t="shared" si="1115"/>
        <v>0</v>
      </c>
      <c r="CW161" s="60">
        <f>+CA161*EF161</f>
        <v>0</v>
      </c>
      <c r="CX161" s="59">
        <f t="shared" si="1116"/>
        <v>0</v>
      </c>
      <c r="CY161" s="60">
        <f>+CA161*EG161</f>
        <v>0</v>
      </c>
      <c r="CZ161" s="59">
        <f t="shared" si="1117"/>
        <v>0</v>
      </c>
      <c r="DA161" s="55">
        <f>+CA161*EH161</f>
        <v>0</v>
      </c>
      <c r="DB161" s="59">
        <f t="shared" si="1118"/>
        <v>0</v>
      </c>
      <c r="DC161" s="60">
        <f>+CA161*EI161</f>
        <v>0</v>
      </c>
      <c r="DD161" s="59">
        <f t="shared" si="1119"/>
        <v>0</v>
      </c>
      <c r="DE161" s="60">
        <f>+CA161*EJ161</f>
        <v>0</v>
      </c>
      <c r="DF161" s="59">
        <f t="shared" si="1120"/>
        <v>0</v>
      </c>
      <c r="DG161" s="60">
        <f>+CA161*EK161</f>
        <v>0</v>
      </c>
      <c r="DH161" s="59">
        <f t="shared" si="1121"/>
        <v>0</v>
      </c>
      <c r="DI161" s="60">
        <f>+CA161*EL161</f>
        <v>0</v>
      </c>
      <c r="DJ161" s="59">
        <f t="shared" si="1122"/>
        <v>0</v>
      </c>
      <c r="DK161" s="55">
        <f>+CA161*EM161</f>
        <v>0</v>
      </c>
      <c r="DL161" s="59">
        <f t="shared" si="1123"/>
        <v>0</v>
      </c>
      <c r="DM161" s="60">
        <f>+CA161*EN161</f>
        <v>0</v>
      </c>
      <c r="DN161" s="59">
        <f t="shared" si="1124"/>
        <v>0</v>
      </c>
      <c r="DO161" s="60">
        <f>+CA161*EO161</f>
        <v>0</v>
      </c>
      <c r="DP161" s="59">
        <f t="shared" si="1125"/>
        <v>0</v>
      </c>
      <c r="DQ161" s="55">
        <f>+CA161*EP161</f>
        <v>0</v>
      </c>
      <c r="DR161" s="59">
        <f t="shared" si="1126"/>
        <v>0</v>
      </c>
      <c r="DU161" s="55">
        <v>1</v>
      </c>
      <c r="DV161" s="55">
        <v>0.97</v>
      </c>
      <c r="DW161" s="55">
        <v>0.95</v>
      </c>
      <c r="DX161" s="55">
        <v>0.93</v>
      </c>
      <c r="DY161" s="55">
        <f t="shared" si="1153"/>
        <v>0.91</v>
      </c>
      <c r="DZ161" s="55">
        <f t="shared" si="1153"/>
        <v>0.89</v>
      </c>
      <c r="EA161" s="55">
        <f t="shared" si="1153"/>
        <v>0.87</v>
      </c>
      <c r="EB161" s="55">
        <f t="shared" si="1153"/>
        <v>0.85</v>
      </c>
      <c r="EC161" s="55">
        <f t="shared" si="1153"/>
        <v>0.83</v>
      </c>
      <c r="ED161" s="55">
        <f t="shared" si="1153"/>
        <v>0.80999999999999994</v>
      </c>
      <c r="EE161" s="55">
        <f t="shared" si="1153"/>
        <v>0.78999999999999992</v>
      </c>
      <c r="EF161" s="55">
        <f t="shared" si="1153"/>
        <v>0.76999999999999991</v>
      </c>
      <c r="EG161" s="55">
        <f t="shared" si="1153"/>
        <v>0.74999999999999989</v>
      </c>
      <c r="EH161" s="55">
        <f t="shared" si="1153"/>
        <v>0.72999999999999987</v>
      </c>
      <c r="EI161" s="55">
        <f t="shared" si="1153"/>
        <v>0.70999999999999985</v>
      </c>
      <c r="EJ161" s="55">
        <f t="shared" si="1153"/>
        <v>0.68999999999999984</v>
      </c>
      <c r="EK161" s="55">
        <f t="shared" si="1153"/>
        <v>0.66999999999999982</v>
      </c>
      <c r="EL161" s="55">
        <f t="shared" si="1153"/>
        <v>0.6499999999999998</v>
      </c>
      <c r="EM161" s="55">
        <f t="shared" si="1153"/>
        <v>0.62999999999999978</v>
      </c>
      <c r="EN161" s="55">
        <f t="shared" si="1153"/>
        <v>0.60999999999999976</v>
      </c>
      <c r="EO161" s="55">
        <f t="shared" si="1153"/>
        <v>0.58999999999999975</v>
      </c>
      <c r="EP161" s="55">
        <f t="shared" si="1153"/>
        <v>0.56999999999999973</v>
      </c>
      <c r="ER161" s="55">
        <f t="shared" si="652"/>
        <v>0</v>
      </c>
      <c r="ES161" s="55">
        <f t="shared" si="1074"/>
        <v>0</v>
      </c>
      <c r="ET161" s="59">
        <f t="shared" si="1127"/>
        <v>0</v>
      </c>
      <c r="EU161" s="55">
        <f t="shared" si="1128"/>
        <v>0</v>
      </c>
      <c r="EV161" s="59">
        <f t="shared" si="1129"/>
        <v>0</v>
      </c>
      <c r="EW161" s="55">
        <f t="shared" si="1130"/>
        <v>0</v>
      </c>
      <c r="EX161" s="59">
        <f t="shared" si="1131"/>
        <v>0</v>
      </c>
      <c r="EY161" s="55">
        <f>+ES161*GP161</f>
        <v>0</v>
      </c>
      <c r="EZ161" s="59">
        <f t="shared" si="1132"/>
        <v>0</v>
      </c>
      <c r="FA161" s="57">
        <f>+ES161*GQ161</f>
        <v>0</v>
      </c>
      <c r="FB161" s="59">
        <f t="shared" si="1133"/>
        <v>0</v>
      </c>
      <c r="FC161" s="55">
        <f>+ES161*GR161</f>
        <v>0</v>
      </c>
      <c r="FD161" s="59">
        <f t="shared" si="1134"/>
        <v>0</v>
      </c>
      <c r="FE161" s="57">
        <f>+ES161*GS161</f>
        <v>0</v>
      </c>
      <c r="FF161" s="59">
        <f t="shared" si="1135"/>
        <v>0</v>
      </c>
      <c r="FG161" s="60">
        <f>+ES161*GT161</f>
        <v>0</v>
      </c>
      <c r="FH161" s="59">
        <f t="shared" si="1136"/>
        <v>0</v>
      </c>
      <c r="FI161" s="57">
        <f>+ES161*GU161</f>
        <v>0</v>
      </c>
      <c r="FJ161" s="59">
        <f t="shared" si="1137"/>
        <v>0</v>
      </c>
      <c r="FK161" s="55">
        <f>+ES161*GV161</f>
        <v>0</v>
      </c>
      <c r="FL161" s="59">
        <f t="shared" si="1138"/>
        <v>0</v>
      </c>
      <c r="FM161" s="60">
        <f>+ES161*GW161</f>
        <v>0</v>
      </c>
      <c r="FN161" s="59">
        <f t="shared" si="1139"/>
        <v>0</v>
      </c>
      <c r="FO161" s="60">
        <f>+ES161*GX161</f>
        <v>0</v>
      </c>
      <c r="FP161" s="59">
        <f t="shared" si="1140"/>
        <v>0</v>
      </c>
      <c r="FQ161" s="60">
        <f>+ES161*GY161</f>
        <v>0</v>
      </c>
      <c r="FR161" s="59">
        <f t="shared" si="1141"/>
        <v>0</v>
      </c>
      <c r="FS161" s="55">
        <f>+ES161*GZ161</f>
        <v>0</v>
      </c>
      <c r="FT161" s="59">
        <f t="shared" si="1142"/>
        <v>0</v>
      </c>
      <c r="FU161" s="60">
        <f>+ES161*HA161</f>
        <v>0</v>
      </c>
      <c r="FV161" s="59">
        <f t="shared" si="1143"/>
        <v>0</v>
      </c>
      <c r="FW161" s="60">
        <f>+ES161*HB161</f>
        <v>0</v>
      </c>
      <c r="FX161" s="59">
        <f t="shared" si="1144"/>
        <v>0</v>
      </c>
      <c r="FY161" s="60">
        <f>+ES161*HC161</f>
        <v>0</v>
      </c>
      <c r="FZ161" s="59">
        <f t="shared" si="1145"/>
        <v>0</v>
      </c>
      <c r="GA161" s="60">
        <f>+ES161*HD161</f>
        <v>0</v>
      </c>
      <c r="GB161" s="59">
        <f t="shared" si="1146"/>
        <v>0</v>
      </c>
      <c r="GC161" s="55">
        <f>+ES161*HE161</f>
        <v>0</v>
      </c>
      <c r="GD161" s="59">
        <f t="shared" si="1147"/>
        <v>0</v>
      </c>
      <c r="GE161" s="60">
        <f>+ES161*HF161</f>
        <v>0</v>
      </c>
      <c r="GF161" s="59">
        <f t="shared" si="1148"/>
        <v>0</v>
      </c>
      <c r="GG161" s="60">
        <f>+ES161*HG161</f>
        <v>0</v>
      </c>
      <c r="GH161" s="59">
        <f t="shared" si="1149"/>
        <v>0</v>
      </c>
      <c r="GI161" s="55">
        <f>+ES161*HH161</f>
        <v>0</v>
      </c>
      <c r="GJ161" s="59">
        <f t="shared" si="1150"/>
        <v>0</v>
      </c>
      <c r="GK161" s="55"/>
      <c r="GL161" s="55"/>
      <c r="GM161" s="55">
        <v>1</v>
      </c>
      <c r="GN161" s="55">
        <v>0.97</v>
      </c>
      <c r="GO161" s="55">
        <v>0.95</v>
      </c>
      <c r="GP161" s="55">
        <v>0.93</v>
      </c>
      <c r="GQ161" s="55">
        <f t="shared" si="1154"/>
        <v>0.91</v>
      </c>
      <c r="GR161" s="55">
        <f t="shared" si="1154"/>
        <v>0.89</v>
      </c>
      <c r="GS161" s="55">
        <f t="shared" si="1154"/>
        <v>0.87</v>
      </c>
      <c r="GT161" s="55">
        <f t="shared" si="1154"/>
        <v>0.85</v>
      </c>
      <c r="GU161" s="55">
        <f t="shared" si="1154"/>
        <v>0.83</v>
      </c>
      <c r="GV161" s="55">
        <f t="shared" si="1154"/>
        <v>0.80999999999999994</v>
      </c>
      <c r="GW161" s="55">
        <f t="shared" si="1154"/>
        <v>0.78999999999999992</v>
      </c>
      <c r="GX161" s="55">
        <f t="shared" si="1154"/>
        <v>0.76999999999999991</v>
      </c>
      <c r="GY161" s="55">
        <f t="shared" si="1154"/>
        <v>0.74999999999999989</v>
      </c>
      <c r="GZ161" s="55">
        <f t="shared" si="1154"/>
        <v>0.72999999999999987</v>
      </c>
      <c r="HA161" s="55">
        <f t="shared" si="1154"/>
        <v>0.70999999999999985</v>
      </c>
      <c r="HB161" s="55">
        <f t="shared" si="1154"/>
        <v>0.68999999999999984</v>
      </c>
      <c r="HC161" s="55">
        <f t="shared" si="1154"/>
        <v>0.66999999999999982</v>
      </c>
      <c r="HD161" s="55">
        <f t="shared" si="1154"/>
        <v>0.6499999999999998</v>
      </c>
      <c r="HE161" s="55">
        <f t="shared" si="1154"/>
        <v>0.62999999999999978</v>
      </c>
      <c r="HF161" s="55">
        <f t="shared" si="1154"/>
        <v>0.60999999999999976</v>
      </c>
      <c r="HG161" s="55">
        <f t="shared" si="1154"/>
        <v>0.58999999999999975</v>
      </c>
      <c r="HH161" s="55">
        <f t="shared" si="1154"/>
        <v>0.56999999999999973</v>
      </c>
    </row>
    <row r="162" spans="1:216" x14ac:dyDescent="0.3">
      <c r="L162" s="56"/>
      <c r="N162" s="56"/>
      <c r="P162" s="56"/>
      <c r="R162" s="56"/>
      <c r="T162" s="56"/>
      <c r="V162" s="56"/>
      <c r="W162" s="60"/>
      <c r="X162" s="56"/>
      <c r="Z162" s="56"/>
      <c r="AB162" s="56"/>
      <c r="AC162" s="60"/>
      <c r="AD162" s="56"/>
      <c r="AE162" s="60"/>
      <c r="AF162" s="56"/>
      <c r="AG162" s="60"/>
      <c r="AH162" s="56"/>
      <c r="AJ162" s="56"/>
      <c r="AK162" s="60"/>
      <c r="AL162" s="56"/>
      <c r="AM162" s="60"/>
      <c r="AN162" s="56"/>
      <c r="AO162" s="60"/>
      <c r="AP162" s="56"/>
      <c r="AQ162" s="60"/>
      <c r="AR162" s="56"/>
      <c r="AT162" s="56"/>
      <c r="AU162" s="60"/>
      <c r="AV162" s="56"/>
      <c r="AW162" s="60"/>
      <c r="AX162" s="56"/>
      <c r="AZ162" s="56"/>
      <c r="CB162" s="56"/>
      <c r="CD162" s="56"/>
      <c r="CF162" s="56"/>
      <c r="CH162" s="56"/>
      <c r="CI162" s="57"/>
      <c r="CJ162" s="56"/>
      <c r="CL162" s="56"/>
      <c r="CM162" s="57"/>
      <c r="CN162" s="56"/>
      <c r="CO162" s="60"/>
      <c r="CP162" s="56"/>
      <c r="CQ162" s="57"/>
      <c r="CR162" s="56"/>
      <c r="CT162" s="56"/>
      <c r="CU162" s="60"/>
      <c r="CV162" s="56"/>
      <c r="CW162" s="60"/>
      <c r="CX162" s="56"/>
      <c r="CY162" s="60"/>
      <c r="CZ162" s="56"/>
      <c r="DB162" s="56"/>
      <c r="DC162" s="60"/>
      <c r="DD162" s="56"/>
      <c r="DE162" s="60"/>
      <c r="DF162" s="56"/>
      <c r="DG162" s="60"/>
      <c r="DH162" s="56"/>
      <c r="DI162" s="60"/>
      <c r="DJ162" s="56"/>
      <c r="DL162" s="56"/>
      <c r="DM162" s="60"/>
      <c r="DN162" s="56"/>
      <c r="DO162" s="60"/>
      <c r="DP162" s="56"/>
      <c r="DR162" s="56"/>
      <c r="ER162" s="55"/>
      <c r="ES162" s="55"/>
      <c r="ET162" s="56"/>
      <c r="EU162" s="55"/>
      <c r="EV162" s="56"/>
      <c r="EW162" s="55"/>
      <c r="EX162" s="56"/>
      <c r="EY162" s="55"/>
      <c r="EZ162" s="56"/>
      <c r="FA162" s="57"/>
      <c r="FB162" s="56"/>
      <c r="FC162" s="55"/>
      <c r="FD162" s="56"/>
      <c r="FE162" s="57"/>
      <c r="FF162" s="56"/>
      <c r="FG162" s="60"/>
      <c r="FH162" s="56"/>
      <c r="FI162" s="57"/>
      <c r="FJ162" s="56"/>
      <c r="FK162" s="55"/>
      <c r="FL162" s="56"/>
      <c r="FM162" s="60"/>
      <c r="FN162" s="56"/>
      <c r="FO162" s="60"/>
      <c r="FP162" s="56"/>
      <c r="FQ162" s="60"/>
      <c r="FR162" s="56"/>
      <c r="FS162" s="55"/>
      <c r="FT162" s="56"/>
      <c r="FU162" s="60"/>
      <c r="FV162" s="56"/>
      <c r="FW162" s="60"/>
      <c r="FX162" s="56"/>
      <c r="FY162" s="60"/>
      <c r="FZ162" s="56"/>
      <c r="GA162" s="60"/>
      <c r="GB162" s="56"/>
      <c r="GC162" s="55"/>
      <c r="GD162" s="56"/>
      <c r="GE162" s="60"/>
      <c r="GF162" s="56"/>
      <c r="GG162" s="60"/>
      <c r="GH162" s="56"/>
      <c r="GI162" s="55"/>
      <c r="GJ162" s="56"/>
      <c r="GK162" s="55"/>
      <c r="GL162" s="55"/>
      <c r="GM162" s="55"/>
      <c r="GN162" s="55"/>
      <c r="GO162" s="55"/>
      <c r="GP162" s="55"/>
      <c r="GQ162" s="55"/>
      <c r="GR162" s="55"/>
      <c r="GS162" s="55"/>
      <c r="GT162" s="55"/>
      <c r="GU162" s="55"/>
      <c r="GV162" s="55"/>
      <c r="GW162" s="55"/>
      <c r="GX162" s="55"/>
      <c r="GY162" s="55"/>
      <c r="GZ162" s="55"/>
      <c r="HA162" s="55"/>
      <c r="HB162" s="55"/>
      <c r="HC162" s="55"/>
      <c r="HD162" s="55"/>
      <c r="HE162" s="55"/>
      <c r="HF162" s="55"/>
      <c r="HG162" s="55"/>
      <c r="HH162" s="55"/>
    </row>
    <row r="163" spans="1:216" x14ac:dyDescent="0.3">
      <c r="L163" s="56"/>
      <c r="N163" s="56"/>
      <c r="P163" s="56"/>
      <c r="R163" s="56"/>
      <c r="T163" s="56"/>
      <c r="V163" s="56"/>
      <c r="W163" s="60"/>
      <c r="X163" s="56"/>
      <c r="Z163" s="56"/>
      <c r="AB163" s="56"/>
      <c r="AC163" s="60"/>
      <c r="AD163" s="56"/>
      <c r="AE163" s="60"/>
      <c r="AF163" s="56"/>
      <c r="AG163" s="60"/>
      <c r="AH163" s="56"/>
      <c r="AJ163" s="56"/>
      <c r="AK163" s="60"/>
      <c r="AL163" s="56"/>
      <c r="AM163" s="60"/>
      <c r="AN163" s="56"/>
      <c r="AO163" s="60"/>
      <c r="AP163" s="56"/>
      <c r="AQ163" s="60"/>
      <c r="AR163" s="56"/>
      <c r="AT163" s="56"/>
      <c r="AU163" s="60"/>
      <c r="AV163" s="56"/>
      <c r="AW163" s="60"/>
      <c r="AX163" s="56"/>
      <c r="AZ163" s="56"/>
      <c r="CB163" s="56"/>
      <c r="CD163" s="56"/>
      <c r="CF163" s="56"/>
      <c r="CH163" s="56"/>
      <c r="CI163" s="57"/>
      <c r="CJ163" s="56"/>
      <c r="CL163" s="56"/>
      <c r="CM163" s="57"/>
      <c r="CN163" s="56"/>
      <c r="CO163" s="60"/>
      <c r="CP163" s="56"/>
      <c r="CQ163" s="57"/>
      <c r="CR163" s="56"/>
      <c r="CT163" s="56"/>
      <c r="CU163" s="60"/>
      <c r="CV163" s="56"/>
      <c r="CW163" s="60"/>
      <c r="CX163" s="56"/>
      <c r="CY163" s="60"/>
      <c r="CZ163" s="56"/>
      <c r="DB163" s="56"/>
      <c r="DC163" s="60"/>
      <c r="DD163" s="56"/>
      <c r="DE163" s="60"/>
      <c r="DF163" s="56"/>
      <c r="DG163" s="60"/>
      <c r="DH163" s="56"/>
      <c r="DI163" s="60"/>
      <c r="DJ163" s="56"/>
      <c r="DL163" s="56"/>
      <c r="DM163" s="60"/>
      <c r="DN163" s="56"/>
      <c r="DO163" s="60"/>
      <c r="DP163" s="56"/>
      <c r="DR163" s="56"/>
      <c r="ER163" s="55"/>
      <c r="ES163" s="55"/>
      <c r="ET163" s="56"/>
      <c r="EU163" s="55"/>
      <c r="EV163" s="56"/>
      <c r="EW163" s="55"/>
      <c r="EX163" s="56"/>
      <c r="EY163" s="55"/>
      <c r="EZ163" s="56"/>
      <c r="FA163" s="57"/>
      <c r="FB163" s="56"/>
      <c r="FC163" s="55"/>
      <c r="FD163" s="56"/>
      <c r="FE163" s="57"/>
      <c r="FF163" s="56"/>
      <c r="FG163" s="60"/>
      <c r="FH163" s="56"/>
      <c r="FI163" s="57"/>
      <c r="FJ163" s="56"/>
      <c r="FK163" s="55"/>
      <c r="FL163" s="56"/>
      <c r="FM163" s="60"/>
      <c r="FN163" s="56"/>
      <c r="FO163" s="60"/>
      <c r="FP163" s="56"/>
      <c r="FQ163" s="60"/>
      <c r="FR163" s="56"/>
      <c r="FS163" s="55"/>
      <c r="FT163" s="56"/>
      <c r="FU163" s="60"/>
      <c r="FV163" s="56"/>
      <c r="FW163" s="60"/>
      <c r="FX163" s="56"/>
      <c r="FY163" s="60"/>
      <c r="FZ163" s="56"/>
      <c r="GA163" s="60"/>
      <c r="GB163" s="56"/>
      <c r="GC163" s="55"/>
      <c r="GD163" s="56"/>
      <c r="GE163" s="60"/>
      <c r="GF163" s="56"/>
      <c r="GG163" s="60"/>
      <c r="GH163" s="56"/>
      <c r="GI163" s="55"/>
      <c r="GJ163" s="56"/>
      <c r="GK163" s="55"/>
      <c r="GL163" s="55"/>
      <c r="GM163" s="55"/>
      <c r="GN163" s="55"/>
      <c r="GO163" s="55"/>
      <c r="GP163" s="55"/>
      <c r="GQ163" s="55"/>
      <c r="GR163" s="55"/>
      <c r="GS163" s="55"/>
      <c r="GT163" s="55"/>
      <c r="GU163" s="55"/>
      <c r="GV163" s="55"/>
      <c r="GW163" s="55"/>
      <c r="GX163" s="55"/>
      <c r="GY163" s="55"/>
      <c r="GZ163" s="55"/>
      <c r="HA163" s="55"/>
      <c r="HB163" s="55"/>
      <c r="HC163" s="55"/>
      <c r="HD163" s="55"/>
      <c r="HE163" s="55"/>
      <c r="HF163" s="55"/>
      <c r="HG163" s="55"/>
      <c r="HH163" s="55"/>
    </row>
    <row r="164" spans="1:216" x14ac:dyDescent="0.3">
      <c r="L164" s="56"/>
      <c r="N164" s="56"/>
      <c r="P164" s="56"/>
      <c r="R164" s="56"/>
      <c r="T164" s="56"/>
      <c r="V164" s="56"/>
      <c r="W164" s="60"/>
      <c r="X164" s="56"/>
      <c r="Z164" s="56"/>
      <c r="AB164" s="56"/>
      <c r="AC164" s="60"/>
      <c r="AD164" s="56"/>
      <c r="AE164" s="60"/>
      <c r="AF164" s="56"/>
      <c r="AG164" s="60"/>
      <c r="AH164" s="56"/>
      <c r="AJ164" s="56"/>
      <c r="AK164" s="60"/>
      <c r="AL164" s="56"/>
      <c r="AM164" s="60"/>
      <c r="AN164" s="56"/>
      <c r="AO164" s="60"/>
      <c r="AP164" s="56"/>
      <c r="AQ164" s="60"/>
      <c r="AR164" s="56"/>
      <c r="AT164" s="56"/>
      <c r="AU164" s="60"/>
      <c r="AV164" s="56"/>
      <c r="AW164" s="60"/>
      <c r="AX164" s="56"/>
      <c r="AZ164" s="56"/>
      <c r="CB164" s="56"/>
      <c r="CD164" s="56"/>
      <c r="CF164" s="56"/>
      <c r="CH164" s="56"/>
      <c r="CI164" s="57"/>
      <c r="CJ164" s="56"/>
      <c r="CL164" s="56"/>
      <c r="CM164" s="57"/>
      <c r="CN164" s="56"/>
      <c r="CO164" s="60"/>
      <c r="CP164" s="56"/>
      <c r="CQ164" s="57"/>
      <c r="CR164" s="56"/>
      <c r="CT164" s="56"/>
      <c r="CU164" s="60"/>
      <c r="CV164" s="56"/>
      <c r="CW164" s="60"/>
      <c r="CX164" s="56"/>
      <c r="CY164" s="60"/>
      <c r="CZ164" s="56"/>
      <c r="DB164" s="56"/>
      <c r="DC164" s="60"/>
      <c r="DD164" s="56"/>
      <c r="DE164" s="60"/>
      <c r="DF164" s="56"/>
      <c r="DG164" s="60"/>
      <c r="DH164" s="56"/>
      <c r="DI164" s="60"/>
      <c r="DJ164" s="56"/>
      <c r="DL164" s="56"/>
      <c r="DM164" s="60"/>
      <c r="DN164" s="56"/>
      <c r="DO164" s="60"/>
      <c r="DP164" s="56"/>
      <c r="DR164" s="56"/>
      <c r="ER164" s="55"/>
      <c r="ES164" s="55"/>
      <c r="ET164" s="56"/>
      <c r="EU164" s="55"/>
      <c r="EV164" s="56"/>
      <c r="EW164" s="55"/>
      <c r="EX164" s="56"/>
      <c r="EY164" s="55"/>
      <c r="EZ164" s="56"/>
      <c r="FA164" s="57"/>
      <c r="FB164" s="56"/>
      <c r="FC164" s="55"/>
      <c r="FD164" s="56"/>
      <c r="FE164" s="57"/>
      <c r="FF164" s="56"/>
      <c r="FG164" s="60"/>
      <c r="FH164" s="56"/>
      <c r="FI164" s="57"/>
      <c r="FJ164" s="56"/>
      <c r="FK164" s="55"/>
      <c r="FL164" s="56"/>
      <c r="FM164" s="60"/>
      <c r="FN164" s="56"/>
      <c r="FO164" s="60"/>
      <c r="FP164" s="56"/>
      <c r="FQ164" s="60"/>
      <c r="FR164" s="56"/>
      <c r="FS164" s="55"/>
      <c r="FT164" s="56"/>
      <c r="FU164" s="60"/>
      <c r="FV164" s="56"/>
      <c r="FW164" s="60"/>
      <c r="FX164" s="56"/>
      <c r="FY164" s="60"/>
      <c r="FZ164" s="56"/>
      <c r="GA164" s="60"/>
      <c r="GB164" s="56"/>
      <c r="GC164" s="55"/>
      <c r="GD164" s="56"/>
      <c r="GE164" s="60"/>
      <c r="GF164" s="56"/>
      <c r="GG164" s="60"/>
      <c r="GH164" s="56"/>
      <c r="GI164" s="55"/>
      <c r="GJ164" s="56"/>
      <c r="GK164" s="55"/>
      <c r="GL164" s="55"/>
      <c r="GM164" s="55"/>
      <c r="GN164" s="55"/>
      <c r="GO164" s="55"/>
      <c r="GP164" s="55"/>
      <c r="GQ164" s="55"/>
      <c r="GR164" s="55"/>
      <c r="GS164" s="55"/>
      <c r="GT164" s="55"/>
      <c r="GU164" s="55"/>
      <c r="GV164" s="55"/>
      <c r="GW164" s="55"/>
      <c r="GX164" s="55"/>
      <c r="GY164" s="55"/>
      <c r="GZ164" s="55"/>
      <c r="HA164" s="55"/>
      <c r="HB164" s="55"/>
      <c r="HC164" s="55"/>
      <c r="HD164" s="55"/>
      <c r="HE164" s="55"/>
      <c r="HF164" s="55"/>
      <c r="HG164" s="55"/>
      <c r="HH164" s="55"/>
    </row>
    <row r="165" spans="1:216" x14ac:dyDescent="0.3">
      <c r="L165" s="56"/>
      <c r="N165" s="56"/>
      <c r="P165" s="56"/>
      <c r="R165" s="56"/>
      <c r="T165" s="56"/>
      <c r="V165" s="56"/>
      <c r="W165" s="60"/>
      <c r="X165" s="56"/>
      <c r="Z165" s="56"/>
      <c r="AB165" s="56"/>
      <c r="AC165" s="60"/>
      <c r="AD165" s="56"/>
      <c r="AE165" s="60"/>
      <c r="AF165" s="56"/>
      <c r="AG165" s="60"/>
      <c r="AH165" s="56"/>
      <c r="AJ165" s="56"/>
      <c r="AK165" s="60"/>
      <c r="AL165" s="56"/>
      <c r="AM165" s="60"/>
      <c r="AN165" s="56"/>
      <c r="AO165" s="60"/>
      <c r="AP165" s="56"/>
      <c r="AQ165" s="60"/>
      <c r="AR165" s="56"/>
      <c r="AT165" s="56"/>
      <c r="AU165" s="60"/>
      <c r="AV165" s="56"/>
      <c r="AW165" s="60"/>
      <c r="AX165" s="56"/>
      <c r="AZ165" s="56"/>
      <c r="CB165" s="56"/>
      <c r="CD165" s="56"/>
      <c r="CF165" s="56"/>
      <c r="CH165" s="56"/>
      <c r="CI165" s="57"/>
      <c r="CJ165" s="56"/>
      <c r="CL165" s="56"/>
      <c r="CM165" s="57"/>
      <c r="CN165" s="56"/>
      <c r="CO165" s="60"/>
      <c r="CP165" s="56"/>
      <c r="CQ165" s="57"/>
      <c r="CR165" s="56"/>
      <c r="CT165" s="56"/>
      <c r="CU165" s="60"/>
      <c r="CV165" s="56"/>
      <c r="CW165" s="60"/>
      <c r="CX165" s="56"/>
      <c r="CY165" s="60"/>
      <c r="CZ165" s="56"/>
      <c r="DB165" s="56"/>
      <c r="DC165" s="60"/>
      <c r="DD165" s="56"/>
      <c r="DE165" s="60"/>
      <c r="DF165" s="56"/>
      <c r="DG165" s="60"/>
      <c r="DH165" s="56"/>
      <c r="DI165" s="60"/>
      <c r="DJ165" s="56"/>
      <c r="DL165" s="56"/>
      <c r="DM165" s="60"/>
      <c r="DN165" s="56"/>
      <c r="DO165" s="60"/>
      <c r="DP165" s="56"/>
      <c r="DR165" s="56"/>
      <c r="ER165" s="55"/>
      <c r="ES165" s="55"/>
      <c r="ET165" s="56"/>
      <c r="EU165" s="55"/>
      <c r="EV165" s="56"/>
      <c r="EW165" s="55"/>
      <c r="EX165" s="56"/>
      <c r="EY165" s="55"/>
      <c r="EZ165" s="56"/>
      <c r="FA165" s="57"/>
      <c r="FB165" s="56"/>
      <c r="FC165" s="55"/>
      <c r="FD165" s="56"/>
      <c r="FE165" s="57"/>
      <c r="FF165" s="56"/>
      <c r="FG165" s="60"/>
      <c r="FH165" s="56"/>
      <c r="FI165" s="57"/>
      <c r="FJ165" s="56"/>
      <c r="FK165" s="55"/>
      <c r="FL165" s="56"/>
      <c r="FM165" s="60"/>
      <c r="FN165" s="56"/>
      <c r="FO165" s="60"/>
      <c r="FP165" s="56"/>
      <c r="FQ165" s="60"/>
      <c r="FR165" s="56"/>
      <c r="FS165" s="55"/>
      <c r="FT165" s="56"/>
      <c r="FU165" s="60"/>
      <c r="FV165" s="56"/>
      <c r="FW165" s="60"/>
      <c r="FX165" s="56"/>
      <c r="FY165" s="60"/>
      <c r="FZ165" s="56"/>
      <c r="GA165" s="60"/>
      <c r="GB165" s="56"/>
      <c r="GC165" s="55"/>
      <c r="GD165" s="56"/>
      <c r="GE165" s="60"/>
      <c r="GF165" s="56"/>
      <c r="GG165" s="60"/>
      <c r="GH165" s="56"/>
      <c r="GI165" s="55"/>
      <c r="GJ165" s="56"/>
      <c r="GK165" s="55"/>
      <c r="GL165" s="55"/>
      <c r="GM165" s="55"/>
      <c r="GN165" s="55"/>
      <c r="GO165" s="55"/>
      <c r="GP165" s="55"/>
      <c r="GQ165" s="55"/>
      <c r="GR165" s="55"/>
      <c r="GS165" s="55"/>
      <c r="GT165" s="55"/>
      <c r="GU165" s="55"/>
      <c r="GV165" s="55"/>
      <c r="GW165" s="55"/>
      <c r="GX165" s="55"/>
      <c r="GY165" s="55"/>
      <c r="GZ165" s="55"/>
      <c r="HA165" s="55"/>
      <c r="HB165" s="55"/>
      <c r="HC165" s="55"/>
      <c r="HD165" s="55"/>
      <c r="HE165" s="55"/>
      <c r="HF165" s="55"/>
      <c r="HG165" s="55"/>
      <c r="HH165" s="55"/>
    </row>
    <row r="166" spans="1:216" x14ac:dyDescent="0.3">
      <c r="L166" s="56"/>
      <c r="N166" s="56"/>
      <c r="P166" s="56"/>
      <c r="R166" s="56"/>
      <c r="T166" s="56"/>
      <c r="V166" s="56"/>
      <c r="W166" s="60"/>
      <c r="X166" s="56"/>
      <c r="Z166" s="56"/>
      <c r="AB166" s="56"/>
      <c r="AC166" s="60"/>
      <c r="AD166" s="56"/>
      <c r="AE166" s="60"/>
      <c r="AF166" s="56"/>
      <c r="AG166" s="60"/>
      <c r="AH166" s="56"/>
      <c r="AJ166" s="56"/>
      <c r="AK166" s="60"/>
      <c r="AL166" s="56"/>
      <c r="AM166" s="60"/>
      <c r="AN166" s="56"/>
      <c r="AO166" s="60"/>
      <c r="AP166" s="56"/>
      <c r="AQ166" s="60"/>
      <c r="AR166" s="56"/>
      <c r="AT166" s="56"/>
      <c r="AU166" s="60"/>
      <c r="AV166" s="56"/>
      <c r="AW166" s="60"/>
      <c r="AX166" s="56"/>
      <c r="AZ166" s="56"/>
      <c r="CB166" s="56"/>
      <c r="CD166" s="56"/>
      <c r="CF166" s="56"/>
      <c r="CH166" s="56"/>
      <c r="CI166" s="57"/>
      <c r="CJ166" s="56"/>
      <c r="CL166" s="56"/>
      <c r="CM166" s="57"/>
      <c r="CN166" s="56"/>
      <c r="CO166" s="60"/>
      <c r="CP166" s="56"/>
      <c r="CQ166" s="57"/>
      <c r="CR166" s="56"/>
      <c r="CT166" s="56"/>
      <c r="CU166" s="60"/>
      <c r="CV166" s="56"/>
      <c r="CW166" s="60"/>
      <c r="CX166" s="56"/>
      <c r="CY166" s="60"/>
      <c r="CZ166" s="56"/>
      <c r="DB166" s="56"/>
      <c r="DC166" s="60"/>
      <c r="DD166" s="56"/>
      <c r="DE166" s="60"/>
      <c r="DF166" s="56"/>
      <c r="DG166" s="60"/>
      <c r="DH166" s="56"/>
      <c r="DI166" s="60"/>
      <c r="DJ166" s="56"/>
      <c r="DL166" s="56"/>
      <c r="DM166" s="60"/>
      <c r="DN166" s="56"/>
      <c r="DO166" s="60"/>
      <c r="DP166" s="56"/>
      <c r="DR166" s="56"/>
      <c r="ER166" s="55"/>
      <c r="ES166" s="55"/>
      <c r="ET166" s="56"/>
      <c r="EU166" s="55"/>
      <c r="EV166" s="56"/>
      <c r="EW166" s="55"/>
      <c r="EX166" s="56"/>
      <c r="EY166" s="55"/>
      <c r="EZ166" s="56"/>
      <c r="FA166" s="57"/>
      <c r="FB166" s="56"/>
      <c r="FC166" s="55"/>
      <c r="FD166" s="56"/>
      <c r="FE166" s="57"/>
      <c r="FF166" s="56"/>
      <c r="FG166" s="60"/>
      <c r="FH166" s="56"/>
      <c r="FI166" s="57"/>
      <c r="FJ166" s="56"/>
      <c r="FK166" s="55"/>
      <c r="FL166" s="56"/>
      <c r="FM166" s="60"/>
      <c r="FN166" s="56"/>
      <c r="FO166" s="60"/>
      <c r="FP166" s="56"/>
      <c r="FQ166" s="60"/>
      <c r="FR166" s="56"/>
      <c r="FS166" s="55"/>
      <c r="FT166" s="56"/>
      <c r="FU166" s="60"/>
      <c r="FV166" s="56"/>
      <c r="FW166" s="60"/>
      <c r="FX166" s="56"/>
      <c r="FY166" s="60"/>
      <c r="FZ166" s="56"/>
      <c r="GA166" s="60"/>
      <c r="GB166" s="56"/>
      <c r="GC166" s="55"/>
      <c r="GD166" s="56"/>
      <c r="GE166" s="60"/>
      <c r="GF166" s="56"/>
      <c r="GG166" s="60"/>
      <c r="GH166" s="56"/>
      <c r="GI166" s="55"/>
      <c r="GJ166" s="56"/>
      <c r="GK166" s="55"/>
      <c r="GL166" s="55"/>
      <c r="GM166" s="55"/>
      <c r="GN166" s="55"/>
      <c r="GO166" s="55"/>
      <c r="GP166" s="55"/>
      <c r="GQ166" s="55"/>
      <c r="GR166" s="55"/>
      <c r="GS166" s="55"/>
      <c r="GT166" s="55"/>
      <c r="GU166" s="55"/>
      <c r="GV166" s="55"/>
      <c r="GW166" s="55"/>
      <c r="GX166" s="55"/>
      <c r="GY166" s="55"/>
      <c r="GZ166" s="55"/>
      <c r="HA166" s="55"/>
      <c r="HB166" s="55"/>
      <c r="HC166" s="55"/>
      <c r="HD166" s="55"/>
      <c r="HE166" s="55"/>
      <c r="HF166" s="55"/>
      <c r="HG166" s="55"/>
      <c r="HH166" s="55"/>
    </row>
    <row r="167" spans="1:216" x14ac:dyDescent="0.3">
      <c r="L167" s="56"/>
      <c r="N167" s="56"/>
      <c r="P167" s="56"/>
      <c r="R167" s="56"/>
      <c r="T167" s="56"/>
      <c r="V167" s="56"/>
      <c r="W167" s="60"/>
      <c r="X167" s="56"/>
      <c r="Z167" s="56"/>
      <c r="AB167" s="56"/>
      <c r="AC167" s="60"/>
      <c r="AD167" s="56"/>
      <c r="AE167" s="60"/>
      <c r="AF167" s="56"/>
      <c r="AG167" s="60"/>
      <c r="AH167" s="56"/>
      <c r="AJ167" s="56"/>
      <c r="AK167" s="60"/>
      <c r="AL167" s="56"/>
      <c r="AM167" s="60"/>
      <c r="AN167" s="56"/>
      <c r="AO167" s="60"/>
      <c r="AP167" s="56"/>
      <c r="AQ167" s="60"/>
      <c r="AR167" s="56"/>
      <c r="AT167" s="56"/>
      <c r="AU167" s="60"/>
      <c r="AV167" s="56"/>
      <c r="AW167" s="60"/>
      <c r="AX167" s="56"/>
      <c r="AZ167" s="56"/>
      <c r="CB167" s="56"/>
      <c r="CD167" s="56"/>
      <c r="CF167" s="56"/>
      <c r="CH167" s="56"/>
      <c r="CI167" s="57"/>
      <c r="CJ167" s="56"/>
      <c r="CL167" s="56"/>
      <c r="CM167" s="57"/>
      <c r="CN167" s="56"/>
      <c r="CO167" s="60"/>
      <c r="CP167" s="56"/>
      <c r="CQ167" s="57"/>
      <c r="CR167" s="56"/>
      <c r="CT167" s="56"/>
      <c r="CU167" s="60"/>
      <c r="CV167" s="56"/>
      <c r="CW167" s="60"/>
      <c r="CX167" s="56"/>
      <c r="CY167" s="60"/>
      <c r="CZ167" s="56"/>
      <c r="DB167" s="56"/>
      <c r="DC167" s="60"/>
      <c r="DD167" s="56"/>
      <c r="DE167" s="60"/>
      <c r="DF167" s="56"/>
      <c r="DG167" s="60"/>
      <c r="DH167" s="56"/>
      <c r="DI167" s="60"/>
      <c r="DJ167" s="56"/>
      <c r="DL167" s="56"/>
      <c r="DM167" s="60"/>
      <c r="DN167" s="56"/>
      <c r="DO167" s="60"/>
      <c r="DP167" s="56"/>
      <c r="DR167" s="56"/>
      <c r="ER167" s="55"/>
      <c r="ES167" s="55"/>
      <c r="ET167" s="56"/>
      <c r="EU167" s="55"/>
      <c r="EV167" s="56"/>
      <c r="EW167" s="55"/>
      <c r="EX167" s="56"/>
      <c r="EY167" s="55"/>
      <c r="EZ167" s="56"/>
      <c r="FA167" s="57"/>
      <c r="FB167" s="56"/>
      <c r="FC167" s="55"/>
      <c r="FD167" s="56"/>
      <c r="FE167" s="57"/>
      <c r="FF167" s="56"/>
      <c r="FG167" s="60"/>
      <c r="FH167" s="56"/>
      <c r="FI167" s="57"/>
      <c r="FJ167" s="56"/>
      <c r="FK167" s="55"/>
      <c r="FL167" s="56"/>
      <c r="FM167" s="60"/>
      <c r="FN167" s="56"/>
      <c r="FO167" s="60"/>
      <c r="FP167" s="56"/>
      <c r="FQ167" s="60"/>
      <c r="FR167" s="56"/>
      <c r="FS167" s="55"/>
      <c r="FT167" s="56"/>
      <c r="FU167" s="60"/>
      <c r="FV167" s="56"/>
      <c r="FW167" s="60"/>
      <c r="FX167" s="56"/>
      <c r="FY167" s="60"/>
      <c r="FZ167" s="56"/>
      <c r="GA167" s="60"/>
      <c r="GB167" s="56"/>
      <c r="GC167" s="55"/>
      <c r="GD167" s="56"/>
      <c r="GE167" s="60"/>
      <c r="GF167" s="56"/>
      <c r="GG167" s="60"/>
      <c r="GH167" s="56"/>
      <c r="GI167" s="55"/>
      <c r="GJ167" s="56"/>
      <c r="GK167" s="55"/>
      <c r="GL167" s="55"/>
      <c r="GM167" s="55"/>
      <c r="GN167" s="55"/>
      <c r="GO167" s="55"/>
      <c r="GP167" s="55"/>
      <c r="GQ167" s="55"/>
      <c r="GR167" s="55"/>
      <c r="GS167" s="55"/>
      <c r="GT167" s="55"/>
      <c r="GU167" s="55"/>
      <c r="GV167" s="55"/>
      <c r="GW167" s="55"/>
      <c r="GX167" s="55"/>
      <c r="GY167" s="55"/>
      <c r="GZ167" s="55"/>
      <c r="HA167" s="55"/>
      <c r="HB167" s="55"/>
      <c r="HC167" s="55"/>
      <c r="HD167" s="55"/>
      <c r="HE167" s="55"/>
      <c r="HF167" s="55"/>
      <c r="HG167" s="55"/>
      <c r="HH167" s="55"/>
    </row>
    <row r="168" spans="1:216" x14ac:dyDescent="0.3">
      <c r="L168" s="56"/>
      <c r="N168" s="56"/>
      <c r="P168" s="56"/>
      <c r="R168" s="56"/>
      <c r="T168" s="56"/>
      <c r="V168" s="56"/>
      <c r="W168" s="60"/>
      <c r="X168" s="56"/>
      <c r="Z168" s="56"/>
      <c r="AB168" s="56"/>
      <c r="AC168" s="60"/>
      <c r="AD168" s="56"/>
      <c r="AE168" s="60"/>
      <c r="AF168" s="56"/>
      <c r="AG168" s="60"/>
      <c r="AH168" s="56"/>
      <c r="AJ168" s="56"/>
      <c r="AK168" s="60"/>
      <c r="AL168" s="56"/>
      <c r="AM168" s="60"/>
      <c r="AN168" s="56"/>
      <c r="AO168" s="60"/>
      <c r="AP168" s="56"/>
      <c r="AQ168" s="60"/>
      <c r="AR168" s="56"/>
      <c r="AT168" s="56"/>
      <c r="AU168" s="60"/>
      <c r="AV168" s="56"/>
      <c r="AW168" s="60"/>
      <c r="AX168" s="56"/>
      <c r="AZ168" s="56"/>
      <c r="CB168" s="56"/>
      <c r="CD168" s="56"/>
      <c r="CF168" s="56"/>
      <c r="CH168" s="56"/>
      <c r="CI168" s="57"/>
      <c r="CJ168" s="56"/>
      <c r="CL168" s="56"/>
      <c r="CM168" s="57"/>
      <c r="CN168" s="56"/>
      <c r="CO168" s="60"/>
      <c r="CP168" s="56"/>
      <c r="CQ168" s="57"/>
      <c r="CR168" s="56"/>
      <c r="CT168" s="56"/>
      <c r="CU168" s="60"/>
      <c r="CV168" s="56"/>
      <c r="CW168" s="60"/>
      <c r="CX168" s="56"/>
      <c r="CY168" s="60"/>
      <c r="CZ168" s="56"/>
      <c r="DB168" s="56"/>
      <c r="DC168" s="60"/>
      <c r="DD168" s="56"/>
      <c r="DE168" s="60"/>
      <c r="DF168" s="56"/>
      <c r="DG168" s="60"/>
      <c r="DH168" s="56"/>
      <c r="DI168" s="60"/>
      <c r="DJ168" s="56"/>
      <c r="DL168" s="56"/>
      <c r="DM168" s="60"/>
      <c r="DN168" s="56"/>
      <c r="DO168" s="60"/>
      <c r="DP168" s="56"/>
      <c r="DR168" s="56"/>
      <c r="ER168" s="55"/>
      <c r="ES168" s="55"/>
      <c r="ET168" s="56"/>
      <c r="EU168" s="55"/>
      <c r="EV168" s="56"/>
      <c r="EW168" s="55"/>
      <c r="EX168" s="56"/>
      <c r="EY168" s="55"/>
      <c r="EZ168" s="56"/>
      <c r="FA168" s="57"/>
      <c r="FB168" s="56"/>
      <c r="FC168" s="55"/>
      <c r="FD168" s="56"/>
      <c r="FE168" s="57"/>
      <c r="FF168" s="56"/>
      <c r="FG168" s="60"/>
      <c r="FH168" s="56"/>
      <c r="FI168" s="57"/>
      <c r="FJ168" s="56"/>
      <c r="FK168" s="55"/>
      <c r="FL168" s="56"/>
      <c r="FM168" s="60"/>
      <c r="FN168" s="56"/>
      <c r="FO168" s="60"/>
      <c r="FP168" s="56"/>
      <c r="FQ168" s="60"/>
      <c r="FR168" s="56"/>
      <c r="FS168" s="55"/>
      <c r="FT168" s="56"/>
      <c r="FU168" s="60"/>
      <c r="FV168" s="56"/>
      <c r="FW168" s="60"/>
      <c r="FX168" s="56"/>
      <c r="FY168" s="60"/>
      <c r="FZ168" s="56"/>
      <c r="GA168" s="60"/>
      <c r="GB168" s="56"/>
      <c r="GC168" s="55"/>
      <c r="GD168" s="56"/>
      <c r="GE168" s="60"/>
      <c r="GF168" s="56"/>
      <c r="GG168" s="60"/>
      <c r="GH168" s="56"/>
      <c r="GI168" s="55"/>
      <c r="GJ168" s="56"/>
      <c r="GK168" s="55"/>
      <c r="GL168" s="55"/>
      <c r="GM168" s="55"/>
      <c r="GN168" s="55"/>
      <c r="GO168" s="55"/>
      <c r="GP168" s="55"/>
      <c r="GQ168" s="55"/>
      <c r="GR168" s="55"/>
      <c r="GS168" s="55"/>
      <c r="GT168" s="55"/>
      <c r="GU168" s="55"/>
      <c r="GV168" s="55"/>
      <c r="GW168" s="55"/>
      <c r="GX168" s="55"/>
      <c r="GY168" s="55"/>
      <c r="GZ168" s="55"/>
      <c r="HA168" s="55"/>
      <c r="HB168" s="55"/>
      <c r="HC168" s="55"/>
      <c r="HD168" s="55"/>
      <c r="HE168" s="55"/>
      <c r="HF168" s="55"/>
      <c r="HG168" s="55"/>
      <c r="HH168" s="55"/>
    </row>
    <row r="169" spans="1:216" x14ac:dyDescent="0.3">
      <c r="L169" s="56"/>
      <c r="N169" s="56"/>
      <c r="P169" s="56"/>
      <c r="R169" s="56"/>
      <c r="T169" s="56"/>
      <c r="V169" s="56"/>
      <c r="W169" s="60"/>
      <c r="X169" s="56"/>
      <c r="Z169" s="56"/>
      <c r="AB169" s="56"/>
      <c r="AC169" s="60"/>
      <c r="AD169" s="56"/>
      <c r="AE169" s="60"/>
      <c r="AF169" s="56"/>
      <c r="AG169" s="60"/>
      <c r="AH169" s="56"/>
      <c r="AJ169" s="56"/>
      <c r="AK169" s="60"/>
      <c r="AL169" s="56"/>
      <c r="AM169" s="60"/>
      <c r="AN169" s="56"/>
      <c r="AO169" s="60"/>
      <c r="AP169" s="56"/>
      <c r="AQ169" s="60"/>
      <c r="AR169" s="56"/>
      <c r="AT169" s="56"/>
      <c r="AU169" s="60"/>
      <c r="AV169" s="56"/>
      <c r="AW169" s="60"/>
      <c r="AX169" s="56"/>
      <c r="AZ169" s="56"/>
      <c r="CB169" s="56"/>
      <c r="CD169" s="56"/>
      <c r="CF169" s="56"/>
      <c r="CH169" s="56"/>
      <c r="CI169" s="57"/>
      <c r="CJ169" s="56"/>
      <c r="CL169" s="56"/>
      <c r="CM169" s="57"/>
      <c r="CN169" s="56"/>
      <c r="CO169" s="60"/>
      <c r="CP169" s="56"/>
      <c r="CQ169" s="57"/>
      <c r="CR169" s="56"/>
      <c r="CT169" s="56"/>
      <c r="CU169" s="60"/>
      <c r="CV169" s="56"/>
      <c r="CW169" s="60"/>
      <c r="CX169" s="56"/>
      <c r="CY169" s="60"/>
      <c r="CZ169" s="56"/>
      <c r="DB169" s="56"/>
      <c r="DC169" s="60"/>
      <c r="DD169" s="56"/>
      <c r="DE169" s="60"/>
      <c r="DF169" s="56"/>
      <c r="DG169" s="60"/>
      <c r="DH169" s="56"/>
      <c r="DI169" s="60"/>
      <c r="DJ169" s="56"/>
      <c r="DL169" s="56"/>
      <c r="DM169" s="60"/>
      <c r="DN169" s="56"/>
      <c r="DO169" s="60"/>
      <c r="DP169" s="56"/>
      <c r="DR169" s="56"/>
      <c r="ER169" s="55"/>
      <c r="ES169" s="55"/>
      <c r="ET169" s="56"/>
      <c r="EU169" s="55"/>
      <c r="EV169" s="56"/>
      <c r="EW169" s="55"/>
      <c r="EX169" s="56"/>
      <c r="EY169" s="55"/>
      <c r="EZ169" s="56"/>
      <c r="FA169" s="57"/>
      <c r="FB169" s="56"/>
      <c r="FC169" s="55"/>
      <c r="FD169" s="56"/>
      <c r="FE169" s="57"/>
      <c r="FF169" s="56"/>
      <c r="FG169" s="60"/>
      <c r="FH169" s="56"/>
      <c r="FI169" s="57"/>
      <c r="FJ169" s="56"/>
      <c r="FK169" s="55"/>
      <c r="FL169" s="56"/>
      <c r="FM169" s="60"/>
      <c r="FN169" s="56"/>
      <c r="FO169" s="60"/>
      <c r="FP169" s="56"/>
      <c r="FQ169" s="60"/>
      <c r="FR169" s="56"/>
      <c r="FS169" s="55"/>
      <c r="FT169" s="56"/>
      <c r="FU169" s="60"/>
      <c r="FV169" s="56"/>
      <c r="FW169" s="60"/>
      <c r="FX169" s="56"/>
      <c r="FY169" s="60"/>
      <c r="FZ169" s="56"/>
      <c r="GA169" s="60"/>
      <c r="GB169" s="56"/>
      <c r="GC169" s="55"/>
      <c r="GD169" s="56"/>
      <c r="GE169" s="60"/>
      <c r="GF169" s="56"/>
      <c r="GG169" s="60"/>
      <c r="GH169" s="56"/>
      <c r="GI169" s="55"/>
      <c r="GJ169" s="56"/>
      <c r="GK169" s="55"/>
      <c r="GL169" s="55"/>
      <c r="GM169" s="55"/>
      <c r="GN169" s="55"/>
      <c r="GO169" s="55"/>
      <c r="GP169" s="55"/>
      <c r="GQ169" s="55"/>
      <c r="GR169" s="55"/>
      <c r="GS169" s="55"/>
      <c r="GT169" s="55"/>
      <c r="GU169" s="55"/>
      <c r="GV169" s="55"/>
      <c r="GW169" s="55"/>
      <c r="GX169" s="55"/>
      <c r="GY169" s="55"/>
      <c r="GZ169" s="55"/>
      <c r="HA169" s="55"/>
      <c r="HB169" s="55"/>
      <c r="HC169" s="55"/>
      <c r="HD169" s="55"/>
      <c r="HE169" s="55"/>
      <c r="HF169" s="55"/>
      <c r="HG169" s="55"/>
      <c r="HH169" s="55"/>
    </row>
    <row r="170" spans="1:216" x14ac:dyDescent="0.3">
      <c r="L170" s="56"/>
      <c r="N170" s="56"/>
      <c r="P170" s="56"/>
      <c r="R170" s="56"/>
      <c r="T170" s="56"/>
      <c r="V170" s="56"/>
      <c r="W170" s="60"/>
      <c r="X170" s="56"/>
      <c r="Z170" s="56"/>
      <c r="AB170" s="56"/>
      <c r="AC170" s="60"/>
      <c r="AD170" s="56"/>
      <c r="AE170" s="60"/>
      <c r="AF170" s="56"/>
      <c r="AG170" s="60"/>
      <c r="AH170" s="56"/>
      <c r="AJ170" s="56"/>
      <c r="AK170" s="60"/>
      <c r="AL170" s="56"/>
      <c r="AM170" s="60"/>
      <c r="AN170" s="56"/>
      <c r="AO170" s="60"/>
      <c r="AP170" s="56"/>
      <c r="AQ170" s="60"/>
      <c r="AR170" s="56"/>
      <c r="AT170" s="56"/>
      <c r="AU170" s="60"/>
      <c r="AV170" s="56"/>
      <c r="AW170" s="60"/>
      <c r="AX170" s="56"/>
      <c r="AZ170" s="56"/>
      <c r="CB170" s="56"/>
      <c r="CD170" s="56"/>
      <c r="CF170" s="56"/>
      <c r="CH170" s="56"/>
      <c r="CI170" s="57"/>
      <c r="CJ170" s="56"/>
      <c r="CL170" s="56"/>
      <c r="CM170" s="57"/>
      <c r="CN170" s="56"/>
      <c r="CO170" s="60"/>
      <c r="CP170" s="56"/>
      <c r="CQ170" s="57"/>
      <c r="CR170" s="56"/>
      <c r="CT170" s="56"/>
      <c r="CU170" s="60"/>
      <c r="CV170" s="56"/>
      <c r="CW170" s="60"/>
      <c r="CX170" s="56"/>
      <c r="CY170" s="60"/>
      <c r="CZ170" s="56"/>
      <c r="DB170" s="56"/>
      <c r="DC170" s="60"/>
      <c r="DD170" s="56"/>
      <c r="DE170" s="60"/>
      <c r="DF170" s="56"/>
      <c r="DG170" s="60"/>
      <c r="DH170" s="56"/>
      <c r="DI170" s="60"/>
      <c r="DJ170" s="56"/>
      <c r="DL170" s="56"/>
      <c r="DM170" s="60"/>
      <c r="DN170" s="56"/>
      <c r="DO170" s="60"/>
      <c r="DP170" s="56"/>
      <c r="DR170" s="56"/>
      <c r="ER170" s="55"/>
      <c r="ES170" s="55"/>
      <c r="ET170" s="56"/>
      <c r="EU170" s="55"/>
      <c r="EV170" s="56"/>
      <c r="EW170" s="55"/>
      <c r="EX170" s="56"/>
      <c r="EY170" s="55"/>
      <c r="EZ170" s="56"/>
      <c r="FA170" s="57"/>
      <c r="FB170" s="56"/>
      <c r="FC170" s="55"/>
      <c r="FD170" s="56"/>
      <c r="FE170" s="57"/>
      <c r="FF170" s="56"/>
      <c r="FG170" s="60"/>
      <c r="FH170" s="56"/>
      <c r="FI170" s="57"/>
      <c r="FJ170" s="56"/>
      <c r="FK170" s="55"/>
      <c r="FL170" s="56"/>
      <c r="FM170" s="60"/>
      <c r="FN170" s="56"/>
      <c r="FO170" s="60"/>
      <c r="FP170" s="56"/>
      <c r="FQ170" s="60"/>
      <c r="FR170" s="56"/>
      <c r="FS170" s="55"/>
      <c r="FT170" s="56"/>
      <c r="FU170" s="60"/>
      <c r="FV170" s="56"/>
      <c r="FW170" s="60"/>
      <c r="FX170" s="56"/>
      <c r="FY170" s="60"/>
      <c r="FZ170" s="56"/>
      <c r="GA170" s="60"/>
      <c r="GB170" s="56"/>
      <c r="GC170" s="55"/>
      <c r="GD170" s="56"/>
      <c r="GE170" s="60"/>
      <c r="GF170" s="56"/>
      <c r="GG170" s="60"/>
      <c r="GH170" s="56"/>
      <c r="GI170" s="55"/>
      <c r="GJ170" s="56"/>
      <c r="GK170" s="55"/>
      <c r="GL170" s="55"/>
      <c r="GM170" s="55"/>
      <c r="GN170" s="55"/>
      <c r="GO170" s="55"/>
      <c r="GP170" s="55"/>
      <c r="GQ170" s="55"/>
      <c r="GR170" s="55"/>
      <c r="GS170" s="55"/>
      <c r="GT170" s="55"/>
      <c r="GU170" s="55"/>
      <c r="GV170" s="55"/>
      <c r="GW170" s="55"/>
      <c r="GX170" s="55"/>
      <c r="GY170" s="55"/>
      <c r="GZ170" s="55"/>
      <c r="HA170" s="55"/>
      <c r="HB170" s="55"/>
      <c r="HC170" s="55"/>
      <c r="HD170" s="55"/>
      <c r="HE170" s="55"/>
      <c r="HF170" s="55"/>
      <c r="HG170" s="55"/>
      <c r="HH170" s="55"/>
    </row>
    <row r="171" spans="1:216" x14ac:dyDescent="0.3">
      <c r="L171" s="56"/>
      <c r="N171" s="56"/>
      <c r="P171" s="56"/>
      <c r="R171" s="56"/>
      <c r="T171" s="56"/>
      <c r="V171" s="56"/>
      <c r="W171" s="60"/>
      <c r="X171" s="56"/>
      <c r="Z171" s="56"/>
      <c r="AB171" s="56"/>
      <c r="AC171" s="60"/>
      <c r="AD171" s="56"/>
      <c r="AE171" s="60"/>
      <c r="AF171" s="56"/>
      <c r="AG171" s="60"/>
      <c r="AH171" s="56"/>
      <c r="AJ171" s="56"/>
      <c r="AK171" s="60"/>
      <c r="AL171" s="56"/>
      <c r="AM171" s="60"/>
      <c r="AN171" s="56"/>
      <c r="AO171" s="60"/>
      <c r="AP171" s="56"/>
      <c r="AQ171" s="60"/>
      <c r="AR171" s="56"/>
      <c r="AT171" s="56"/>
      <c r="AU171" s="60"/>
      <c r="AV171" s="56"/>
      <c r="AW171" s="60"/>
      <c r="AX171" s="56"/>
      <c r="AZ171" s="56"/>
      <c r="CB171" s="56"/>
      <c r="CD171" s="56"/>
      <c r="CF171" s="56"/>
      <c r="CH171" s="56"/>
      <c r="CI171" s="57"/>
      <c r="CJ171" s="56"/>
      <c r="CL171" s="56"/>
      <c r="CM171" s="57"/>
      <c r="CN171" s="56"/>
      <c r="CO171" s="60"/>
      <c r="CP171" s="56"/>
      <c r="CQ171" s="57"/>
      <c r="CR171" s="56"/>
      <c r="CT171" s="56"/>
      <c r="CU171" s="60"/>
      <c r="CV171" s="56"/>
      <c r="CW171" s="60"/>
      <c r="CX171" s="56"/>
      <c r="CY171" s="60"/>
      <c r="CZ171" s="56"/>
      <c r="DB171" s="56"/>
      <c r="DC171" s="60"/>
      <c r="DD171" s="56"/>
      <c r="DE171" s="60"/>
      <c r="DF171" s="56"/>
      <c r="DG171" s="60"/>
      <c r="DH171" s="56"/>
      <c r="DI171" s="60"/>
      <c r="DJ171" s="56"/>
      <c r="DL171" s="56"/>
      <c r="DM171" s="60"/>
      <c r="DN171" s="56"/>
      <c r="DO171" s="60"/>
      <c r="DP171" s="56"/>
      <c r="DR171" s="56"/>
      <c r="ER171" s="55"/>
      <c r="ES171" s="55"/>
      <c r="ET171" s="56"/>
      <c r="EU171" s="55"/>
      <c r="EV171" s="56"/>
      <c r="EW171" s="55"/>
      <c r="EX171" s="56"/>
      <c r="EY171" s="55"/>
      <c r="EZ171" s="56"/>
      <c r="FA171" s="57"/>
      <c r="FB171" s="56"/>
      <c r="FC171" s="55"/>
      <c r="FD171" s="56"/>
      <c r="FE171" s="57"/>
      <c r="FF171" s="56"/>
      <c r="FG171" s="60"/>
      <c r="FH171" s="56"/>
      <c r="FI171" s="57"/>
      <c r="FJ171" s="56"/>
      <c r="FK171" s="55"/>
      <c r="FL171" s="56"/>
      <c r="FM171" s="60"/>
      <c r="FN171" s="56"/>
      <c r="FO171" s="60"/>
      <c r="FP171" s="56"/>
      <c r="FQ171" s="60"/>
      <c r="FR171" s="56"/>
      <c r="FS171" s="55"/>
      <c r="FT171" s="56"/>
      <c r="FU171" s="60"/>
      <c r="FV171" s="56"/>
      <c r="FW171" s="60"/>
      <c r="FX171" s="56"/>
      <c r="FY171" s="60"/>
      <c r="FZ171" s="56"/>
      <c r="GA171" s="60"/>
      <c r="GB171" s="56"/>
      <c r="GC171" s="55"/>
      <c r="GD171" s="56"/>
      <c r="GE171" s="60"/>
      <c r="GF171" s="56"/>
      <c r="GG171" s="60"/>
      <c r="GH171" s="56"/>
      <c r="GI171" s="55"/>
      <c r="GJ171" s="56"/>
      <c r="GK171" s="55"/>
      <c r="GL171" s="55"/>
      <c r="GM171" s="55"/>
      <c r="GN171" s="55"/>
      <c r="GO171" s="55"/>
      <c r="GP171" s="55"/>
      <c r="GQ171" s="55"/>
      <c r="GR171" s="55"/>
      <c r="GS171" s="55"/>
      <c r="GT171" s="55"/>
      <c r="GU171" s="55"/>
      <c r="GV171" s="55"/>
      <c r="GW171" s="55"/>
      <c r="GX171" s="55"/>
      <c r="GY171" s="55"/>
      <c r="GZ171" s="55"/>
      <c r="HA171" s="55"/>
      <c r="HB171" s="55"/>
      <c r="HC171" s="55"/>
      <c r="HD171" s="55"/>
      <c r="HE171" s="55"/>
      <c r="HF171" s="55"/>
      <c r="HG171" s="55"/>
      <c r="HH171" s="55"/>
    </row>
    <row r="172" spans="1:216" x14ac:dyDescent="0.3">
      <c r="L172" s="56"/>
      <c r="N172" s="56"/>
      <c r="P172" s="56"/>
      <c r="R172" s="56"/>
      <c r="T172" s="56"/>
      <c r="V172" s="56"/>
      <c r="W172" s="60"/>
      <c r="X172" s="56"/>
      <c r="Z172" s="56"/>
      <c r="AB172" s="56"/>
      <c r="AC172" s="60"/>
      <c r="AD172" s="56"/>
      <c r="AE172" s="60"/>
      <c r="AF172" s="56"/>
      <c r="AG172" s="60"/>
      <c r="AH172" s="56"/>
      <c r="AJ172" s="56"/>
      <c r="AK172" s="60"/>
      <c r="AL172" s="56"/>
      <c r="AM172" s="60"/>
      <c r="AN172" s="56"/>
      <c r="AO172" s="60"/>
      <c r="AP172" s="56"/>
      <c r="AQ172" s="60"/>
      <c r="AR172" s="56"/>
      <c r="AT172" s="56"/>
      <c r="AU172" s="60"/>
      <c r="AV172" s="56"/>
      <c r="AW172" s="60"/>
      <c r="AX172" s="56"/>
      <c r="AZ172" s="56"/>
      <c r="CB172" s="56"/>
      <c r="CD172" s="56"/>
      <c r="CF172" s="56"/>
      <c r="CH172" s="56"/>
      <c r="CI172" s="57"/>
      <c r="CJ172" s="56"/>
      <c r="CL172" s="56"/>
      <c r="CM172" s="57"/>
      <c r="CN172" s="56"/>
      <c r="CO172" s="60"/>
      <c r="CP172" s="56"/>
      <c r="CQ172" s="57"/>
      <c r="CR172" s="56"/>
      <c r="CT172" s="56"/>
      <c r="CU172" s="60"/>
      <c r="CV172" s="56"/>
      <c r="CW172" s="60"/>
      <c r="CX172" s="56"/>
      <c r="CY172" s="60"/>
      <c r="CZ172" s="56"/>
      <c r="DB172" s="56"/>
      <c r="DC172" s="60"/>
      <c r="DD172" s="56"/>
      <c r="DE172" s="60"/>
      <c r="DF172" s="56"/>
      <c r="DG172" s="60"/>
      <c r="DH172" s="56"/>
      <c r="DI172" s="60"/>
      <c r="DJ172" s="56"/>
      <c r="DL172" s="56"/>
      <c r="DM172" s="60"/>
      <c r="DN172" s="56"/>
      <c r="DO172" s="60"/>
      <c r="DP172" s="56"/>
      <c r="DR172" s="56"/>
      <c r="ER172" s="55"/>
      <c r="ES172" s="55"/>
      <c r="ET172" s="56"/>
      <c r="EU172" s="55"/>
      <c r="EV172" s="56"/>
      <c r="EW172" s="55"/>
      <c r="EX172" s="56"/>
      <c r="EY172" s="55"/>
      <c r="EZ172" s="56"/>
      <c r="FA172" s="57"/>
      <c r="FB172" s="56"/>
      <c r="FC172" s="55"/>
      <c r="FD172" s="56"/>
      <c r="FE172" s="57"/>
      <c r="FF172" s="56"/>
      <c r="FG172" s="60"/>
      <c r="FH172" s="56"/>
      <c r="FI172" s="57"/>
      <c r="FJ172" s="56"/>
      <c r="FK172" s="55"/>
      <c r="FL172" s="56"/>
      <c r="FM172" s="60"/>
      <c r="FN172" s="56"/>
      <c r="FO172" s="60"/>
      <c r="FP172" s="56"/>
      <c r="FQ172" s="60"/>
      <c r="FR172" s="56"/>
      <c r="FS172" s="55"/>
      <c r="FT172" s="56"/>
      <c r="FU172" s="60"/>
      <c r="FV172" s="56"/>
      <c r="FW172" s="60"/>
      <c r="FX172" s="56"/>
      <c r="FY172" s="60"/>
      <c r="FZ172" s="56"/>
      <c r="GA172" s="60"/>
      <c r="GB172" s="56"/>
      <c r="GC172" s="55"/>
      <c r="GD172" s="56"/>
      <c r="GE172" s="60"/>
      <c r="GF172" s="56"/>
      <c r="GG172" s="60"/>
      <c r="GH172" s="56"/>
      <c r="GI172" s="55"/>
      <c r="GJ172" s="56"/>
      <c r="GK172" s="55"/>
      <c r="GL172" s="55"/>
      <c r="GM172" s="55"/>
      <c r="GN172" s="55"/>
      <c r="GO172" s="55"/>
      <c r="GP172" s="55"/>
      <c r="GQ172" s="55"/>
      <c r="GR172" s="55"/>
      <c r="GS172" s="55"/>
      <c r="GT172" s="55"/>
      <c r="GU172" s="55"/>
      <c r="GV172" s="55"/>
      <c r="GW172" s="55"/>
      <c r="GX172" s="55"/>
      <c r="GY172" s="55"/>
      <c r="GZ172" s="55"/>
      <c r="HA172" s="55"/>
      <c r="HB172" s="55"/>
      <c r="HC172" s="55"/>
      <c r="HD172" s="55"/>
      <c r="HE172" s="55"/>
      <c r="HF172" s="55"/>
      <c r="HG172" s="55"/>
      <c r="HH172" s="55"/>
    </row>
    <row r="173" spans="1:216" x14ac:dyDescent="0.3">
      <c r="L173" s="56"/>
      <c r="N173" s="56"/>
      <c r="P173" s="56"/>
      <c r="R173" s="56"/>
      <c r="T173" s="56"/>
      <c r="V173" s="56"/>
      <c r="W173" s="60"/>
      <c r="X173" s="56"/>
      <c r="Z173" s="56"/>
      <c r="AB173" s="56"/>
      <c r="AC173" s="60"/>
      <c r="AD173" s="56"/>
      <c r="AE173" s="60"/>
      <c r="AF173" s="56"/>
      <c r="AG173" s="60"/>
      <c r="AH173" s="56"/>
      <c r="AJ173" s="56"/>
      <c r="AK173" s="60"/>
      <c r="AL173" s="56"/>
      <c r="AM173" s="60"/>
      <c r="AN173" s="56"/>
      <c r="AO173" s="60"/>
      <c r="AP173" s="56"/>
      <c r="AQ173" s="60"/>
      <c r="AR173" s="56"/>
      <c r="AT173" s="56"/>
      <c r="AU173" s="60"/>
      <c r="AV173" s="56"/>
      <c r="AW173" s="60"/>
      <c r="AX173" s="56"/>
      <c r="AZ173" s="56"/>
      <c r="CB173" s="56"/>
      <c r="CD173" s="56"/>
      <c r="CF173" s="56"/>
      <c r="CH173" s="56"/>
      <c r="CI173" s="57"/>
      <c r="CJ173" s="56"/>
      <c r="CL173" s="56"/>
      <c r="CM173" s="57"/>
      <c r="CN173" s="56"/>
      <c r="CO173" s="60"/>
      <c r="CP173" s="56"/>
      <c r="CQ173" s="57"/>
      <c r="CR173" s="56"/>
      <c r="CT173" s="56"/>
      <c r="CU173" s="60"/>
      <c r="CV173" s="56"/>
      <c r="CW173" s="60"/>
      <c r="CX173" s="56"/>
      <c r="CY173" s="60"/>
      <c r="CZ173" s="56"/>
      <c r="DB173" s="56"/>
      <c r="DC173" s="60"/>
      <c r="DD173" s="56"/>
      <c r="DE173" s="60"/>
      <c r="DF173" s="56"/>
      <c r="DG173" s="60"/>
      <c r="DH173" s="56"/>
      <c r="DI173" s="60"/>
      <c r="DJ173" s="56"/>
      <c r="DL173" s="56"/>
      <c r="DM173" s="60"/>
      <c r="DN173" s="56"/>
      <c r="DO173" s="60"/>
      <c r="DP173" s="56"/>
      <c r="DR173" s="56"/>
      <c r="ER173" s="55"/>
      <c r="ES173" s="55"/>
      <c r="ET173" s="56"/>
      <c r="EU173" s="55"/>
      <c r="EV173" s="56"/>
      <c r="EW173" s="55"/>
      <c r="EX173" s="56"/>
      <c r="EY173" s="55"/>
      <c r="EZ173" s="56"/>
      <c r="FA173" s="57"/>
      <c r="FB173" s="56"/>
      <c r="FC173" s="55"/>
      <c r="FD173" s="56"/>
      <c r="FE173" s="57"/>
      <c r="FF173" s="56"/>
      <c r="FG173" s="60"/>
      <c r="FH173" s="56"/>
      <c r="FI173" s="57"/>
      <c r="FJ173" s="56"/>
      <c r="FK173" s="55"/>
      <c r="FL173" s="56"/>
      <c r="FM173" s="60"/>
      <c r="FN173" s="56"/>
      <c r="FO173" s="60"/>
      <c r="FP173" s="56"/>
      <c r="FQ173" s="60"/>
      <c r="FR173" s="56"/>
      <c r="FS173" s="55"/>
      <c r="FT173" s="56"/>
      <c r="FU173" s="60"/>
      <c r="FV173" s="56"/>
      <c r="FW173" s="60"/>
      <c r="FX173" s="56"/>
      <c r="FY173" s="60"/>
      <c r="FZ173" s="56"/>
      <c r="GA173" s="60"/>
      <c r="GB173" s="56"/>
      <c r="GC173" s="55"/>
      <c r="GD173" s="56"/>
      <c r="GE173" s="60"/>
      <c r="GF173" s="56"/>
      <c r="GG173" s="60"/>
      <c r="GH173" s="56"/>
      <c r="GI173" s="55"/>
      <c r="GJ173" s="56"/>
      <c r="GK173" s="55"/>
      <c r="GL173" s="55"/>
      <c r="GM173" s="55"/>
      <c r="GN173" s="55"/>
      <c r="GO173" s="55"/>
      <c r="GP173" s="55"/>
      <c r="GQ173" s="55"/>
      <c r="GR173" s="55"/>
      <c r="GS173" s="55"/>
      <c r="GT173" s="55"/>
      <c r="GU173" s="55"/>
      <c r="GV173" s="55"/>
      <c r="GW173" s="55"/>
      <c r="GX173" s="55"/>
      <c r="GY173" s="55"/>
      <c r="GZ173" s="55"/>
      <c r="HA173" s="55"/>
      <c r="HB173" s="55"/>
      <c r="HC173" s="55"/>
      <c r="HD173" s="55"/>
      <c r="HE173" s="55"/>
      <c r="HF173" s="55"/>
      <c r="HG173" s="55"/>
      <c r="HH173" s="55"/>
    </row>
    <row r="174" spans="1:216" x14ac:dyDescent="0.3">
      <c r="L174" s="56"/>
      <c r="N174" s="56"/>
      <c r="P174" s="56"/>
      <c r="R174" s="56"/>
      <c r="T174" s="56"/>
      <c r="V174" s="56"/>
      <c r="W174" s="60"/>
      <c r="X174" s="56"/>
      <c r="Z174" s="56"/>
      <c r="AB174" s="56"/>
      <c r="AC174" s="60"/>
      <c r="AD174" s="56"/>
      <c r="AE174" s="60"/>
      <c r="AF174" s="56"/>
      <c r="AG174" s="60"/>
      <c r="AH174" s="56"/>
      <c r="AJ174" s="56"/>
      <c r="AL174" s="56"/>
      <c r="AM174" s="60"/>
      <c r="AN174" s="56"/>
      <c r="AO174" s="60"/>
      <c r="AP174" s="56"/>
      <c r="AQ174" s="60"/>
      <c r="AR174" s="56"/>
      <c r="AT174" s="56"/>
      <c r="AU174" s="60"/>
      <c r="AV174" s="56"/>
      <c r="AW174" s="60"/>
      <c r="AX174" s="56"/>
      <c r="AZ174" s="56"/>
      <c r="CB174" s="56"/>
      <c r="CD174" s="56"/>
      <c r="CF174" s="56"/>
      <c r="CH174" s="56"/>
      <c r="CI174" s="57"/>
      <c r="CJ174" s="56"/>
      <c r="CL174" s="56"/>
      <c r="CM174" s="57"/>
      <c r="CN174" s="56"/>
      <c r="CO174" s="60"/>
      <c r="CP174" s="56"/>
      <c r="CQ174" s="57"/>
      <c r="CR174" s="56"/>
      <c r="CT174" s="56"/>
      <c r="CU174" s="60"/>
      <c r="CV174" s="56"/>
      <c r="CW174" s="60"/>
      <c r="CX174" s="56"/>
      <c r="CY174" s="60"/>
      <c r="CZ174" s="56"/>
      <c r="DB174" s="56"/>
      <c r="DD174" s="56"/>
      <c r="DE174" s="60"/>
      <c r="DF174" s="56"/>
      <c r="DG174" s="60"/>
      <c r="DH174" s="56"/>
      <c r="DI174" s="60"/>
      <c r="DJ174" s="56"/>
      <c r="DL174" s="56"/>
      <c r="DM174" s="60"/>
      <c r="DN174" s="56"/>
      <c r="DO174" s="60"/>
      <c r="DP174" s="56"/>
      <c r="DR174" s="56"/>
      <c r="ER174" s="55"/>
      <c r="ES174" s="55"/>
      <c r="ET174" s="56"/>
      <c r="EU174" s="55"/>
      <c r="EV174" s="56"/>
      <c r="EW174" s="55"/>
      <c r="EX174" s="56"/>
      <c r="EY174" s="55"/>
      <c r="EZ174" s="56"/>
      <c r="FA174" s="57"/>
      <c r="FB174" s="56"/>
      <c r="FC174" s="55"/>
      <c r="FD174" s="56"/>
      <c r="FE174" s="57"/>
      <c r="FF174" s="56"/>
      <c r="FG174" s="60"/>
      <c r="FH174" s="56"/>
      <c r="FI174" s="57"/>
      <c r="FJ174" s="56"/>
      <c r="FK174" s="55"/>
      <c r="FL174" s="56"/>
      <c r="FM174" s="60"/>
      <c r="FN174" s="56"/>
      <c r="FO174" s="60"/>
      <c r="FP174" s="56"/>
      <c r="FQ174" s="60"/>
      <c r="FR174" s="56"/>
      <c r="FS174" s="55"/>
      <c r="FT174" s="56"/>
      <c r="FU174" s="55"/>
      <c r="FV174" s="56"/>
      <c r="FW174" s="60"/>
      <c r="FX174" s="56"/>
      <c r="FY174" s="60"/>
      <c r="FZ174" s="56"/>
      <c r="GA174" s="60"/>
      <c r="GB174" s="56"/>
      <c r="GC174" s="55"/>
      <c r="GD174" s="56"/>
      <c r="GE174" s="60"/>
      <c r="GF174" s="56"/>
      <c r="GG174" s="60"/>
      <c r="GH174" s="56"/>
      <c r="GI174" s="55"/>
      <c r="GJ174" s="56"/>
      <c r="GK174" s="55"/>
      <c r="GL174" s="55"/>
      <c r="GM174" s="55"/>
      <c r="GN174" s="55"/>
      <c r="GO174" s="55"/>
      <c r="GP174" s="55"/>
      <c r="GQ174" s="55"/>
      <c r="GR174" s="55"/>
      <c r="GS174" s="55"/>
      <c r="GT174" s="55"/>
      <c r="GU174" s="55"/>
      <c r="GV174" s="55"/>
      <c r="GW174" s="55"/>
      <c r="GX174" s="55"/>
      <c r="GY174" s="55"/>
      <c r="GZ174" s="55"/>
      <c r="HA174" s="55"/>
      <c r="HB174" s="55"/>
      <c r="HC174" s="55"/>
      <c r="HD174" s="55"/>
      <c r="HE174" s="55"/>
      <c r="HF174" s="55"/>
      <c r="HG174" s="55"/>
      <c r="HH174" s="55"/>
    </row>
    <row r="175" spans="1:216" x14ac:dyDescent="0.3">
      <c r="L175" s="56"/>
      <c r="N175" s="56"/>
      <c r="P175" s="56"/>
      <c r="R175" s="56"/>
      <c r="T175" s="56"/>
      <c r="V175" s="56"/>
      <c r="W175" s="60"/>
      <c r="X175" s="56"/>
      <c r="Z175" s="56"/>
      <c r="AB175" s="56"/>
      <c r="AC175" s="60"/>
      <c r="AD175" s="56"/>
      <c r="AE175" s="60"/>
      <c r="AF175" s="56"/>
      <c r="AG175" s="60"/>
      <c r="AH175" s="56"/>
      <c r="AJ175" s="56"/>
      <c r="AL175" s="56"/>
      <c r="AM175" s="60"/>
      <c r="AN175" s="56"/>
      <c r="AO175" s="60"/>
      <c r="AP175" s="56"/>
      <c r="AQ175" s="60"/>
      <c r="AR175" s="56"/>
      <c r="AT175" s="56"/>
      <c r="AU175" s="60"/>
      <c r="AV175" s="56"/>
      <c r="AW175" s="60"/>
      <c r="AX175" s="56"/>
      <c r="AZ175" s="56"/>
      <c r="CB175" s="56"/>
      <c r="CD175" s="56"/>
      <c r="CF175" s="56"/>
      <c r="CH175" s="56"/>
      <c r="CI175" s="57"/>
      <c r="CJ175" s="56"/>
      <c r="CL175" s="56"/>
      <c r="CM175" s="57"/>
      <c r="CN175" s="56"/>
      <c r="CO175" s="60"/>
      <c r="CP175" s="56"/>
      <c r="CQ175" s="57"/>
      <c r="CR175" s="56"/>
      <c r="CT175" s="56"/>
      <c r="CU175" s="60"/>
      <c r="CV175" s="56"/>
      <c r="CW175" s="60"/>
      <c r="CX175" s="56"/>
      <c r="CY175" s="60"/>
      <c r="CZ175" s="56"/>
      <c r="DB175" s="56"/>
      <c r="DD175" s="56"/>
      <c r="DE175" s="60"/>
      <c r="DF175" s="56"/>
      <c r="DG175" s="60"/>
      <c r="DH175" s="56"/>
      <c r="DI175" s="60"/>
      <c r="DJ175" s="56"/>
      <c r="DL175" s="56"/>
      <c r="DM175" s="60"/>
      <c r="DN175" s="56"/>
      <c r="DO175" s="60"/>
      <c r="DP175" s="56"/>
      <c r="DR175" s="56"/>
      <c r="ER175" s="55"/>
      <c r="ES175" s="55"/>
      <c r="ET175" s="56"/>
      <c r="EU175" s="55"/>
      <c r="EV175" s="56"/>
      <c r="EW175" s="55"/>
      <c r="EX175" s="56"/>
      <c r="EY175" s="55"/>
      <c r="EZ175" s="56"/>
      <c r="FA175" s="57"/>
      <c r="FB175" s="56"/>
      <c r="FC175" s="55"/>
      <c r="FD175" s="56"/>
      <c r="FE175" s="57"/>
      <c r="FF175" s="56"/>
      <c r="FG175" s="60"/>
      <c r="FH175" s="56"/>
      <c r="FI175" s="57"/>
      <c r="FJ175" s="56"/>
      <c r="FK175" s="55"/>
      <c r="FL175" s="56"/>
      <c r="FM175" s="60"/>
      <c r="FN175" s="56"/>
      <c r="FO175" s="60"/>
      <c r="FP175" s="56"/>
      <c r="FQ175" s="60"/>
      <c r="FR175" s="56"/>
      <c r="FS175" s="55"/>
      <c r="FT175" s="56"/>
      <c r="FU175" s="55"/>
      <c r="FV175" s="56"/>
      <c r="FW175" s="60"/>
      <c r="FX175" s="56"/>
      <c r="FY175" s="60"/>
      <c r="FZ175" s="56"/>
      <c r="GA175" s="60"/>
      <c r="GB175" s="56"/>
      <c r="GC175" s="55"/>
      <c r="GD175" s="56"/>
      <c r="GE175" s="60"/>
      <c r="GF175" s="56"/>
      <c r="GG175" s="60"/>
      <c r="GH175" s="56"/>
      <c r="GI175" s="55"/>
      <c r="GJ175" s="56"/>
      <c r="GK175" s="55"/>
      <c r="GL175" s="55"/>
      <c r="GM175" s="55"/>
      <c r="GN175" s="55"/>
      <c r="GO175" s="55"/>
      <c r="GP175" s="55"/>
      <c r="GQ175" s="55"/>
      <c r="GR175" s="55"/>
      <c r="GS175" s="55"/>
      <c r="GT175" s="55"/>
      <c r="GU175" s="55"/>
      <c r="GV175" s="55"/>
      <c r="GW175" s="55"/>
      <c r="GX175" s="55"/>
      <c r="GY175" s="55"/>
      <c r="GZ175" s="55"/>
      <c r="HA175" s="55"/>
      <c r="HB175" s="55"/>
      <c r="HC175" s="55"/>
      <c r="HD175" s="55"/>
      <c r="HE175" s="55"/>
      <c r="HF175" s="55"/>
      <c r="HG175" s="55"/>
      <c r="HH175" s="55"/>
    </row>
    <row r="176" spans="1:216" x14ac:dyDescent="0.3">
      <c r="L176" s="56"/>
      <c r="N176" s="56"/>
      <c r="P176" s="56"/>
      <c r="R176" s="56"/>
      <c r="T176" s="56"/>
      <c r="V176" s="56"/>
      <c r="W176" s="60"/>
      <c r="X176" s="56"/>
      <c r="Z176" s="56"/>
      <c r="AB176" s="56"/>
      <c r="AC176" s="60"/>
      <c r="AD176" s="56"/>
      <c r="AE176" s="60"/>
      <c r="AF176" s="56"/>
      <c r="AG176" s="60"/>
      <c r="AH176" s="56"/>
      <c r="AJ176" s="56"/>
      <c r="AL176" s="56"/>
      <c r="AM176" s="60"/>
      <c r="AN176" s="56"/>
      <c r="AO176" s="60"/>
      <c r="AP176" s="56"/>
      <c r="AQ176" s="60"/>
      <c r="AR176" s="56"/>
      <c r="AT176" s="56"/>
      <c r="AU176" s="60"/>
      <c r="AV176" s="56"/>
      <c r="AW176" s="60"/>
      <c r="AX176" s="56"/>
      <c r="AZ176" s="56"/>
      <c r="CB176" s="56"/>
      <c r="CD176" s="56"/>
      <c r="CF176" s="56"/>
      <c r="CH176" s="56"/>
      <c r="CI176" s="57"/>
      <c r="CJ176" s="56"/>
      <c r="CL176" s="56"/>
      <c r="CM176" s="57"/>
      <c r="CN176" s="56"/>
      <c r="CO176" s="60"/>
      <c r="CP176" s="56"/>
      <c r="CQ176" s="57"/>
      <c r="CR176" s="56"/>
      <c r="CT176" s="56"/>
      <c r="CU176" s="60"/>
      <c r="CV176" s="56"/>
      <c r="CW176" s="60"/>
      <c r="CX176" s="56"/>
      <c r="CY176" s="60"/>
      <c r="CZ176" s="56"/>
      <c r="DB176" s="56"/>
      <c r="DD176" s="56"/>
      <c r="DE176" s="60"/>
      <c r="DF176" s="56"/>
      <c r="DG176" s="60"/>
      <c r="DH176" s="56"/>
      <c r="DI176" s="60"/>
      <c r="DJ176" s="56"/>
      <c r="DL176" s="56"/>
      <c r="DM176" s="60"/>
      <c r="DN176" s="56"/>
      <c r="DO176" s="60"/>
      <c r="DP176" s="56"/>
      <c r="DR176" s="56"/>
      <c r="ER176" s="55"/>
      <c r="ES176" s="55"/>
      <c r="ET176" s="56"/>
      <c r="EU176" s="55"/>
      <c r="EV176" s="56"/>
      <c r="EW176" s="55"/>
      <c r="EX176" s="56"/>
      <c r="EY176" s="55"/>
      <c r="EZ176" s="56"/>
      <c r="FA176" s="57"/>
      <c r="FB176" s="56"/>
      <c r="FC176" s="55"/>
      <c r="FD176" s="56"/>
      <c r="FE176" s="57"/>
      <c r="FF176" s="56"/>
      <c r="FG176" s="60"/>
      <c r="FH176" s="56"/>
      <c r="FI176" s="57"/>
      <c r="FJ176" s="56"/>
      <c r="FK176" s="55"/>
      <c r="FL176" s="56"/>
      <c r="FM176" s="60"/>
      <c r="FN176" s="56"/>
      <c r="FO176" s="60"/>
      <c r="FP176" s="56"/>
      <c r="FQ176" s="60"/>
      <c r="FR176" s="56"/>
      <c r="FS176" s="55"/>
      <c r="FT176" s="56"/>
      <c r="FU176" s="55"/>
      <c r="FV176" s="56"/>
      <c r="FW176" s="60"/>
      <c r="FX176" s="56"/>
      <c r="FY176" s="60"/>
      <c r="FZ176" s="56"/>
      <c r="GA176" s="60"/>
      <c r="GB176" s="56"/>
      <c r="GC176" s="55"/>
      <c r="GD176" s="56"/>
      <c r="GE176" s="60"/>
      <c r="GF176" s="56"/>
      <c r="GG176" s="60"/>
      <c r="GH176" s="56"/>
      <c r="GI176" s="55"/>
      <c r="GJ176" s="56"/>
      <c r="GK176" s="55"/>
      <c r="GL176" s="55"/>
      <c r="GM176" s="55"/>
      <c r="GN176" s="55"/>
      <c r="GO176" s="55"/>
      <c r="GP176" s="55"/>
      <c r="GQ176" s="55"/>
      <c r="GR176" s="55"/>
      <c r="GS176" s="55"/>
      <c r="GT176" s="55"/>
      <c r="GU176" s="55"/>
      <c r="GV176" s="55"/>
      <c r="GW176" s="55"/>
      <c r="GX176" s="55"/>
      <c r="GY176" s="55"/>
      <c r="GZ176" s="55"/>
      <c r="HA176" s="55"/>
      <c r="HB176" s="55"/>
      <c r="HC176" s="55"/>
      <c r="HD176" s="55"/>
      <c r="HE176" s="55"/>
      <c r="HF176" s="55"/>
      <c r="HG176" s="55"/>
      <c r="HH176" s="55"/>
    </row>
    <row r="177" spans="12:216" x14ac:dyDescent="0.3">
      <c r="L177" s="56"/>
      <c r="N177" s="56"/>
      <c r="P177" s="56"/>
      <c r="R177" s="56"/>
      <c r="T177" s="56"/>
      <c r="V177" s="56"/>
      <c r="W177" s="60"/>
      <c r="X177" s="56"/>
      <c r="Z177" s="56"/>
      <c r="AB177" s="56"/>
      <c r="AC177" s="60"/>
      <c r="AD177" s="56"/>
      <c r="AE177" s="60"/>
      <c r="AF177" s="56"/>
      <c r="AG177" s="60"/>
      <c r="AH177" s="56"/>
      <c r="AJ177" s="56"/>
      <c r="AL177" s="56"/>
      <c r="AM177" s="60"/>
      <c r="AN177" s="56"/>
      <c r="AO177" s="60"/>
      <c r="AP177" s="56"/>
      <c r="AQ177" s="60"/>
      <c r="AR177" s="56"/>
      <c r="AT177" s="56"/>
      <c r="AU177" s="60"/>
      <c r="AV177" s="56"/>
      <c r="AW177" s="60"/>
      <c r="AX177" s="56"/>
      <c r="AZ177" s="56"/>
      <c r="CB177" s="56"/>
      <c r="CD177" s="56"/>
      <c r="CF177" s="56"/>
      <c r="CH177" s="56"/>
      <c r="CI177" s="57"/>
      <c r="CJ177" s="56"/>
      <c r="CL177" s="56"/>
      <c r="CM177" s="57"/>
      <c r="CN177" s="56"/>
      <c r="CO177" s="60"/>
      <c r="CP177" s="56"/>
      <c r="CQ177" s="57"/>
      <c r="CR177" s="56"/>
      <c r="CT177" s="56"/>
      <c r="CU177" s="60"/>
      <c r="CV177" s="56"/>
      <c r="CW177" s="60"/>
      <c r="CX177" s="56"/>
      <c r="CY177" s="60"/>
      <c r="CZ177" s="56"/>
      <c r="DB177" s="56"/>
      <c r="DD177" s="56"/>
      <c r="DE177" s="60"/>
      <c r="DF177" s="56"/>
      <c r="DG177" s="60"/>
      <c r="DH177" s="56"/>
      <c r="DI177" s="60"/>
      <c r="DJ177" s="56"/>
      <c r="DL177" s="56"/>
      <c r="DM177" s="60"/>
      <c r="DN177" s="56"/>
      <c r="DO177" s="60"/>
      <c r="DP177" s="56"/>
      <c r="DR177" s="56"/>
      <c r="ER177" s="55"/>
      <c r="ES177" s="55"/>
      <c r="ET177" s="56"/>
      <c r="EU177" s="55"/>
      <c r="EV177" s="56"/>
      <c r="EW177" s="55"/>
      <c r="EX177" s="56"/>
      <c r="EY177" s="55"/>
      <c r="EZ177" s="56"/>
      <c r="FA177" s="57"/>
      <c r="FB177" s="56"/>
      <c r="FC177" s="55"/>
      <c r="FD177" s="56"/>
      <c r="FE177" s="57"/>
      <c r="FF177" s="56"/>
      <c r="FG177" s="60"/>
      <c r="FH177" s="56"/>
      <c r="FI177" s="57"/>
      <c r="FJ177" s="56"/>
      <c r="FK177" s="55"/>
      <c r="FL177" s="56"/>
      <c r="FM177" s="60"/>
      <c r="FN177" s="56"/>
      <c r="FO177" s="60"/>
      <c r="FP177" s="56"/>
      <c r="FQ177" s="60"/>
      <c r="FR177" s="56"/>
      <c r="FS177" s="55"/>
      <c r="FT177" s="56"/>
      <c r="FU177" s="55"/>
      <c r="FV177" s="56"/>
      <c r="FW177" s="60"/>
      <c r="FX177" s="56"/>
      <c r="FY177" s="60"/>
      <c r="FZ177" s="56"/>
      <c r="GA177" s="60"/>
      <c r="GB177" s="56"/>
      <c r="GC177" s="55"/>
      <c r="GD177" s="56"/>
      <c r="GE177" s="60"/>
      <c r="GF177" s="56"/>
      <c r="GG177" s="60"/>
      <c r="GH177" s="56"/>
      <c r="GI177" s="55"/>
      <c r="GJ177" s="56"/>
      <c r="GK177" s="55"/>
      <c r="GL177" s="55"/>
      <c r="GM177" s="55"/>
      <c r="GN177" s="55"/>
      <c r="GO177" s="55"/>
      <c r="GP177" s="55"/>
      <c r="GQ177" s="55"/>
      <c r="GR177" s="55"/>
      <c r="GS177" s="55"/>
      <c r="GT177" s="55"/>
      <c r="GU177" s="55"/>
      <c r="GV177" s="55"/>
      <c r="GW177" s="55"/>
      <c r="GX177" s="55"/>
      <c r="GY177" s="55"/>
      <c r="GZ177" s="55"/>
      <c r="HA177" s="55"/>
      <c r="HB177" s="55"/>
      <c r="HC177" s="55"/>
      <c r="HD177" s="55"/>
      <c r="HE177" s="55"/>
      <c r="HF177" s="55"/>
      <c r="HG177" s="55"/>
      <c r="HH177" s="55"/>
    </row>
    <row r="178" spans="12:216" x14ac:dyDescent="0.3">
      <c r="L178" s="56"/>
      <c r="N178" s="56"/>
      <c r="P178" s="56"/>
      <c r="R178" s="56"/>
      <c r="T178" s="56"/>
      <c r="V178" s="56"/>
      <c r="W178" s="60"/>
      <c r="X178" s="56"/>
      <c r="Z178" s="56"/>
      <c r="AB178" s="56"/>
      <c r="AC178" s="60"/>
      <c r="AD178" s="56"/>
      <c r="AE178" s="60"/>
      <c r="AF178" s="56"/>
      <c r="AG178" s="60"/>
      <c r="AH178" s="56"/>
      <c r="AJ178" s="56"/>
      <c r="AL178" s="56"/>
      <c r="AM178" s="60"/>
      <c r="AN178" s="56"/>
      <c r="AO178" s="60"/>
      <c r="AP178" s="56"/>
      <c r="AQ178" s="60"/>
      <c r="AR178" s="56"/>
      <c r="AT178" s="56"/>
      <c r="AU178" s="60"/>
      <c r="AV178" s="56"/>
      <c r="AW178" s="60"/>
      <c r="AX178" s="56"/>
      <c r="AZ178" s="56"/>
      <c r="CB178" s="56"/>
      <c r="CD178" s="56"/>
      <c r="CF178" s="56"/>
      <c r="CH178" s="56"/>
      <c r="CI178" s="57"/>
      <c r="CJ178" s="56"/>
      <c r="CL178" s="56"/>
      <c r="CM178" s="57"/>
      <c r="CN178" s="56"/>
      <c r="CO178" s="60"/>
      <c r="CP178" s="56"/>
      <c r="CQ178" s="57"/>
      <c r="CR178" s="56"/>
      <c r="CT178" s="56"/>
      <c r="CU178" s="60"/>
      <c r="CV178" s="56"/>
      <c r="CW178" s="60"/>
      <c r="CX178" s="56"/>
      <c r="CY178" s="60"/>
      <c r="CZ178" s="56"/>
      <c r="DB178" s="56"/>
      <c r="DD178" s="56"/>
      <c r="DE178" s="60"/>
      <c r="DF178" s="56"/>
      <c r="DG178" s="60"/>
      <c r="DH178" s="56"/>
      <c r="DI178" s="60"/>
      <c r="DJ178" s="56"/>
      <c r="DL178" s="56"/>
      <c r="DM178" s="60"/>
      <c r="DN178" s="56"/>
      <c r="DO178" s="60"/>
      <c r="DP178" s="56"/>
      <c r="DR178" s="56"/>
      <c r="ER178" s="55"/>
      <c r="ES178" s="55"/>
      <c r="ET178" s="56"/>
      <c r="EU178" s="55"/>
      <c r="EV178" s="56"/>
      <c r="EW178" s="55"/>
      <c r="EX178" s="56"/>
      <c r="EY178" s="55"/>
      <c r="EZ178" s="56"/>
      <c r="FA178" s="57"/>
      <c r="FB178" s="56"/>
      <c r="FC178" s="55"/>
      <c r="FD178" s="56"/>
      <c r="FE178" s="57"/>
      <c r="FF178" s="56"/>
      <c r="FG178" s="60"/>
      <c r="FH178" s="56"/>
      <c r="FI178" s="57"/>
      <c r="FJ178" s="56"/>
      <c r="FK178" s="55"/>
      <c r="FL178" s="56"/>
      <c r="FM178" s="60"/>
      <c r="FN178" s="56"/>
      <c r="FO178" s="60"/>
      <c r="FP178" s="56"/>
      <c r="FQ178" s="60"/>
      <c r="FR178" s="56"/>
      <c r="FS178" s="55"/>
      <c r="FT178" s="56"/>
      <c r="FU178" s="55"/>
      <c r="FV178" s="56"/>
      <c r="FW178" s="60"/>
      <c r="FX178" s="56"/>
      <c r="FY178" s="60"/>
      <c r="FZ178" s="56"/>
      <c r="GA178" s="60"/>
      <c r="GB178" s="56"/>
      <c r="GC178" s="55"/>
      <c r="GD178" s="56"/>
      <c r="GE178" s="60"/>
      <c r="GF178" s="56"/>
      <c r="GG178" s="60"/>
      <c r="GH178" s="56"/>
      <c r="GI178" s="55"/>
      <c r="GJ178" s="56"/>
      <c r="GK178" s="55"/>
      <c r="GL178" s="55"/>
      <c r="GM178" s="55"/>
      <c r="GN178" s="55"/>
      <c r="GO178" s="55"/>
      <c r="GP178" s="55"/>
      <c r="GQ178" s="55"/>
      <c r="GR178" s="55"/>
      <c r="GS178" s="55"/>
      <c r="GT178" s="55"/>
      <c r="GU178" s="55"/>
      <c r="GV178" s="55"/>
      <c r="GW178" s="55"/>
      <c r="GX178" s="55"/>
      <c r="GY178" s="55"/>
      <c r="GZ178" s="55"/>
      <c r="HA178" s="55"/>
      <c r="HB178" s="55"/>
      <c r="HC178" s="55"/>
      <c r="HD178" s="55"/>
      <c r="HE178" s="55"/>
      <c r="HF178" s="55"/>
      <c r="HG178" s="55"/>
      <c r="HH178" s="55"/>
    </row>
    <row r="179" spans="12:216" x14ac:dyDescent="0.3">
      <c r="L179" s="56"/>
      <c r="N179" s="56"/>
      <c r="P179" s="56"/>
      <c r="R179" s="56"/>
      <c r="T179" s="56"/>
      <c r="V179" s="56"/>
      <c r="W179" s="60"/>
      <c r="X179" s="56"/>
      <c r="Z179" s="56"/>
      <c r="AB179" s="56"/>
      <c r="AC179" s="60"/>
      <c r="AD179" s="56"/>
      <c r="AE179" s="60"/>
      <c r="AF179" s="56"/>
      <c r="AG179" s="60"/>
      <c r="AH179" s="56"/>
      <c r="AJ179" s="56"/>
      <c r="AL179" s="56"/>
      <c r="AM179" s="60"/>
      <c r="AN179" s="56"/>
      <c r="AO179" s="60"/>
      <c r="AP179" s="56"/>
      <c r="AQ179" s="60"/>
      <c r="AR179" s="56"/>
      <c r="AT179" s="56"/>
      <c r="AU179" s="60"/>
      <c r="AV179" s="56"/>
      <c r="AW179" s="60"/>
      <c r="AX179" s="56"/>
      <c r="AZ179" s="56"/>
      <c r="CB179" s="56"/>
      <c r="CD179" s="56"/>
      <c r="CF179" s="56"/>
      <c r="CH179" s="56"/>
      <c r="CI179" s="57"/>
      <c r="CJ179" s="56"/>
      <c r="CL179" s="56"/>
      <c r="CM179" s="57"/>
      <c r="CN179" s="56"/>
      <c r="CO179" s="60"/>
      <c r="CP179" s="56"/>
      <c r="CQ179" s="57"/>
      <c r="CR179" s="56"/>
      <c r="CT179" s="56"/>
      <c r="CU179" s="60"/>
      <c r="CV179" s="56"/>
      <c r="CW179" s="60"/>
      <c r="CX179" s="56"/>
      <c r="CY179" s="60"/>
      <c r="CZ179" s="56"/>
      <c r="DB179" s="56"/>
      <c r="DD179" s="56"/>
      <c r="DE179" s="60"/>
      <c r="DF179" s="56"/>
      <c r="DG179" s="60"/>
      <c r="DH179" s="56"/>
      <c r="DI179" s="60"/>
      <c r="DJ179" s="56"/>
      <c r="DL179" s="56"/>
      <c r="DM179" s="60"/>
      <c r="DN179" s="56"/>
      <c r="DO179" s="60"/>
      <c r="DP179" s="56"/>
      <c r="DR179" s="56"/>
      <c r="ER179" s="55"/>
      <c r="ES179" s="55"/>
      <c r="ET179" s="56"/>
      <c r="EU179" s="55"/>
      <c r="EV179" s="56"/>
      <c r="EW179" s="55"/>
      <c r="EX179" s="56"/>
      <c r="EY179" s="55"/>
      <c r="EZ179" s="56"/>
      <c r="FA179" s="57"/>
      <c r="FB179" s="56"/>
      <c r="FC179" s="55"/>
      <c r="FD179" s="56"/>
      <c r="FE179" s="57"/>
      <c r="FF179" s="56"/>
      <c r="FG179" s="60"/>
      <c r="FH179" s="56"/>
      <c r="FI179" s="57"/>
      <c r="FJ179" s="56"/>
      <c r="FK179" s="55"/>
      <c r="FL179" s="56"/>
      <c r="FM179" s="60"/>
      <c r="FN179" s="56"/>
      <c r="FO179" s="60"/>
      <c r="FP179" s="56"/>
      <c r="FQ179" s="60"/>
      <c r="FR179" s="56"/>
      <c r="FS179" s="55"/>
      <c r="FT179" s="56"/>
      <c r="FU179" s="55"/>
      <c r="FV179" s="56"/>
      <c r="FW179" s="60"/>
      <c r="FX179" s="56"/>
      <c r="FY179" s="60"/>
      <c r="FZ179" s="56"/>
      <c r="GA179" s="60"/>
      <c r="GB179" s="56"/>
      <c r="GC179" s="55"/>
      <c r="GD179" s="56"/>
      <c r="GE179" s="60"/>
      <c r="GF179" s="56"/>
      <c r="GG179" s="60"/>
      <c r="GH179" s="56"/>
      <c r="GI179" s="55"/>
      <c r="GJ179" s="56"/>
      <c r="GK179" s="55"/>
      <c r="GL179" s="55"/>
      <c r="GM179" s="55"/>
      <c r="GN179" s="55"/>
      <c r="GO179" s="55"/>
      <c r="GP179" s="55"/>
      <c r="GQ179" s="55"/>
      <c r="GR179" s="55"/>
      <c r="GS179" s="55"/>
      <c r="GT179" s="55"/>
      <c r="GU179" s="55"/>
      <c r="GV179" s="55"/>
      <c r="GW179" s="55"/>
      <c r="GX179" s="55"/>
      <c r="GY179" s="55"/>
      <c r="GZ179" s="55"/>
      <c r="HA179" s="55"/>
      <c r="HB179" s="55"/>
      <c r="HC179" s="55"/>
      <c r="HD179" s="55"/>
      <c r="HE179" s="55"/>
      <c r="HF179" s="55"/>
      <c r="HG179" s="55"/>
      <c r="HH179" s="55"/>
    </row>
    <row r="180" spans="12:216" x14ac:dyDescent="0.3">
      <c r="L180" s="56"/>
      <c r="N180" s="56"/>
      <c r="P180" s="56"/>
      <c r="R180" s="56"/>
      <c r="T180" s="56"/>
      <c r="V180" s="56"/>
      <c r="W180" s="60"/>
      <c r="X180" s="56"/>
      <c r="Z180" s="56"/>
      <c r="AB180" s="56"/>
      <c r="AC180" s="60"/>
      <c r="AD180" s="56"/>
      <c r="AE180" s="60"/>
      <c r="AF180" s="56"/>
      <c r="AG180" s="60"/>
      <c r="AH180" s="56"/>
      <c r="AJ180" s="56"/>
      <c r="AL180" s="56"/>
      <c r="AM180" s="60"/>
      <c r="AN180" s="56"/>
      <c r="AO180" s="60"/>
      <c r="AP180" s="56"/>
      <c r="AQ180" s="60"/>
      <c r="AR180" s="56"/>
      <c r="AT180" s="56"/>
      <c r="AU180" s="60"/>
      <c r="AV180" s="56"/>
      <c r="AW180" s="60"/>
      <c r="AX180" s="56"/>
      <c r="AZ180" s="56"/>
      <c r="CB180" s="56"/>
      <c r="CD180" s="56"/>
      <c r="CF180" s="56"/>
      <c r="CH180" s="56"/>
      <c r="CI180" s="57"/>
      <c r="CJ180" s="56"/>
      <c r="CL180" s="56"/>
      <c r="CM180" s="57"/>
      <c r="CN180" s="56"/>
      <c r="CO180" s="60"/>
      <c r="CP180" s="56"/>
      <c r="CQ180" s="57"/>
      <c r="CR180" s="56"/>
      <c r="CT180" s="56"/>
      <c r="CU180" s="60"/>
      <c r="CV180" s="56"/>
      <c r="CW180" s="60"/>
      <c r="CX180" s="56"/>
      <c r="CY180" s="60"/>
      <c r="CZ180" s="56"/>
      <c r="DB180" s="56"/>
      <c r="DD180" s="56"/>
      <c r="DE180" s="60"/>
      <c r="DF180" s="56"/>
      <c r="DG180" s="60"/>
      <c r="DH180" s="56"/>
      <c r="DI180" s="60"/>
      <c r="DJ180" s="56"/>
      <c r="DL180" s="56"/>
      <c r="DM180" s="60"/>
      <c r="DN180" s="56"/>
      <c r="DO180" s="60"/>
      <c r="DP180" s="56"/>
      <c r="DR180" s="56"/>
      <c r="ER180" s="55"/>
      <c r="ES180" s="55"/>
      <c r="ET180" s="56"/>
      <c r="EU180" s="55"/>
      <c r="EV180" s="56"/>
      <c r="EW180" s="55"/>
      <c r="EX180" s="56"/>
      <c r="EY180" s="55"/>
      <c r="EZ180" s="56"/>
      <c r="FA180" s="57"/>
      <c r="FB180" s="56"/>
      <c r="FC180" s="55"/>
      <c r="FD180" s="56"/>
      <c r="FE180" s="57"/>
      <c r="FF180" s="56"/>
      <c r="FG180" s="60"/>
      <c r="FH180" s="56"/>
      <c r="FI180" s="57"/>
      <c r="FJ180" s="56"/>
      <c r="FK180" s="55"/>
      <c r="FL180" s="56"/>
      <c r="FM180" s="60"/>
      <c r="FN180" s="56"/>
      <c r="FO180" s="60"/>
      <c r="FP180" s="56"/>
      <c r="FQ180" s="60"/>
      <c r="FR180" s="56"/>
      <c r="FS180" s="55"/>
      <c r="FT180" s="56"/>
      <c r="FU180" s="55"/>
      <c r="FV180" s="56"/>
      <c r="FW180" s="60"/>
      <c r="FX180" s="56"/>
      <c r="FY180" s="60"/>
      <c r="FZ180" s="56"/>
      <c r="GA180" s="60"/>
      <c r="GB180" s="56"/>
      <c r="GC180" s="55"/>
      <c r="GD180" s="56"/>
      <c r="GE180" s="60"/>
      <c r="GF180" s="56"/>
      <c r="GG180" s="60"/>
      <c r="GH180" s="56"/>
      <c r="GI180" s="55"/>
      <c r="GJ180" s="56"/>
      <c r="GK180" s="55"/>
      <c r="GL180" s="55"/>
      <c r="GM180" s="55"/>
      <c r="GN180" s="55"/>
      <c r="GO180" s="55"/>
      <c r="GP180" s="55"/>
      <c r="GQ180" s="55"/>
      <c r="GR180" s="55"/>
      <c r="GS180" s="55"/>
      <c r="GT180" s="55"/>
      <c r="GU180" s="55"/>
      <c r="GV180" s="55"/>
      <c r="GW180" s="55"/>
      <c r="GX180" s="55"/>
      <c r="GY180" s="55"/>
      <c r="GZ180" s="55"/>
      <c r="HA180" s="55"/>
      <c r="HB180" s="55"/>
      <c r="HC180" s="55"/>
      <c r="HD180" s="55"/>
      <c r="HE180" s="55"/>
      <c r="HF180" s="55"/>
      <c r="HG180" s="55"/>
      <c r="HH180" s="55"/>
    </row>
    <row r="181" spans="12:216" x14ac:dyDescent="0.3">
      <c r="L181" s="56"/>
      <c r="N181" s="56"/>
      <c r="P181" s="56"/>
      <c r="R181" s="56"/>
      <c r="T181" s="56"/>
      <c r="V181" s="56"/>
      <c r="W181" s="60"/>
      <c r="X181" s="56"/>
      <c r="Z181" s="56"/>
      <c r="AB181" s="56"/>
      <c r="AC181" s="60"/>
      <c r="AD181" s="56"/>
      <c r="AE181" s="60"/>
      <c r="AF181" s="56"/>
      <c r="AG181" s="60"/>
      <c r="AH181" s="56"/>
      <c r="AJ181" s="56"/>
      <c r="AL181" s="56"/>
      <c r="AM181" s="60"/>
      <c r="AN181" s="56"/>
      <c r="AO181" s="60"/>
      <c r="AP181" s="56"/>
      <c r="AQ181" s="60"/>
      <c r="AR181" s="56"/>
      <c r="AT181" s="56"/>
      <c r="AU181" s="60"/>
      <c r="AV181" s="56"/>
      <c r="AW181" s="60"/>
      <c r="AX181" s="56"/>
      <c r="AZ181" s="56"/>
      <c r="CB181" s="56"/>
      <c r="CD181" s="56"/>
      <c r="CF181" s="56"/>
      <c r="CH181" s="56"/>
      <c r="CI181" s="57"/>
      <c r="CJ181" s="56"/>
      <c r="CL181" s="56"/>
      <c r="CM181" s="57"/>
      <c r="CN181" s="56"/>
      <c r="CO181" s="60"/>
      <c r="CP181" s="56"/>
      <c r="CQ181" s="57"/>
      <c r="CR181" s="56"/>
      <c r="CT181" s="56"/>
      <c r="CU181" s="60"/>
      <c r="CV181" s="56"/>
      <c r="CW181" s="60"/>
      <c r="CX181" s="56"/>
      <c r="CY181" s="60"/>
      <c r="CZ181" s="56"/>
      <c r="DB181" s="56"/>
      <c r="DD181" s="56"/>
      <c r="DE181" s="60"/>
      <c r="DF181" s="56"/>
      <c r="DG181" s="60"/>
      <c r="DH181" s="56"/>
      <c r="DI181" s="60"/>
      <c r="DJ181" s="56"/>
      <c r="DL181" s="56"/>
      <c r="DM181" s="60"/>
      <c r="DN181" s="56"/>
      <c r="DO181" s="60"/>
      <c r="DP181" s="56"/>
      <c r="DR181" s="56"/>
      <c r="ER181" s="55"/>
      <c r="ES181" s="55"/>
      <c r="ET181" s="56"/>
      <c r="EU181" s="55"/>
      <c r="EV181" s="56"/>
      <c r="EW181" s="55"/>
      <c r="EX181" s="56"/>
      <c r="EY181" s="55"/>
      <c r="EZ181" s="56"/>
      <c r="FA181" s="57"/>
      <c r="FB181" s="56"/>
      <c r="FC181" s="55"/>
      <c r="FD181" s="56"/>
      <c r="FE181" s="57"/>
      <c r="FF181" s="56"/>
      <c r="FG181" s="60"/>
      <c r="FH181" s="56"/>
      <c r="FI181" s="57"/>
      <c r="FJ181" s="56"/>
      <c r="FK181" s="55"/>
      <c r="FL181" s="56"/>
      <c r="FM181" s="60"/>
      <c r="FN181" s="56"/>
      <c r="FO181" s="60"/>
      <c r="FP181" s="56"/>
      <c r="FQ181" s="60"/>
      <c r="FR181" s="56"/>
      <c r="FS181" s="55"/>
      <c r="FT181" s="56"/>
      <c r="FU181" s="55"/>
      <c r="FV181" s="56"/>
      <c r="FW181" s="60"/>
      <c r="FX181" s="56"/>
      <c r="FY181" s="60"/>
      <c r="FZ181" s="56"/>
      <c r="GA181" s="60"/>
      <c r="GB181" s="56"/>
      <c r="GC181" s="55"/>
      <c r="GD181" s="56"/>
      <c r="GE181" s="60"/>
      <c r="GF181" s="56"/>
      <c r="GG181" s="60"/>
      <c r="GH181" s="56"/>
      <c r="GI181" s="55"/>
      <c r="GJ181" s="56"/>
      <c r="GK181" s="55"/>
      <c r="GL181" s="55"/>
      <c r="GM181" s="55"/>
      <c r="GN181" s="55"/>
      <c r="GO181" s="55"/>
      <c r="GP181" s="55"/>
      <c r="GQ181" s="55"/>
      <c r="GR181" s="55"/>
      <c r="GS181" s="55"/>
      <c r="GT181" s="55"/>
      <c r="GU181" s="55"/>
      <c r="GV181" s="55"/>
      <c r="GW181" s="55"/>
      <c r="GX181" s="55"/>
      <c r="GY181" s="55"/>
      <c r="GZ181" s="55"/>
      <c r="HA181" s="55"/>
      <c r="HB181" s="55"/>
      <c r="HC181" s="55"/>
      <c r="HD181" s="55"/>
      <c r="HE181" s="55"/>
      <c r="HF181" s="55"/>
      <c r="HG181" s="55"/>
      <c r="HH181" s="55"/>
    </row>
    <row r="182" spans="12:216" x14ac:dyDescent="0.3">
      <c r="L182" s="56"/>
      <c r="N182" s="56"/>
      <c r="P182" s="56"/>
      <c r="R182" s="56"/>
      <c r="T182" s="56"/>
      <c r="V182" s="56"/>
      <c r="W182" s="60"/>
      <c r="X182" s="56"/>
      <c r="Z182" s="56"/>
      <c r="AB182" s="56"/>
      <c r="AC182" s="60"/>
      <c r="AD182" s="56"/>
      <c r="AE182" s="60"/>
      <c r="AF182" s="56"/>
      <c r="AG182" s="60"/>
      <c r="AH182" s="56"/>
      <c r="AJ182" s="56"/>
      <c r="AL182" s="56"/>
      <c r="AM182" s="60"/>
      <c r="AN182" s="56"/>
      <c r="AO182" s="60"/>
      <c r="AP182" s="56"/>
      <c r="AQ182" s="60"/>
      <c r="AR182" s="56"/>
      <c r="AT182" s="56"/>
      <c r="AU182" s="60"/>
      <c r="AV182" s="56"/>
      <c r="AW182" s="60"/>
      <c r="AX182" s="56"/>
      <c r="AZ182" s="56"/>
      <c r="CB182" s="56"/>
      <c r="CD182" s="56"/>
      <c r="CF182" s="56"/>
      <c r="CH182" s="56"/>
      <c r="CI182" s="57"/>
      <c r="CJ182" s="56"/>
      <c r="CL182" s="56"/>
      <c r="CM182" s="57"/>
      <c r="CN182" s="56"/>
      <c r="CO182" s="60"/>
      <c r="CP182" s="56"/>
      <c r="CQ182" s="57"/>
      <c r="CR182" s="56"/>
      <c r="CT182" s="56"/>
      <c r="CU182" s="60"/>
      <c r="CV182" s="56"/>
      <c r="CW182" s="60"/>
      <c r="CX182" s="56"/>
      <c r="CY182" s="60"/>
      <c r="CZ182" s="56"/>
      <c r="DB182" s="56"/>
      <c r="DD182" s="56"/>
      <c r="DE182" s="60"/>
      <c r="DF182" s="56"/>
      <c r="DG182" s="60"/>
      <c r="DH182" s="56"/>
      <c r="DI182" s="60"/>
      <c r="DJ182" s="56"/>
      <c r="DL182" s="56"/>
      <c r="DM182" s="60"/>
      <c r="DN182" s="56"/>
      <c r="DO182" s="60"/>
      <c r="DP182" s="56"/>
      <c r="DR182" s="56"/>
      <c r="ER182" s="55"/>
      <c r="ES182" s="55"/>
      <c r="ET182" s="56"/>
      <c r="EU182" s="55"/>
      <c r="EV182" s="56"/>
      <c r="EW182" s="55"/>
      <c r="EX182" s="56"/>
      <c r="EY182" s="55"/>
      <c r="EZ182" s="56"/>
      <c r="FA182" s="57"/>
      <c r="FB182" s="56"/>
      <c r="FC182" s="55"/>
      <c r="FD182" s="56"/>
      <c r="FE182" s="57"/>
      <c r="FF182" s="56"/>
      <c r="FG182" s="60"/>
      <c r="FH182" s="56"/>
      <c r="FI182" s="57"/>
      <c r="FJ182" s="56"/>
      <c r="FK182" s="55"/>
      <c r="FL182" s="56"/>
      <c r="FM182" s="60"/>
      <c r="FN182" s="56"/>
      <c r="FO182" s="60"/>
      <c r="FP182" s="56"/>
      <c r="FQ182" s="60"/>
      <c r="FR182" s="56"/>
      <c r="FS182" s="55"/>
      <c r="FT182" s="56"/>
      <c r="FU182" s="55"/>
      <c r="FV182" s="56"/>
      <c r="FW182" s="60"/>
      <c r="FX182" s="56"/>
      <c r="FY182" s="60"/>
      <c r="FZ182" s="56"/>
      <c r="GA182" s="60"/>
      <c r="GB182" s="56"/>
      <c r="GC182" s="55"/>
      <c r="GD182" s="56"/>
      <c r="GE182" s="60"/>
      <c r="GF182" s="56"/>
      <c r="GG182" s="60"/>
      <c r="GH182" s="56"/>
      <c r="GI182" s="55"/>
      <c r="GJ182" s="56"/>
      <c r="GK182" s="55"/>
      <c r="GL182" s="55"/>
      <c r="GM182" s="55"/>
      <c r="GN182" s="55"/>
      <c r="GO182" s="55"/>
      <c r="GP182" s="55"/>
      <c r="GQ182" s="55"/>
      <c r="GR182" s="55"/>
      <c r="GS182" s="55"/>
      <c r="GT182" s="55"/>
      <c r="GU182" s="55"/>
      <c r="GV182" s="55"/>
      <c r="GW182" s="55"/>
      <c r="GX182" s="55"/>
      <c r="GY182" s="55"/>
      <c r="GZ182" s="55"/>
      <c r="HA182" s="55"/>
      <c r="HB182" s="55"/>
      <c r="HC182" s="55"/>
      <c r="HD182" s="55"/>
      <c r="HE182" s="55"/>
      <c r="HF182" s="55"/>
      <c r="HG182" s="55"/>
      <c r="HH182" s="55"/>
    </row>
    <row r="183" spans="12:216" x14ac:dyDescent="0.3">
      <c r="L183" s="56"/>
      <c r="N183" s="56"/>
      <c r="P183" s="56"/>
      <c r="R183" s="56"/>
      <c r="T183" s="56"/>
      <c r="V183" s="56"/>
      <c r="W183" s="60"/>
      <c r="X183" s="56"/>
      <c r="Z183" s="56"/>
      <c r="AB183" s="56"/>
      <c r="AC183" s="60"/>
      <c r="AD183" s="56"/>
      <c r="AE183" s="60"/>
      <c r="AF183" s="56"/>
      <c r="AG183" s="60"/>
      <c r="AH183" s="56"/>
      <c r="AJ183" s="56"/>
      <c r="AL183" s="56"/>
      <c r="AM183" s="60"/>
      <c r="AN183" s="56"/>
      <c r="AO183" s="60"/>
      <c r="AP183" s="56"/>
      <c r="AQ183" s="60"/>
      <c r="AR183" s="56"/>
      <c r="AT183" s="56"/>
      <c r="AU183" s="60"/>
      <c r="AV183" s="56"/>
      <c r="AW183" s="60"/>
      <c r="AX183" s="56"/>
      <c r="AZ183" s="56"/>
      <c r="CB183" s="56"/>
      <c r="CD183" s="56"/>
      <c r="CF183" s="56"/>
      <c r="CH183" s="56"/>
      <c r="CI183" s="57"/>
      <c r="CJ183" s="56"/>
      <c r="CL183" s="56"/>
      <c r="CM183" s="57"/>
      <c r="CN183" s="56"/>
      <c r="CO183" s="60"/>
      <c r="CP183" s="56"/>
      <c r="CQ183" s="57"/>
      <c r="CR183" s="56"/>
      <c r="CT183" s="56"/>
      <c r="CU183" s="60"/>
      <c r="CV183" s="56"/>
      <c r="CW183" s="60"/>
      <c r="CX183" s="56"/>
      <c r="CY183" s="60"/>
      <c r="CZ183" s="56"/>
      <c r="DB183" s="56"/>
      <c r="DD183" s="56"/>
      <c r="DE183" s="60"/>
      <c r="DF183" s="56"/>
      <c r="DG183" s="60"/>
      <c r="DH183" s="56"/>
      <c r="DI183" s="60"/>
      <c r="DJ183" s="56"/>
      <c r="DL183" s="56"/>
      <c r="DM183" s="60"/>
      <c r="DN183" s="56"/>
      <c r="DO183" s="60"/>
      <c r="DP183" s="56"/>
      <c r="DR183" s="56"/>
      <c r="ER183" s="55"/>
      <c r="ES183" s="55"/>
      <c r="ET183" s="56"/>
      <c r="EU183" s="55"/>
      <c r="EV183" s="56"/>
      <c r="EW183" s="55"/>
      <c r="EX183" s="56"/>
      <c r="EY183" s="55"/>
      <c r="EZ183" s="56"/>
      <c r="FA183" s="57"/>
      <c r="FB183" s="56"/>
      <c r="FC183" s="55"/>
      <c r="FD183" s="56"/>
      <c r="FE183" s="57"/>
      <c r="FF183" s="56"/>
      <c r="FG183" s="60"/>
      <c r="FH183" s="56"/>
      <c r="FI183" s="57"/>
      <c r="FJ183" s="56"/>
      <c r="FK183" s="55"/>
      <c r="FL183" s="56"/>
      <c r="FM183" s="60"/>
      <c r="FN183" s="56"/>
      <c r="FO183" s="60"/>
      <c r="FP183" s="56"/>
      <c r="FQ183" s="60"/>
      <c r="FR183" s="56"/>
      <c r="FS183" s="55"/>
      <c r="FT183" s="56"/>
      <c r="FU183" s="55"/>
      <c r="FV183" s="56"/>
      <c r="FW183" s="60"/>
      <c r="FX183" s="56"/>
      <c r="FY183" s="60"/>
      <c r="FZ183" s="56"/>
      <c r="GA183" s="60"/>
      <c r="GB183" s="56"/>
      <c r="GC183" s="55"/>
      <c r="GD183" s="56"/>
      <c r="GE183" s="60"/>
      <c r="GF183" s="56"/>
      <c r="GG183" s="60"/>
      <c r="GH183" s="56"/>
      <c r="GI183" s="55"/>
      <c r="GJ183" s="56"/>
      <c r="GK183" s="55"/>
      <c r="GL183" s="55"/>
      <c r="GM183" s="55"/>
      <c r="GN183" s="55"/>
      <c r="GO183" s="55"/>
      <c r="GP183" s="55"/>
      <c r="GQ183" s="55"/>
      <c r="GR183" s="55"/>
      <c r="GS183" s="55"/>
      <c r="GT183" s="55"/>
      <c r="GU183" s="55"/>
      <c r="GV183" s="55"/>
      <c r="GW183" s="55"/>
      <c r="GX183" s="55"/>
      <c r="GY183" s="55"/>
      <c r="GZ183" s="55"/>
      <c r="HA183" s="55"/>
      <c r="HB183" s="55"/>
      <c r="HC183" s="55"/>
      <c r="HD183" s="55"/>
      <c r="HE183" s="55"/>
      <c r="HF183" s="55"/>
      <c r="HG183" s="55"/>
      <c r="HH183" s="55"/>
    </row>
    <row r="184" spans="12:216" x14ac:dyDescent="0.3">
      <c r="L184" s="56"/>
      <c r="N184" s="56"/>
      <c r="P184" s="56"/>
      <c r="R184" s="56"/>
      <c r="T184" s="56"/>
      <c r="V184" s="56"/>
      <c r="W184" s="60"/>
      <c r="X184" s="56"/>
      <c r="Z184" s="56"/>
      <c r="AB184" s="56"/>
      <c r="AC184" s="60"/>
      <c r="AD184" s="56"/>
      <c r="AE184" s="60"/>
      <c r="AF184" s="56"/>
      <c r="AG184" s="60"/>
      <c r="AH184" s="56"/>
      <c r="AJ184" s="56"/>
      <c r="AL184" s="56"/>
      <c r="AM184" s="60"/>
      <c r="AN184" s="56"/>
      <c r="AO184" s="60"/>
      <c r="AP184" s="56"/>
      <c r="AQ184" s="60"/>
      <c r="AR184" s="56"/>
      <c r="AT184" s="56"/>
      <c r="AU184" s="60"/>
      <c r="AV184" s="56"/>
      <c r="AW184" s="60"/>
      <c r="AX184" s="56"/>
      <c r="AZ184" s="56"/>
      <c r="CB184" s="56"/>
      <c r="CD184" s="56"/>
      <c r="CF184" s="56"/>
      <c r="CH184" s="56"/>
      <c r="CI184" s="57"/>
      <c r="CJ184" s="56"/>
      <c r="CL184" s="56"/>
      <c r="CM184" s="57"/>
      <c r="CN184" s="56"/>
      <c r="CO184" s="60"/>
      <c r="CP184" s="56"/>
      <c r="CQ184" s="57"/>
      <c r="CR184" s="56"/>
      <c r="CT184" s="56"/>
      <c r="CU184" s="60"/>
      <c r="CV184" s="56"/>
      <c r="CW184" s="60"/>
      <c r="CX184" s="56"/>
      <c r="CY184" s="60"/>
      <c r="CZ184" s="56"/>
      <c r="DB184" s="56"/>
      <c r="DD184" s="56"/>
      <c r="DE184" s="60"/>
      <c r="DF184" s="56"/>
      <c r="DG184" s="60"/>
      <c r="DH184" s="56"/>
      <c r="DI184" s="60"/>
      <c r="DJ184" s="56"/>
      <c r="DL184" s="56"/>
      <c r="DM184" s="60"/>
      <c r="DN184" s="56"/>
      <c r="DO184" s="60"/>
      <c r="DP184" s="56"/>
      <c r="DR184" s="56"/>
      <c r="ER184" s="55"/>
      <c r="ES184" s="55"/>
      <c r="ET184" s="56"/>
      <c r="EU184" s="55"/>
      <c r="EV184" s="56"/>
      <c r="EW184" s="55"/>
      <c r="EX184" s="56"/>
      <c r="EY184" s="55"/>
      <c r="EZ184" s="56"/>
      <c r="FA184" s="57"/>
      <c r="FB184" s="56"/>
      <c r="FC184" s="55"/>
      <c r="FD184" s="56"/>
      <c r="FE184" s="57"/>
      <c r="FF184" s="56"/>
      <c r="FG184" s="60"/>
      <c r="FH184" s="56"/>
      <c r="FI184" s="57"/>
      <c r="FJ184" s="56"/>
      <c r="FK184" s="55"/>
      <c r="FL184" s="56"/>
      <c r="FM184" s="60"/>
      <c r="FN184" s="56"/>
      <c r="FO184" s="60"/>
      <c r="FP184" s="56"/>
      <c r="FQ184" s="60"/>
      <c r="FR184" s="56"/>
      <c r="FS184" s="55"/>
      <c r="FT184" s="56"/>
      <c r="FU184" s="55"/>
      <c r="FV184" s="56"/>
      <c r="FW184" s="60"/>
      <c r="FX184" s="56"/>
      <c r="FY184" s="60"/>
      <c r="FZ184" s="56"/>
      <c r="GA184" s="60"/>
      <c r="GB184" s="56"/>
      <c r="GC184" s="55"/>
      <c r="GD184" s="56"/>
      <c r="GE184" s="60"/>
      <c r="GF184" s="56"/>
      <c r="GG184" s="60"/>
      <c r="GH184" s="56"/>
      <c r="GI184" s="55"/>
      <c r="GJ184" s="56"/>
      <c r="GK184" s="55"/>
      <c r="GL184" s="55"/>
      <c r="GM184" s="55"/>
      <c r="GN184" s="55"/>
      <c r="GO184" s="55"/>
      <c r="GP184" s="55"/>
      <c r="GQ184" s="55"/>
      <c r="GR184" s="55"/>
      <c r="GS184" s="55"/>
      <c r="GT184" s="55"/>
      <c r="GU184" s="55"/>
      <c r="GV184" s="55"/>
      <c r="GW184" s="55"/>
      <c r="GX184" s="55"/>
      <c r="GY184" s="55"/>
      <c r="GZ184" s="55"/>
      <c r="HA184" s="55"/>
      <c r="HB184" s="55"/>
      <c r="HC184" s="55"/>
      <c r="HD184" s="55"/>
      <c r="HE184" s="55"/>
      <c r="HF184" s="55"/>
      <c r="HG184" s="55"/>
      <c r="HH184" s="55"/>
    </row>
    <row r="185" spans="12:216" x14ac:dyDescent="0.3">
      <c r="L185" s="56"/>
      <c r="N185" s="56"/>
      <c r="P185" s="56"/>
      <c r="R185" s="56"/>
      <c r="T185" s="56"/>
      <c r="V185" s="56"/>
      <c r="W185" s="60"/>
      <c r="X185" s="56"/>
      <c r="Z185" s="56"/>
      <c r="AB185" s="56"/>
      <c r="AC185" s="60"/>
      <c r="AD185" s="56"/>
      <c r="AE185" s="60"/>
      <c r="AF185" s="56"/>
      <c r="AG185" s="60"/>
      <c r="AH185" s="56"/>
      <c r="AJ185" s="56"/>
      <c r="AL185" s="56"/>
      <c r="AM185" s="60"/>
      <c r="AN185" s="56"/>
      <c r="AO185" s="60"/>
      <c r="AP185" s="56"/>
      <c r="AQ185" s="60"/>
      <c r="AR185" s="56"/>
      <c r="AT185" s="56"/>
      <c r="AU185" s="60"/>
      <c r="AV185" s="56"/>
      <c r="AW185" s="60"/>
      <c r="AX185" s="56"/>
      <c r="AZ185" s="56"/>
      <c r="CB185" s="56"/>
      <c r="CD185" s="56"/>
      <c r="CF185" s="56"/>
      <c r="CH185" s="56"/>
      <c r="CI185" s="57"/>
      <c r="CJ185" s="56"/>
      <c r="CL185" s="56"/>
      <c r="CM185" s="57"/>
      <c r="CN185" s="56"/>
      <c r="CO185" s="60"/>
      <c r="CP185" s="56"/>
      <c r="CQ185" s="57"/>
      <c r="CR185" s="56"/>
      <c r="CT185" s="56"/>
      <c r="CU185" s="60"/>
      <c r="CV185" s="56"/>
      <c r="CW185" s="60"/>
      <c r="CX185" s="56"/>
      <c r="CY185" s="60"/>
      <c r="CZ185" s="56"/>
      <c r="DB185" s="56"/>
      <c r="DD185" s="56"/>
      <c r="DE185" s="60"/>
      <c r="DF185" s="56"/>
      <c r="DG185" s="60"/>
      <c r="DH185" s="56"/>
      <c r="DI185" s="60"/>
      <c r="DJ185" s="56"/>
      <c r="DL185" s="56"/>
      <c r="DM185" s="60"/>
      <c r="DN185" s="56"/>
      <c r="DO185" s="60"/>
      <c r="DP185" s="56"/>
      <c r="DR185" s="56"/>
      <c r="ER185" s="55"/>
      <c r="ES185" s="55"/>
      <c r="ET185" s="56"/>
      <c r="EU185" s="55"/>
      <c r="EV185" s="56"/>
      <c r="EW185" s="55"/>
      <c r="EX185" s="56"/>
      <c r="EY185" s="55"/>
      <c r="EZ185" s="56"/>
      <c r="FA185" s="57"/>
      <c r="FB185" s="56"/>
      <c r="FC185" s="55"/>
      <c r="FD185" s="56"/>
      <c r="FE185" s="57"/>
      <c r="FF185" s="56"/>
      <c r="FG185" s="60"/>
      <c r="FH185" s="56"/>
      <c r="FI185" s="57"/>
      <c r="FJ185" s="56"/>
      <c r="FK185" s="55"/>
      <c r="FL185" s="56"/>
      <c r="FM185" s="60"/>
      <c r="FN185" s="56"/>
      <c r="FO185" s="60"/>
      <c r="FP185" s="56"/>
      <c r="FQ185" s="60"/>
      <c r="FR185" s="56"/>
      <c r="FS185" s="55"/>
      <c r="FT185" s="56"/>
      <c r="FU185" s="55"/>
      <c r="FV185" s="56"/>
      <c r="FW185" s="60"/>
      <c r="FX185" s="56"/>
      <c r="FY185" s="60"/>
      <c r="FZ185" s="56"/>
      <c r="GA185" s="60"/>
      <c r="GB185" s="56"/>
      <c r="GC185" s="55"/>
      <c r="GD185" s="56"/>
      <c r="GE185" s="60"/>
      <c r="GF185" s="56"/>
      <c r="GG185" s="60"/>
      <c r="GH185" s="56"/>
      <c r="GI185" s="55"/>
      <c r="GJ185" s="56"/>
      <c r="GK185" s="55"/>
      <c r="GL185" s="55"/>
      <c r="GM185" s="55"/>
      <c r="GN185" s="55"/>
      <c r="GO185" s="55"/>
      <c r="GP185" s="55"/>
      <c r="GQ185" s="55"/>
      <c r="GR185" s="55"/>
      <c r="GS185" s="55"/>
      <c r="GT185" s="55"/>
      <c r="GU185" s="55"/>
      <c r="GV185" s="55"/>
      <c r="GW185" s="55"/>
      <c r="GX185" s="55"/>
      <c r="GY185" s="55"/>
      <c r="GZ185" s="55"/>
      <c r="HA185" s="55"/>
      <c r="HB185" s="55"/>
      <c r="HC185" s="55"/>
      <c r="HD185" s="55"/>
      <c r="HE185" s="55"/>
      <c r="HF185" s="55"/>
      <c r="HG185" s="55"/>
      <c r="HH185" s="55"/>
    </row>
    <row r="186" spans="12:216" x14ac:dyDescent="0.3">
      <c r="L186" s="56"/>
      <c r="N186" s="56"/>
      <c r="P186" s="56"/>
      <c r="R186" s="56"/>
      <c r="T186" s="56"/>
      <c r="V186" s="56"/>
      <c r="W186" s="60"/>
      <c r="X186" s="56"/>
      <c r="Z186" s="56"/>
      <c r="AB186" s="56"/>
      <c r="AC186" s="60"/>
      <c r="AD186" s="56"/>
      <c r="AE186" s="60"/>
      <c r="AF186" s="56"/>
      <c r="AG186" s="60"/>
      <c r="AH186" s="56"/>
      <c r="AJ186" s="56"/>
      <c r="AL186" s="56"/>
      <c r="AM186" s="60"/>
      <c r="AN186" s="56"/>
      <c r="AO186" s="60"/>
      <c r="AP186" s="56"/>
      <c r="AQ186" s="60"/>
      <c r="AR186" s="56"/>
      <c r="AT186" s="56"/>
      <c r="AU186" s="60"/>
      <c r="AV186" s="56"/>
      <c r="AW186" s="60"/>
      <c r="AX186" s="56"/>
      <c r="AZ186" s="56"/>
      <c r="CB186" s="56"/>
      <c r="CD186" s="56"/>
      <c r="CF186" s="56"/>
      <c r="CH186" s="56"/>
      <c r="CI186" s="57"/>
      <c r="CJ186" s="56"/>
      <c r="CL186" s="56"/>
      <c r="CM186" s="57"/>
      <c r="CN186" s="56"/>
      <c r="CO186" s="60"/>
      <c r="CP186" s="56"/>
      <c r="CQ186" s="57"/>
      <c r="CR186" s="56"/>
      <c r="CT186" s="56"/>
      <c r="CU186" s="60"/>
      <c r="CV186" s="56"/>
      <c r="CW186" s="60"/>
      <c r="CX186" s="56"/>
      <c r="CY186" s="60"/>
      <c r="CZ186" s="56"/>
      <c r="DB186" s="56"/>
      <c r="DD186" s="56"/>
      <c r="DE186" s="60"/>
      <c r="DF186" s="56"/>
      <c r="DG186" s="60"/>
      <c r="DH186" s="56"/>
      <c r="DI186" s="60"/>
      <c r="DJ186" s="56"/>
      <c r="DL186" s="56"/>
      <c r="DM186" s="60"/>
      <c r="DN186" s="56"/>
      <c r="DO186" s="60"/>
      <c r="DP186" s="56"/>
      <c r="DR186" s="56"/>
      <c r="ER186" s="55"/>
      <c r="ES186" s="55"/>
      <c r="ET186" s="56"/>
      <c r="EU186" s="55"/>
      <c r="EV186" s="56"/>
      <c r="EW186" s="55"/>
      <c r="EX186" s="56"/>
      <c r="EY186" s="55"/>
      <c r="EZ186" s="56"/>
      <c r="FA186" s="57"/>
      <c r="FB186" s="56"/>
      <c r="FC186" s="55"/>
      <c r="FD186" s="56"/>
      <c r="FE186" s="57"/>
      <c r="FF186" s="56"/>
      <c r="FG186" s="60"/>
      <c r="FH186" s="56"/>
      <c r="FI186" s="57"/>
      <c r="FJ186" s="56"/>
      <c r="FK186" s="55"/>
      <c r="FL186" s="56"/>
      <c r="FM186" s="60"/>
      <c r="FN186" s="56"/>
      <c r="FO186" s="60"/>
      <c r="FP186" s="56"/>
      <c r="FQ186" s="60"/>
      <c r="FR186" s="56"/>
      <c r="FS186" s="55"/>
      <c r="FT186" s="56"/>
      <c r="FU186" s="55"/>
      <c r="FV186" s="56"/>
      <c r="FW186" s="60"/>
      <c r="FX186" s="56"/>
      <c r="FY186" s="60"/>
      <c r="FZ186" s="56"/>
      <c r="GA186" s="60"/>
      <c r="GB186" s="56"/>
      <c r="GC186" s="55"/>
      <c r="GD186" s="56"/>
      <c r="GE186" s="60"/>
      <c r="GF186" s="56"/>
      <c r="GG186" s="60"/>
      <c r="GH186" s="56"/>
      <c r="GI186" s="55"/>
      <c r="GJ186" s="56"/>
      <c r="GK186" s="55"/>
      <c r="GL186" s="55"/>
      <c r="GM186" s="55"/>
      <c r="GN186" s="55"/>
      <c r="GO186" s="55"/>
      <c r="GP186" s="55"/>
      <c r="GQ186" s="55"/>
      <c r="GR186" s="55"/>
      <c r="GS186" s="55"/>
      <c r="GT186" s="55"/>
      <c r="GU186" s="55"/>
      <c r="GV186" s="55"/>
      <c r="GW186" s="55"/>
      <c r="GX186" s="55"/>
      <c r="GY186" s="55"/>
      <c r="GZ186" s="55"/>
      <c r="HA186" s="55"/>
      <c r="HB186" s="55"/>
      <c r="HC186" s="55"/>
      <c r="HD186" s="55"/>
      <c r="HE186" s="55"/>
      <c r="HF186" s="55"/>
      <c r="HG186" s="55"/>
      <c r="HH186" s="55"/>
    </row>
    <row r="187" spans="12:216" x14ac:dyDescent="0.3">
      <c r="L187" s="56"/>
      <c r="N187" s="56"/>
      <c r="P187" s="56"/>
      <c r="R187" s="56"/>
      <c r="T187" s="56"/>
      <c r="V187" s="56"/>
      <c r="W187" s="60"/>
      <c r="X187" s="56"/>
      <c r="Z187" s="56"/>
      <c r="AB187" s="56"/>
      <c r="AC187" s="60"/>
      <c r="AD187" s="56"/>
      <c r="AE187" s="60"/>
      <c r="AF187" s="56"/>
      <c r="AG187" s="60"/>
      <c r="AH187" s="56"/>
      <c r="AJ187" s="56"/>
      <c r="AL187" s="56"/>
      <c r="AM187" s="60"/>
      <c r="AN187" s="56"/>
      <c r="AO187" s="60"/>
      <c r="AP187" s="56"/>
      <c r="AQ187" s="60"/>
      <c r="AR187" s="56"/>
      <c r="AT187" s="56"/>
      <c r="AU187" s="60"/>
      <c r="AV187" s="56"/>
      <c r="AW187" s="60"/>
      <c r="AX187" s="56"/>
      <c r="AZ187" s="56"/>
      <c r="CB187" s="56"/>
      <c r="CD187" s="56"/>
      <c r="CF187" s="56"/>
      <c r="CH187" s="56"/>
      <c r="CI187" s="57"/>
      <c r="CJ187" s="56"/>
      <c r="CL187" s="56"/>
      <c r="CM187" s="57"/>
      <c r="CN187" s="56"/>
      <c r="CO187" s="60"/>
      <c r="CP187" s="56"/>
      <c r="CQ187" s="57"/>
      <c r="CR187" s="56"/>
      <c r="CT187" s="56"/>
      <c r="CU187" s="60"/>
      <c r="CV187" s="56"/>
      <c r="CW187" s="60"/>
      <c r="CX187" s="56"/>
      <c r="CY187" s="60"/>
      <c r="CZ187" s="56"/>
      <c r="DB187" s="56"/>
      <c r="DD187" s="56"/>
      <c r="DE187" s="60"/>
      <c r="DF187" s="56"/>
      <c r="DG187" s="60"/>
      <c r="DH187" s="56"/>
      <c r="DI187" s="60"/>
      <c r="DJ187" s="56"/>
      <c r="DL187" s="56"/>
      <c r="DM187" s="60"/>
      <c r="DN187" s="56"/>
      <c r="DO187" s="60"/>
      <c r="DP187" s="56"/>
      <c r="DR187" s="56"/>
      <c r="ER187" s="55"/>
      <c r="ES187" s="55"/>
      <c r="ET187" s="56"/>
      <c r="EU187" s="55"/>
      <c r="EV187" s="56"/>
      <c r="EW187" s="55"/>
      <c r="EX187" s="56"/>
      <c r="EY187" s="55"/>
      <c r="EZ187" s="56"/>
      <c r="FA187" s="57"/>
      <c r="FB187" s="56"/>
      <c r="FC187" s="55"/>
      <c r="FD187" s="56"/>
      <c r="FE187" s="57"/>
      <c r="FF187" s="56"/>
      <c r="FG187" s="60"/>
      <c r="FH187" s="56"/>
      <c r="FI187" s="57"/>
      <c r="FJ187" s="56"/>
      <c r="FK187" s="55"/>
      <c r="FL187" s="56"/>
      <c r="FM187" s="60"/>
      <c r="FN187" s="56"/>
      <c r="FO187" s="60"/>
      <c r="FP187" s="56"/>
      <c r="FQ187" s="60"/>
      <c r="FR187" s="56"/>
      <c r="FS187" s="55"/>
      <c r="FT187" s="56"/>
      <c r="FU187" s="55"/>
      <c r="FV187" s="56"/>
      <c r="FW187" s="60"/>
      <c r="FX187" s="56"/>
      <c r="FY187" s="60"/>
      <c r="FZ187" s="56"/>
      <c r="GA187" s="60"/>
      <c r="GB187" s="56"/>
      <c r="GC187" s="55"/>
      <c r="GD187" s="56"/>
      <c r="GE187" s="60"/>
      <c r="GF187" s="56"/>
      <c r="GG187" s="60"/>
      <c r="GH187" s="56"/>
      <c r="GI187" s="55"/>
      <c r="GJ187" s="56"/>
      <c r="GK187" s="55"/>
      <c r="GL187" s="55"/>
      <c r="GM187" s="55"/>
      <c r="GN187" s="55"/>
      <c r="GO187" s="55"/>
      <c r="GP187" s="55"/>
      <c r="GQ187" s="55"/>
      <c r="GR187" s="55"/>
      <c r="GS187" s="55"/>
      <c r="GT187" s="55"/>
      <c r="GU187" s="55"/>
      <c r="GV187" s="55"/>
      <c r="GW187" s="55"/>
      <c r="GX187" s="55"/>
      <c r="GY187" s="55"/>
      <c r="GZ187" s="55"/>
      <c r="HA187" s="55"/>
      <c r="HB187" s="55"/>
      <c r="HC187" s="55"/>
      <c r="HD187" s="55"/>
      <c r="HE187" s="55"/>
      <c r="HF187" s="55"/>
      <c r="HG187" s="55"/>
      <c r="HH187" s="55"/>
    </row>
    <row r="188" spans="12:216" x14ac:dyDescent="0.3">
      <c r="L188" s="56"/>
      <c r="N188" s="56"/>
      <c r="P188" s="56"/>
      <c r="R188" s="56"/>
      <c r="T188" s="56"/>
      <c r="V188" s="56"/>
      <c r="W188" s="60"/>
      <c r="X188" s="56"/>
      <c r="Z188" s="56"/>
      <c r="AB188" s="56"/>
      <c r="AC188" s="60"/>
      <c r="AD188" s="56"/>
      <c r="AE188" s="60"/>
      <c r="AF188" s="56"/>
      <c r="AG188" s="60"/>
      <c r="AH188" s="56"/>
      <c r="AJ188" s="56"/>
      <c r="AL188" s="56"/>
      <c r="AM188" s="60"/>
      <c r="AN188" s="56"/>
      <c r="AO188" s="60"/>
      <c r="AP188" s="56"/>
      <c r="AQ188" s="60"/>
      <c r="AR188" s="56"/>
      <c r="AT188" s="56"/>
      <c r="AU188" s="60"/>
      <c r="AV188" s="56"/>
      <c r="AW188" s="60"/>
      <c r="AX188" s="56"/>
      <c r="AZ188" s="56"/>
      <c r="CB188" s="56"/>
      <c r="CD188" s="56"/>
      <c r="CF188" s="56"/>
      <c r="CH188" s="56"/>
      <c r="CI188" s="57"/>
      <c r="CJ188" s="56"/>
      <c r="CL188" s="56"/>
      <c r="CM188" s="57"/>
      <c r="CN188" s="56"/>
      <c r="CO188" s="60"/>
      <c r="CP188" s="56"/>
      <c r="CQ188" s="57"/>
      <c r="CR188" s="56"/>
      <c r="CT188" s="56"/>
      <c r="CU188" s="60"/>
      <c r="CV188" s="56"/>
      <c r="CW188" s="60"/>
      <c r="CX188" s="56"/>
      <c r="CY188" s="60"/>
      <c r="CZ188" s="56"/>
      <c r="DB188" s="56"/>
      <c r="DD188" s="56"/>
      <c r="DE188" s="60"/>
      <c r="DF188" s="56"/>
      <c r="DG188" s="60"/>
      <c r="DH188" s="56"/>
      <c r="DI188" s="60"/>
      <c r="DJ188" s="56"/>
      <c r="DL188" s="56"/>
      <c r="DM188" s="60"/>
      <c r="DN188" s="56"/>
      <c r="DO188" s="60"/>
      <c r="DP188" s="56"/>
      <c r="DR188" s="56"/>
      <c r="ER188" s="55"/>
      <c r="ES188" s="55"/>
      <c r="ET188" s="56"/>
      <c r="EU188" s="55"/>
      <c r="EV188" s="56"/>
      <c r="EW188" s="55"/>
      <c r="EX188" s="56"/>
      <c r="EY188" s="55"/>
      <c r="EZ188" s="56"/>
      <c r="FA188" s="57"/>
      <c r="FB188" s="56"/>
      <c r="FC188" s="55"/>
      <c r="FD188" s="56"/>
      <c r="FE188" s="57"/>
      <c r="FF188" s="56"/>
      <c r="FG188" s="60"/>
      <c r="FH188" s="56"/>
      <c r="FI188" s="57"/>
      <c r="FJ188" s="56"/>
      <c r="FK188" s="55"/>
      <c r="FL188" s="56"/>
      <c r="FM188" s="60"/>
      <c r="FN188" s="56"/>
      <c r="FO188" s="60"/>
      <c r="FP188" s="56"/>
      <c r="FQ188" s="60"/>
      <c r="FR188" s="56"/>
      <c r="FS188" s="55"/>
      <c r="FT188" s="56"/>
      <c r="FU188" s="55"/>
      <c r="FV188" s="56"/>
      <c r="FW188" s="60"/>
      <c r="FX188" s="56"/>
      <c r="FY188" s="60"/>
      <c r="FZ188" s="56"/>
      <c r="GA188" s="60"/>
      <c r="GB188" s="56"/>
      <c r="GC188" s="55"/>
      <c r="GD188" s="56"/>
      <c r="GE188" s="60"/>
      <c r="GF188" s="56"/>
      <c r="GG188" s="60"/>
      <c r="GH188" s="56"/>
      <c r="GI188" s="55"/>
      <c r="GJ188" s="56"/>
      <c r="GK188" s="55"/>
      <c r="GL188" s="55"/>
      <c r="GM188" s="55"/>
      <c r="GN188" s="55"/>
      <c r="GO188" s="55"/>
      <c r="GP188" s="55"/>
      <c r="GQ188" s="55"/>
      <c r="GR188" s="55"/>
      <c r="GS188" s="55"/>
      <c r="GT188" s="55"/>
      <c r="GU188" s="55"/>
      <c r="GV188" s="55"/>
      <c r="GW188" s="55"/>
      <c r="GX188" s="55"/>
      <c r="GY188" s="55"/>
      <c r="GZ188" s="55"/>
      <c r="HA188" s="55"/>
      <c r="HB188" s="55"/>
      <c r="HC188" s="55"/>
      <c r="HD188" s="55"/>
      <c r="HE188" s="55"/>
      <c r="HF188" s="55"/>
      <c r="HG188" s="55"/>
      <c r="HH188" s="55"/>
    </row>
    <row r="189" spans="12:216" x14ac:dyDescent="0.3">
      <c r="L189" s="56"/>
      <c r="N189" s="56"/>
      <c r="P189" s="56"/>
      <c r="R189" s="56"/>
      <c r="T189" s="56"/>
      <c r="V189" s="56"/>
      <c r="W189" s="60"/>
      <c r="X189" s="56"/>
      <c r="Z189" s="56"/>
      <c r="AB189" s="56"/>
      <c r="AC189" s="60"/>
      <c r="AD189" s="56"/>
      <c r="AE189" s="60"/>
      <c r="AF189" s="56"/>
      <c r="AG189" s="60"/>
      <c r="AH189" s="56"/>
      <c r="AJ189" s="56"/>
      <c r="AL189" s="56"/>
      <c r="AM189" s="60"/>
      <c r="AN189" s="56"/>
      <c r="AO189" s="60"/>
      <c r="AP189" s="56"/>
      <c r="AQ189" s="60"/>
      <c r="AR189" s="56"/>
      <c r="AT189" s="56"/>
      <c r="AU189" s="60"/>
      <c r="AV189" s="56"/>
      <c r="AW189" s="60"/>
      <c r="AX189" s="56"/>
      <c r="AZ189" s="56"/>
      <c r="CB189" s="56"/>
      <c r="CD189" s="56"/>
      <c r="CF189" s="56"/>
      <c r="CH189" s="56"/>
      <c r="CI189" s="57"/>
      <c r="CJ189" s="56"/>
      <c r="CL189" s="56"/>
      <c r="CM189" s="57"/>
      <c r="CN189" s="56"/>
      <c r="CO189" s="60"/>
      <c r="CP189" s="56"/>
      <c r="CQ189" s="57"/>
      <c r="CR189" s="56"/>
      <c r="CT189" s="56"/>
      <c r="CU189" s="60"/>
      <c r="CV189" s="56"/>
      <c r="CW189" s="60"/>
      <c r="CX189" s="56"/>
      <c r="CY189" s="60"/>
      <c r="CZ189" s="56"/>
      <c r="DB189" s="56"/>
      <c r="DD189" s="56"/>
      <c r="DE189" s="60"/>
      <c r="DF189" s="56"/>
      <c r="DG189" s="60"/>
      <c r="DH189" s="56"/>
      <c r="DI189" s="60"/>
      <c r="DJ189" s="56"/>
      <c r="DL189" s="56"/>
      <c r="DM189" s="60"/>
      <c r="DN189" s="56"/>
      <c r="DO189" s="60"/>
      <c r="DP189" s="56"/>
      <c r="DR189" s="56"/>
      <c r="ER189" s="55"/>
      <c r="ES189" s="55"/>
      <c r="ET189" s="56"/>
      <c r="EU189" s="55"/>
      <c r="EV189" s="56"/>
      <c r="EW189" s="55"/>
      <c r="EX189" s="56"/>
      <c r="EY189" s="55"/>
      <c r="EZ189" s="56"/>
      <c r="FA189" s="57"/>
      <c r="FB189" s="56"/>
      <c r="FC189" s="55"/>
      <c r="FD189" s="56"/>
      <c r="FE189" s="57"/>
      <c r="FF189" s="56"/>
      <c r="FG189" s="60"/>
      <c r="FH189" s="56"/>
      <c r="FI189" s="57"/>
      <c r="FJ189" s="56"/>
      <c r="FK189" s="55"/>
      <c r="FL189" s="56"/>
      <c r="FM189" s="60"/>
      <c r="FN189" s="56"/>
      <c r="FO189" s="60"/>
      <c r="FP189" s="56"/>
      <c r="FQ189" s="60"/>
      <c r="FR189" s="56"/>
      <c r="FS189" s="55"/>
      <c r="FT189" s="56"/>
      <c r="FU189" s="55"/>
      <c r="FV189" s="56"/>
      <c r="FW189" s="60"/>
      <c r="FX189" s="56"/>
      <c r="FY189" s="60"/>
      <c r="FZ189" s="56"/>
      <c r="GA189" s="60"/>
      <c r="GB189" s="56"/>
      <c r="GC189" s="55"/>
      <c r="GD189" s="56"/>
      <c r="GE189" s="60"/>
      <c r="GF189" s="56"/>
      <c r="GG189" s="60"/>
      <c r="GH189" s="56"/>
      <c r="GI189" s="55"/>
      <c r="GJ189" s="56"/>
      <c r="GK189" s="55"/>
      <c r="GL189" s="55"/>
      <c r="GM189" s="55"/>
      <c r="GN189" s="55"/>
      <c r="GO189" s="55"/>
      <c r="GP189" s="55"/>
      <c r="GQ189" s="55"/>
      <c r="GR189" s="55"/>
      <c r="GS189" s="55"/>
      <c r="GT189" s="55"/>
      <c r="GU189" s="55"/>
      <c r="GV189" s="55"/>
      <c r="GW189" s="55"/>
      <c r="GX189" s="55"/>
      <c r="GY189" s="55"/>
      <c r="GZ189" s="55"/>
      <c r="HA189" s="55"/>
      <c r="HB189" s="55"/>
      <c r="HC189" s="55"/>
      <c r="HD189" s="55"/>
      <c r="HE189" s="55"/>
      <c r="HF189" s="55"/>
      <c r="HG189" s="55"/>
      <c r="HH189" s="55"/>
    </row>
    <row r="190" spans="12:216" x14ac:dyDescent="0.3">
      <c r="L190" s="56"/>
      <c r="N190" s="56"/>
      <c r="P190" s="56"/>
      <c r="R190" s="56"/>
      <c r="T190" s="56"/>
      <c r="V190" s="56"/>
      <c r="W190" s="60"/>
      <c r="X190" s="56"/>
      <c r="Z190" s="56"/>
      <c r="AB190" s="56"/>
      <c r="AC190" s="60"/>
      <c r="AD190" s="56"/>
      <c r="AE190" s="60"/>
      <c r="AF190" s="56"/>
      <c r="AG190" s="60"/>
      <c r="AH190" s="56"/>
      <c r="AJ190" s="56"/>
      <c r="AL190" s="56"/>
      <c r="AM190" s="60"/>
      <c r="AN190" s="56"/>
      <c r="AO190" s="60"/>
      <c r="AP190" s="56"/>
      <c r="AQ190" s="60"/>
      <c r="AR190" s="56"/>
      <c r="AT190" s="56"/>
      <c r="AU190" s="60"/>
      <c r="AV190" s="56"/>
      <c r="AW190" s="60"/>
      <c r="AX190" s="56"/>
      <c r="AZ190" s="56"/>
      <c r="CB190" s="56"/>
      <c r="CD190" s="56"/>
      <c r="CF190" s="56"/>
      <c r="CH190" s="56"/>
      <c r="CI190" s="57"/>
      <c r="CJ190" s="56"/>
      <c r="CL190" s="56"/>
      <c r="CM190" s="57"/>
      <c r="CN190" s="56"/>
      <c r="CO190" s="60"/>
      <c r="CP190" s="56"/>
      <c r="CQ190" s="57"/>
      <c r="CR190" s="56"/>
      <c r="CT190" s="56"/>
      <c r="CU190" s="60"/>
      <c r="CV190" s="56"/>
      <c r="CW190" s="60"/>
      <c r="CX190" s="56"/>
      <c r="CY190" s="60"/>
      <c r="CZ190" s="56"/>
      <c r="DB190" s="56"/>
      <c r="DD190" s="56"/>
      <c r="DE190" s="60"/>
      <c r="DF190" s="56"/>
      <c r="DG190" s="60"/>
      <c r="DH190" s="56"/>
      <c r="DI190" s="60"/>
      <c r="DJ190" s="56"/>
      <c r="DL190" s="56"/>
      <c r="DM190" s="60"/>
      <c r="DN190" s="56"/>
      <c r="DO190" s="60"/>
      <c r="DP190" s="56"/>
      <c r="DR190" s="56"/>
      <c r="ER190" s="55"/>
      <c r="ES190" s="55"/>
      <c r="ET190" s="56"/>
      <c r="EU190" s="55"/>
      <c r="EV190" s="56"/>
      <c r="EW190" s="55"/>
      <c r="EX190" s="56"/>
      <c r="EY190" s="55"/>
      <c r="EZ190" s="56"/>
      <c r="FA190" s="57"/>
      <c r="FB190" s="56"/>
      <c r="FC190" s="55"/>
      <c r="FD190" s="56"/>
      <c r="FE190" s="57"/>
      <c r="FF190" s="56"/>
      <c r="FG190" s="60"/>
      <c r="FH190" s="56"/>
      <c r="FI190" s="57"/>
      <c r="FJ190" s="56"/>
      <c r="FK190" s="55"/>
      <c r="FL190" s="56"/>
      <c r="FM190" s="60"/>
      <c r="FN190" s="56"/>
      <c r="FO190" s="60"/>
      <c r="FP190" s="56"/>
      <c r="FQ190" s="60"/>
      <c r="FR190" s="56"/>
      <c r="FS190" s="55"/>
      <c r="FT190" s="56"/>
      <c r="FU190" s="55"/>
      <c r="FV190" s="56"/>
      <c r="FW190" s="60"/>
      <c r="FX190" s="56"/>
      <c r="FY190" s="60"/>
      <c r="FZ190" s="56"/>
      <c r="GA190" s="60"/>
      <c r="GB190" s="56"/>
      <c r="GC190" s="55"/>
      <c r="GD190" s="56"/>
      <c r="GE190" s="60"/>
      <c r="GF190" s="56"/>
      <c r="GG190" s="60"/>
      <c r="GH190" s="56"/>
      <c r="GI190" s="55"/>
      <c r="GJ190" s="56"/>
      <c r="GK190" s="55"/>
      <c r="GL190" s="55"/>
      <c r="GM190" s="55"/>
      <c r="GN190" s="55"/>
      <c r="GO190" s="55"/>
      <c r="GP190" s="55"/>
      <c r="GQ190" s="55"/>
      <c r="GR190" s="55"/>
      <c r="GS190" s="55"/>
      <c r="GT190" s="55"/>
      <c r="GU190" s="55"/>
      <c r="GV190" s="55"/>
      <c r="GW190" s="55"/>
      <c r="GX190" s="55"/>
      <c r="GY190" s="55"/>
      <c r="GZ190" s="55"/>
      <c r="HA190" s="55"/>
      <c r="HB190" s="55"/>
      <c r="HC190" s="55"/>
      <c r="HD190" s="55"/>
      <c r="HE190" s="55"/>
      <c r="HF190" s="55"/>
      <c r="HG190" s="55"/>
      <c r="HH190" s="55"/>
    </row>
    <row r="191" spans="12:216" x14ac:dyDescent="0.3">
      <c r="L191" s="56"/>
      <c r="N191" s="56"/>
      <c r="P191" s="56"/>
      <c r="R191" s="56"/>
      <c r="T191" s="56"/>
      <c r="V191" s="56"/>
      <c r="W191" s="60"/>
      <c r="X191" s="56"/>
      <c r="Z191" s="56"/>
      <c r="AB191" s="56"/>
      <c r="AC191" s="60"/>
      <c r="AD191" s="56"/>
      <c r="AE191" s="60"/>
      <c r="AF191" s="56"/>
      <c r="AG191" s="60"/>
      <c r="AH191" s="56"/>
      <c r="AJ191" s="56"/>
      <c r="AL191" s="56"/>
      <c r="AM191" s="60"/>
      <c r="AN191" s="56"/>
      <c r="AO191" s="60"/>
      <c r="AP191" s="56"/>
      <c r="AQ191" s="60"/>
      <c r="AR191" s="56"/>
      <c r="AT191" s="56"/>
      <c r="AU191" s="60"/>
      <c r="AV191" s="56"/>
      <c r="AW191" s="60"/>
      <c r="AX191" s="56"/>
      <c r="AZ191" s="56"/>
      <c r="CB191" s="56"/>
      <c r="CD191" s="56"/>
      <c r="CF191" s="56"/>
      <c r="CH191" s="56"/>
      <c r="CI191" s="57"/>
      <c r="CJ191" s="56"/>
      <c r="CL191" s="56"/>
      <c r="CM191" s="57"/>
      <c r="CN191" s="56"/>
      <c r="CO191" s="60"/>
      <c r="CP191" s="56"/>
      <c r="CQ191" s="57"/>
      <c r="CR191" s="56"/>
      <c r="CT191" s="56"/>
      <c r="CU191" s="60"/>
      <c r="CV191" s="56"/>
      <c r="CW191" s="60"/>
      <c r="CX191" s="56"/>
      <c r="CY191" s="60"/>
      <c r="CZ191" s="56"/>
      <c r="DB191" s="56"/>
      <c r="DD191" s="56"/>
      <c r="DE191" s="60"/>
      <c r="DF191" s="56"/>
      <c r="DG191" s="60"/>
      <c r="DH191" s="56"/>
      <c r="DI191" s="60"/>
      <c r="DJ191" s="56"/>
      <c r="DL191" s="56"/>
      <c r="DM191" s="60"/>
      <c r="DN191" s="56"/>
      <c r="DO191" s="60"/>
      <c r="DP191" s="56"/>
      <c r="DR191" s="56"/>
    </row>
    <row r="192" spans="12:216" x14ac:dyDescent="0.3">
      <c r="L192" s="56"/>
      <c r="N192" s="56"/>
      <c r="P192" s="56"/>
      <c r="R192" s="56"/>
      <c r="T192" s="56"/>
      <c r="V192" s="56"/>
      <c r="W192" s="60"/>
      <c r="X192" s="56"/>
      <c r="Z192" s="56"/>
      <c r="AB192" s="56"/>
      <c r="AC192" s="60"/>
      <c r="AD192" s="56"/>
      <c r="AE192" s="60"/>
      <c r="AF192" s="56"/>
      <c r="AG192" s="60"/>
      <c r="AH192" s="56"/>
      <c r="AJ192" s="56"/>
      <c r="AL192" s="56"/>
      <c r="AM192" s="60"/>
      <c r="AN192" s="56"/>
      <c r="AP192" s="56"/>
      <c r="AQ192" s="60"/>
      <c r="AR192" s="56"/>
      <c r="AT192" s="56"/>
      <c r="AU192" s="60"/>
      <c r="AV192" s="56"/>
      <c r="AW192" s="60"/>
      <c r="AX192" s="56"/>
      <c r="AZ192" s="56"/>
      <c r="CB192" s="56"/>
      <c r="CD192" s="56"/>
      <c r="CF192" s="56"/>
      <c r="CH192" s="56"/>
      <c r="CI192" s="57"/>
      <c r="CJ192" s="56"/>
      <c r="CL192" s="56"/>
      <c r="CM192" s="57"/>
      <c r="CN192" s="56"/>
      <c r="CO192" s="60"/>
      <c r="CP192" s="56"/>
      <c r="CQ192" s="57"/>
      <c r="CR192" s="56"/>
      <c r="CT192" s="56"/>
      <c r="CU192" s="60"/>
      <c r="CV192" s="56"/>
      <c r="CW192" s="60"/>
      <c r="CX192" s="56"/>
      <c r="CY192" s="60"/>
      <c r="CZ192" s="56"/>
      <c r="DB192" s="56"/>
      <c r="DD192" s="56"/>
      <c r="DE192" s="60"/>
      <c r="DF192" s="56"/>
      <c r="DH192" s="56"/>
      <c r="DI192" s="60"/>
      <c r="DJ192" s="56"/>
      <c r="DL192" s="56"/>
      <c r="DM192" s="60"/>
      <c r="DN192" s="56"/>
      <c r="DO192" s="60"/>
      <c r="DP192" s="56"/>
      <c r="DR192" s="56"/>
    </row>
    <row r="193" spans="12:122" x14ac:dyDescent="0.3">
      <c r="L193" s="56"/>
      <c r="N193" s="56"/>
      <c r="P193" s="56"/>
      <c r="R193" s="56"/>
      <c r="T193" s="56"/>
      <c r="V193" s="56"/>
      <c r="W193" s="60"/>
      <c r="X193" s="56"/>
      <c r="Z193" s="56"/>
      <c r="AB193" s="56"/>
      <c r="AC193" s="60"/>
      <c r="AD193" s="56"/>
      <c r="AE193" s="60"/>
      <c r="AF193" s="56"/>
      <c r="AG193" s="60"/>
      <c r="AH193" s="56"/>
      <c r="AJ193" s="56"/>
      <c r="AL193" s="56"/>
      <c r="AM193" s="60"/>
      <c r="AN193" s="56"/>
      <c r="AP193" s="56"/>
      <c r="AQ193" s="60"/>
      <c r="AR193" s="56"/>
      <c r="AT193" s="56"/>
      <c r="AU193" s="60"/>
      <c r="AV193" s="56"/>
      <c r="AW193" s="60"/>
      <c r="AX193" s="56"/>
      <c r="AZ193" s="56"/>
      <c r="CB193" s="56"/>
      <c r="CD193" s="56"/>
      <c r="CF193" s="56"/>
      <c r="CH193" s="56"/>
      <c r="CI193" s="57"/>
      <c r="CJ193" s="56"/>
      <c r="CL193" s="56"/>
      <c r="CM193" s="57"/>
      <c r="CN193" s="56"/>
      <c r="CO193" s="60"/>
      <c r="CP193" s="56"/>
      <c r="CQ193" s="57"/>
      <c r="CR193" s="56"/>
      <c r="CT193" s="56"/>
      <c r="CU193" s="60"/>
      <c r="CV193" s="56"/>
      <c r="CW193" s="60"/>
      <c r="CX193" s="56"/>
      <c r="CY193" s="60"/>
      <c r="CZ193" s="56"/>
      <c r="DB193" s="56"/>
      <c r="DD193" s="56"/>
      <c r="DE193" s="60"/>
      <c r="DF193" s="56"/>
      <c r="DH193" s="56"/>
      <c r="DI193" s="60"/>
      <c r="DJ193" s="56"/>
      <c r="DL193" s="56"/>
      <c r="DM193" s="60"/>
      <c r="DN193" s="56"/>
      <c r="DO193" s="60"/>
      <c r="DP193" s="56"/>
      <c r="DR193" s="56"/>
    </row>
    <row r="194" spans="12:122" x14ac:dyDescent="0.3">
      <c r="L194" s="56"/>
      <c r="N194" s="56"/>
      <c r="P194" s="56"/>
      <c r="R194" s="56"/>
      <c r="T194" s="56"/>
      <c r="V194" s="56"/>
      <c r="W194" s="60"/>
      <c r="X194" s="56"/>
      <c r="Z194" s="56"/>
      <c r="AB194" s="56"/>
      <c r="AC194" s="60"/>
      <c r="AD194" s="56"/>
      <c r="AE194" s="60"/>
      <c r="AF194" s="56"/>
      <c r="AG194" s="60"/>
      <c r="AH194" s="56"/>
      <c r="AJ194" s="56"/>
      <c r="AL194" s="56"/>
      <c r="AM194" s="60"/>
      <c r="AN194" s="56"/>
      <c r="AP194" s="56"/>
      <c r="AQ194" s="60"/>
      <c r="AR194" s="56"/>
      <c r="AT194" s="56"/>
      <c r="AU194" s="60"/>
      <c r="AV194" s="56"/>
      <c r="AW194" s="60"/>
      <c r="AX194" s="56"/>
      <c r="AZ194" s="56"/>
      <c r="CB194" s="56"/>
      <c r="CD194" s="56"/>
      <c r="CF194" s="56"/>
      <c r="CH194" s="56"/>
      <c r="CI194" s="57"/>
      <c r="CJ194" s="56"/>
      <c r="CL194" s="56"/>
      <c r="CM194" s="57"/>
      <c r="CN194" s="56"/>
      <c r="CO194" s="60"/>
      <c r="CP194" s="56"/>
      <c r="CQ194" s="57"/>
      <c r="CR194" s="56"/>
      <c r="CT194" s="56"/>
      <c r="CU194" s="60"/>
      <c r="CV194" s="56"/>
      <c r="CW194" s="60"/>
      <c r="CX194" s="56"/>
      <c r="CY194" s="60"/>
      <c r="CZ194" s="56"/>
      <c r="DB194" s="56"/>
      <c r="DD194" s="56"/>
      <c r="DE194" s="60"/>
      <c r="DF194" s="56"/>
      <c r="DH194" s="56"/>
      <c r="DI194" s="60"/>
      <c r="DJ194" s="56"/>
      <c r="DL194" s="56"/>
      <c r="DM194" s="60"/>
      <c r="DN194" s="56"/>
      <c r="DO194" s="60"/>
      <c r="DP194" s="56"/>
      <c r="DR194" s="56"/>
    </row>
    <row r="195" spans="12:122" x14ac:dyDescent="0.3">
      <c r="L195" s="56"/>
      <c r="N195" s="56"/>
      <c r="P195" s="56"/>
      <c r="R195" s="56"/>
      <c r="T195" s="56"/>
      <c r="V195" s="56"/>
      <c r="W195" s="60"/>
      <c r="X195" s="56"/>
      <c r="Z195" s="56"/>
      <c r="AB195" s="56"/>
      <c r="AC195" s="60"/>
      <c r="AD195" s="56"/>
      <c r="AE195" s="60"/>
      <c r="AF195" s="56"/>
      <c r="AG195" s="60"/>
      <c r="AH195" s="56"/>
      <c r="AJ195" s="56"/>
      <c r="AL195" s="56"/>
      <c r="AM195" s="60"/>
      <c r="AN195" s="56"/>
      <c r="AP195" s="56"/>
      <c r="AQ195" s="60"/>
      <c r="AR195" s="56"/>
      <c r="AT195" s="56"/>
      <c r="AU195" s="60"/>
      <c r="AV195" s="56"/>
      <c r="AW195" s="60"/>
      <c r="AX195" s="56"/>
      <c r="AZ195" s="56"/>
      <c r="CB195" s="56"/>
      <c r="CD195" s="56"/>
      <c r="CF195" s="56"/>
      <c r="CH195" s="56"/>
      <c r="CJ195" s="56"/>
      <c r="CL195" s="56"/>
      <c r="CN195" s="56"/>
      <c r="CP195" s="56"/>
      <c r="CR195" s="56"/>
      <c r="CT195" s="56"/>
      <c r="CV195" s="56"/>
      <c r="CX195" s="56"/>
      <c r="CZ195" s="56"/>
      <c r="DB195" s="56"/>
      <c r="DD195" s="56"/>
      <c r="DF195" s="56"/>
      <c r="DH195" s="56"/>
      <c r="DJ195" s="56"/>
      <c r="DL195" s="56"/>
      <c r="DN195" s="56"/>
      <c r="DP195" s="56"/>
      <c r="DR195" s="56"/>
    </row>
    <row r="196" spans="12:122" x14ac:dyDescent="0.3">
      <c r="L196" s="56"/>
      <c r="N196" s="56"/>
      <c r="P196" s="56"/>
      <c r="R196" s="56"/>
      <c r="T196" s="56"/>
      <c r="V196" s="56"/>
      <c r="W196" s="60"/>
      <c r="X196" s="56"/>
      <c r="Z196" s="56"/>
      <c r="AB196" s="56"/>
      <c r="AC196" s="60"/>
      <c r="AD196" s="56"/>
      <c r="AE196" s="60"/>
      <c r="AF196" s="56"/>
      <c r="AH196" s="56"/>
      <c r="AJ196" s="56"/>
      <c r="AL196" s="56"/>
      <c r="AM196" s="60"/>
      <c r="AN196" s="56"/>
      <c r="AP196" s="56"/>
      <c r="AQ196" s="60"/>
      <c r="AR196" s="56"/>
      <c r="AT196" s="56"/>
      <c r="AU196" s="60"/>
      <c r="AV196" s="56"/>
      <c r="AW196" s="60"/>
      <c r="AX196" s="56"/>
      <c r="AZ196" s="56"/>
      <c r="CB196" s="56"/>
      <c r="CD196" s="56"/>
      <c r="CF196" s="56"/>
      <c r="CH196" s="56"/>
      <c r="CJ196" s="56"/>
      <c r="CL196" s="56"/>
      <c r="CN196" s="56"/>
      <c r="CP196" s="56"/>
      <c r="CR196" s="56"/>
      <c r="CT196" s="56"/>
      <c r="CV196" s="56"/>
      <c r="CX196" s="56"/>
      <c r="CZ196" s="56"/>
      <c r="DB196" s="56"/>
      <c r="DD196" s="56"/>
      <c r="DF196" s="56"/>
      <c r="DH196" s="56"/>
      <c r="DJ196" s="56"/>
      <c r="DL196" s="56"/>
      <c r="DN196" s="56"/>
      <c r="DP196" s="56"/>
      <c r="DR196" s="56"/>
    </row>
    <row r="197" spans="12:122" x14ac:dyDescent="0.3">
      <c r="L197" s="56"/>
      <c r="N197" s="56"/>
      <c r="P197" s="56"/>
      <c r="R197" s="56"/>
      <c r="T197" s="56"/>
      <c r="V197" s="56"/>
      <c r="W197" s="60"/>
      <c r="X197" s="56"/>
      <c r="Z197" s="56"/>
      <c r="AB197" s="56"/>
      <c r="AC197" s="60"/>
      <c r="AD197" s="56"/>
      <c r="AE197" s="60"/>
      <c r="AF197" s="56"/>
      <c r="AH197" s="56"/>
      <c r="AJ197" s="56"/>
      <c r="AL197" s="56"/>
      <c r="AM197" s="60"/>
      <c r="AN197" s="56"/>
      <c r="AP197" s="56"/>
      <c r="AQ197" s="60"/>
      <c r="AR197" s="56"/>
      <c r="AT197" s="56"/>
      <c r="AU197" s="60"/>
      <c r="AV197" s="56"/>
      <c r="AW197" s="60"/>
      <c r="AX197" s="56"/>
      <c r="AZ197" s="56"/>
      <c r="CB197" s="56"/>
      <c r="CD197" s="56"/>
      <c r="CF197" s="56"/>
      <c r="CH197" s="56"/>
      <c r="CJ197" s="56"/>
      <c r="CL197" s="56"/>
      <c r="CN197" s="56"/>
      <c r="CP197" s="56"/>
      <c r="CR197" s="56"/>
      <c r="CT197" s="56"/>
      <c r="CV197" s="56"/>
      <c r="CX197" s="56"/>
      <c r="CZ197" s="56"/>
      <c r="DB197" s="56"/>
      <c r="DD197" s="56"/>
      <c r="DF197" s="56"/>
      <c r="DH197" s="56"/>
      <c r="DJ197" s="56"/>
      <c r="DL197" s="56"/>
      <c r="DN197" s="56"/>
      <c r="DP197" s="56"/>
      <c r="DR197" s="56"/>
    </row>
    <row r="198" spans="12:122" x14ac:dyDescent="0.3">
      <c r="L198" s="56"/>
      <c r="N198" s="56"/>
      <c r="P198" s="56"/>
      <c r="R198" s="56"/>
      <c r="T198" s="56"/>
      <c r="V198" s="56"/>
      <c r="W198" s="60"/>
      <c r="X198" s="56"/>
      <c r="Z198" s="56"/>
      <c r="AB198" s="56"/>
      <c r="AC198" s="60"/>
      <c r="AD198" s="56"/>
      <c r="AE198" s="60"/>
      <c r="AF198" s="56"/>
      <c r="AH198" s="56"/>
      <c r="AJ198" s="56"/>
      <c r="AL198" s="56"/>
      <c r="AM198" s="60"/>
      <c r="AN198" s="56"/>
      <c r="AP198" s="56"/>
      <c r="AQ198" s="60"/>
      <c r="AR198" s="56"/>
      <c r="AT198" s="56"/>
      <c r="AU198" s="60"/>
      <c r="AV198" s="56"/>
      <c r="AW198" s="60"/>
      <c r="AX198" s="56"/>
      <c r="AZ198" s="56"/>
      <c r="CB198" s="56"/>
      <c r="CD198" s="56"/>
      <c r="CF198" s="56"/>
      <c r="CH198" s="56"/>
      <c r="CJ198" s="56"/>
      <c r="CL198" s="56"/>
      <c r="CN198" s="56"/>
      <c r="CP198" s="56"/>
      <c r="CR198" s="56"/>
      <c r="CT198" s="56"/>
      <c r="CV198" s="56"/>
      <c r="CX198" s="56"/>
      <c r="CZ198" s="56"/>
      <c r="DB198" s="56"/>
      <c r="DD198" s="56"/>
      <c r="DF198" s="56"/>
      <c r="DH198" s="56"/>
      <c r="DJ198" s="56"/>
      <c r="DL198" s="56"/>
      <c r="DN198" s="56"/>
      <c r="DP198" s="56"/>
      <c r="DR198" s="56"/>
    </row>
    <row r="199" spans="12:122" x14ac:dyDescent="0.3">
      <c r="L199" s="56"/>
      <c r="N199" s="56"/>
      <c r="P199" s="56"/>
      <c r="R199" s="56"/>
      <c r="T199" s="56"/>
      <c r="V199" s="56"/>
      <c r="W199" s="60"/>
      <c r="X199" s="56"/>
      <c r="Z199" s="56"/>
      <c r="AB199" s="56"/>
      <c r="AC199" s="60"/>
      <c r="AD199" s="56"/>
      <c r="AE199" s="60"/>
      <c r="AF199" s="56"/>
      <c r="AH199" s="56"/>
      <c r="AJ199" s="56"/>
      <c r="AL199" s="56"/>
      <c r="AM199" s="60"/>
      <c r="AN199" s="56"/>
      <c r="AP199" s="56"/>
      <c r="AQ199" s="60"/>
      <c r="AR199" s="56"/>
      <c r="AT199" s="56"/>
      <c r="AU199" s="60"/>
      <c r="AV199" s="56"/>
      <c r="AW199" s="60"/>
      <c r="AX199" s="56"/>
      <c r="AZ199" s="56"/>
      <c r="CB199" s="56"/>
      <c r="CD199" s="56"/>
      <c r="CF199" s="56"/>
      <c r="CH199" s="56"/>
      <c r="CJ199" s="56"/>
      <c r="CL199" s="56"/>
      <c r="CN199" s="56"/>
      <c r="CP199" s="56"/>
      <c r="CR199" s="56"/>
      <c r="CT199" s="56"/>
      <c r="CV199" s="56"/>
      <c r="CX199" s="56"/>
      <c r="CZ199" s="56"/>
      <c r="DB199" s="56"/>
      <c r="DD199" s="56"/>
      <c r="DF199" s="56"/>
      <c r="DH199" s="56"/>
      <c r="DJ199" s="56"/>
      <c r="DL199" s="56"/>
      <c r="DN199" s="56"/>
      <c r="DP199" s="56"/>
      <c r="DR199" s="56"/>
    </row>
    <row r="200" spans="12:122" x14ac:dyDescent="0.3">
      <c r="L200" s="56"/>
      <c r="N200" s="56"/>
      <c r="P200" s="56"/>
      <c r="R200" s="56"/>
      <c r="T200" s="56"/>
      <c r="V200" s="56"/>
      <c r="W200" s="60"/>
      <c r="X200" s="56"/>
      <c r="Z200" s="56"/>
      <c r="AB200" s="56"/>
      <c r="AC200" s="60"/>
      <c r="AD200" s="56"/>
      <c r="AE200" s="60"/>
      <c r="AF200" s="56"/>
      <c r="AH200" s="56"/>
      <c r="AJ200" s="56"/>
      <c r="AL200" s="56"/>
      <c r="AM200" s="60"/>
      <c r="AN200" s="56"/>
      <c r="AP200" s="56"/>
      <c r="AQ200" s="60"/>
      <c r="AR200" s="56"/>
      <c r="AT200" s="56"/>
      <c r="AU200" s="60"/>
      <c r="AV200" s="56"/>
      <c r="AW200" s="60"/>
      <c r="AX200" s="56"/>
      <c r="AZ200" s="56"/>
      <c r="CB200" s="56"/>
      <c r="CD200" s="56"/>
      <c r="CF200" s="56"/>
      <c r="CH200" s="56"/>
      <c r="CJ200" s="56"/>
      <c r="CL200" s="56"/>
      <c r="CN200" s="56"/>
      <c r="CP200" s="56"/>
      <c r="CR200" s="56"/>
      <c r="CT200" s="56"/>
      <c r="CV200" s="56"/>
      <c r="CX200" s="56"/>
      <c r="CZ200" s="56"/>
      <c r="DB200" s="56"/>
      <c r="DD200" s="56"/>
      <c r="DF200" s="56"/>
      <c r="DH200" s="56"/>
      <c r="DJ200" s="56"/>
      <c r="DL200" s="56"/>
      <c r="DN200" s="56"/>
      <c r="DP200" s="56"/>
      <c r="DR200" s="56"/>
    </row>
    <row r="201" spans="12:122" x14ac:dyDescent="0.3">
      <c r="L201" s="56"/>
      <c r="N201" s="56"/>
      <c r="P201" s="56"/>
      <c r="R201" s="56"/>
      <c r="T201" s="56"/>
      <c r="V201" s="56"/>
      <c r="W201" s="60"/>
      <c r="X201" s="56"/>
      <c r="Z201" s="56"/>
      <c r="AB201" s="56"/>
      <c r="AC201" s="60"/>
      <c r="AD201" s="56"/>
      <c r="AE201" s="60"/>
      <c r="AF201" s="56"/>
      <c r="AH201" s="56"/>
      <c r="AJ201" s="56"/>
      <c r="AL201" s="56"/>
      <c r="AM201" s="60"/>
      <c r="AN201" s="56"/>
      <c r="AP201" s="56"/>
      <c r="AQ201" s="60"/>
      <c r="AR201" s="56"/>
      <c r="AT201" s="56"/>
      <c r="AU201" s="60"/>
      <c r="AV201" s="56"/>
      <c r="AW201" s="60"/>
      <c r="AX201" s="56"/>
      <c r="AZ201" s="56"/>
      <c r="CB201" s="56"/>
      <c r="CD201" s="56"/>
      <c r="CF201" s="56"/>
      <c r="CH201" s="56"/>
      <c r="CJ201" s="56"/>
      <c r="CL201" s="56"/>
      <c r="CN201" s="56"/>
      <c r="CP201" s="56"/>
      <c r="CR201" s="56"/>
      <c r="CT201" s="56"/>
      <c r="CV201" s="56"/>
      <c r="CX201" s="56"/>
      <c r="CZ201" s="56"/>
      <c r="DB201" s="56"/>
      <c r="DD201" s="56"/>
      <c r="DF201" s="56"/>
      <c r="DH201" s="56"/>
      <c r="DJ201" s="56"/>
      <c r="DL201" s="56"/>
      <c r="DN201" s="56"/>
      <c r="DP201" s="56"/>
      <c r="DR201" s="56"/>
    </row>
    <row r="202" spans="12:122" x14ac:dyDescent="0.3">
      <c r="L202" s="56"/>
      <c r="N202" s="56"/>
      <c r="P202" s="56"/>
      <c r="R202" s="56"/>
      <c r="T202" s="56"/>
      <c r="V202" s="56"/>
      <c r="W202" s="60"/>
      <c r="X202" s="56"/>
      <c r="Z202" s="56"/>
      <c r="AB202" s="56"/>
      <c r="AC202" s="60"/>
      <c r="AD202" s="56"/>
      <c r="AE202" s="60"/>
      <c r="AF202" s="56"/>
      <c r="AH202" s="56"/>
      <c r="AJ202" s="56"/>
      <c r="AL202" s="56"/>
      <c r="AN202" s="56"/>
      <c r="AP202" s="56"/>
      <c r="AQ202" s="60"/>
      <c r="AR202" s="56"/>
      <c r="AT202" s="56"/>
      <c r="AU202" s="60"/>
      <c r="AV202" s="56"/>
      <c r="AW202" s="60"/>
      <c r="AX202" s="56"/>
      <c r="AZ202" s="56"/>
      <c r="CB202" s="56"/>
      <c r="CD202" s="56"/>
      <c r="CF202" s="56"/>
      <c r="CH202" s="56"/>
      <c r="CJ202" s="56"/>
      <c r="CL202" s="56"/>
      <c r="CN202" s="56"/>
      <c r="CP202" s="56"/>
      <c r="CR202" s="56"/>
      <c r="CT202" s="56"/>
      <c r="CV202" s="56"/>
      <c r="CX202" s="56"/>
      <c r="CZ202" s="56"/>
      <c r="DB202" s="56"/>
      <c r="DD202" s="56"/>
      <c r="DF202" s="56"/>
      <c r="DH202" s="56"/>
      <c r="DJ202" s="56"/>
      <c r="DL202" s="56"/>
      <c r="DN202" s="56"/>
      <c r="DP202" s="56"/>
      <c r="DR202" s="56"/>
    </row>
    <row r="203" spans="12:122" x14ac:dyDescent="0.3">
      <c r="L203" s="56"/>
      <c r="N203" s="56"/>
      <c r="P203" s="56"/>
      <c r="R203" s="56"/>
      <c r="T203" s="56"/>
      <c r="V203" s="56"/>
      <c r="W203" s="60"/>
      <c r="X203" s="56"/>
      <c r="Z203" s="56"/>
      <c r="AB203" s="56"/>
      <c r="AC203" s="60"/>
      <c r="AD203" s="56"/>
      <c r="AE203" s="60"/>
      <c r="AF203" s="56"/>
      <c r="AH203" s="56"/>
      <c r="AJ203" s="56"/>
      <c r="AL203" s="56"/>
      <c r="AN203" s="56"/>
      <c r="AP203" s="56"/>
      <c r="AQ203" s="60"/>
      <c r="AR203" s="56"/>
      <c r="AT203" s="56"/>
      <c r="AU203" s="60"/>
      <c r="AV203" s="56"/>
      <c r="AW203" s="60"/>
      <c r="AX203" s="56"/>
      <c r="AZ203" s="56"/>
      <c r="CB203" s="56"/>
      <c r="CD203" s="56"/>
      <c r="CF203" s="56"/>
      <c r="CH203" s="56"/>
      <c r="CJ203" s="56"/>
      <c r="CL203" s="56"/>
      <c r="CN203" s="56"/>
      <c r="CP203" s="56"/>
      <c r="CR203" s="56"/>
      <c r="CT203" s="56"/>
      <c r="CV203" s="56"/>
      <c r="CX203" s="56"/>
      <c r="CZ203" s="56"/>
      <c r="DB203" s="56"/>
      <c r="DD203" s="56"/>
      <c r="DF203" s="56"/>
      <c r="DH203" s="56"/>
      <c r="DJ203" s="56"/>
      <c r="DL203" s="56"/>
      <c r="DN203" s="56"/>
      <c r="DP203" s="56"/>
      <c r="DR203" s="56"/>
    </row>
    <row r="204" spans="12:122" x14ac:dyDescent="0.3">
      <c r="L204" s="56"/>
      <c r="N204" s="56"/>
      <c r="P204" s="56"/>
      <c r="R204" s="56"/>
      <c r="T204" s="56"/>
      <c r="V204" s="56"/>
      <c r="W204" s="60"/>
      <c r="X204" s="56"/>
      <c r="Z204" s="56"/>
      <c r="AB204" s="56"/>
      <c r="AC204" s="60"/>
      <c r="AD204" s="56"/>
      <c r="AE204" s="60"/>
      <c r="AF204" s="56"/>
      <c r="AH204" s="56"/>
      <c r="AJ204" s="56"/>
      <c r="AL204" s="56"/>
      <c r="AN204" s="56"/>
      <c r="AP204" s="56"/>
      <c r="AQ204" s="60"/>
      <c r="AR204" s="56"/>
      <c r="AT204" s="56"/>
      <c r="AU204" s="60"/>
      <c r="AV204" s="56"/>
      <c r="AW204" s="60"/>
      <c r="AX204" s="56"/>
      <c r="AZ204" s="56"/>
      <c r="CB204" s="56"/>
      <c r="CD204" s="56"/>
      <c r="CF204" s="56"/>
      <c r="CH204" s="56"/>
      <c r="CJ204" s="56"/>
      <c r="CL204" s="56"/>
      <c r="CN204" s="56"/>
      <c r="CP204" s="56"/>
      <c r="CR204" s="56"/>
      <c r="CT204" s="56"/>
      <c r="CV204" s="56"/>
      <c r="CX204" s="56"/>
      <c r="CZ204" s="56"/>
      <c r="DB204" s="56"/>
      <c r="DD204" s="56"/>
      <c r="DF204" s="56"/>
      <c r="DH204" s="56"/>
      <c r="DJ204" s="56"/>
      <c r="DL204" s="56"/>
      <c r="DN204" s="56"/>
      <c r="DP204" s="56"/>
      <c r="DR204" s="56"/>
    </row>
    <row r="205" spans="12:122" x14ac:dyDescent="0.3">
      <c r="L205" s="56"/>
      <c r="N205" s="56"/>
      <c r="P205" s="56"/>
      <c r="R205" s="56"/>
      <c r="T205" s="56"/>
      <c r="V205" s="56"/>
      <c r="W205" s="60"/>
      <c r="X205" s="56"/>
      <c r="Z205" s="56"/>
      <c r="AB205" s="56"/>
      <c r="AC205" s="60"/>
      <c r="AD205" s="56"/>
      <c r="AE205" s="60"/>
      <c r="AF205" s="56"/>
      <c r="AH205" s="56"/>
      <c r="AJ205" s="56"/>
      <c r="AL205" s="56"/>
      <c r="AN205" s="56"/>
      <c r="AP205" s="56"/>
      <c r="AQ205" s="60"/>
      <c r="AR205" s="56"/>
      <c r="AT205" s="56"/>
      <c r="AU205" s="60"/>
      <c r="AV205" s="56"/>
      <c r="AW205" s="60"/>
      <c r="AX205" s="56"/>
      <c r="AZ205" s="56"/>
    </row>
    <row r="206" spans="12:122" x14ac:dyDescent="0.3">
      <c r="L206" s="56"/>
      <c r="N206" s="56"/>
      <c r="P206" s="56"/>
      <c r="R206" s="56"/>
      <c r="T206" s="56"/>
      <c r="V206" s="56"/>
      <c r="W206" s="60"/>
      <c r="X206" s="56"/>
      <c r="Z206" s="56"/>
      <c r="AB206" s="56"/>
      <c r="AC206" s="60"/>
      <c r="AD206" s="56"/>
      <c r="AE206" s="60"/>
      <c r="AF206" s="56"/>
      <c r="AH206" s="56"/>
      <c r="AJ206" s="56"/>
      <c r="AL206" s="56"/>
      <c r="AN206" s="56"/>
      <c r="AP206" s="56"/>
      <c r="AQ206" s="60"/>
      <c r="AR206" s="56"/>
      <c r="AT206" s="56"/>
      <c r="AU206" s="60"/>
      <c r="AV206" s="56"/>
      <c r="AW206" s="60"/>
      <c r="AX206" s="56"/>
      <c r="AZ206" s="56"/>
    </row>
    <row r="207" spans="12:122" x14ac:dyDescent="0.3">
      <c r="L207" s="56"/>
      <c r="N207" s="56"/>
      <c r="P207" s="56"/>
      <c r="R207" s="56"/>
      <c r="T207" s="56"/>
      <c r="V207" s="56"/>
      <c r="W207" s="60"/>
      <c r="X207" s="56"/>
      <c r="Z207" s="56"/>
      <c r="AB207" s="56"/>
      <c r="AC207" s="60"/>
      <c r="AD207" s="56"/>
      <c r="AE207" s="60"/>
      <c r="AF207" s="56"/>
      <c r="AH207" s="56"/>
      <c r="AJ207" s="56"/>
      <c r="AL207" s="56"/>
      <c r="AN207" s="56"/>
      <c r="AP207" s="56"/>
      <c r="AQ207" s="60"/>
      <c r="AR207" s="56"/>
      <c r="AT207" s="56"/>
      <c r="AU207" s="60"/>
      <c r="AV207" s="56"/>
      <c r="AW207" s="60"/>
      <c r="AX207" s="56"/>
      <c r="AZ207" s="56"/>
    </row>
    <row r="208" spans="12:122" x14ac:dyDescent="0.3">
      <c r="L208" s="56"/>
      <c r="N208" s="56"/>
      <c r="P208" s="56"/>
      <c r="R208" s="56"/>
      <c r="T208" s="56"/>
      <c r="V208" s="56"/>
      <c r="W208" s="60"/>
      <c r="X208" s="56"/>
      <c r="Z208" s="56"/>
      <c r="AB208" s="56"/>
      <c r="AC208" s="60"/>
      <c r="AD208" s="56"/>
      <c r="AE208" s="60"/>
      <c r="AF208" s="56"/>
      <c r="AH208" s="56"/>
      <c r="AJ208" s="56"/>
      <c r="AL208" s="56"/>
      <c r="AN208" s="56"/>
      <c r="AP208" s="56"/>
      <c r="AQ208" s="60"/>
      <c r="AR208" s="56"/>
      <c r="AT208" s="56"/>
      <c r="AU208" s="60"/>
      <c r="AV208" s="56"/>
      <c r="AW208" s="60"/>
      <c r="AX208" s="56"/>
      <c r="AZ208" s="56"/>
    </row>
    <row r="209" spans="12:52" x14ac:dyDescent="0.3">
      <c r="L209" s="56"/>
      <c r="N209" s="56"/>
      <c r="P209" s="56"/>
      <c r="R209" s="56"/>
      <c r="T209" s="56"/>
      <c r="V209" s="56"/>
      <c r="W209" s="60"/>
      <c r="X209" s="56"/>
      <c r="Z209" s="56"/>
      <c r="AB209" s="56"/>
      <c r="AC209" s="60"/>
      <c r="AD209" s="56"/>
      <c r="AE209" s="60"/>
      <c r="AF209" s="56"/>
      <c r="AH209" s="56"/>
      <c r="AJ209" s="56"/>
      <c r="AL209" s="56"/>
      <c r="AN209" s="56"/>
      <c r="AP209" s="56"/>
      <c r="AQ209" s="60"/>
      <c r="AR209" s="56"/>
      <c r="AT209" s="56"/>
      <c r="AU209" s="60"/>
      <c r="AV209" s="56"/>
      <c r="AW209" s="60"/>
      <c r="AX209" s="56"/>
      <c r="AZ209" s="56"/>
    </row>
    <row r="210" spans="12:52" x14ac:dyDescent="0.3">
      <c r="L210" s="56"/>
      <c r="N210" s="56"/>
      <c r="P210" s="56"/>
      <c r="R210" s="56"/>
      <c r="T210" s="56"/>
      <c r="V210" s="56"/>
      <c r="W210" s="60"/>
      <c r="X210" s="56"/>
      <c r="Z210" s="56"/>
      <c r="AB210" s="56"/>
      <c r="AC210" s="60"/>
      <c r="AD210" s="56"/>
      <c r="AE210" s="60"/>
      <c r="AF210" s="56"/>
      <c r="AH210" s="56"/>
      <c r="AJ210" s="56"/>
      <c r="AL210" s="56"/>
      <c r="AN210" s="56"/>
      <c r="AP210" s="56"/>
      <c r="AQ210" s="60"/>
      <c r="AR210" s="56"/>
      <c r="AT210" s="56"/>
      <c r="AU210" s="60"/>
      <c r="AV210" s="56"/>
      <c r="AW210" s="60"/>
      <c r="AX210" s="56"/>
      <c r="AZ210" s="56"/>
    </row>
    <row r="211" spans="12:52" x14ac:dyDescent="0.3">
      <c r="L211" s="56"/>
      <c r="N211" s="56"/>
      <c r="P211" s="56"/>
      <c r="R211" s="56"/>
      <c r="T211" s="56"/>
      <c r="V211" s="56"/>
      <c r="W211" s="60"/>
      <c r="X211" s="56"/>
      <c r="Z211" s="56"/>
      <c r="AB211" s="56"/>
      <c r="AC211" s="60"/>
      <c r="AD211" s="56"/>
      <c r="AE211" s="60"/>
      <c r="AF211" s="56"/>
      <c r="AH211" s="56"/>
      <c r="AJ211" s="56"/>
      <c r="AL211" s="56"/>
      <c r="AN211" s="56"/>
      <c r="AP211" s="56"/>
      <c r="AQ211" s="60"/>
      <c r="AR211" s="56"/>
      <c r="AT211" s="56"/>
      <c r="AU211" s="60"/>
      <c r="AV211" s="56"/>
      <c r="AW211" s="60"/>
      <c r="AX211" s="56"/>
      <c r="AZ211" s="56"/>
    </row>
    <row r="212" spans="12:52" x14ac:dyDescent="0.3">
      <c r="L212" s="56"/>
      <c r="N212" s="56"/>
      <c r="P212" s="56"/>
      <c r="R212" s="56"/>
      <c r="T212" s="56"/>
      <c r="V212" s="56"/>
      <c r="W212" s="60"/>
      <c r="X212" s="56"/>
      <c r="Z212" s="56"/>
      <c r="AB212" s="56"/>
      <c r="AC212" s="60"/>
      <c r="AD212" s="56"/>
      <c r="AE212" s="60"/>
      <c r="AF212" s="56"/>
      <c r="AH212" s="56"/>
      <c r="AJ212" s="56"/>
      <c r="AL212" s="56"/>
      <c r="AN212" s="56"/>
      <c r="AP212" s="56"/>
      <c r="AQ212" s="60"/>
      <c r="AR212" s="56"/>
      <c r="AT212" s="56"/>
      <c r="AU212" s="60"/>
      <c r="AV212" s="56"/>
      <c r="AW212" s="60"/>
      <c r="AX212" s="56"/>
      <c r="AZ212" s="56"/>
    </row>
    <row r="213" spans="12:52" x14ac:dyDescent="0.3">
      <c r="L213" s="56"/>
      <c r="N213" s="56"/>
      <c r="P213" s="56"/>
      <c r="R213" s="56"/>
      <c r="T213" s="56"/>
      <c r="V213" s="56"/>
      <c r="W213" s="60"/>
      <c r="X213" s="56"/>
      <c r="Z213" s="56"/>
      <c r="AB213" s="56"/>
      <c r="AC213" s="60"/>
      <c r="AD213" s="56"/>
      <c r="AE213" s="60"/>
      <c r="AF213" s="56"/>
      <c r="AH213" s="56"/>
      <c r="AJ213" s="56"/>
      <c r="AL213" s="56"/>
      <c r="AN213" s="56"/>
      <c r="AP213" s="56"/>
      <c r="AQ213" s="60"/>
      <c r="AR213" s="56"/>
      <c r="AT213" s="56"/>
      <c r="AU213" s="60"/>
      <c r="AV213" s="56"/>
      <c r="AW213" s="60"/>
      <c r="AX213" s="56"/>
      <c r="AZ213" s="56"/>
    </row>
    <row r="214" spans="12:52" x14ac:dyDescent="0.3">
      <c r="L214" s="56"/>
      <c r="N214" s="56"/>
      <c r="P214" s="56"/>
      <c r="R214" s="56"/>
      <c r="T214" s="56"/>
      <c r="V214" s="56"/>
      <c r="W214" s="60"/>
      <c r="X214" s="56"/>
      <c r="Z214" s="56"/>
      <c r="AB214" s="56"/>
      <c r="AC214" s="60"/>
      <c r="AD214" s="56"/>
      <c r="AE214" s="60"/>
      <c r="AF214" s="56"/>
      <c r="AH214" s="56"/>
      <c r="AJ214" s="56"/>
      <c r="AL214" s="56"/>
      <c r="AN214" s="56"/>
      <c r="AP214" s="56"/>
      <c r="AQ214" s="60"/>
      <c r="AR214" s="56"/>
      <c r="AT214" s="56"/>
      <c r="AU214" s="60"/>
      <c r="AV214" s="56"/>
      <c r="AW214" s="60"/>
      <c r="AX214" s="56"/>
      <c r="AZ214" s="56"/>
    </row>
    <row r="215" spans="12:52" x14ac:dyDescent="0.3">
      <c r="L215" s="56"/>
      <c r="N215" s="56"/>
      <c r="P215" s="56"/>
      <c r="R215" s="56"/>
      <c r="T215" s="56"/>
      <c r="V215" s="56"/>
      <c r="W215" s="60"/>
      <c r="X215" s="56"/>
      <c r="Z215" s="56"/>
      <c r="AB215" s="56"/>
      <c r="AC215" s="60"/>
      <c r="AD215" s="56"/>
      <c r="AE215" s="60"/>
      <c r="AF215" s="56"/>
      <c r="AH215" s="56"/>
      <c r="AJ215" s="56"/>
      <c r="AL215" s="56"/>
      <c r="AN215" s="56"/>
      <c r="AP215" s="56"/>
      <c r="AQ215" s="60"/>
      <c r="AR215" s="56"/>
      <c r="AT215" s="56"/>
      <c r="AU215" s="60"/>
      <c r="AV215" s="56"/>
      <c r="AW215" s="60"/>
      <c r="AX215" s="56"/>
      <c r="AZ215" s="56"/>
    </row>
    <row r="216" spans="12:52" x14ac:dyDescent="0.3">
      <c r="L216" s="56"/>
      <c r="N216" s="56"/>
      <c r="P216" s="56"/>
      <c r="R216" s="56"/>
      <c r="T216" s="56"/>
      <c r="V216" s="56"/>
      <c r="W216" s="60"/>
      <c r="X216" s="56"/>
      <c r="Z216" s="56"/>
      <c r="AB216" s="56"/>
      <c r="AC216" s="60"/>
      <c r="AD216" s="56"/>
      <c r="AE216" s="60"/>
      <c r="AF216" s="56"/>
      <c r="AH216" s="56"/>
      <c r="AJ216" s="56"/>
      <c r="AL216" s="56"/>
      <c r="AN216" s="56"/>
      <c r="AP216" s="56"/>
      <c r="AQ216" s="60"/>
      <c r="AR216" s="56"/>
      <c r="AT216" s="56"/>
      <c r="AU216" s="60"/>
      <c r="AV216" s="56"/>
      <c r="AW216" s="60"/>
      <c r="AX216" s="56"/>
      <c r="AZ216" s="56"/>
    </row>
    <row r="217" spans="12:52" x14ac:dyDescent="0.3">
      <c r="L217" s="56"/>
      <c r="N217" s="56"/>
      <c r="P217" s="56"/>
      <c r="R217" s="56"/>
      <c r="T217" s="56"/>
      <c r="V217" s="56"/>
      <c r="W217" s="60"/>
      <c r="X217" s="56"/>
      <c r="Z217" s="56"/>
      <c r="AB217" s="56"/>
      <c r="AC217" s="60"/>
      <c r="AD217" s="56"/>
      <c r="AE217" s="60"/>
      <c r="AF217" s="56"/>
      <c r="AH217" s="56"/>
      <c r="AJ217" s="56"/>
      <c r="AL217" s="56"/>
      <c r="AN217" s="56"/>
      <c r="AP217" s="56"/>
      <c r="AQ217" s="60"/>
      <c r="AR217" s="56"/>
      <c r="AT217" s="56"/>
      <c r="AU217" s="60"/>
      <c r="AV217" s="56"/>
      <c r="AW217" s="60"/>
      <c r="AX217" s="56"/>
      <c r="AZ217" s="56"/>
    </row>
    <row r="218" spans="12:52" x14ac:dyDescent="0.3">
      <c r="L218" s="56"/>
      <c r="N218" s="56"/>
      <c r="P218" s="56"/>
      <c r="R218" s="56"/>
      <c r="T218" s="56"/>
      <c r="V218" s="56"/>
      <c r="W218" s="60"/>
      <c r="X218" s="56"/>
      <c r="Z218" s="56"/>
      <c r="AB218" s="56"/>
      <c r="AC218" s="60"/>
      <c r="AD218" s="56"/>
      <c r="AE218" s="60"/>
      <c r="AF218" s="56"/>
      <c r="AH218" s="56"/>
      <c r="AJ218" s="56"/>
      <c r="AL218" s="56"/>
      <c r="AN218" s="56"/>
      <c r="AP218" s="56"/>
      <c r="AQ218" s="60"/>
      <c r="AR218" s="56"/>
      <c r="AT218" s="56"/>
      <c r="AU218" s="60"/>
      <c r="AV218" s="56"/>
      <c r="AW218" s="60"/>
      <c r="AX218" s="56"/>
      <c r="AZ218" s="56"/>
    </row>
    <row r="219" spans="12:52" x14ac:dyDescent="0.3">
      <c r="L219" s="56"/>
      <c r="N219" s="56"/>
      <c r="P219" s="56"/>
      <c r="R219" s="56"/>
      <c r="T219" s="56"/>
      <c r="V219" s="56"/>
      <c r="W219" s="60"/>
      <c r="X219" s="56"/>
      <c r="Z219" s="56"/>
      <c r="AB219" s="56"/>
      <c r="AC219" s="60"/>
      <c r="AD219" s="56"/>
      <c r="AE219" s="60"/>
      <c r="AF219" s="56"/>
      <c r="AH219" s="56"/>
      <c r="AJ219" s="56"/>
      <c r="AL219" s="56"/>
      <c r="AN219" s="56"/>
      <c r="AP219" s="56"/>
      <c r="AQ219" s="60"/>
      <c r="AR219" s="56"/>
      <c r="AT219" s="56"/>
      <c r="AU219" s="60"/>
      <c r="AV219" s="56"/>
      <c r="AW219" s="60"/>
      <c r="AX219" s="56"/>
      <c r="AZ219" s="56"/>
    </row>
    <row r="220" spans="12:52" x14ac:dyDescent="0.3">
      <c r="L220" s="56"/>
      <c r="N220" s="56"/>
      <c r="P220" s="56"/>
      <c r="R220" s="56"/>
      <c r="T220" s="56"/>
      <c r="V220" s="56"/>
      <c r="W220" s="60"/>
      <c r="X220" s="56"/>
      <c r="Z220" s="56"/>
      <c r="AB220" s="56"/>
      <c r="AC220" s="60"/>
      <c r="AD220" s="56"/>
      <c r="AE220" s="60"/>
      <c r="AF220" s="56"/>
      <c r="AH220" s="56"/>
      <c r="AJ220" s="56"/>
      <c r="AL220" s="56"/>
      <c r="AN220" s="56"/>
      <c r="AP220" s="56"/>
      <c r="AQ220" s="60"/>
      <c r="AR220" s="56"/>
      <c r="AT220" s="56"/>
      <c r="AU220" s="60"/>
      <c r="AV220" s="56"/>
      <c r="AW220" s="60"/>
      <c r="AX220" s="56"/>
      <c r="AZ220" s="56"/>
    </row>
    <row r="221" spans="12:52" x14ac:dyDescent="0.3">
      <c r="L221" s="56"/>
      <c r="N221" s="56"/>
      <c r="P221" s="56"/>
      <c r="R221" s="56"/>
      <c r="T221" s="56"/>
      <c r="V221" s="56"/>
      <c r="W221" s="60"/>
      <c r="X221" s="56"/>
      <c r="Z221" s="56"/>
      <c r="AB221" s="56"/>
      <c r="AC221" s="60"/>
      <c r="AD221" s="56"/>
      <c r="AE221" s="60"/>
      <c r="AF221" s="56"/>
      <c r="AH221" s="56"/>
      <c r="AJ221" s="56"/>
      <c r="AL221" s="56"/>
      <c r="AN221" s="56"/>
      <c r="AP221" s="56"/>
      <c r="AQ221" s="60"/>
      <c r="AR221" s="56"/>
      <c r="AT221" s="56"/>
      <c r="AU221" s="60"/>
      <c r="AV221" s="56"/>
      <c r="AW221" s="60"/>
      <c r="AX221" s="56"/>
      <c r="AZ221" s="56"/>
    </row>
    <row r="222" spans="12:52" x14ac:dyDescent="0.3">
      <c r="L222" s="56"/>
      <c r="N222" s="56"/>
      <c r="P222" s="56"/>
      <c r="R222" s="56"/>
      <c r="T222" s="56"/>
      <c r="V222" s="56"/>
      <c r="W222" s="60"/>
      <c r="X222" s="56"/>
      <c r="Z222" s="56"/>
      <c r="AB222" s="56"/>
      <c r="AC222" s="60"/>
      <c r="AD222" s="56"/>
      <c r="AE222" s="60"/>
      <c r="AF222" s="56"/>
      <c r="AH222" s="56"/>
      <c r="AJ222" s="56"/>
      <c r="AL222" s="56"/>
      <c r="AN222" s="56"/>
      <c r="AP222" s="56"/>
      <c r="AQ222" s="60"/>
      <c r="AR222" s="56"/>
      <c r="AT222" s="56"/>
      <c r="AU222" s="60"/>
      <c r="AV222" s="56"/>
      <c r="AW222" s="60"/>
      <c r="AX222" s="56"/>
      <c r="AZ222" s="56"/>
    </row>
    <row r="223" spans="12:52" x14ac:dyDescent="0.3">
      <c r="L223" s="56"/>
      <c r="N223" s="56"/>
      <c r="P223" s="56"/>
      <c r="R223" s="56"/>
      <c r="T223" s="56"/>
      <c r="V223" s="56"/>
      <c r="W223" s="60"/>
      <c r="X223" s="56"/>
      <c r="Z223" s="56"/>
      <c r="AB223" s="56"/>
      <c r="AC223" s="60"/>
      <c r="AD223" s="56"/>
      <c r="AE223" s="60"/>
      <c r="AF223" s="56"/>
      <c r="AH223" s="56"/>
      <c r="AJ223" s="56"/>
      <c r="AL223" s="56"/>
      <c r="AN223" s="56"/>
      <c r="AP223" s="56"/>
      <c r="AQ223" s="60"/>
      <c r="AR223" s="56"/>
      <c r="AT223" s="56"/>
      <c r="AU223" s="60"/>
      <c r="AV223" s="56"/>
      <c r="AW223" s="60"/>
      <c r="AX223" s="56"/>
      <c r="AZ223" s="56"/>
    </row>
    <row r="224" spans="12:52" x14ac:dyDescent="0.3">
      <c r="L224" s="56"/>
      <c r="N224" s="56"/>
      <c r="P224" s="56"/>
      <c r="R224" s="56"/>
      <c r="T224" s="56"/>
      <c r="V224" s="56"/>
      <c r="W224" s="60"/>
      <c r="X224" s="56"/>
      <c r="Z224" s="56"/>
      <c r="AB224" s="56"/>
      <c r="AC224" s="60"/>
      <c r="AD224" s="56"/>
      <c r="AE224" s="60"/>
      <c r="AF224" s="56"/>
      <c r="AH224" s="56"/>
      <c r="AJ224" s="56"/>
      <c r="AL224" s="56"/>
      <c r="AN224" s="56"/>
      <c r="AP224" s="56"/>
      <c r="AQ224" s="60"/>
      <c r="AR224" s="56"/>
      <c r="AT224" s="56"/>
      <c r="AU224" s="60"/>
      <c r="AV224" s="56"/>
      <c r="AW224" s="60"/>
      <c r="AX224" s="56"/>
      <c r="AZ224" s="56"/>
    </row>
    <row r="225" spans="12:52" x14ac:dyDescent="0.3">
      <c r="L225" s="56"/>
      <c r="N225" s="56"/>
      <c r="P225" s="56"/>
      <c r="R225" s="56"/>
      <c r="T225" s="56"/>
      <c r="V225" s="56"/>
      <c r="W225" s="60"/>
      <c r="X225" s="56"/>
      <c r="Z225" s="56"/>
      <c r="AB225" s="56"/>
      <c r="AC225" s="60"/>
      <c r="AD225" s="56"/>
      <c r="AE225" s="60"/>
      <c r="AF225" s="56"/>
      <c r="AH225" s="56"/>
      <c r="AJ225" s="56"/>
      <c r="AL225" s="56"/>
      <c r="AN225" s="56"/>
      <c r="AP225" s="56"/>
      <c r="AQ225" s="60"/>
      <c r="AR225" s="56"/>
      <c r="AT225" s="56"/>
      <c r="AU225" s="60"/>
      <c r="AV225" s="56"/>
      <c r="AW225" s="60"/>
      <c r="AX225" s="56"/>
      <c r="AZ225" s="56"/>
    </row>
    <row r="226" spans="12:52" x14ac:dyDescent="0.3">
      <c r="L226" s="56"/>
      <c r="N226" s="56"/>
      <c r="P226" s="56"/>
      <c r="R226" s="56"/>
      <c r="T226" s="56"/>
      <c r="V226" s="56"/>
      <c r="W226" s="60"/>
      <c r="X226" s="56"/>
      <c r="Z226" s="56"/>
      <c r="AB226" s="56"/>
      <c r="AC226" s="60"/>
      <c r="AD226" s="56"/>
      <c r="AE226" s="60"/>
      <c r="AF226" s="56"/>
      <c r="AH226" s="56"/>
      <c r="AJ226" s="56"/>
      <c r="AL226" s="56"/>
      <c r="AN226" s="56"/>
      <c r="AP226" s="56"/>
      <c r="AQ226" s="60"/>
      <c r="AR226" s="56"/>
      <c r="AT226" s="56"/>
      <c r="AU226" s="60"/>
      <c r="AV226" s="56"/>
      <c r="AW226" s="60"/>
      <c r="AX226" s="56"/>
      <c r="AZ226" s="56"/>
    </row>
    <row r="227" spans="12:52" x14ac:dyDescent="0.3">
      <c r="L227" s="56"/>
      <c r="N227" s="56"/>
      <c r="P227" s="56"/>
      <c r="R227" s="56"/>
      <c r="T227" s="56"/>
      <c r="V227" s="56"/>
      <c r="W227" s="60"/>
      <c r="X227" s="56"/>
      <c r="Z227" s="56"/>
      <c r="AB227" s="56"/>
      <c r="AC227" s="60"/>
      <c r="AD227" s="56"/>
      <c r="AE227" s="60"/>
      <c r="AF227" s="56"/>
      <c r="AH227" s="56"/>
      <c r="AJ227" s="56"/>
      <c r="AL227" s="56"/>
      <c r="AN227" s="56"/>
      <c r="AP227" s="56"/>
      <c r="AQ227" s="60"/>
      <c r="AR227" s="56"/>
      <c r="AT227" s="56"/>
      <c r="AU227" s="60"/>
      <c r="AV227" s="56"/>
      <c r="AW227" s="60"/>
      <c r="AX227" s="56"/>
      <c r="AZ227" s="56"/>
    </row>
    <row r="228" spans="12:52" x14ac:dyDescent="0.3">
      <c r="L228" s="56"/>
      <c r="N228" s="56"/>
      <c r="P228" s="56"/>
      <c r="R228" s="56"/>
      <c r="T228" s="56"/>
      <c r="V228" s="56"/>
      <c r="W228" s="60"/>
      <c r="X228" s="56"/>
      <c r="Z228" s="56"/>
      <c r="AB228" s="56"/>
      <c r="AC228" s="60"/>
      <c r="AD228" s="56"/>
      <c r="AE228" s="60"/>
      <c r="AF228" s="56"/>
      <c r="AH228" s="56"/>
      <c r="AJ228" s="56"/>
      <c r="AL228" s="56"/>
      <c r="AN228" s="56"/>
      <c r="AP228" s="56"/>
      <c r="AQ228" s="60"/>
      <c r="AR228" s="56"/>
      <c r="AT228" s="56"/>
      <c r="AU228" s="60"/>
      <c r="AV228" s="56"/>
      <c r="AW228" s="60"/>
      <c r="AX228" s="56"/>
      <c r="AZ228" s="56"/>
    </row>
    <row r="229" spans="12:52" x14ac:dyDescent="0.3">
      <c r="L229" s="56"/>
      <c r="N229" s="56"/>
      <c r="P229" s="56"/>
      <c r="R229" s="56"/>
      <c r="T229" s="56"/>
      <c r="V229" s="56"/>
      <c r="W229" s="60"/>
      <c r="X229" s="56"/>
      <c r="Z229" s="56"/>
      <c r="AB229" s="56"/>
      <c r="AC229" s="60"/>
      <c r="AD229" s="56"/>
      <c r="AE229" s="60"/>
      <c r="AF229" s="56"/>
      <c r="AH229" s="56"/>
      <c r="AJ229" s="56"/>
      <c r="AL229" s="56"/>
      <c r="AN229" s="56"/>
      <c r="AP229" s="56"/>
      <c r="AQ229" s="60"/>
      <c r="AR229" s="56"/>
      <c r="AT229" s="56"/>
      <c r="AU229" s="60"/>
      <c r="AV229" s="56"/>
      <c r="AW229" s="60"/>
      <c r="AX229" s="56"/>
      <c r="AZ229" s="56"/>
    </row>
    <row r="230" spans="12:52" x14ac:dyDescent="0.3">
      <c r="L230" s="56"/>
      <c r="N230" s="56"/>
      <c r="P230" s="56"/>
      <c r="R230" s="56"/>
      <c r="T230" s="56"/>
      <c r="V230" s="56"/>
      <c r="W230" s="60"/>
      <c r="X230" s="56"/>
      <c r="Z230" s="56"/>
      <c r="AB230" s="56"/>
      <c r="AC230" s="60"/>
      <c r="AD230" s="56"/>
      <c r="AE230" s="60"/>
      <c r="AF230" s="56"/>
      <c r="AH230" s="56"/>
      <c r="AJ230" s="56"/>
      <c r="AL230" s="56"/>
      <c r="AN230" s="56"/>
      <c r="AP230" s="56"/>
      <c r="AQ230" s="60"/>
      <c r="AR230" s="56"/>
      <c r="AT230" s="56"/>
      <c r="AU230" s="60"/>
      <c r="AV230" s="56"/>
      <c r="AW230" s="60"/>
      <c r="AX230" s="56"/>
      <c r="AZ230" s="56"/>
    </row>
    <row r="231" spans="12:52" x14ac:dyDescent="0.3">
      <c r="L231" s="56"/>
      <c r="N231" s="56"/>
      <c r="P231" s="56"/>
      <c r="R231" s="56"/>
      <c r="T231" s="56"/>
      <c r="V231" s="56"/>
      <c r="W231" s="60"/>
      <c r="X231" s="56"/>
      <c r="Z231" s="56"/>
      <c r="AB231" s="56"/>
      <c r="AC231" s="60"/>
      <c r="AD231" s="56"/>
      <c r="AE231" s="60"/>
      <c r="AF231" s="56"/>
      <c r="AH231" s="56"/>
      <c r="AJ231" s="56"/>
      <c r="AL231" s="56"/>
      <c r="AN231" s="56"/>
      <c r="AP231" s="56"/>
      <c r="AQ231" s="60"/>
      <c r="AR231" s="56"/>
      <c r="AT231" s="56"/>
      <c r="AU231" s="60"/>
      <c r="AV231" s="56"/>
      <c r="AW231" s="60"/>
      <c r="AX231" s="56"/>
      <c r="AZ231" s="56"/>
    </row>
    <row r="232" spans="12:52" x14ac:dyDescent="0.3">
      <c r="L232" s="56"/>
      <c r="N232" s="56"/>
      <c r="P232" s="56"/>
      <c r="R232" s="56"/>
      <c r="T232" s="56"/>
      <c r="V232" s="56"/>
      <c r="W232" s="60"/>
      <c r="X232" s="56"/>
      <c r="Z232" s="56"/>
      <c r="AB232" s="56"/>
      <c r="AC232" s="60"/>
      <c r="AD232" s="56"/>
      <c r="AE232" s="60"/>
      <c r="AF232" s="56"/>
      <c r="AH232" s="56"/>
      <c r="AJ232" s="56"/>
      <c r="AL232" s="56"/>
      <c r="AN232" s="56"/>
      <c r="AP232" s="56"/>
      <c r="AQ232" s="60"/>
      <c r="AR232" s="56"/>
      <c r="AT232" s="56"/>
      <c r="AU232" s="60"/>
      <c r="AV232" s="56"/>
      <c r="AW232" s="60"/>
      <c r="AX232" s="56"/>
      <c r="AZ232" s="56"/>
    </row>
    <row r="233" spans="12:52" x14ac:dyDescent="0.3">
      <c r="L233" s="56"/>
      <c r="N233" s="56"/>
      <c r="P233" s="56"/>
      <c r="R233" s="56"/>
      <c r="T233" s="56"/>
      <c r="V233" s="56"/>
      <c r="W233" s="60"/>
      <c r="X233" s="56"/>
      <c r="Z233" s="56"/>
      <c r="AB233" s="56"/>
      <c r="AC233" s="60"/>
      <c r="AD233" s="56"/>
      <c r="AE233" s="60"/>
      <c r="AF233" s="56"/>
      <c r="AH233" s="56"/>
      <c r="AJ233" s="56"/>
      <c r="AL233" s="56"/>
      <c r="AN233" s="56"/>
      <c r="AP233" s="56"/>
      <c r="AQ233" s="60"/>
      <c r="AR233" s="56"/>
      <c r="AT233" s="56"/>
      <c r="AU233" s="60"/>
      <c r="AV233" s="56"/>
      <c r="AW233" s="60"/>
      <c r="AX233" s="56"/>
      <c r="AZ233" s="56"/>
    </row>
    <row r="234" spans="12:52" x14ac:dyDescent="0.3">
      <c r="L234" s="56"/>
      <c r="N234" s="56"/>
      <c r="P234" s="56"/>
      <c r="R234" s="56"/>
      <c r="T234" s="56"/>
      <c r="V234" s="56"/>
      <c r="W234" s="60"/>
      <c r="X234" s="56"/>
      <c r="Z234" s="56"/>
      <c r="AB234" s="56"/>
      <c r="AC234" s="60"/>
      <c r="AD234" s="56"/>
      <c r="AE234" s="60"/>
      <c r="AF234" s="56"/>
      <c r="AH234" s="56"/>
      <c r="AJ234" s="56"/>
      <c r="AL234" s="56"/>
      <c r="AN234" s="56"/>
      <c r="AP234" s="56"/>
      <c r="AQ234" s="60"/>
      <c r="AR234" s="56"/>
      <c r="AT234" s="56"/>
      <c r="AU234" s="60"/>
      <c r="AV234" s="56"/>
      <c r="AW234" s="60"/>
      <c r="AX234" s="56"/>
      <c r="AZ234" s="56"/>
    </row>
    <row r="235" spans="12:52" x14ac:dyDescent="0.3">
      <c r="L235" s="56"/>
      <c r="N235" s="56"/>
      <c r="P235" s="56"/>
      <c r="R235" s="56"/>
      <c r="T235" s="56"/>
      <c r="V235" s="56"/>
      <c r="W235" s="60"/>
      <c r="X235" s="56"/>
      <c r="Z235" s="56"/>
      <c r="AB235" s="56"/>
      <c r="AC235" s="60"/>
      <c r="AD235" s="56"/>
      <c r="AE235" s="60"/>
      <c r="AF235" s="56"/>
      <c r="AH235" s="56"/>
      <c r="AJ235" s="56"/>
      <c r="AL235" s="56"/>
      <c r="AN235" s="56"/>
      <c r="AP235" s="56"/>
      <c r="AQ235" s="60"/>
      <c r="AR235" s="56"/>
      <c r="AT235" s="56"/>
      <c r="AU235" s="60"/>
      <c r="AV235" s="56"/>
      <c r="AW235" s="60"/>
      <c r="AX235" s="56"/>
      <c r="AZ235" s="56"/>
    </row>
    <row r="236" spans="12:52" x14ac:dyDescent="0.3">
      <c r="L236" s="56"/>
      <c r="N236" s="56"/>
      <c r="P236" s="56"/>
      <c r="R236" s="56"/>
      <c r="T236" s="56"/>
      <c r="V236" s="56"/>
      <c r="W236" s="60"/>
      <c r="X236" s="56"/>
      <c r="Z236" s="56"/>
      <c r="AB236" s="56"/>
      <c r="AC236" s="60"/>
      <c r="AD236" s="56"/>
      <c r="AE236" s="60"/>
      <c r="AF236" s="56"/>
      <c r="AH236" s="56"/>
      <c r="AJ236" s="56"/>
      <c r="AL236" s="56"/>
      <c r="AN236" s="56"/>
      <c r="AP236" s="56"/>
      <c r="AQ236" s="60"/>
      <c r="AR236" s="56"/>
      <c r="AT236" s="56"/>
      <c r="AU236" s="60"/>
      <c r="AV236" s="56"/>
      <c r="AW236" s="60"/>
      <c r="AX236" s="56"/>
      <c r="AZ236" s="56"/>
    </row>
    <row r="237" spans="12:52" x14ac:dyDescent="0.3">
      <c r="L237" s="56"/>
      <c r="N237" s="56"/>
      <c r="P237" s="56"/>
      <c r="R237" s="56"/>
      <c r="T237" s="56"/>
      <c r="V237" s="56"/>
      <c r="W237" s="60"/>
      <c r="X237" s="56"/>
      <c r="Z237" s="56"/>
      <c r="AB237" s="56"/>
      <c r="AC237" s="60"/>
      <c r="AD237" s="56"/>
      <c r="AE237" s="60"/>
      <c r="AF237" s="56"/>
      <c r="AH237" s="56"/>
      <c r="AJ237" s="56"/>
      <c r="AL237" s="56"/>
      <c r="AN237" s="56"/>
      <c r="AP237" s="56"/>
      <c r="AQ237" s="60"/>
      <c r="AR237" s="56"/>
      <c r="AT237" s="56"/>
      <c r="AU237" s="60"/>
      <c r="AV237" s="56"/>
      <c r="AW237" s="60"/>
      <c r="AX237" s="56"/>
      <c r="AZ237" s="56"/>
    </row>
    <row r="238" spans="12:52" x14ac:dyDescent="0.3">
      <c r="L238" s="56"/>
      <c r="N238" s="56"/>
      <c r="P238" s="56"/>
      <c r="R238" s="56"/>
      <c r="T238" s="56"/>
      <c r="V238" s="56"/>
      <c r="W238" s="60"/>
      <c r="X238" s="56"/>
      <c r="Z238" s="56"/>
      <c r="AB238" s="56"/>
      <c r="AC238" s="60"/>
      <c r="AD238" s="56"/>
      <c r="AE238" s="60"/>
      <c r="AF238" s="56"/>
      <c r="AH238" s="56"/>
      <c r="AJ238" s="56"/>
      <c r="AL238" s="56"/>
      <c r="AN238" s="56"/>
      <c r="AP238" s="56"/>
      <c r="AQ238" s="60"/>
      <c r="AR238" s="56"/>
      <c r="AT238" s="56"/>
      <c r="AU238" s="60"/>
      <c r="AV238" s="56"/>
      <c r="AW238" s="60"/>
      <c r="AX238" s="56"/>
      <c r="AZ238" s="56"/>
    </row>
    <row r="239" spans="12:52" x14ac:dyDescent="0.3">
      <c r="L239" s="56"/>
      <c r="N239" s="56"/>
      <c r="P239" s="56"/>
      <c r="R239" s="56"/>
      <c r="T239" s="56"/>
      <c r="V239" s="56"/>
      <c r="W239" s="60"/>
      <c r="X239" s="56"/>
      <c r="Z239" s="56"/>
      <c r="AB239" s="56"/>
      <c r="AC239" s="60"/>
      <c r="AD239" s="56"/>
      <c r="AE239" s="60"/>
      <c r="AF239" s="56"/>
      <c r="AH239" s="56"/>
      <c r="AJ239" s="56"/>
      <c r="AL239" s="56"/>
      <c r="AN239" s="56"/>
      <c r="AP239" s="56"/>
      <c r="AQ239" s="60"/>
      <c r="AR239" s="56"/>
      <c r="AT239" s="56"/>
      <c r="AU239" s="60"/>
      <c r="AV239" s="56"/>
      <c r="AW239" s="60"/>
      <c r="AX239" s="56"/>
      <c r="AZ239" s="56"/>
    </row>
    <row r="240" spans="12:52" x14ac:dyDescent="0.3">
      <c r="L240" s="56"/>
      <c r="N240" s="56"/>
      <c r="P240" s="56"/>
      <c r="R240" s="56"/>
      <c r="T240" s="56"/>
      <c r="V240" s="56"/>
      <c r="W240" s="60"/>
      <c r="X240" s="56"/>
      <c r="Z240" s="56"/>
      <c r="AB240" s="56"/>
      <c r="AC240" s="60"/>
      <c r="AD240" s="56"/>
      <c r="AE240" s="60"/>
      <c r="AF240" s="56"/>
      <c r="AH240" s="56"/>
      <c r="AJ240" s="56"/>
      <c r="AL240" s="56"/>
      <c r="AN240" s="56"/>
      <c r="AP240" s="56"/>
      <c r="AQ240" s="60"/>
      <c r="AR240" s="56"/>
      <c r="AT240" s="56"/>
      <c r="AU240" s="60"/>
      <c r="AV240" s="56"/>
      <c r="AW240" s="60"/>
      <c r="AX240" s="56"/>
      <c r="AZ240" s="56"/>
    </row>
    <row r="241" spans="12:52" x14ac:dyDescent="0.3">
      <c r="L241" s="56"/>
      <c r="N241" s="56"/>
      <c r="P241" s="56"/>
      <c r="R241" s="56"/>
      <c r="T241" s="56"/>
      <c r="V241" s="56"/>
      <c r="W241" s="60"/>
      <c r="X241" s="56"/>
      <c r="Z241" s="56"/>
      <c r="AB241" s="56"/>
      <c r="AC241" s="60"/>
      <c r="AD241" s="56"/>
      <c r="AE241" s="60"/>
      <c r="AF241" s="56"/>
      <c r="AH241" s="56"/>
      <c r="AJ241" s="56"/>
      <c r="AL241" s="56"/>
      <c r="AN241" s="56"/>
      <c r="AP241" s="56"/>
      <c r="AQ241" s="60"/>
      <c r="AR241" s="56"/>
      <c r="AT241" s="56"/>
      <c r="AU241" s="60"/>
      <c r="AV241" s="56"/>
      <c r="AW241" s="60"/>
      <c r="AX241" s="56"/>
      <c r="AZ241" s="56"/>
    </row>
    <row r="242" spans="12:52" x14ac:dyDescent="0.3">
      <c r="L242" s="56"/>
      <c r="N242" s="56"/>
      <c r="P242" s="56"/>
      <c r="R242" s="56"/>
      <c r="T242" s="56"/>
      <c r="V242" s="56"/>
      <c r="W242" s="60"/>
      <c r="X242" s="56"/>
      <c r="Z242" s="56"/>
      <c r="AB242" s="56"/>
      <c r="AC242" s="60"/>
      <c r="AD242" s="56"/>
      <c r="AE242" s="60"/>
      <c r="AF242" s="56"/>
      <c r="AH242" s="56"/>
      <c r="AJ242" s="56"/>
      <c r="AL242" s="56"/>
      <c r="AN242" s="56"/>
      <c r="AP242" s="56"/>
      <c r="AQ242" s="60"/>
      <c r="AR242" s="56"/>
      <c r="AT242" s="56"/>
      <c r="AU242" s="60"/>
      <c r="AV242" s="56"/>
      <c r="AW242" s="60"/>
      <c r="AX242" s="56"/>
      <c r="AZ242" s="56"/>
    </row>
    <row r="243" spans="12:52" x14ac:dyDescent="0.3">
      <c r="L243" s="56"/>
      <c r="N243" s="56"/>
      <c r="P243" s="56"/>
      <c r="R243" s="56"/>
      <c r="T243" s="56"/>
      <c r="V243" s="56"/>
      <c r="W243" s="60"/>
      <c r="X243" s="56"/>
      <c r="Z243" s="56"/>
      <c r="AB243" s="56"/>
      <c r="AC243" s="60"/>
      <c r="AD243" s="56"/>
      <c r="AE243" s="60"/>
      <c r="AF243" s="56"/>
      <c r="AH243" s="56"/>
      <c r="AJ243" s="56"/>
      <c r="AL243" s="56"/>
      <c r="AN243" s="56"/>
      <c r="AP243" s="56"/>
      <c r="AQ243" s="60"/>
      <c r="AR243" s="56"/>
      <c r="AT243" s="56"/>
      <c r="AU243" s="60"/>
      <c r="AV243" s="56"/>
      <c r="AW243" s="60"/>
      <c r="AX243" s="56"/>
      <c r="AZ243" s="56"/>
    </row>
    <row r="244" spans="12:52" x14ac:dyDescent="0.3">
      <c r="L244" s="56"/>
      <c r="N244" s="56"/>
      <c r="P244" s="56"/>
      <c r="R244" s="56"/>
      <c r="T244" s="56"/>
      <c r="V244" s="56"/>
      <c r="W244" s="60"/>
      <c r="X244" s="56"/>
      <c r="Z244" s="56"/>
      <c r="AB244" s="56"/>
      <c r="AC244" s="60"/>
      <c r="AD244" s="56"/>
      <c r="AE244" s="60"/>
      <c r="AF244" s="56"/>
      <c r="AH244" s="56"/>
      <c r="AJ244" s="56"/>
      <c r="AL244" s="56"/>
      <c r="AN244" s="56"/>
      <c r="AP244" s="56"/>
      <c r="AQ244" s="60"/>
      <c r="AR244" s="56"/>
      <c r="AT244" s="56"/>
      <c r="AU244" s="60"/>
      <c r="AV244" s="56"/>
      <c r="AW244" s="60"/>
      <c r="AX244" s="56"/>
      <c r="AZ244" s="56"/>
    </row>
    <row r="245" spans="12:52" x14ac:dyDescent="0.3">
      <c r="L245" s="56"/>
      <c r="N245" s="56"/>
      <c r="P245" s="56"/>
      <c r="R245" s="56"/>
      <c r="T245" s="56"/>
      <c r="V245" s="56"/>
      <c r="W245" s="60"/>
      <c r="X245" s="56"/>
      <c r="Z245" s="56"/>
      <c r="AB245" s="56"/>
      <c r="AC245" s="60"/>
      <c r="AD245" s="56"/>
      <c r="AE245" s="60"/>
      <c r="AF245" s="56"/>
      <c r="AH245" s="56"/>
      <c r="AJ245" s="56"/>
      <c r="AL245" s="56"/>
      <c r="AN245" s="56"/>
      <c r="AP245" s="56"/>
      <c r="AQ245" s="60"/>
      <c r="AR245" s="56"/>
      <c r="AT245" s="56"/>
      <c r="AU245" s="60"/>
      <c r="AV245" s="56"/>
      <c r="AW245" s="60"/>
      <c r="AX245" s="56"/>
      <c r="AZ245" s="56"/>
    </row>
    <row r="246" spans="12:52" x14ac:dyDescent="0.3">
      <c r="L246" s="56"/>
      <c r="N246" s="56"/>
      <c r="P246" s="56"/>
      <c r="R246" s="56"/>
      <c r="T246" s="56"/>
      <c r="V246" s="56"/>
      <c r="W246" s="60"/>
      <c r="X246" s="56"/>
      <c r="Z246" s="56"/>
      <c r="AB246" s="56"/>
      <c r="AC246" s="60"/>
      <c r="AD246" s="56"/>
      <c r="AE246" s="60"/>
      <c r="AF246" s="56"/>
      <c r="AH246" s="56"/>
      <c r="AJ246" s="56"/>
      <c r="AL246" s="56"/>
      <c r="AN246" s="56"/>
      <c r="AP246" s="56"/>
      <c r="AQ246" s="60"/>
      <c r="AR246" s="56"/>
      <c r="AT246" s="56"/>
      <c r="AU246" s="60"/>
      <c r="AV246" s="56"/>
      <c r="AW246" s="60"/>
      <c r="AX246" s="56"/>
      <c r="AZ246" s="56"/>
    </row>
    <row r="247" spans="12:52" x14ac:dyDescent="0.3">
      <c r="L247" s="56"/>
      <c r="N247" s="56"/>
      <c r="P247" s="56"/>
      <c r="R247" s="56"/>
      <c r="T247" s="56"/>
      <c r="V247" s="56"/>
      <c r="W247" s="60"/>
      <c r="X247" s="56"/>
      <c r="Z247" s="56"/>
      <c r="AB247" s="56"/>
      <c r="AC247" s="60"/>
      <c r="AD247" s="56"/>
      <c r="AE247" s="60"/>
      <c r="AF247" s="56"/>
      <c r="AH247" s="56"/>
      <c r="AJ247" s="56"/>
      <c r="AL247" s="56"/>
      <c r="AN247" s="56"/>
      <c r="AP247" s="56"/>
      <c r="AQ247" s="60"/>
      <c r="AR247" s="56"/>
      <c r="AT247" s="56"/>
      <c r="AU247" s="60"/>
      <c r="AV247" s="56"/>
      <c r="AW247" s="60"/>
      <c r="AX247" s="56"/>
      <c r="AZ247" s="56"/>
    </row>
    <row r="248" spans="12:52" x14ac:dyDescent="0.3">
      <c r="L248" s="56"/>
      <c r="N248" s="56"/>
      <c r="P248" s="56"/>
      <c r="R248" s="56"/>
      <c r="T248" s="56"/>
      <c r="V248" s="56"/>
      <c r="W248" s="60"/>
      <c r="X248" s="56"/>
      <c r="Z248" s="56"/>
      <c r="AB248" s="56"/>
      <c r="AC248" s="60"/>
      <c r="AD248" s="56"/>
      <c r="AE248" s="60"/>
      <c r="AF248" s="56"/>
      <c r="AH248" s="56"/>
      <c r="AJ248" s="56"/>
      <c r="AL248" s="56"/>
      <c r="AN248" s="56"/>
      <c r="AP248" s="56"/>
      <c r="AQ248" s="60"/>
      <c r="AR248" s="56"/>
      <c r="AT248" s="56"/>
      <c r="AU248" s="60"/>
      <c r="AV248" s="56"/>
      <c r="AW248" s="60"/>
      <c r="AX248" s="56"/>
      <c r="AZ248" s="56"/>
    </row>
    <row r="249" spans="12:52" x14ac:dyDescent="0.3">
      <c r="L249" s="56"/>
      <c r="N249" s="56"/>
      <c r="P249" s="56"/>
      <c r="R249" s="56"/>
      <c r="T249" s="56"/>
      <c r="V249" s="56"/>
      <c r="W249" s="60"/>
      <c r="X249" s="56"/>
      <c r="Z249" s="56"/>
      <c r="AB249" s="56"/>
      <c r="AC249" s="60"/>
      <c r="AD249" s="56"/>
      <c r="AE249" s="60"/>
      <c r="AF249" s="56"/>
      <c r="AH249" s="56"/>
      <c r="AJ249" s="56"/>
      <c r="AL249" s="56"/>
      <c r="AN249" s="56"/>
      <c r="AP249" s="56"/>
      <c r="AQ249" s="60"/>
      <c r="AR249" s="56"/>
      <c r="AT249" s="56"/>
      <c r="AU249" s="60"/>
      <c r="AV249" s="56"/>
      <c r="AW249" s="60"/>
      <c r="AX249" s="56"/>
      <c r="AZ249" s="56"/>
    </row>
    <row r="250" spans="12:52" x14ac:dyDescent="0.3">
      <c r="L250" s="56"/>
      <c r="N250" s="56"/>
      <c r="P250" s="56"/>
      <c r="R250" s="56"/>
      <c r="T250" s="56"/>
      <c r="V250" s="56"/>
      <c r="W250" s="60"/>
      <c r="X250" s="56"/>
      <c r="Z250" s="56"/>
      <c r="AB250" s="56"/>
      <c r="AC250" s="60"/>
      <c r="AD250" s="56"/>
      <c r="AE250" s="60"/>
      <c r="AF250" s="56"/>
      <c r="AH250" s="56"/>
      <c r="AJ250" s="56"/>
      <c r="AL250" s="56"/>
      <c r="AN250" s="56"/>
      <c r="AP250" s="56"/>
      <c r="AQ250" s="60"/>
      <c r="AR250" s="56"/>
      <c r="AT250" s="56"/>
      <c r="AU250" s="60"/>
      <c r="AV250" s="56"/>
      <c r="AW250" s="60"/>
      <c r="AX250" s="56"/>
      <c r="AZ250" s="56"/>
    </row>
    <row r="251" spans="12:52" x14ac:dyDescent="0.3">
      <c r="L251" s="56"/>
      <c r="N251" s="56"/>
      <c r="P251" s="56"/>
      <c r="R251" s="56"/>
      <c r="T251" s="56"/>
      <c r="V251" s="56"/>
      <c r="W251" s="60"/>
      <c r="X251" s="56"/>
      <c r="Z251" s="56"/>
      <c r="AB251" s="56"/>
      <c r="AC251" s="60"/>
      <c r="AD251" s="56"/>
      <c r="AE251" s="60"/>
      <c r="AF251" s="56"/>
      <c r="AH251" s="56"/>
      <c r="AJ251" s="56"/>
      <c r="AL251" s="56"/>
      <c r="AN251" s="56"/>
      <c r="AP251" s="56"/>
      <c r="AQ251" s="60"/>
      <c r="AR251" s="56"/>
      <c r="AT251" s="56"/>
      <c r="AU251" s="60"/>
      <c r="AV251" s="56"/>
      <c r="AW251" s="60"/>
      <c r="AX251" s="56"/>
      <c r="AZ251" s="56"/>
    </row>
    <row r="252" spans="12:52" x14ac:dyDescent="0.3">
      <c r="L252" s="56"/>
      <c r="N252" s="56"/>
      <c r="P252" s="56"/>
      <c r="R252" s="56"/>
      <c r="T252" s="56"/>
      <c r="V252" s="56"/>
      <c r="W252" s="60"/>
      <c r="X252" s="56"/>
      <c r="Z252" s="56"/>
      <c r="AB252" s="56"/>
      <c r="AC252" s="60"/>
      <c r="AD252" s="56"/>
      <c r="AE252" s="60"/>
      <c r="AF252" s="56"/>
      <c r="AH252" s="56"/>
      <c r="AJ252" s="56"/>
      <c r="AL252" s="56"/>
      <c r="AN252" s="56"/>
      <c r="AP252" s="56"/>
      <c r="AQ252" s="60"/>
      <c r="AR252" s="56"/>
      <c r="AT252" s="56"/>
      <c r="AU252" s="60"/>
      <c r="AV252" s="56"/>
      <c r="AW252" s="60"/>
      <c r="AX252" s="56"/>
      <c r="AZ252" s="56"/>
    </row>
    <row r="253" spans="12:52" x14ac:dyDescent="0.3">
      <c r="L253" s="56"/>
      <c r="N253" s="56"/>
      <c r="P253" s="56"/>
      <c r="R253" s="56"/>
      <c r="T253" s="56"/>
      <c r="V253" s="56"/>
      <c r="W253" s="60"/>
      <c r="X253" s="56"/>
      <c r="Z253" s="56"/>
      <c r="AB253" s="56"/>
      <c r="AC253" s="60"/>
      <c r="AD253" s="56"/>
      <c r="AE253" s="60"/>
      <c r="AF253" s="56"/>
      <c r="AH253" s="56"/>
      <c r="AJ253" s="56"/>
      <c r="AL253" s="56"/>
      <c r="AN253" s="56"/>
      <c r="AP253" s="56"/>
      <c r="AQ253" s="60"/>
      <c r="AR253" s="56"/>
      <c r="AT253" s="56"/>
      <c r="AU253" s="60"/>
      <c r="AV253" s="56"/>
      <c r="AW253" s="60"/>
      <c r="AX253" s="56"/>
      <c r="AZ253" s="56"/>
    </row>
    <row r="254" spans="12:52" x14ac:dyDescent="0.3">
      <c r="L254" s="56"/>
      <c r="N254" s="56"/>
      <c r="P254" s="56"/>
      <c r="R254" s="56"/>
      <c r="T254" s="56"/>
      <c r="V254" s="56"/>
      <c r="W254" s="60"/>
      <c r="X254" s="56"/>
      <c r="Z254" s="56"/>
      <c r="AB254" s="56"/>
      <c r="AC254" s="60"/>
      <c r="AD254" s="56"/>
      <c r="AE254" s="60"/>
      <c r="AF254" s="56"/>
      <c r="AH254" s="56"/>
      <c r="AJ254" s="56"/>
      <c r="AL254" s="56"/>
      <c r="AN254" s="56"/>
      <c r="AP254" s="56"/>
      <c r="AQ254" s="60"/>
      <c r="AR254" s="56"/>
      <c r="AT254" s="56"/>
      <c r="AU254" s="60"/>
      <c r="AV254" s="56"/>
      <c r="AW254" s="60"/>
      <c r="AX254" s="56"/>
      <c r="AZ254" s="56"/>
    </row>
    <row r="255" spans="12:52" x14ac:dyDescent="0.3">
      <c r="L255" s="56"/>
      <c r="N255" s="56"/>
      <c r="P255" s="56"/>
      <c r="R255" s="56"/>
      <c r="T255" s="56"/>
      <c r="V255" s="56"/>
      <c r="W255" s="60"/>
      <c r="X255" s="56"/>
      <c r="Z255" s="56"/>
      <c r="AB255" s="56"/>
      <c r="AC255" s="60"/>
      <c r="AD255" s="56"/>
      <c r="AE255" s="60"/>
      <c r="AF255" s="56"/>
      <c r="AH255" s="56"/>
      <c r="AJ255" s="56"/>
      <c r="AL255" s="56"/>
      <c r="AN255" s="56"/>
      <c r="AP255" s="56"/>
      <c r="AQ255" s="60"/>
      <c r="AR255" s="56"/>
      <c r="AT255" s="56"/>
      <c r="AU255" s="60"/>
      <c r="AV255" s="56"/>
      <c r="AW255" s="60"/>
      <c r="AX255" s="56"/>
      <c r="AZ255" s="56"/>
    </row>
    <row r="256" spans="12:52" x14ac:dyDescent="0.3">
      <c r="L256" s="56"/>
      <c r="N256" s="56"/>
      <c r="P256" s="56"/>
      <c r="R256" s="56"/>
      <c r="T256" s="56"/>
      <c r="V256" s="56"/>
      <c r="W256" s="60"/>
      <c r="X256" s="56"/>
      <c r="Z256" s="56"/>
      <c r="AB256" s="56"/>
      <c r="AC256" s="60"/>
      <c r="AD256" s="56"/>
      <c r="AE256" s="60"/>
      <c r="AF256" s="56"/>
      <c r="AH256" s="56"/>
      <c r="AJ256" s="56"/>
      <c r="AL256" s="56"/>
      <c r="AN256" s="56"/>
      <c r="AP256" s="56"/>
      <c r="AQ256" s="60"/>
      <c r="AR256" s="56"/>
      <c r="AT256" s="56"/>
      <c r="AU256" s="60"/>
      <c r="AV256" s="56"/>
      <c r="AW256" s="60"/>
      <c r="AX256" s="56"/>
      <c r="AZ256" s="56"/>
    </row>
    <row r="257" spans="12:52" x14ac:dyDescent="0.3">
      <c r="L257" s="56"/>
      <c r="N257" s="56"/>
      <c r="P257" s="56"/>
      <c r="R257" s="56"/>
      <c r="T257" s="56"/>
      <c r="V257" s="56"/>
      <c r="W257" s="60"/>
      <c r="X257" s="56"/>
      <c r="Z257" s="56"/>
      <c r="AB257" s="56"/>
      <c r="AC257" s="60"/>
      <c r="AD257" s="56"/>
      <c r="AE257" s="60"/>
      <c r="AF257" s="56"/>
      <c r="AH257" s="56"/>
      <c r="AJ257" s="56"/>
      <c r="AL257" s="56"/>
      <c r="AN257" s="56"/>
      <c r="AP257" s="56"/>
      <c r="AQ257" s="60"/>
      <c r="AR257" s="56"/>
      <c r="AT257" s="56"/>
      <c r="AU257" s="60"/>
      <c r="AV257" s="56"/>
      <c r="AW257" s="60"/>
      <c r="AX257" s="56"/>
      <c r="AZ257" s="56"/>
    </row>
    <row r="258" spans="12:52" x14ac:dyDescent="0.3">
      <c r="L258" s="56"/>
      <c r="N258" s="56"/>
      <c r="P258" s="56"/>
      <c r="R258" s="56"/>
      <c r="T258" s="56"/>
      <c r="V258" s="56"/>
      <c r="W258" s="60"/>
      <c r="X258" s="56"/>
      <c r="Z258" s="56"/>
      <c r="AB258" s="56"/>
      <c r="AC258" s="60"/>
      <c r="AD258" s="56"/>
      <c r="AE258" s="60"/>
      <c r="AF258" s="56"/>
      <c r="AH258" s="56"/>
      <c r="AJ258" s="56"/>
      <c r="AL258" s="56"/>
      <c r="AN258" s="56"/>
      <c r="AP258" s="56"/>
      <c r="AQ258" s="60"/>
      <c r="AR258" s="56"/>
      <c r="AT258" s="56"/>
      <c r="AU258" s="60"/>
      <c r="AV258" s="56"/>
      <c r="AW258" s="60"/>
      <c r="AX258" s="56"/>
      <c r="AZ258" s="56"/>
    </row>
    <row r="259" spans="12:52" x14ac:dyDescent="0.3">
      <c r="L259" s="56"/>
      <c r="N259" s="56"/>
      <c r="P259" s="56"/>
      <c r="R259" s="56"/>
      <c r="T259" s="56"/>
      <c r="V259" s="56"/>
      <c r="W259" s="60"/>
      <c r="X259" s="56"/>
      <c r="Z259" s="56"/>
      <c r="AB259" s="56"/>
      <c r="AC259" s="60"/>
      <c r="AD259" s="56"/>
      <c r="AE259" s="60"/>
      <c r="AF259" s="56"/>
      <c r="AH259" s="56"/>
      <c r="AJ259" s="56"/>
      <c r="AL259" s="56"/>
      <c r="AN259" s="56"/>
      <c r="AP259" s="56"/>
      <c r="AQ259" s="60"/>
      <c r="AR259" s="56"/>
      <c r="AT259" s="56"/>
      <c r="AU259" s="60"/>
      <c r="AV259" s="56"/>
      <c r="AW259" s="60"/>
      <c r="AX259" s="56"/>
      <c r="AZ259" s="56"/>
    </row>
    <row r="260" spans="12:52" x14ac:dyDescent="0.3">
      <c r="L260" s="56"/>
      <c r="N260" s="56"/>
      <c r="P260" s="56"/>
      <c r="R260" s="56"/>
      <c r="T260" s="56"/>
      <c r="V260" s="56"/>
      <c r="W260" s="60"/>
      <c r="X260" s="56"/>
      <c r="Z260" s="56"/>
      <c r="AB260" s="56"/>
      <c r="AC260" s="60"/>
      <c r="AD260" s="56"/>
      <c r="AE260" s="60"/>
      <c r="AF260" s="56"/>
      <c r="AH260" s="56"/>
      <c r="AJ260" s="56"/>
      <c r="AL260" s="56"/>
      <c r="AN260" s="56"/>
      <c r="AP260" s="56"/>
      <c r="AQ260" s="60"/>
      <c r="AR260" s="56"/>
      <c r="AT260" s="56"/>
      <c r="AU260" s="60"/>
      <c r="AV260" s="56"/>
      <c r="AW260" s="60"/>
      <c r="AX260" s="56"/>
      <c r="AZ260" s="56"/>
    </row>
    <row r="261" spans="12:52" x14ac:dyDescent="0.3">
      <c r="L261" s="56"/>
      <c r="N261" s="56"/>
      <c r="P261" s="56"/>
      <c r="R261" s="56"/>
      <c r="T261" s="56"/>
      <c r="V261" s="56"/>
      <c r="W261" s="60"/>
      <c r="X261" s="56"/>
      <c r="Z261" s="56"/>
      <c r="AB261" s="56"/>
      <c r="AC261" s="60"/>
      <c r="AD261" s="56"/>
      <c r="AE261" s="60"/>
      <c r="AF261" s="56"/>
      <c r="AH261" s="56"/>
      <c r="AJ261" s="56"/>
      <c r="AL261" s="56"/>
      <c r="AN261" s="56"/>
      <c r="AP261" s="56"/>
      <c r="AQ261" s="60"/>
      <c r="AR261" s="56"/>
      <c r="AT261" s="56"/>
      <c r="AU261" s="60"/>
      <c r="AV261" s="56"/>
      <c r="AW261" s="60"/>
      <c r="AX261" s="56"/>
      <c r="AZ261" s="56"/>
    </row>
    <row r="262" spans="12:52" x14ac:dyDescent="0.3">
      <c r="L262" s="56"/>
      <c r="N262" s="56"/>
      <c r="P262" s="56"/>
      <c r="R262" s="56"/>
      <c r="T262" s="56"/>
      <c r="V262" s="56"/>
      <c r="W262" s="60"/>
      <c r="X262" s="56"/>
      <c r="Z262" s="56"/>
      <c r="AB262" s="56"/>
      <c r="AC262" s="60"/>
      <c r="AD262" s="56"/>
      <c r="AE262" s="60"/>
      <c r="AF262" s="56"/>
      <c r="AH262" s="56"/>
      <c r="AJ262" s="56"/>
      <c r="AL262" s="56"/>
      <c r="AN262" s="56"/>
      <c r="AP262" s="56"/>
      <c r="AQ262" s="60"/>
      <c r="AR262" s="56"/>
      <c r="AT262" s="56"/>
      <c r="AU262" s="60"/>
      <c r="AV262" s="56"/>
      <c r="AW262" s="60"/>
      <c r="AX262" s="56"/>
      <c r="AZ262" s="56"/>
    </row>
    <row r="263" spans="12:52" x14ac:dyDescent="0.3">
      <c r="L263" s="56"/>
      <c r="N263" s="56"/>
      <c r="P263" s="56"/>
      <c r="R263" s="56"/>
      <c r="T263" s="56"/>
      <c r="V263" s="56"/>
      <c r="W263" s="60"/>
      <c r="X263" s="56"/>
      <c r="Z263" s="56"/>
      <c r="AB263" s="56"/>
      <c r="AC263" s="60"/>
      <c r="AD263" s="56"/>
      <c r="AE263" s="60"/>
      <c r="AF263" s="56"/>
      <c r="AH263" s="56"/>
      <c r="AJ263" s="56"/>
      <c r="AL263" s="56"/>
      <c r="AN263" s="56"/>
      <c r="AP263" s="56"/>
      <c r="AQ263" s="60"/>
      <c r="AR263" s="56"/>
      <c r="AT263" s="56"/>
      <c r="AU263" s="60"/>
      <c r="AV263" s="56"/>
      <c r="AW263" s="60"/>
      <c r="AX263" s="56"/>
      <c r="AZ263" s="56"/>
    </row>
    <row r="264" spans="12:52" x14ac:dyDescent="0.3">
      <c r="L264" s="56"/>
      <c r="N264" s="56"/>
      <c r="P264" s="56"/>
      <c r="R264" s="56"/>
      <c r="T264" s="56"/>
      <c r="V264" s="56"/>
      <c r="W264" s="60"/>
      <c r="X264" s="56"/>
      <c r="Z264" s="56"/>
      <c r="AB264" s="56"/>
      <c r="AC264" s="60"/>
      <c r="AD264" s="56"/>
      <c r="AE264" s="60"/>
      <c r="AF264" s="56"/>
      <c r="AH264" s="56"/>
      <c r="AJ264" s="56"/>
      <c r="AL264" s="56"/>
      <c r="AN264" s="56"/>
      <c r="AP264" s="56"/>
      <c r="AQ264" s="60"/>
      <c r="AR264" s="56"/>
      <c r="AT264" s="56"/>
      <c r="AU264" s="60"/>
      <c r="AV264" s="56"/>
      <c r="AW264" s="60"/>
      <c r="AX264" s="56"/>
      <c r="AZ264" s="56"/>
    </row>
    <row r="265" spans="12:52" x14ac:dyDescent="0.3">
      <c r="L265" s="56"/>
      <c r="N265" s="56"/>
      <c r="P265" s="56"/>
      <c r="R265" s="56"/>
      <c r="T265" s="56"/>
      <c r="V265" s="56"/>
      <c r="W265" s="60"/>
      <c r="X265" s="56"/>
      <c r="Z265" s="56"/>
      <c r="AB265" s="56"/>
      <c r="AC265" s="60"/>
      <c r="AD265" s="56"/>
      <c r="AE265" s="60"/>
      <c r="AF265" s="56"/>
      <c r="AH265" s="56"/>
      <c r="AJ265" s="56"/>
      <c r="AL265" s="56"/>
      <c r="AN265" s="56"/>
      <c r="AP265" s="56"/>
      <c r="AQ265" s="60"/>
      <c r="AR265" s="56"/>
      <c r="AT265" s="56"/>
      <c r="AU265" s="60"/>
      <c r="AV265" s="56"/>
      <c r="AW265" s="60"/>
      <c r="AX265" s="56"/>
      <c r="AZ265" s="56"/>
    </row>
    <row r="266" spans="12:52" x14ac:dyDescent="0.3">
      <c r="L266" s="56"/>
      <c r="N266" s="56"/>
      <c r="P266" s="56"/>
      <c r="R266" s="56"/>
      <c r="T266" s="56"/>
      <c r="V266" s="56"/>
      <c r="W266" s="60"/>
      <c r="X266" s="56"/>
      <c r="Z266" s="56"/>
      <c r="AB266" s="56"/>
      <c r="AC266" s="60"/>
      <c r="AD266" s="56"/>
      <c r="AE266" s="60"/>
      <c r="AF266" s="56"/>
      <c r="AH266" s="56"/>
      <c r="AJ266" s="56"/>
      <c r="AL266" s="56"/>
      <c r="AN266" s="56"/>
      <c r="AP266" s="56"/>
      <c r="AQ266" s="60"/>
      <c r="AR266" s="56"/>
      <c r="AT266" s="56"/>
      <c r="AU266" s="60"/>
      <c r="AV266" s="56"/>
      <c r="AW266" s="60"/>
      <c r="AX266" s="56"/>
      <c r="AZ266" s="56"/>
    </row>
    <row r="267" spans="12:52" x14ac:dyDescent="0.3">
      <c r="L267" s="56"/>
      <c r="N267" s="56"/>
      <c r="P267" s="56"/>
      <c r="R267" s="56"/>
      <c r="T267" s="56"/>
      <c r="V267" s="56"/>
      <c r="W267" s="60"/>
      <c r="X267" s="56"/>
      <c r="Z267" s="56"/>
      <c r="AB267" s="56"/>
      <c r="AC267" s="60"/>
      <c r="AD267" s="56"/>
      <c r="AE267" s="60"/>
      <c r="AF267" s="56"/>
      <c r="AH267" s="56"/>
      <c r="AJ267" s="56"/>
      <c r="AL267" s="56"/>
      <c r="AN267" s="56"/>
      <c r="AP267" s="56"/>
      <c r="AQ267" s="60"/>
      <c r="AR267" s="56"/>
      <c r="AT267" s="56"/>
      <c r="AU267" s="60"/>
      <c r="AV267" s="56"/>
      <c r="AW267" s="60"/>
      <c r="AX267" s="56"/>
      <c r="AZ267" s="56"/>
    </row>
    <row r="268" spans="12:52" x14ac:dyDescent="0.3">
      <c r="L268" s="56"/>
      <c r="N268" s="56"/>
      <c r="P268" s="56"/>
      <c r="R268" s="56"/>
      <c r="T268" s="56"/>
      <c r="V268" s="56"/>
      <c r="W268" s="60"/>
      <c r="X268" s="56"/>
      <c r="Z268" s="56"/>
      <c r="AB268" s="56"/>
      <c r="AC268" s="60"/>
      <c r="AD268" s="56"/>
      <c r="AE268" s="60"/>
      <c r="AF268" s="56"/>
      <c r="AH268" s="56"/>
      <c r="AJ268" s="56"/>
      <c r="AL268" s="56"/>
      <c r="AN268" s="56"/>
      <c r="AP268" s="56"/>
      <c r="AQ268" s="60"/>
      <c r="AR268" s="56"/>
      <c r="AT268" s="56"/>
      <c r="AU268" s="60"/>
      <c r="AV268" s="56"/>
      <c r="AW268" s="60"/>
      <c r="AX268" s="56"/>
      <c r="AZ268" s="56"/>
    </row>
    <row r="269" spans="12:52" x14ac:dyDescent="0.3">
      <c r="L269" s="56"/>
      <c r="N269" s="56"/>
      <c r="P269" s="56"/>
      <c r="R269" s="56"/>
      <c r="T269" s="56"/>
      <c r="V269" s="56"/>
      <c r="W269" s="60"/>
      <c r="X269" s="56"/>
      <c r="Z269" s="56"/>
      <c r="AB269" s="56"/>
      <c r="AC269" s="60"/>
      <c r="AD269" s="56"/>
      <c r="AE269" s="60"/>
      <c r="AF269" s="56"/>
      <c r="AH269" s="56"/>
      <c r="AJ269" s="56"/>
      <c r="AL269" s="56"/>
      <c r="AN269" s="56"/>
      <c r="AP269" s="56"/>
      <c r="AQ269" s="60"/>
      <c r="AR269" s="56"/>
      <c r="AT269" s="56"/>
      <c r="AU269" s="60"/>
      <c r="AV269" s="56"/>
      <c r="AW269" s="60"/>
      <c r="AX269" s="56"/>
      <c r="AZ269" s="56"/>
    </row>
    <row r="270" spans="12:52" x14ac:dyDescent="0.3">
      <c r="L270" s="56"/>
      <c r="N270" s="56"/>
      <c r="P270" s="56"/>
      <c r="R270" s="56"/>
      <c r="T270" s="56"/>
      <c r="V270" s="56"/>
      <c r="W270" s="60"/>
      <c r="X270" s="56"/>
      <c r="Z270" s="56"/>
      <c r="AB270" s="56"/>
      <c r="AC270" s="60"/>
      <c r="AD270" s="56"/>
      <c r="AE270" s="60"/>
      <c r="AF270" s="56"/>
      <c r="AH270" s="56"/>
      <c r="AJ270" s="56"/>
      <c r="AL270" s="56"/>
      <c r="AN270" s="56"/>
      <c r="AP270" s="56"/>
      <c r="AQ270" s="60"/>
      <c r="AR270" s="56"/>
      <c r="AT270" s="56"/>
      <c r="AU270" s="60"/>
      <c r="AV270" s="56"/>
      <c r="AW270" s="60"/>
      <c r="AX270" s="56"/>
      <c r="AZ270" s="56"/>
    </row>
    <row r="271" spans="12:52" x14ac:dyDescent="0.3">
      <c r="L271" s="56"/>
      <c r="N271" s="56"/>
      <c r="P271" s="56"/>
      <c r="R271" s="56"/>
      <c r="T271" s="56"/>
      <c r="V271" s="56"/>
      <c r="W271" s="60"/>
      <c r="X271" s="56"/>
      <c r="Z271" s="56"/>
      <c r="AB271" s="56"/>
      <c r="AC271" s="60"/>
      <c r="AD271" s="56"/>
      <c r="AE271" s="60"/>
      <c r="AF271" s="56"/>
      <c r="AH271" s="56"/>
      <c r="AJ271" s="56"/>
      <c r="AL271" s="56"/>
      <c r="AN271" s="56"/>
      <c r="AP271" s="56"/>
      <c r="AQ271" s="60"/>
      <c r="AR271" s="56"/>
      <c r="AT271" s="56"/>
      <c r="AU271" s="60"/>
      <c r="AV271" s="56"/>
      <c r="AW271" s="60"/>
      <c r="AX271" s="56"/>
      <c r="AZ271" s="56"/>
    </row>
    <row r="272" spans="12:52" x14ac:dyDescent="0.3">
      <c r="L272" s="56"/>
      <c r="N272" s="56"/>
      <c r="P272" s="56"/>
      <c r="R272" s="56"/>
      <c r="T272" s="56"/>
      <c r="V272" s="56"/>
      <c r="W272" s="60"/>
      <c r="X272" s="56"/>
      <c r="Z272" s="56"/>
      <c r="AB272" s="56"/>
      <c r="AC272" s="60"/>
      <c r="AD272" s="56"/>
      <c r="AE272" s="60"/>
      <c r="AF272" s="56"/>
      <c r="AH272" s="56"/>
      <c r="AJ272" s="56"/>
      <c r="AL272" s="56"/>
      <c r="AN272" s="56"/>
      <c r="AP272" s="56"/>
      <c r="AQ272" s="60"/>
      <c r="AR272" s="56"/>
      <c r="AT272" s="56"/>
      <c r="AU272" s="60"/>
      <c r="AV272" s="56"/>
      <c r="AW272" s="60"/>
      <c r="AX272" s="56"/>
      <c r="AZ272" s="56"/>
    </row>
    <row r="273" spans="12:52" x14ac:dyDescent="0.3">
      <c r="L273" s="56"/>
      <c r="N273" s="56"/>
      <c r="P273" s="56"/>
      <c r="R273" s="56"/>
      <c r="T273" s="56"/>
      <c r="V273" s="56"/>
      <c r="W273" s="60"/>
      <c r="X273" s="56"/>
      <c r="Z273" s="56"/>
      <c r="AB273" s="56"/>
      <c r="AC273" s="60"/>
      <c r="AD273" s="56"/>
      <c r="AE273" s="60"/>
      <c r="AF273" s="56"/>
      <c r="AH273" s="56"/>
      <c r="AJ273" s="56"/>
      <c r="AL273" s="56"/>
      <c r="AN273" s="56"/>
      <c r="AP273" s="56"/>
      <c r="AQ273" s="60"/>
      <c r="AR273" s="56"/>
      <c r="AT273" s="56"/>
      <c r="AU273" s="60"/>
      <c r="AV273" s="56"/>
      <c r="AW273" s="60"/>
      <c r="AX273" s="56"/>
      <c r="AZ273" s="56"/>
    </row>
    <row r="274" spans="12:52" x14ac:dyDescent="0.3">
      <c r="L274" s="56"/>
      <c r="N274" s="56"/>
      <c r="P274" s="56"/>
      <c r="R274" s="56"/>
      <c r="T274" s="56"/>
      <c r="V274" s="56"/>
      <c r="W274" s="60"/>
      <c r="X274" s="56"/>
      <c r="Z274" s="56"/>
      <c r="AB274" s="56"/>
      <c r="AC274" s="60"/>
      <c r="AD274" s="56"/>
      <c r="AE274" s="60"/>
      <c r="AF274" s="56"/>
      <c r="AH274" s="56"/>
      <c r="AJ274" s="56"/>
      <c r="AL274" s="56"/>
      <c r="AN274" s="56"/>
      <c r="AP274" s="56"/>
      <c r="AQ274" s="60"/>
      <c r="AR274" s="56"/>
      <c r="AT274" s="56"/>
      <c r="AU274" s="60"/>
      <c r="AV274" s="56"/>
      <c r="AW274" s="60"/>
      <c r="AX274" s="56"/>
      <c r="AZ274" s="56"/>
    </row>
    <row r="275" spans="12:52" x14ac:dyDescent="0.3">
      <c r="L275" s="56"/>
      <c r="N275" s="56"/>
      <c r="P275" s="56"/>
      <c r="R275" s="56"/>
      <c r="T275" s="56"/>
      <c r="V275" s="56"/>
      <c r="W275" s="60"/>
      <c r="X275" s="56"/>
      <c r="Z275" s="56"/>
      <c r="AB275" s="56"/>
      <c r="AC275" s="60"/>
      <c r="AD275" s="56"/>
      <c r="AE275" s="60"/>
      <c r="AF275" s="56"/>
      <c r="AH275" s="56"/>
      <c r="AJ275" s="56"/>
      <c r="AL275" s="56"/>
      <c r="AN275" s="56"/>
      <c r="AP275" s="56"/>
      <c r="AQ275" s="60"/>
      <c r="AR275" s="56"/>
      <c r="AT275" s="56"/>
      <c r="AU275" s="60"/>
      <c r="AV275" s="56"/>
      <c r="AW275" s="60"/>
      <c r="AX275" s="56"/>
      <c r="AZ275" s="56"/>
    </row>
    <row r="276" spans="12:52" x14ac:dyDescent="0.3">
      <c r="L276" s="56"/>
      <c r="N276" s="56"/>
      <c r="P276" s="56"/>
      <c r="R276" s="56"/>
      <c r="T276" s="56"/>
      <c r="V276" s="56"/>
      <c r="W276" s="60"/>
      <c r="X276" s="56"/>
      <c r="Z276" s="56"/>
      <c r="AB276" s="56"/>
      <c r="AC276" s="60"/>
      <c r="AD276" s="56"/>
      <c r="AE276" s="60"/>
      <c r="AF276" s="56"/>
      <c r="AH276" s="56"/>
      <c r="AJ276" s="56"/>
      <c r="AL276" s="56"/>
      <c r="AN276" s="56"/>
      <c r="AP276" s="56"/>
      <c r="AQ276" s="60"/>
      <c r="AR276" s="56"/>
      <c r="AT276" s="56"/>
      <c r="AU276" s="60"/>
      <c r="AV276" s="56"/>
      <c r="AW276" s="60"/>
      <c r="AX276" s="56"/>
      <c r="AZ276" s="56"/>
    </row>
    <row r="277" spans="12:52" x14ac:dyDescent="0.3">
      <c r="L277" s="56"/>
      <c r="N277" s="56"/>
      <c r="P277" s="56"/>
      <c r="R277" s="56"/>
      <c r="T277" s="56"/>
      <c r="V277" s="56"/>
      <c r="W277" s="60"/>
      <c r="X277" s="56"/>
      <c r="Z277" s="56"/>
      <c r="AB277" s="56"/>
      <c r="AC277" s="60"/>
      <c r="AD277" s="56"/>
      <c r="AE277" s="60"/>
      <c r="AF277" s="56"/>
      <c r="AH277" s="56"/>
      <c r="AJ277" s="56"/>
      <c r="AL277" s="56"/>
      <c r="AN277" s="56"/>
      <c r="AP277" s="56"/>
      <c r="AQ277" s="60"/>
      <c r="AR277" s="56"/>
      <c r="AT277" s="56"/>
      <c r="AU277" s="60"/>
      <c r="AV277" s="56"/>
      <c r="AW277" s="60"/>
      <c r="AX277" s="56"/>
      <c r="AZ277" s="56"/>
    </row>
    <row r="278" spans="12:52" x14ac:dyDescent="0.3">
      <c r="L278" s="56"/>
      <c r="N278" s="56"/>
      <c r="P278" s="56"/>
      <c r="R278" s="56"/>
      <c r="T278" s="56"/>
      <c r="V278" s="56"/>
      <c r="W278" s="60"/>
      <c r="X278" s="56"/>
      <c r="Z278" s="56"/>
      <c r="AB278" s="56"/>
      <c r="AC278" s="60"/>
      <c r="AD278" s="56"/>
      <c r="AE278" s="60"/>
      <c r="AF278" s="56"/>
      <c r="AH278" s="56"/>
      <c r="AJ278" s="56"/>
      <c r="AL278" s="56"/>
      <c r="AN278" s="56"/>
      <c r="AP278" s="56"/>
      <c r="AQ278" s="60"/>
      <c r="AR278" s="56"/>
      <c r="AT278" s="56"/>
      <c r="AU278" s="60"/>
      <c r="AV278" s="56"/>
      <c r="AW278" s="60"/>
      <c r="AX278" s="56"/>
      <c r="AZ278" s="56"/>
    </row>
    <row r="279" spans="12:52" x14ac:dyDescent="0.3">
      <c r="L279" s="56"/>
      <c r="N279" s="56"/>
      <c r="P279" s="56"/>
      <c r="R279" s="56"/>
      <c r="T279" s="56"/>
      <c r="V279" s="56"/>
      <c r="W279" s="60"/>
      <c r="X279" s="56"/>
      <c r="Z279" s="56"/>
      <c r="AB279" s="56"/>
      <c r="AC279" s="60"/>
      <c r="AD279" s="56"/>
      <c r="AE279" s="60"/>
      <c r="AF279" s="56"/>
      <c r="AH279" s="56"/>
      <c r="AJ279" s="56"/>
      <c r="AL279" s="56"/>
      <c r="AN279" s="56"/>
      <c r="AP279" s="56"/>
      <c r="AQ279" s="60"/>
      <c r="AR279" s="56"/>
      <c r="AT279" s="56"/>
      <c r="AU279" s="60"/>
      <c r="AV279" s="56"/>
      <c r="AW279" s="60"/>
      <c r="AX279" s="56"/>
      <c r="AZ279" s="56"/>
    </row>
    <row r="280" spans="12:52" x14ac:dyDescent="0.3">
      <c r="L280" s="56"/>
      <c r="N280" s="56"/>
      <c r="P280" s="56"/>
      <c r="R280" s="56"/>
      <c r="T280" s="56"/>
      <c r="V280" s="56"/>
      <c r="W280" s="60"/>
      <c r="X280" s="56"/>
      <c r="Z280" s="56"/>
      <c r="AB280" s="56"/>
      <c r="AC280" s="60"/>
      <c r="AD280" s="56"/>
      <c r="AE280" s="60"/>
      <c r="AF280" s="56"/>
      <c r="AH280" s="56"/>
      <c r="AJ280" s="56"/>
      <c r="AL280" s="56"/>
      <c r="AN280" s="56"/>
      <c r="AP280" s="56"/>
      <c r="AQ280" s="60"/>
      <c r="AR280" s="56"/>
      <c r="AT280" s="56"/>
      <c r="AU280" s="60"/>
      <c r="AV280" s="56"/>
      <c r="AW280" s="60"/>
      <c r="AX280" s="56"/>
      <c r="AZ280" s="56"/>
    </row>
    <row r="281" spans="12:52" x14ac:dyDescent="0.3">
      <c r="L281" s="56"/>
      <c r="N281" s="56"/>
      <c r="P281" s="56"/>
      <c r="R281" s="56"/>
      <c r="T281" s="56"/>
      <c r="V281" s="56"/>
      <c r="W281" s="60"/>
      <c r="X281" s="56"/>
      <c r="Z281" s="56"/>
      <c r="AB281" s="56"/>
      <c r="AC281" s="60"/>
      <c r="AD281" s="56"/>
      <c r="AE281" s="60"/>
      <c r="AF281" s="56"/>
      <c r="AH281" s="56"/>
      <c r="AJ281" s="56"/>
      <c r="AL281" s="56"/>
      <c r="AN281" s="56"/>
      <c r="AP281" s="56"/>
      <c r="AQ281" s="60"/>
      <c r="AR281" s="56"/>
      <c r="AT281" s="56"/>
      <c r="AU281" s="60"/>
      <c r="AV281" s="56"/>
      <c r="AW281" s="60"/>
      <c r="AX281" s="56"/>
      <c r="AZ281" s="56"/>
    </row>
    <row r="282" spans="12:52" x14ac:dyDescent="0.3">
      <c r="L282" s="56"/>
      <c r="N282" s="56"/>
      <c r="P282" s="56"/>
      <c r="R282" s="56"/>
      <c r="T282" s="56"/>
      <c r="V282" s="56"/>
      <c r="W282" s="60"/>
      <c r="X282" s="56"/>
      <c r="Z282" s="56"/>
      <c r="AB282" s="56"/>
      <c r="AC282" s="60"/>
      <c r="AD282" s="56"/>
      <c r="AE282" s="60"/>
      <c r="AF282" s="56"/>
      <c r="AH282" s="56"/>
      <c r="AJ282" s="56"/>
      <c r="AL282" s="56"/>
      <c r="AN282" s="56"/>
      <c r="AP282" s="56"/>
      <c r="AQ282" s="60"/>
      <c r="AR282" s="56"/>
      <c r="AT282" s="56"/>
      <c r="AU282" s="60"/>
      <c r="AV282" s="56"/>
      <c r="AW282" s="60"/>
      <c r="AX282" s="56"/>
      <c r="AZ282" s="56"/>
    </row>
    <row r="283" spans="12:52" x14ac:dyDescent="0.3">
      <c r="L283" s="56"/>
      <c r="N283" s="56"/>
      <c r="P283" s="56"/>
      <c r="R283" s="56"/>
      <c r="T283" s="56"/>
      <c r="V283" s="56"/>
      <c r="W283" s="60"/>
      <c r="X283" s="56"/>
      <c r="Z283" s="56"/>
      <c r="AB283" s="56"/>
      <c r="AC283" s="60"/>
      <c r="AD283" s="56"/>
      <c r="AE283" s="60"/>
      <c r="AF283" s="56"/>
      <c r="AH283" s="56"/>
      <c r="AJ283" s="56"/>
      <c r="AL283" s="56"/>
      <c r="AN283" s="56"/>
      <c r="AP283" s="56"/>
      <c r="AQ283" s="60"/>
      <c r="AR283" s="56"/>
      <c r="AT283" s="56"/>
      <c r="AU283" s="60"/>
      <c r="AV283" s="56"/>
      <c r="AW283" s="60"/>
      <c r="AX283" s="56"/>
      <c r="AZ283" s="56"/>
    </row>
    <row r="284" spans="12:52" x14ac:dyDescent="0.3">
      <c r="L284" s="56"/>
      <c r="N284" s="56"/>
      <c r="P284" s="56"/>
      <c r="R284" s="56"/>
      <c r="T284" s="56"/>
      <c r="V284" s="56"/>
      <c r="W284" s="60"/>
      <c r="X284" s="56"/>
      <c r="Z284" s="56"/>
      <c r="AB284" s="56"/>
      <c r="AC284" s="60"/>
      <c r="AD284" s="56"/>
      <c r="AE284" s="60"/>
      <c r="AF284" s="56"/>
      <c r="AH284" s="56"/>
      <c r="AJ284" s="56"/>
      <c r="AL284" s="56"/>
      <c r="AN284" s="56"/>
      <c r="AP284" s="56"/>
      <c r="AQ284" s="60"/>
      <c r="AR284" s="56"/>
      <c r="AT284" s="56"/>
      <c r="AU284" s="60"/>
      <c r="AV284" s="56"/>
      <c r="AW284" s="60"/>
      <c r="AX284" s="56"/>
      <c r="AZ284" s="56"/>
    </row>
    <row r="285" spans="12:52" x14ac:dyDescent="0.3">
      <c r="L285" s="56"/>
      <c r="N285" s="56"/>
      <c r="P285" s="56"/>
      <c r="R285" s="56"/>
      <c r="T285" s="56"/>
      <c r="V285" s="56"/>
      <c r="W285" s="60"/>
      <c r="X285" s="56"/>
      <c r="Z285" s="56"/>
      <c r="AB285" s="56"/>
      <c r="AC285" s="60"/>
      <c r="AD285" s="56"/>
      <c r="AE285" s="60"/>
      <c r="AF285" s="56"/>
      <c r="AH285" s="56"/>
      <c r="AJ285" s="56"/>
      <c r="AL285" s="56"/>
      <c r="AN285" s="56"/>
      <c r="AP285" s="56"/>
      <c r="AQ285" s="60"/>
      <c r="AR285" s="56"/>
      <c r="AT285" s="56"/>
      <c r="AU285" s="60"/>
      <c r="AV285" s="56"/>
      <c r="AW285" s="60"/>
      <c r="AX285" s="56"/>
      <c r="AZ285" s="56"/>
    </row>
    <row r="286" spans="12:52" x14ac:dyDescent="0.3">
      <c r="L286" s="56"/>
      <c r="N286" s="56"/>
      <c r="P286" s="56"/>
      <c r="R286" s="56"/>
      <c r="T286" s="56"/>
      <c r="V286" s="56"/>
      <c r="W286" s="60"/>
      <c r="X286" s="56"/>
      <c r="Z286" s="56"/>
      <c r="AB286" s="56"/>
      <c r="AC286" s="60"/>
      <c r="AD286" s="56"/>
      <c r="AE286" s="60"/>
      <c r="AF286" s="56"/>
      <c r="AH286" s="56"/>
      <c r="AJ286" s="56"/>
      <c r="AL286" s="56"/>
      <c r="AN286" s="56"/>
      <c r="AP286" s="56"/>
      <c r="AQ286" s="60"/>
      <c r="AR286" s="56"/>
      <c r="AT286" s="56"/>
      <c r="AU286" s="60"/>
      <c r="AV286" s="56"/>
      <c r="AW286" s="60"/>
      <c r="AX286" s="56"/>
      <c r="AZ286" s="56"/>
    </row>
    <row r="287" spans="12:52" x14ac:dyDescent="0.3">
      <c r="L287" s="56"/>
      <c r="N287" s="56"/>
      <c r="P287" s="56"/>
      <c r="R287" s="56"/>
      <c r="T287" s="56"/>
      <c r="V287" s="56"/>
      <c r="W287" s="60"/>
      <c r="X287" s="56"/>
      <c r="Z287" s="56"/>
      <c r="AB287" s="56"/>
      <c r="AC287" s="60"/>
      <c r="AD287" s="56"/>
      <c r="AE287" s="60"/>
      <c r="AF287" s="56"/>
      <c r="AH287" s="56"/>
      <c r="AJ287" s="56"/>
      <c r="AL287" s="56"/>
      <c r="AN287" s="56"/>
      <c r="AP287" s="56"/>
      <c r="AQ287" s="60"/>
      <c r="AR287" s="56"/>
      <c r="AT287" s="56"/>
      <c r="AU287" s="60"/>
      <c r="AV287" s="56"/>
      <c r="AW287" s="60"/>
      <c r="AX287" s="56"/>
      <c r="AZ287" s="56"/>
    </row>
    <row r="288" spans="12:52" x14ac:dyDescent="0.3">
      <c r="L288" s="56"/>
      <c r="N288" s="56"/>
      <c r="P288" s="56"/>
      <c r="R288" s="56"/>
      <c r="T288" s="56"/>
      <c r="V288" s="56"/>
      <c r="W288" s="60"/>
      <c r="X288" s="56"/>
      <c r="Z288" s="56"/>
      <c r="AB288" s="56"/>
      <c r="AC288" s="60"/>
      <c r="AD288" s="56"/>
      <c r="AE288" s="60"/>
      <c r="AF288" s="56"/>
      <c r="AH288" s="56"/>
      <c r="AJ288" s="56"/>
      <c r="AL288" s="56"/>
      <c r="AN288" s="56"/>
      <c r="AP288" s="56"/>
      <c r="AQ288" s="60"/>
      <c r="AR288" s="56"/>
      <c r="AT288" s="56"/>
      <c r="AU288" s="60"/>
      <c r="AV288" s="56"/>
      <c r="AW288" s="60"/>
      <c r="AX288" s="56"/>
      <c r="AZ288" s="56"/>
    </row>
    <row r="289" spans="12:49" x14ac:dyDescent="0.3">
      <c r="L289" s="56"/>
      <c r="N289" s="56"/>
      <c r="P289" s="56"/>
      <c r="R289" s="56"/>
      <c r="T289" s="56"/>
      <c r="V289" s="56"/>
      <c r="W289" s="60"/>
      <c r="X289" s="56"/>
      <c r="Z289" s="56"/>
      <c r="AB289" s="56"/>
      <c r="AC289" s="60"/>
      <c r="AE289" s="60"/>
      <c r="AQ289" s="60"/>
      <c r="AU289" s="60"/>
      <c r="AW289" s="60"/>
    </row>
    <row r="290" spans="12:49" x14ac:dyDescent="0.3">
      <c r="L290" s="56"/>
      <c r="N290" s="56"/>
      <c r="P290" s="56"/>
      <c r="R290" s="56"/>
      <c r="T290" s="56"/>
      <c r="V290" s="56"/>
      <c r="W290" s="60"/>
      <c r="X290" s="56"/>
      <c r="Z290" s="56"/>
      <c r="AB290" s="56"/>
      <c r="AC290" s="60"/>
      <c r="AE290" s="60"/>
      <c r="AQ290" s="60"/>
      <c r="AU290" s="60"/>
      <c r="AW290" s="60"/>
    </row>
    <row r="291" spans="12:49" x14ac:dyDescent="0.3">
      <c r="L291" s="56"/>
      <c r="N291" s="56"/>
      <c r="P291" s="56"/>
      <c r="R291" s="56"/>
      <c r="T291" s="56"/>
      <c r="V291" s="56"/>
      <c r="W291" s="60"/>
      <c r="X291" s="56"/>
      <c r="Z291" s="56"/>
      <c r="AB291" s="56"/>
      <c r="AC291" s="60"/>
      <c r="AE291" s="60"/>
      <c r="AQ291" s="60"/>
      <c r="AU291" s="60"/>
      <c r="AW291" s="60"/>
    </row>
    <row r="292" spans="12:49" x14ac:dyDescent="0.3">
      <c r="L292" s="56"/>
      <c r="N292" s="56"/>
      <c r="P292" s="56"/>
      <c r="R292" s="56"/>
      <c r="T292" s="56"/>
      <c r="V292" s="56"/>
      <c r="W292" s="60"/>
      <c r="X292" s="56"/>
      <c r="Z292" s="56"/>
      <c r="AB292" s="56"/>
      <c r="AC292" s="60"/>
      <c r="AE292" s="60"/>
      <c r="AQ292" s="60"/>
      <c r="AU292" s="60"/>
      <c r="AW292" s="60"/>
    </row>
    <row r="293" spans="12:49" x14ac:dyDescent="0.3">
      <c r="L293" s="56"/>
      <c r="N293" s="56"/>
      <c r="P293" s="56"/>
      <c r="R293" s="56"/>
      <c r="T293" s="56"/>
      <c r="V293" s="56"/>
      <c r="W293" s="60"/>
      <c r="X293" s="56"/>
      <c r="Z293" s="56"/>
      <c r="AB293" s="56"/>
      <c r="AC293" s="60"/>
      <c r="AE293" s="60"/>
      <c r="AQ293" s="60"/>
      <c r="AU293" s="60"/>
      <c r="AW293" s="60"/>
    </row>
    <row r="294" spans="12:49" x14ac:dyDescent="0.3">
      <c r="L294" s="56"/>
      <c r="N294" s="56"/>
      <c r="P294" s="56"/>
      <c r="R294" s="56"/>
      <c r="T294" s="56"/>
      <c r="V294" s="56"/>
      <c r="W294" s="60"/>
      <c r="X294" s="56"/>
      <c r="Z294" s="56"/>
      <c r="AB294" s="56"/>
      <c r="AC294" s="60"/>
      <c r="AE294" s="60"/>
      <c r="AU294" s="60"/>
      <c r="AW294" s="60"/>
    </row>
    <row r="295" spans="12:49" x14ac:dyDescent="0.3">
      <c r="L295" s="56"/>
      <c r="N295" s="56"/>
      <c r="P295" s="56"/>
      <c r="R295" s="56"/>
      <c r="T295" s="56"/>
      <c r="V295" s="56"/>
      <c r="W295" s="60"/>
      <c r="X295" s="56"/>
      <c r="Z295" s="56"/>
      <c r="AB295" s="56"/>
      <c r="AC295" s="60"/>
      <c r="AE295" s="60"/>
      <c r="AW295" s="60"/>
    </row>
    <row r="296" spans="12:49" x14ac:dyDescent="0.3">
      <c r="L296" s="56"/>
      <c r="N296" s="56"/>
      <c r="P296" s="56"/>
      <c r="R296" s="56"/>
      <c r="T296" s="56"/>
      <c r="V296" s="56"/>
      <c r="W296" s="60"/>
      <c r="X296" s="56"/>
      <c r="Z296" s="56"/>
      <c r="AB296" s="56"/>
      <c r="AC296" s="60"/>
      <c r="AE296" s="60"/>
      <c r="AW296" s="60"/>
    </row>
    <row r="297" spans="12:49" x14ac:dyDescent="0.3">
      <c r="L297" s="56"/>
      <c r="N297" s="56"/>
      <c r="P297" s="56"/>
      <c r="R297" s="56"/>
      <c r="T297" s="56"/>
      <c r="V297" s="56"/>
      <c r="W297" s="60"/>
      <c r="X297" s="56"/>
      <c r="Z297" s="56"/>
      <c r="AB297" s="56"/>
      <c r="AC297" s="60"/>
      <c r="AE297" s="60"/>
      <c r="AW297" s="60"/>
    </row>
    <row r="298" spans="12:49" x14ac:dyDescent="0.3">
      <c r="L298" s="56"/>
      <c r="N298" s="56"/>
      <c r="P298" s="56"/>
      <c r="R298" s="56"/>
      <c r="T298" s="56"/>
      <c r="V298" s="56"/>
      <c r="X298" s="56"/>
      <c r="Z298" s="56"/>
      <c r="AB298" s="56"/>
      <c r="AC298" s="60"/>
      <c r="AE298" s="60"/>
      <c r="AW298" s="60"/>
    </row>
    <row r="299" spans="12:49" x14ac:dyDescent="0.3">
      <c r="L299" s="56"/>
      <c r="N299" s="56"/>
      <c r="P299" s="56"/>
      <c r="R299" s="56"/>
      <c r="T299" s="56"/>
      <c r="V299" s="56"/>
      <c r="X299" s="56"/>
      <c r="Z299" s="56"/>
      <c r="AB299" s="56"/>
      <c r="AC299" s="60"/>
      <c r="AE299" s="60"/>
      <c r="AW299" s="60"/>
    </row>
    <row r="300" spans="12:49" x14ac:dyDescent="0.3">
      <c r="L300" s="56"/>
      <c r="N300" s="56"/>
      <c r="P300" s="56"/>
      <c r="R300" s="56"/>
      <c r="T300" s="56"/>
      <c r="V300" s="56"/>
      <c r="X300" s="56"/>
      <c r="Z300" s="56"/>
      <c r="AB300" s="56"/>
      <c r="AC300" s="60"/>
      <c r="AE300" s="60"/>
    </row>
    <row r="301" spans="12:49" x14ac:dyDescent="0.3">
      <c r="L301" s="56"/>
      <c r="N301" s="56"/>
      <c r="P301" s="56"/>
      <c r="R301" s="56"/>
      <c r="T301" s="56"/>
      <c r="V301" s="56"/>
      <c r="X301" s="56"/>
      <c r="Z301" s="56"/>
      <c r="AB301" s="56"/>
      <c r="AC301" s="60"/>
      <c r="AE301" s="60"/>
    </row>
    <row r="302" spans="12:49" x14ac:dyDescent="0.3">
      <c r="L302" s="56"/>
      <c r="N302" s="56"/>
      <c r="P302" s="56"/>
      <c r="R302" s="56"/>
      <c r="T302" s="56"/>
      <c r="V302" s="56"/>
      <c r="X302" s="56"/>
      <c r="Z302" s="56"/>
      <c r="AB302" s="56"/>
      <c r="AE302" s="60"/>
    </row>
    <row r="303" spans="12:49" x14ac:dyDescent="0.3">
      <c r="L303" s="56"/>
      <c r="N303" s="56"/>
      <c r="P303" s="56"/>
      <c r="R303" s="56"/>
      <c r="T303" s="56"/>
      <c r="V303" s="56"/>
      <c r="X303" s="56"/>
      <c r="Z303" s="56"/>
      <c r="AB303" s="56"/>
      <c r="AE303" s="60"/>
    </row>
    <row r="304" spans="12:49" x14ac:dyDescent="0.3">
      <c r="L304" s="56"/>
      <c r="N304" s="56"/>
      <c r="P304" s="56"/>
      <c r="R304" s="56"/>
      <c r="T304" s="56"/>
      <c r="V304" s="56"/>
      <c r="X304" s="56"/>
      <c r="Z304" s="56"/>
      <c r="AB304" s="56"/>
    </row>
    <row r="305" spans="12:28" x14ac:dyDescent="0.3">
      <c r="L305" s="56"/>
      <c r="N305" s="56"/>
      <c r="P305" s="56"/>
      <c r="R305" s="56"/>
      <c r="T305" s="56"/>
      <c r="V305" s="56"/>
      <c r="X305" s="56"/>
      <c r="Z305" s="56"/>
      <c r="AB305" s="56"/>
    </row>
    <row r="306" spans="12:28" x14ac:dyDescent="0.3">
      <c r="L306" s="56"/>
      <c r="N306" s="56"/>
      <c r="P306" s="56"/>
      <c r="R306" s="56"/>
      <c r="T306" s="56"/>
      <c r="V306" s="56"/>
      <c r="X306" s="56"/>
      <c r="Z306" s="56"/>
      <c r="AB306" s="56"/>
    </row>
    <row r="307" spans="12:28" x14ac:dyDescent="0.3">
      <c r="L307" s="56"/>
      <c r="N307" s="56"/>
      <c r="P307" s="56"/>
      <c r="R307" s="56"/>
      <c r="T307" s="56"/>
      <c r="V307" s="56"/>
      <c r="X307" s="56"/>
      <c r="Z307" s="56"/>
      <c r="AB307" s="56"/>
    </row>
    <row r="308" spans="12:28" x14ac:dyDescent="0.3">
      <c r="L308" s="56"/>
      <c r="N308" s="56"/>
      <c r="P308" s="56"/>
      <c r="R308" s="56"/>
      <c r="T308" s="56"/>
      <c r="V308" s="56"/>
      <c r="X308" s="56"/>
      <c r="Z308" s="56"/>
      <c r="AB308" s="56"/>
    </row>
  </sheetData>
  <sortState ref="A129:AN171">
    <sortCondition ref="C129:C171"/>
  </sortState>
  <mergeCells count="6">
    <mergeCell ref="GM15:HH15"/>
    <mergeCell ref="I15:AZ15"/>
    <mergeCell ref="BC15:BX15"/>
    <mergeCell ref="CA15:DR15"/>
    <mergeCell ref="DU15:EP15"/>
    <mergeCell ref="ES15:GJ15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2020-12-08T01:38:55Z</dcterms:modified>
</cp:coreProperties>
</file>