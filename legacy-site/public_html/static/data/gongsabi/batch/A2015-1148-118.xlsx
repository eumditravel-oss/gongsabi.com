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3" i="4"/>
  <c r="D142" i="4"/>
  <c r="D140" i="4"/>
  <c r="D137" i="4"/>
  <c r="D132" i="4"/>
  <c r="D130" i="4"/>
  <c r="D128" i="4"/>
  <c r="D125" i="4"/>
  <c r="D122" i="4"/>
  <c r="D118" i="4"/>
  <c r="D117" i="4"/>
  <c r="D116" i="4"/>
  <c r="D114" i="4"/>
  <c r="D105" i="4"/>
  <c r="D104" i="4"/>
  <c r="D103" i="4"/>
  <c r="D102" i="4"/>
  <c r="D100" i="4"/>
  <c r="D94" i="4"/>
  <c r="D93" i="4"/>
  <c r="D92" i="4"/>
  <c r="D91" i="4"/>
  <c r="D90" i="4"/>
  <c r="D89" i="4"/>
  <c r="D76" i="4"/>
  <c r="D73" i="4"/>
  <c r="D72" i="4"/>
  <c r="D71" i="4"/>
  <c r="D70" i="4"/>
  <c r="D69" i="4"/>
  <c r="D59" i="4"/>
  <c r="D58" i="4"/>
  <c r="D53" i="4"/>
  <c r="D52" i="4"/>
  <c r="D50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<sst xmlns="http://schemas.openxmlformats.org/spreadsheetml/2006/main" count="394" uniqueCount="270">
  <si>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</si>
  <si>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</si>
  <si>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</si>
  <si>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</si>
  <si>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</si>
  <si>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</si>
  <si>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</si>
  <si>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</si>
  <si>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</si>
  <si>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</si>
  <si>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</si>
  <si>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</si>
  <si>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</si>
  <si>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</si>
  <si>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</si>
  <si>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</si>
  <si>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</si>
  <si>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</si>
  <si>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</si>
  <si>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</si>
  <si>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</si>
  <si>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</si>
  <si>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</si>
  <si>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</si>
  <si>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</si>
  <si>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</si>
  <si>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</si>
  <si>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</si>
  <si>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</si>
  <si>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</si>
  <si>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</si>
  <si>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</si>
  <si>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</si>
  <si>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</si>
  <si>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</si>
  <si>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</si>
  <si>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</si>
  <si>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</si>
  <si>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</si>
  <si>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</si>
  <si>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</si>
  <si>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</si>
  <si>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</si>
  <si>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</si>
  <si>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</si>
  <si>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</si>
  <si>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</si>
  <si>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</si>
  <si>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</si>
  <si>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</si>
  <si>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</si>
  <si>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</si>
  <si>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</si>
  <si>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</si>
  <si>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</si>
  <si>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</si>
  <si>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</si>
  <si>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</si>
  <si>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</si>
  <si>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</si>
  <si>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</si>
  <si>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</si>
  <si>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</si>
  <si>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</si>
  <si>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</si>
  <si>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</si>
  <si>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</si>
  <si>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</si>
  <si>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</si>
  <si>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</si>
  <si>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</si>
  <si>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</si>
  <si>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</si>
  <si>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</si>
  <si>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</si>
  <si>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</si>
  <si>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</si>
  <si>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</si>
  <si>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</si>
  <si>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</si>
  <si>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</si>
  <si>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</si>
  <si>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</si>
  <si>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</si>
  <si>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</si>
  <si>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</si>
  <si>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</si>
  <si>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</si>
  <si>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</si>
  <si>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</si>
  <si>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</si>
  <si>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</si>
  <si>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</si>
  <si>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</si>
  <si>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</si>
  <si>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</si>
  <si>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</si>
  <si>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</si>
  <si>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</si>
  <si>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</si>
  <si>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</si>
  <si>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</si>
  <si>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</si>
  <si>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</si>
  <si>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</si>
  <si>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</si>
  <si>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</si>
  <si>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</si>
  <si>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</si>
  <si>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</si>
  <si>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</si>
  <si>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</si>
  <si>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</si>
  <si>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</si>
  <si>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</si>
  <si>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</si>
  <si>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</si>
  <si>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</si>
  <si>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</si>
  <si>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</si>
  <si>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</si>
  <si>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</si>
  <si>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</si>
  <si>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</si>
  <si>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</si>
  <si>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</si>
  <si>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</si>
  <si>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</si>
  <si>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</si>
  <si>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</si>
  <si>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</si>
  <si>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</si>
  <si>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</si>
  <si>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</si>
  <si>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</si>
  <si>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</si>
  <si>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</si>
  <si>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</si>
  <si>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</si>
  <si>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</si>
  <si>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</si>
  <si>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</si>
  <si>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</si>
  <si>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</si>
  <si>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</si>
  <si>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</si>
  <si>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</si>
  <si>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</si>
  <si>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</si>
  <si>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</si>
  <si>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</si>
  <si>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</si>
  <si>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</si>
  <si>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</si>
  <si>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</si>
  <si>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</si>
  <si>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</si>
  <si>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</si>
  <si>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</si>
  <si>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</si>
  <si>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</si>
  <si>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</si>
  <si>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</si>
  <si>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</si>
  <si>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</si>
  <si>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</si>
  <si>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</si>
  <si>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</si>
  <si>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</si>
  <si>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</si>
  <si>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</si>
  <si>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</si>
  <si>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</si>
  <si>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</si>
  <si>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</si>
  <si>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</si>
  <si>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</si>
  <si>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</si>
  <si>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</si>
  <si>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</si>
  <si>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</si>
  <si>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</si>
  <si>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</si>
  <si>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</si>
  <si>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</si>
  <si>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</si>
  <si>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</si>
  <si>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</si>
  <si>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</si>
  <si>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</si>
  <si>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</si>
  <si>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</si>
  <si>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</si>
  <si>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</si>
  <si>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</si>
  <si>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</si>
  <si>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</si>
  <si>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</si>
  <si>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</si>
  <si>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</si>
  <si>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</si>
  <si>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</si>
  <si>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</si>
  <si>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</si>
  <si>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</si>
  <si>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</si>
  <si>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</si>
  <si>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</si>
  <si>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</si>
  <si>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</si>
  <si>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</si>
  <si>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</si>
  <si>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</si>
  <si>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</si>
  <si>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</si>
  <si>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</si>
  <si>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</si>
  <si>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</si>
  <si>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</si>
  <si>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</si>
  <si>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</si>
  <si>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</si>
  <si>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</si>
  <si>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</si>
  <si>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</si>
  <si>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</si>
  <si>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</si>
  <si>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</si>
  <si>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</si>
  <si>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</si>
  <si>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</si>
  <si>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</si>
  <si>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</si>
  <si>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</si>
  <si>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</si>
  <si>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</si>
  <si>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</si>
  <si>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</si>
  <si>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</si>
  <si>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</si>
  <si>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</si>
  <si>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</si>
  <si>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</si>
  <si>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</si>
  <si>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</si>
  <si>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</si>
  <si>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</si>
  <si>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</si>
  <si>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</si>
  <si>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</si>
  <si>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</si>
  <si>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</si>
  <si>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</si>
  <si>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</si>
  <si>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</si>
  <si>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</si>
  <si>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</si>
  <si>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옥외소화배관공사, 펌프실배관공사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</si>
  <si>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</si>
  <si>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</si>
  <si>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소담중학교 신축공사</t>
    <phoneticPr fontId="2" type="noConversion"/>
  </si>
  <si>
    <t>세종시</t>
  </si>
  <si>
    <t>기초공사, 골재비및운반비, 작업부산물, 기타공사</t>
    <phoneticPr fontId="2" type="noConversion"/>
  </si>
  <si>
    <t>바닥난방공사,기타공사</t>
    <phoneticPr fontId="2" type="noConversion"/>
  </si>
  <si>
    <t>옥외보안등설비공사</t>
    <phoneticPr fontId="2" type="noConversion"/>
  </si>
  <si>
    <t>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</si>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</sst>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13481</v>
      </c>
      <c r="D7" s="36">
        <f>+C7/3.3058</f>
        <v>4077.9841490713293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735040</v>
      </c>
      <c r="E25" s="59">
        <f t="shared" si="0"/>
        <v>2429890</v>
      </c>
    </row>
    <row r="26" spans="1:5" x14ac:dyDescent="0.3">
      <c r="B26" s="2">
        <v>3</v>
      </c>
      <c r="C26" s="35" t="s">
        <v>95</v>
      </c>
      <c r="D26" s="45">
        <f>+D66</f>
        <v>7790</v>
      </c>
      <c r="E26" s="59">
        <f t="shared" si="0"/>
        <v>25750</v>
      </c>
    </row>
    <row r="27" spans="1:5" x14ac:dyDescent="0.3">
      <c r="B27" s="2">
        <v>4</v>
      </c>
      <c r="C27" s="35" t="s">
        <v>96</v>
      </c>
      <c r="D27" s="45">
        <f>+D95</f>
        <v>190700</v>
      </c>
      <c r="E27" s="59">
        <f t="shared" si="0"/>
        <v>630410</v>
      </c>
    </row>
    <row r="28" spans="1:5" x14ac:dyDescent="0.3">
      <c r="B28" s="2">
        <v>5</v>
      </c>
      <c r="C28" s="35" t="s">
        <v>97</v>
      </c>
      <c r="D28" s="45">
        <f>+D119</f>
        <v>138330</v>
      </c>
      <c r="E28" s="59">
        <f t="shared" si="0"/>
        <v>457290</v>
      </c>
    </row>
    <row r="29" spans="1:5" x14ac:dyDescent="0.3">
      <c r="B29" s="2">
        <v>6</v>
      </c>
      <c r="C29" s="35" t="s">
        <v>98</v>
      </c>
      <c r="D29" s="45">
        <f>+D133</f>
        <v>48200</v>
      </c>
      <c r="E29" s="59">
        <f t="shared" si="0"/>
        <v>159330</v>
      </c>
    </row>
    <row r="30" spans="1:5" x14ac:dyDescent="0.3">
      <c r="B30" s="2">
        <v>7</v>
      </c>
      <c r="C30" s="35" t="s">
        <v>99</v>
      </c>
      <c r="D30" s="45">
        <f>+D146</f>
        <v>32390</v>
      </c>
      <c r="E30" s="59">
        <f t="shared" si="0"/>
        <v>107070</v>
      </c>
    </row>
    <row r="31" spans="1:5" x14ac:dyDescent="0.3">
      <c r="B31" s="2">
        <v>8</v>
      </c>
      <c r="C31" s="35" t="s">
        <v>100</v>
      </c>
      <c r="D31" s="45">
        <f>+D154</f>
        <v>22070</v>
      </c>
      <c r="E31" s="59">
        <f t="shared" si="0"/>
        <v>72950</v>
      </c>
    </row>
    <row r="32" spans="1:5" x14ac:dyDescent="0.3">
      <c r="B32" s="2">
        <v>9</v>
      </c>
      <c r="C32" s="35" t="s">
        <v>101</v>
      </c>
      <c r="D32" s="45">
        <f>+D161</f>
        <v>21630</v>
      </c>
      <c r="E32" s="59">
        <f t="shared" si="0"/>
        <v>71500</v>
      </c>
    </row>
    <row r="33" spans="1:7" x14ac:dyDescent="0.3">
      <c r="B33" s="2">
        <v>10</v>
      </c>
      <c r="C33" s="35" t="s">
        <v>154</v>
      </c>
      <c r="D33" s="53">
        <f>TRUNC(SUM(D24:D32)*0.275,-1)</f>
        <v>328940</v>
      </c>
      <c r="E33" s="60">
        <f t="shared" si="0"/>
        <v>1087400</v>
      </c>
    </row>
    <row r="34" spans="1:7" x14ac:dyDescent="0.3">
      <c r="C34" s="35" t="s">
        <v>112</v>
      </c>
      <c r="D34" s="44">
        <f>SUM(D24:D33)</f>
        <v>1525090</v>
      </c>
      <c r="E34" s="44">
        <f>SUM(E24:E33)</f>
        <v>5041590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TRUNC(44455,-1)</f>
        <v>44450</v>
      </c>
      <c r="E40" s="62">
        <f t="shared" ref="E40:E59" si="1">TRUNC(+D40*3.3058,-1)</f>
        <v>146940</v>
      </c>
    </row>
    <row r="41" spans="1:7" x14ac:dyDescent="0.3">
      <c r="A41" s="2">
        <v>2</v>
      </c>
      <c r="C41" s="38" t="s">
        <v>13</v>
      </c>
      <c r="D41" s="42">
        <f>TRUNC(126335,-1)</f>
        <v>126330</v>
      </c>
      <c r="E41" s="63">
        <f t="shared" si="1"/>
        <v>417620</v>
      </c>
    </row>
    <row r="42" spans="1:7" x14ac:dyDescent="0.3">
      <c r="A42" s="2">
        <v>3</v>
      </c>
      <c r="C42" s="38" t="s">
        <v>14</v>
      </c>
      <c r="D42" s="42">
        <f>TRUNC(7958,-1)</f>
        <v>7950</v>
      </c>
      <c r="E42" s="63">
        <f t="shared" si="1"/>
        <v>26280</v>
      </c>
    </row>
    <row r="43" spans="1:7" x14ac:dyDescent="0.3">
      <c r="A43" s="2">
        <v>4</v>
      </c>
      <c r="C43" s="38" t="s">
        <v>16</v>
      </c>
      <c r="D43" s="42">
        <f>TRUNC(25091,-1)</f>
        <v>25090</v>
      </c>
      <c r="E43" s="63">
        <f t="shared" si="1"/>
        <v>82940</v>
      </c>
    </row>
    <row r="44" spans="1:7" x14ac:dyDescent="0.3">
      <c r="A44" s="2">
        <v>5</v>
      </c>
      <c r="C44" s="38" t="s">
        <v>17</v>
      </c>
      <c r="D44" s="42">
        <f>TRUNC(19109,-1)</f>
        <v>19100</v>
      </c>
      <c r="E44" s="63">
        <f t="shared" si="1"/>
        <v>63140</v>
      </c>
    </row>
    <row r="45" spans="1:7" x14ac:dyDescent="0.3">
      <c r="A45" s="2">
        <v>6</v>
      </c>
      <c r="C45" s="38" t="s">
        <v>18</v>
      </c>
      <c r="D45" s="42">
        <f>TRUNC(10492,-1)</f>
        <v>10490</v>
      </c>
      <c r="E45" s="63">
        <f t="shared" si="1"/>
        <v>34670</v>
      </c>
    </row>
    <row r="46" spans="1:7" x14ac:dyDescent="0.3">
      <c r="A46" s="2">
        <v>7</v>
      </c>
      <c r="C46" s="38" t="s">
        <v>19</v>
      </c>
      <c r="D46" s="42">
        <f>TRUNC(26582,-1)</f>
        <v>26580</v>
      </c>
      <c r="E46" s="63">
        <f t="shared" si="1"/>
        <v>87860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84630</v>
      </c>
      <c r="E48" s="63">
        <f t="shared" si="1"/>
        <v>279760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v>14860</v>
      </c>
      <c r="E49" s="63">
        <f t="shared" si="1"/>
        <v>49120</v>
      </c>
    </row>
    <row r="50" spans="1:7" x14ac:dyDescent="0.3">
      <c r="A50" s="2">
        <v>11</v>
      </c>
      <c r="C50" s="38" t="s">
        <v>155</v>
      </c>
      <c r="D50" s="42">
        <f>TRUNC(39248,-1)</f>
        <v>39240</v>
      </c>
      <c r="E50" s="63">
        <f t="shared" si="1"/>
        <v>129710</v>
      </c>
      <c r="F50" s="2" t="s">
        <v>258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TRUNC(7328,-1)</f>
        <v>7320</v>
      </c>
      <c r="E52" s="63">
        <f t="shared" si="1"/>
        <v>24190</v>
      </c>
    </row>
    <row r="53" spans="1:7" x14ac:dyDescent="0.3">
      <c r="A53" s="2">
        <v>14</v>
      </c>
      <c r="C53" s="38" t="s">
        <v>25</v>
      </c>
      <c r="D53" s="42">
        <f>TRUNC(64708,-1)</f>
        <v>64700</v>
      </c>
      <c r="E53" s="63">
        <f t="shared" si="1"/>
        <v>213880</v>
      </c>
      <c r="F53" s="2" t="s">
        <v>259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TRUNC(4237+6388-596+9209,-1)</f>
        <v>19230</v>
      </c>
      <c r="E58" s="63">
        <f t="shared" si="1"/>
        <v>63570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TRUNC(245077,-1)</f>
        <v>245070</v>
      </c>
      <c r="E59" s="64">
        <f t="shared" si="1"/>
        <v>810150</v>
      </c>
    </row>
    <row r="60" spans="1:7" x14ac:dyDescent="0.3">
      <c r="A60" s="2">
        <v>21</v>
      </c>
      <c r="C60" s="27" t="s">
        <v>112</v>
      </c>
      <c r="D60" s="39">
        <f>SUM(D40:D59)</f>
        <v>735040</v>
      </c>
      <c r="E60" s="39">
        <f>SUM(E40:E59)</f>
        <v>2429830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7790</v>
      </c>
      <c r="E63" s="62">
        <f>TRUNC(+D63*3.3058,-1)</f>
        <v>25750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7790</v>
      </c>
      <c r="E66" s="65">
        <f>SUM(E63:E65)</f>
        <v>25750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TRUNC(5777,-1)</f>
        <v>5770</v>
      </c>
      <c r="E69" s="62">
        <f t="shared" ref="E69:E94" si="2">TRUNC(+D69*3.3058,-1)</f>
        <v>19070</v>
      </c>
    </row>
    <row r="70" spans="1:7" ht="16.5" customHeight="1" x14ac:dyDescent="0.3">
      <c r="A70" s="2">
        <v>2</v>
      </c>
      <c r="C70" s="38" t="s">
        <v>31</v>
      </c>
      <c r="D70" s="42">
        <f>TRUNC(5522,-1)</f>
        <v>5520</v>
      </c>
      <c r="E70" s="63">
        <f t="shared" si="2"/>
        <v>18240</v>
      </c>
    </row>
    <row r="71" spans="1:7" x14ac:dyDescent="0.3">
      <c r="A71" s="2">
        <v>3</v>
      </c>
      <c r="C71" s="38" t="s">
        <v>32</v>
      </c>
      <c r="D71" s="42">
        <f>TRUNC(4841,-1)</f>
        <v>4840</v>
      </c>
      <c r="E71" s="63">
        <f t="shared" si="2"/>
        <v>16000</v>
      </c>
    </row>
    <row r="72" spans="1:7" x14ac:dyDescent="0.3">
      <c r="A72" s="2">
        <v>4</v>
      </c>
      <c r="C72" s="38" t="s">
        <v>33</v>
      </c>
      <c r="D72" s="42">
        <f>TRUNC(2694,-1)</f>
        <v>2690</v>
      </c>
      <c r="E72" s="63">
        <f t="shared" si="2"/>
        <v>8890</v>
      </c>
    </row>
    <row r="73" spans="1:7" x14ac:dyDescent="0.3">
      <c r="A73" s="2">
        <v>5</v>
      </c>
      <c r="C73" s="38" t="s">
        <v>34</v>
      </c>
      <c r="D73" s="42">
        <f>TRUNC(13839,-1)</f>
        <v>13830</v>
      </c>
      <c r="E73" s="63">
        <f t="shared" si="2"/>
        <v>45710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TRUNC(30956,-1)</f>
        <v>30950</v>
      </c>
      <c r="E76" s="63">
        <f t="shared" si="2"/>
        <v>102310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TRUNC(6153,-1)</f>
        <v>6150</v>
      </c>
      <c r="E89" s="63">
        <f t="shared" si="2"/>
        <v>20330</v>
      </c>
    </row>
    <row r="90" spans="1:7" x14ac:dyDescent="0.3">
      <c r="A90" s="2">
        <v>22</v>
      </c>
      <c r="C90" s="38" t="s">
        <v>36</v>
      </c>
      <c r="D90" s="42">
        <f>TRUNC(722,-1)</f>
        <v>720</v>
      </c>
      <c r="E90" s="63">
        <f t="shared" si="2"/>
        <v>2380</v>
      </c>
    </row>
    <row r="91" spans="1:7" x14ac:dyDescent="0.3">
      <c r="A91" s="2">
        <v>23</v>
      </c>
      <c r="C91" s="38" t="s">
        <v>37</v>
      </c>
      <c r="D91" s="42">
        <f>TRUNC(4616,-1)</f>
        <v>4610</v>
      </c>
      <c r="E91" s="63">
        <f t="shared" si="2"/>
        <v>15230</v>
      </c>
    </row>
    <row r="92" spans="1:7" x14ac:dyDescent="0.3">
      <c r="A92" s="2">
        <v>24</v>
      </c>
      <c r="C92" s="38" t="s">
        <v>38</v>
      </c>
      <c r="D92" s="42">
        <f>TRUNC(9097,-1)</f>
        <v>9090</v>
      </c>
      <c r="E92" s="63">
        <f t="shared" si="2"/>
        <v>30040</v>
      </c>
    </row>
    <row r="93" spans="1:7" x14ac:dyDescent="0.3">
      <c r="A93" s="2">
        <v>25</v>
      </c>
      <c r="C93" s="38" t="s">
        <v>148</v>
      </c>
      <c r="D93" s="42">
        <f>TRUNC(90882,-1)</f>
        <v>90880</v>
      </c>
      <c r="E93" s="63">
        <f t="shared" si="2"/>
        <v>300430</v>
      </c>
    </row>
    <row r="94" spans="1:7" ht="17.25" thickBot="1" x14ac:dyDescent="0.35">
      <c r="A94" s="2">
        <v>26</v>
      </c>
      <c r="C94" s="38" t="s">
        <v>47</v>
      </c>
      <c r="D94" s="43">
        <f>TRUNC(1552+14099,-1)</f>
        <v>15650</v>
      </c>
      <c r="E94" s="64">
        <f t="shared" si="2"/>
        <v>51730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190700</v>
      </c>
      <c r="E95" s="39">
        <f>SUM(E69:E94)</f>
        <v>630360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13770</v>
      </c>
      <c r="E98" s="62">
        <f t="shared" ref="E98:E118" si="3">TRUNC(+D98*3.3058,-1)</f>
        <v>45520</v>
      </c>
    </row>
    <row r="99" spans="1:7" x14ac:dyDescent="0.3">
      <c r="A99" s="2">
        <v>2</v>
      </c>
      <c r="C99" s="38" t="s">
        <v>40</v>
      </c>
      <c r="D99" s="42">
        <v>5150</v>
      </c>
      <c r="E99" s="63">
        <f t="shared" si="3"/>
        <v>17020</v>
      </c>
    </row>
    <row r="100" spans="1:7" x14ac:dyDescent="0.3">
      <c r="A100" s="2">
        <v>3</v>
      </c>
      <c r="C100" s="38" t="s">
        <v>41</v>
      </c>
      <c r="D100" s="42">
        <f>TRUNC(26769,-1)</f>
        <v>26760</v>
      </c>
      <c r="E100" s="63">
        <f t="shared" si="3"/>
        <v>88460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TRUNC(10861,-1)</f>
        <v>10860</v>
      </c>
      <c r="E102" s="63">
        <f t="shared" si="3"/>
        <v>35900</v>
      </c>
    </row>
    <row r="103" spans="1:7" x14ac:dyDescent="0.3">
      <c r="A103" s="2">
        <v>6</v>
      </c>
      <c r="C103" s="38" t="s">
        <v>44</v>
      </c>
      <c r="D103" s="42">
        <f>TRUNC(4237,-1)</f>
        <v>4230</v>
      </c>
      <c r="E103" s="63">
        <f t="shared" si="3"/>
        <v>13980</v>
      </c>
    </row>
    <row r="104" spans="1:7" x14ac:dyDescent="0.3">
      <c r="A104" s="2">
        <v>7</v>
      </c>
      <c r="C104" s="38" t="s">
        <v>45</v>
      </c>
      <c r="D104" s="42">
        <f>TRUNC(1707,-1)</f>
        <v>1700</v>
      </c>
      <c r="E104" s="63">
        <f t="shared" si="3"/>
        <v>5610</v>
      </c>
    </row>
    <row r="105" spans="1:7" x14ac:dyDescent="0.3">
      <c r="A105" s="2">
        <v>8</v>
      </c>
      <c r="C105" s="38" t="s">
        <v>46</v>
      </c>
      <c r="D105" s="42">
        <f>TRUNC(5345,-1)</f>
        <v>5340</v>
      </c>
      <c r="E105" s="63">
        <f t="shared" si="3"/>
        <v>17650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TRUNC(3192,-1)</f>
        <v>3190</v>
      </c>
      <c r="E114" s="63">
        <f t="shared" si="3"/>
        <v>10540</v>
      </c>
      <c r="F114" s="2" t="s">
        <v>264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TRUNC(1584,-1)</f>
        <v>1580</v>
      </c>
      <c r="E116" s="63">
        <f t="shared" si="3"/>
        <v>5220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TRUNC(59962,-1)</f>
        <v>59960</v>
      </c>
      <c r="E117" s="63">
        <f t="shared" si="3"/>
        <v>198210</v>
      </c>
    </row>
    <row r="118" spans="1:7" ht="17.25" thickBot="1" x14ac:dyDescent="0.35">
      <c r="A118" s="2">
        <v>21</v>
      </c>
      <c r="C118" s="38" t="s">
        <v>47</v>
      </c>
      <c r="D118" s="43">
        <f>TRUNC(5793,-1)</f>
        <v>5790</v>
      </c>
      <c r="E118" s="64">
        <f t="shared" si="3"/>
        <v>19140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138330</v>
      </c>
      <c r="E119" s="39">
        <f>SUM(E98:E118)</f>
        <v>457250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TRUNC(2695,-1)</f>
        <v>2690</v>
      </c>
      <c r="E122" s="62">
        <f t="shared" ref="E122:E132" si="4">TRUNC(+D122*3.3058,-1)</f>
        <v>8890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TRUNC(7938,-1)</f>
        <v>7930</v>
      </c>
      <c r="E125" s="63">
        <f t="shared" si="4"/>
        <v>26210</v>
      </c>
    </row>
    <row r="126" spans="1:7" x14ac:dyDescent="0.3">
      <c r="A126" s="2">
        <v>5</v>
      </c>
      <c r="C126" s="38" t="s">
        <v>53</v>
      </c>
      <c r="D126" s="42">
        <v>1550</v>
      </c>
      <c r="E126" s="63">
        <f t="shared" si="4"/>
        <v>5120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TRUNC(4737,-1)</f>
        <v>4730</v>
      </c>
      <c r="E128" s="63">
        <f t="shared" si="4"/>
        <v>15630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TRUNC(14552,-1)</f>
        <v>14550</v>
      </c>
      <c r="E130" s="63">
        <f t="shared" si="4"/>
        <v>48090</v>
      </c>
    </row>
    <row r="131" spans="1:7" x14ac:dyDescent="0.3">
      <c r="A131" s="2">
        <v>10</v>
      </c>
      <c r="C131" s="38" t="s">
        <v>148</v>
      </c>
      <c r="D131" s="42">
        <v>14710</v>
      </c>
      <c r="E131" s="63">
        <f t="shared" si="4"/>
        <v>48620</v>
      </c>
    </row>
    <row r="132" spans="1:7" ht="18" thickBot="1" x14ac:dyDescent="0.35">
      <c r="A132" s="2">
        <v>11</v>
      </c>
      <c r="C132" s="38" t="s">
        <v>47</v>
      </c>
      <c r="D132" s="43">
        <f>TRUNC(2045,-1)</f>
        <v>2040</v>
      </c>
      <c r="E132" s="64">
        <f t="shared" si="4"/>
        <v>6740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48200</v>
      </c>
      <c r="E133" s="39">
        <f>SUM(E122:E132)</f>
        <v>159300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TRUNC(8262,-1)</f>
        <v>8260</v>
      </c>
      <c r="E137" s="63">
        <f t="shared" si="5"/>
        <v>27300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TRUNC(2055,-1)</f>
        <v>2050</v>
      </c>
      <c r="E140" s="63">
        <f t="shared" si="5"/>
        <v>6770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TRUNC(14382,-1)</f>
        <v>14380</v>
      </c>
      <c r="E142" s="63">
        <f t="shared" si="5"/>
        <v>47530</v>
      </c>
    </row>
    <row r="143" spans="1:7" x14ac:dyDescent="0.3">
      <c r="A143" s="2">
        <v>8</v>
      </c>
      <c r="C143" s="38" t="s">
        <v>62</v>
      </c>
      <c r="D143" s="42">
        <f>TRUNC(2358,-1)</f>
        <v>2350</v>
      </c>
      <c r="E143" s="63">
        <f t="shared" si="5"/>
        <v>7760</v>
      </c>
    </row>
    <row r="144" spans="1:7" x14ac:dyDescent="0.3">
      <c r="A144" s="2">
        <v>9</v>
      </c>
      <c r="C144" s="38" t="s">
        <v>63</v>
      </c>
      <c r="D144" s="42">
        <f>TRUNC(5356,-1)</f>
        <v>5350</v>
      </c>
      <c r="E144" s="63">
        <f t="shared" si="5"/>
        <v>17680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32390</v>
      </c>
      <c r="E146" s="39">
        <f>SUM(E136:E145)</f>
        <v>107040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TRUNC(5886+1882,-1)</f>
        <v>7760</v>
      </c>
      <c r="E149" s="62">
        <f>TRUNC(+D149*3.3058,-1)</f>
        <v>25650</v>
      </c>
    </row>
    <row r="150" spans="1:7" x14ac:dyDescent="0.3">
      <c r="A150" s="2">
        <v>2</v>
      </c>
      <c r="C150" s="38" t="s">
        <v>49</v>
      </c>
      <c r="D150" s="42">
        <f>TRUNC(7469,-1)</f>
        <v>7460</v>
      </c>
      <c r="E150" s="63">
        <f>TRUNC(+D150*3.3058,-1)</f>
        <v>24660</v>
      </c>
    </row>
    <row r="151" spans="1:7" x14ac:dyDescent="0.3">
      <c r="A151" s="2">
        <v>3</v>
      </c>
      <c r="C151" s="38" t="s">
        <v>50</v>
      </c>
      <c r="D151" s="42">
        <v>5650</v>
      </c>
      <c r="E151" s="63">
        <f>TRUNC(+D151*3.3058,-1)</f>
        <v>18670</v>
      </c>
    </row>
    <row r="152" spans="1:7" x14ac:dyDescent="0.3">
      <c r="A152" s="2">
        <v>4</v>
      </c>
      <c r="C152" s="38" t="s">
        <v>47</v>
      </c>
      <c r="D152" s="42">
        <f>TRUNC(614+590,-1)</f>
        <v>1200</v>
      </c>
      <c r="E152" s="63">
        <f>TRUNC(+D152*3.3058,-1)</f>
        <v>3960</v>
      </c>
      <c r="F152" s="2" t="s">
        <v>265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22070</v>
      </c>
      <c r="E154" s="39">
        <f>SUM(E149:E153)</f>
        <v>72940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TRUNC(15039,-1)</f>
        <v>15030</v>
      </c>
      <c r="E157" s="62">
        <f>TRUNC(+D157*3.3058,-1)</f>
        <v>49680</v>
      </c>
    </row>
    <row r="158" spans="1:7" x14ac:dyDescent="0.3">
      <c r="A158" s="2">
        <v>2</v>
      </c>
      <c r="C158" s="38" t="s">
        <v>52</v>
      </c>
      <c r="D158" s="42">
        <f>TRUNC(1377,-1)</f>
        <v>1370</v>
      </c>
      <c r="E158" s="63">
        <f>TRUNC(+D158*3.3058,-1)</f>
        <v>4520</v>
      </c>
    </row>
    <row r="159" spans="1:7" x14ac:dyDescent="0.3">
      <c r="A159" s="2">
        <v>3</v>
      </c>
      <c r="C159" s="38" t="s">
        <v>47</v>
      </c>
      <c r="D159" s="42">
        <f>TRUNC(5239,-1)</f>
        <v>5230</v>
      </c>
      <c r="E159" s="63">
        <f>TRUNC(+D159*3.3058,-1)</f>
        <v>17280</v>
      </c>
      <c r="F159" s="2" t="s">
        <v>266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21630</v>
      </c>
      <c r="E161" s="39">
        <f>SUM(E157:E160)</f>
        <v>71480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2020-12-07T10:02:24Z</dcterms:modified>
</cp:coreProperties>
</file>