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2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8" i="4" l="1"/>
  <c r="E145" i="4"/>
  <c r="E138" i="4"/>
  <c r="E136" i="4"/>
  <c r="E129" i="4"/>
  <c r="E127" i="4"/>
  <c r="E123" i="4"/>
  <c r="E115" i="4"/>
  <c r="E113" i="4"/>
  <c r="E112" i="4"/>
  <c r="E111" i="4"/>
  <c r="E110" i="4"/>
  <c r="E109" i="4"/>
  <c r="E108" i="4"/>
  <c r="E107" i="4"/>
  <c r="E106" i="4"/>
  <c r="E101" i="4"/>
  <c r="E98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71" i="4"/>
  <c r="E70" i="4"/>
  <c r="E64" i="4"/>
  <c r="E57" i="4"/>
  <c r="E56" i="4"/>
  <c r="E55" i="4"/>
  <c r="E54" i="4"/>
  <c r="E51" i="4"/>
  <c r="E47" i="4"/>
  <c r="E45" i="4"/>
  <c r="E37" i="4"/>
  <c r="D75" i="4" l="1"/>
  <c r="E75" i="4" s="1"/>
  <c r="D65" i="4"/>
  <c r="E65" i="4" s="1"/>
  <c r="D160" i="4"/>
  <c r="E160" i="4" s="1"/>
  <c r="D159" i="4"/>
  <c r="E159" i="4" s="1"/>
  <c r="D157" i="4"/>
  <c r="E157" i="4" s="1"/>
  <c r="E161" i="4" s="1"/>
  <c r="D153" i="4"/>
  <c r="E153" i="4" s="1"/>
  <c r="D152" i="4"/>
  <c r="E152" i="4" s="1"/>
  <c r="D151" i="4"/>
  <c r="E151" i="4" s="1"/>
  <c r="D150" i="4"/>
  <c r="E150" i="4" s="1"/>
  <c r="D149" i="4"/>
  <c r="E149" i="4" s="1"/>
  <c r="E154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7" i="4"/>
  <c r="E137" i="4" s="1"/>
  <c r="E146" i="4" s="1"/>
  <c r="D132" i="4"/>
  <c r="E132" i="4" s="1"/>
  <c r="D131" i="4"/>
  <c r="E131" i="4" s="1"/>
  <c r="D130" i="4"/>
  <c r="E130" i="4" s="1"/>
  <c r="D128" i="4"/>
  <c r="E128" i="4" s="1"/>
  <c r="D126" i="4"/>
  <c r="E126" i="4" s="1"/>
  <c r="D125" i="4"/>
  <c r="E125" i="4" s="1"/>
  <c r="D124" i="4"/>
  <c r="E124" i="4" s="1"/>
  <c r="D122" i="4"/>
  <c r="E122" i="4" s="1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0" i="4"/>
  <c r="E100" i="4" s="1"/>
  <c r="D99" i="4"/>
  <c r="E99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3" i="4"/>
  <c r="E73" i="4" s="1"/>
  <c r="D72" i="4"/>
  <c r="E72" i="4" s="1"/>
  <c r="D69" i="4"/>
  <c r="E69" i="4" s="1"/>
  <c r="D63" i="4"/>
  <c r="E63" i="4" s="1"/>
  <c r="D59" i="4"/>
  <c r="E59" i="4" s="1"/>
  <c r="D58" i="4"/>
  <c r="E58" i="4" s="1"/>
  <c r="D52" i="4"/>
  <c r="E52" i="4" s="1"/>
  <c r="D50" i="4"/>
  <c r="E50" i="4" s="1"/>
  <c r="D49" i="4"/>
  <c r="E49" i="4" s="1"/>
  <c r="D48" i="4"/>
  <c r="E48" i="4" s="1"/>
  <c r="D53" i="4"/>
  <c r="E53" i="4" s="1"/>
  <c r="D46" i="4"/>
  <c r="E46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E66" i="4" l="1"/>
  <c r="E95" i="4"/>
  <c r="E119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<sst xmlns="http://schemas.openxmlformats.org/spreadsheetml/2006/main" count="389" uniqueCount="264">
  <si>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</si>
  <si>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</si>
  <si>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</si>
  <si>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</si>
  <si>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</si>
  <si>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</si>
  <si>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</si>
  <si>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</si>
  <si>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</si>
  <si>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</si>
  <si>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</si>
  <si>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</si>
  <si>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</si>
  <si>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</si>
  <si>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</si>
  <si>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</si>
  <si>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</si>
  <si>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</si>
  <si>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</si>
  <si>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</si>
  <si>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</si>
  <si>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</si>
  <si>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</si>
  <si>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</si>
  <si>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</si>
  <si>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</si>
  <si>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</si>
  <si>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</si>
  <si>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</si>
  <si>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</si>
  <si>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</si>
  <si>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</si>
  <si>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</si>
  <si>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</si>
  <si>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</si>
  <si>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</si>
  <si>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</si>
  <si>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</si>
  <si>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</si>
  <si>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</si>
  <si>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</si>
  <si>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</si>
  <si>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</si>
  <si>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</si>
  <si>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</si>
  <si>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</si>
  <si>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</si>
  <si>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</si>
  <si>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</si>
  <si>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</si>
  <si>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</si>
  <si>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</si>
  <si>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</si>
  <si>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</si>
  <si>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</si>
  <si>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</si>
  <si>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</si>
  <si>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</si>
  <si>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</si>
  <si>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</si>
  <si>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</si>
  <si>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</si>
  <si>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</si>
  <si>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</si>
  <si>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</si>
  <si>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</si>
  <si>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</si>
  <si>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</si>
  <si>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</si>
  <si>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</si>
  <si>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</si>
  <si>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</si>
  <si>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</si>
  <si>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</si>
  <si>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</si>
  <si>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</si>
  <si>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</si>
  <si>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</si>
  <si>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</si>
  <si>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</si>
  <si>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</si>
  <si>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</si>
  <si>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</si>
  <si>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</si>
  <si>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</si>
  <si>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</si>
  <si>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</si>
  <si>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</si>
  <si>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</si>
  <si>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</si>
  <si>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</si>
  <si>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</si>
  <si>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</si>
  <si>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</si>
  <si>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</si>
  <si>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</si>
  <si>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</si>
  <si>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</si>
  <si>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</si>
  <si>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</si>
  <si>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</si>
  <si>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</si>
  <si>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</si>
  <si>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</si>
  <si>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</si>
  <si>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</si>
  <si>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</si>
  <si>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</si>
  <si>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</si>
  <si>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</si>
  <si>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</si>
  <si>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</si>
  <si>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</si>
  <si>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</si>
  <si>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</si>
  <si>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</si>
  <si>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</si>
  <si>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</si>
  <si>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</si>
  <si>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</si>
  <si>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</si>
  <si>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</si>
  <si>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</si>
  <si>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</si>
  <si>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</si>
  <si>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</si>
  <si>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</si>
  <si>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</si>
  <si>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</si>
  <si>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</si>
  <si>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</si>
  <si>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</si>
  <si>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</si>
  <si>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</si>
  <si>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</si>
  <si>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</si>
  <si>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</si>
  <si>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</si>
  <si>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</si>
  <si>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</si>
  <si>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</si>
  <si>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</si>
  <si>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</si>
  <si>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</si>
  <si>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</si>
  <si>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</si>
  <si>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</si>
  <si>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</si>
  <si>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</si>
  <si>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</si>
  <si>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</si>
  <si>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</si>
  <si>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</si>
  <si>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</si>
  <si>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</si>
  <si>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</si>
  <si>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</si>
  <si>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</si>
  <si>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</si>
  <si>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</si>
  <si>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</si>
  <si>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</si>
  <si>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</si>
  <si>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</si>
  <si>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</si>
  <si>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</si>
  <si>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</si>
  <si>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</si>
  <si>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</si>
  <si>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</si>
  <si>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</si>
  <si>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</si>
  <si>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</si>
  <si>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</si>
  <si>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</si>
  <si>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</si>
  <si>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</si>
  <si>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</si>
  <si>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</si>
  <si>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</si>
  <si>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</si>
  <si>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</si>
  <si>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</si>
  <si>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</si>
  <si>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</si>
  <si>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</si>
  <si>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</si>
  <si>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</si>
  <si>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</si>
  <si>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</si>
  <si>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</si>
  <si>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</si>
  <si>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</si>
  <si>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</si>
  <si>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</si>
  <si>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</si>
  <si>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</si>
  <si>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</si>
  <si>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</si>
  <si>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</si>
  <si>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</si>
  <si>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</si>
  <si>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</si>
  <si>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</si>
  <si>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</si>
  <si>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</si>
  <si>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</si>
  <si>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</si>
  <si>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</si>
  <si>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</si>
  <si>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</si>
  <si>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</si>
  <si>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</si>
  <si>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</si>
  <si>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</si>
  <si>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</si>
  <si>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</si>
  <si>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</si>
  <si>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</si>
  <si>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</si>
  <si>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</si>
  <si>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</si>
  <si>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</si>
  <si>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</si>
  <si>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</si>
  <si>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</si>
  <si>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</si>
  <si>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</si>
  <si>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</si>
  <si>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</si>
  <si>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</si>
  <si>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</si>
  <si>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</si>
  <si>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</si>
  <si>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</si>
  <si>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</si>
  <si>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</si>
  <si>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</si>
  <si>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</si>
  <si>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</si>
  <si>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</si>
  <si>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</si>
  <si>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</si>
  <si>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</si>
  <si>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</si>
  <si>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</si>
  <si>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</si>
  <si>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</si>
  <si>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</si>
  <si>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나성유초등학교 신축공사</t>
    <phoneticPr fontId="2" type="noConversion"/>
  </si>
  <si>
    <t>세종시</t>
  </si>
  <si>
    <t>창호및유리공사</t>
    <phoneticPr fontId="2" type="noConversion"/>
  </si>
  <si>
    <t>지붕및홈통공사 포함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</si>
  <si>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</si>
  <si>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</si>
  <si>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공조배관공사,난방배관공사, 기타공사</t>
    <phoneticPr fontId="2" type="noConversion"/>
  </si>
  <si>
    <t>원격검침 설비공사, 기타공사</t>
    <phoneticPr fontId="2" type="noConversion"/>
  </si>
  <si>
    <t>사급자재비, 기타공사</t>
    <phoneticPr fontId="2" type="noConversion"/>
  </si>
  <si>
    <t>포장공사</t>
    <phoneticPr fontId="2" type="noConversion"/>
  </si>
  <si>
    <t>건축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</si>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</sst>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17326</v>
      </c>
      <c r="D7" s="36">
        <f>+C7/3.3058</f>
        <v>5241.0914150886319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855000</v>
      </c>
      <c r="E25" s="59">
        <f t="shared" si="0"/>
        <v>2826450</v>
      </c>
    </row>
    <row r="26" spans="1:5" x14ac:dyDescent="0.3">
      <c r="B26" s="2">
        <v>3</v>
      </c>
      <c r="C26" s="35" t="s">
        <v>95</v>
      </c>
      <c r="D26" s="45">
        <f>+D66</f>
        <v>3160</v>
      </c>
      <c r="E26" s="59">
        <f t="shared" si="0"/>
        <v>10440</v>
      </c>
    </row>
    <row r="27" spans="1:5" x14ac:dyDescent="0.3">
      <c r="B27" s="2">
        <v>4</v>
      </c>
      <c r="C27" s="35" t="s">
        <v>96</v>
      </c>
      <c r="D27" s="45">
        <f>+D95</f>
        <v>214510</v>
      </c>
      <c r="E27" s="59">
        <f t="shared" si="0"/>
        <v>709120</v>
      </c>
    </row>
    <row r="28" spans="1:5" x14ac:dyDescent="0.3">
      <c r="B28" s="2">
        <v>5</v>
      </c>
      <c r="C28" s="35" t="s">
        <v>97</v>
      </c>
      <c r="D28" s="45">
        <f>+D119</f>
        <v>198390</v>
      </c>
      <c r="E28" s="59">
        <f t="shared" si="0"/>
        <v>655830</v>
      </c>
    </row>
    <row r="29" spans="1:5" x14ac:dyDescent="0.3">
      <c r="B29" s="2">
        <v>6</v>
      </c>
      <c r="C29" s="35" t="s">
        <v>98</v>
      </c>
      <c r="D29" s="45">
        <f>+D133</f>
        <v>75140</v>
      </c>
      <c r="E29" s="59">
        <f t="shared" si="0"/>
        <v>248390</v>
      </c>
    </row>
    <row r="30" spans="1:5" x14ac:dyDescent="0.3">
      <c r="B30" s="2">
        <v>7</v>
      </c>
      <c r="C30" s="35" t="s">
        <v>99</v>
      </c>
      <c r="D30" s="45">
        <f>+D146</f>
        <v>57030</v>
      </c>
      <c r="E30" s="59">
        <f t="shared" si="0"/>
        <v>188520</v>
      </c>
    </row>
    <row r="31" spans="1:5" x14ac:dyDescent="0.3">
      <c r="B31" s="2">
        <v>8</v>
      </c>
      <c r="C31" s="35" t="s">
        <v>100</v>
      </c>
      <c r="D31" s="45">
        <f>+D154</f>
        <v>58440</v>
      </c>
      <c r="E31" s="59">
        <f t="shared" si="0"/>
        <v>193190</v>
      </c>
    </row>
    <row r="32" spans="1:5" x14ac:dyDescent="0.3">
      <c r="B32" s="2">
        <v>9</v>
      </c>
      <c r="C32" s="35" t="s">
        <v>101</v>
      </c>
      <c r="D32" s="45">
        <f>+D161</f>
        <v>31900</v>
      </c>
      <c r="E32" s="59">
        <f t="shared" si="0"/>
        <v>105450</v>
      </c>
    </row>
    <row r="33" spans="1:7" x14ac:dyDescent="0.3">
      <c r="B33" s="2">
        <v>10</v>
      </c>
      <c r="C33" s="35" t="s">
        <v>154</v>
      </c>
      <c r="D33" s="53">
        <f>TRUNC(SUM(D24:D32)*0.275,-1)</f>
        <v>410730</v>
      </c>
      <c r="E33" s="60">
        <f t="shared" si="0"/>
        <v>1357790</v>
      </c>
    </row>
    <row r="34" spans="1:7" x14ac:dyDescent="0.3">
      <c r="C34" s="35" t="s">
        <v>112</v>
      </c>
      <c r="D34" s="44">
        <f>SUM(D24:D33)</f>
        <v>1904300</v>
      </c>
      <c r="E34" s="44">
        <f>SUM(E24:E33)</f>
        <v>6295180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259</v>
      </c>
      <c r="C39" s="56" t="s">
        <v>238</v>
      </c>
      <c r="D39" s="57" t="s">
        <v>237</v>
      </c>
      <c r="E39" s="57" t="s">
        <v>260</v>
      </c>
      <c r="G39" s="55"/>
    </row>
    <row r="40" spans="1:7" x14ac:dyDescent="0.3">
      <c r="A40" s="2">
        <v>1</v>
      </c>
      <c r="C40" s="38" t="s">
        <v>15</v>
      </c>
      <c r="D40" s="40">
        <f>TRUNC(53059,-1)</f>
        <v>53050</v>
      </c>
      <c r="E40" s="62">
        <f t="shared" ref="E40:E59" si="1">TRUNC(+D40*3.3058,-1)</f>
        <v>175370</v>
      </c>
    </row>
    <row r="41" spans="1:7" x14ac:dyDescent="0.3">
      <c r="A41" s="2">
        <v>2</v>
      </c>
      <c r="C41" s="38" t="s">
        <v>13</v>
      </c>
      <c r="D41" s="42">
        <f>TRUNC(174986,-1)</f>
        <v>174980</v>
      </c>
      <c r="E41" s="63">
        <f t="shared" si="1"/>
        <v>578440</v>
      </c>
    </row>
    <row r="42" spans="1:7" x14ac:dyDescent="0.3">
      <c r="A42" s="2">
        <v>3</v>
      </c>
      <c r="C42" s="38" t="s">
        <v>14</v>
      </c>
      <c r="D42" s="42">
        <f>TRUNC(5575,-1)</f>
        <v>5570</v>
      </c>
      <c r="E42" s="63">
        <f t="shared" si="1"/>
        <v>18410</v>
      </c>
    </row>
    <row r="43" spans="1:7" x14ac:dyDescent="0.3">
      <c r="A43" s="2">
        <v>4</v>
      </c>
      <c r="C43" s="38" t="s">
        <v>16</v>
      </c>
      <c r="D43" s="42">
        <f>TRUNC(46943,-1)</f>
        <v>46940</v>
      </c>
      <c r="E43" s="63">
        <f t="shared" si="1"/>
        <v>155170</v>
      </c>
    </row>
    <row r="44" spans="1:7" x14ac:dyDescent="0.3">
      <c r="A44" s="2">
        <v>5</v>
      </c>
      <c r="C44" s="38" t="s">
        <v>17</v>
      </c>
      <c r="D44" s="42">
        <f>TRUNC(19474,-1)</f>
        <v>19470</v>
      </c>
      <c r="E44" s="63">
        <f t="shared" si="1"/>
        <v>64360</v>
      </c>
    </row>
    <row r="45" spans="1:7" x14ac:dyDescent="0.3">
      <c r="A45" s="2">
        <v>6</v>
      </c>
      <c r="C45" s="38" t="s">
        <v>18</v>
      </c>
      <c r="D45" s="42">
        <v>8830</v>
      </c>
      <c r="E45" s="63">
        <f t="shared" si="1"/>
        <v>29190</v>
      </c>
    </row>
    <row r="46" spans="1:7" x14ac:dyDescent="0.3">
      <c r="A46" s="2">
        <v>7</v>
      </c>
      <c r="C46" s="38" t="s">
        <v>19</v>
      </c>
      <c r="D46" s="42">
        <f>TRUNC(22224,-1)</f>
        <v>22220</v>
      </c>
      <c r="E46" s="63">
        <f t="shared" si="1"/>
        <v>73450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TRUNC(48656,-1)</f>
        <v>48650</v>
      </c>
      <c r="E48" s="63">
        <f t="shared" si="1"/>
        <v>160820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TRUNC(18257,-1)</f>
        <v>18250</v>
      </c>
      <c r="E49" s="63">
        <f t="shared" si="1"/>
        <v>60330</v>
      </c>
    </row>
    <row r="50" spans="1:7" x14ac:dyDescent="0.3">
      <c r="A50" s="2">
        <v>11</v>
      </c>
      <c r="C50" s="38" t="s">
        <v>155</v>
      </c>
      <c r="D50" s="42">
        <f>TRUNC(50752,-1)</f>
        <v>50750</v>
      </c>
      <c r="E50" s="63">
        <f t="shared" si="1"/>
        <v>167760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TRUNC(6072,-1)</f>
        <v>6070</v>
      </c>
      <c r="E52" s="63">
        <f t="shared" si="1"/>
        <v>20060</v>
      </c>
    </row>
    <row r="53" spans="1:7" x14ac:dyDescent="0.3">
      <c r="A53" s="2">
        <v>14</v>
      </c>
      <c r="C53" s="38" t="s">
        <v>25</v>
      </c>
      <c r="D53" s="42">
        <f>TRUNC(69867,-1)</f>
        <v>69860</v>
      </c>
      <c r="E53" s="63">
        <f t="shared" si="1"/>
        <v>230940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TRUNC(44028+7893-724+4116+11353,-1)</f>
        <v>66660</v>
      </c>
      <c r="E58" s="63">
        <f t="shared" si="1"/>
        <v>220360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TRUNC(263707,-1)</f>
        <v>263700</v>
      </c>
      <c r="E59" s="64">
        <f t="shared" si="1"/>
        <v>871730</v>
      </c>
    </row>
    <row r="60" spans="1:7" x14ac:dyDescent="0.3">
      <c r="A60" s="2">
        <v>21</v>
      </c>
      <c r="C60" s="27" t="s">
        <v>112</v>
      </c>
      <c r="D60" s="39">
        <f>SUM(D40:D59)</f>
        <v>855000</v>
      </c>
      <c r="E60" s="39">
        <f>SUM(E40:E59)</f>
        <v>2826390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TRUNC(2982,-1)</f>
        <v>2980</v>
      </c>
      <c r="E63" s="62">
        <f>TRUNC(+D63*3.3058,-1)</f>
        <v>9850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TRUNC(183,-1)</f>
        <v>180</v>
      </c>
      <c r="E65" s="64">
        <f>TRUNC(+D65*3.3058,-1)</f>
        <v>590</v>
      </c>
    </row>
    <row r="66" spans="1:7" x14ac:dyDescent="0.3">
      <c r="A66" s="2">
        <v>4</v>
      </c>
      <c r="C66" s="27" t="s">
        <v>112</v>
      </c>
      <c r="D66" s="39">
        <f>SUM(D63:D65)</f>
        <v>3160</v>
      </c>
      <c r="E66" s="65">
        <f>SUM(E63:E65)</f>
        <v>10440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TRUNC(7867,-1)</f>
        <v>7860</v>
      </c>
      <c r="E69" s="62">
        <f t="shared" ref="E69:E94" si="2">TRUNC(+D69*3.3058,-1)</f>
        <v>25980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TRUNC(4375,-1)</f>
        <v>4370</v>
      </c>
      <c r="E72" s="63">
        <f t="shared" si="2"/>
        <v>14440</v>
      </c>
    </row>
    <row r="73" spans="1:7" x14ac:dyDescent="0.3">
      <c r="A73" s="2">
        <v>5</v>
      </c>
      <c r="C73" s="38" t="s">
        <v>34</v>
      </c>
      <c r="D73" s="42">
        <f>TRUNC(19369,-1)</f>
        <v>19360</v>
      </c>
      <c r="E73" s="63">
        <f t="shared" si="2"/>
        <v>64000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TRUNC(265,-1)</f>
        <v>260</v>
      </c>
      <c r="E75" s="63">
        <f t="shared" si="2"/>
        <v>850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TRUNC(8852,-1)</f>
        <v>8850</v>
      </c>
      <c r="E89" s="63">
        <f t="shared" si="2"/>
        <v>29250</v>
      </c>
    </row>
    <row r="90" spans="1:7" x14ac:dyDescent="0.3">
      <c r="A90" s="2">
        <v>22</v>
      </c>
      <c r="C90" s="38" t="s">
        <v>36</v>
      </c>
      <c r="D90" s="42">
        <f>TRUNC(289,-1)</f>
        <v>280</v>
      </c>
      <c r="E90" s="63">
        <f t="shared" si="2"/>
        <v>920</v>
      </c>
    </row>
    <row r="91" spans="1:7" x14ac:dyDescent="0.3">
      <c r="A91" s="2">
        <v>23</v>
      </c>
      <c r="C91" s="38" t="s">
        <v>37</v>
      </c>
      <c r="D91" s="42">
        <f>TRUNC(4017,-1)</f>
        <v>4010</v>
      </c>
      <c r="E91" s="63">
        <f t="shared" si="2"/>
        <v>13250</v>
      </c>
    </row>
    <row r="92" spans="1:7" x14ac:dyDescent="0.3">
      <c r="A92" s="2">
        <v>24</v>
      </c>
      <c r="C92" s="38" t="s">
        <v>38</v>
      </c>
      <c r="D92" s="42">
        <f>TRUNC(11292,-1)</f>
        <v>11290</v>
      </c>
      <c r="E92" s="63">
        <f t="shared" si="2"/>
        <v>37320</v>
      </c>
    </row>
    <row r="93" spans="1:7" x14ac:dyDescent="0.3">
      <c r="A93" s="2">
        <v>25</v>
      </c>
      <c r="C93" s="38" t="s">
        <v>148</v>
      </c>
      <c r="D93" s="42">
        <f>TRUNC(97323,-1)</f>
        <v>97320</v>
      </c>
      <c r="E93" s="63">
        <f t="shared" si="2"/>
        <v>321720</v>
      </c>
    </row>
    <row r="94" spans="1:7" ht="17.25" thickBot="1" x14ac:dyDescent="0.35">
      <c r="A94" s="2">
        <v>26</v>
      </c>
      <c r="C94" s="38" t="s">
        <v>47</v>
      </c>
      <c r="D94" s="43">
        <f>TRUNC(2073+38419+20427,-1)</f>
        <v>60910</v>
      </c>
      <c r="E94" s="64">
        <f t="shared" si="2"/>
        <v>201350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214510</v>
      </c>
      <c r="E95" s="39">
        <f>SUM(E69:E94)</f>
        <v>709080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12810</v>
      </c>
      <c r="E98" s="62">
        <f t="shared" ref="E98:E118" si="3">TRUNC(+D98*3.3058,-1)</f>
        <v>42340</v>
      </c>
    </row>
    <row r="99" spans="1:7" x14ac:dyDescent="0.3">
      <c r="A99" s="2">
        <v>2</v>
      </c>
      <c r="C99" s="38" t="s">
        <v>40</v>
      </c>
      <c r="D99" s="42">
        <f>TRUNC(6864,-1)</f>
        <v>6860</v>
      </c>
      <c r="E99" s="63">
        <f t="shared" si="3"/>
        <v>22670</v>
      </c>
    </row>
    <row r="100" spans="1:7" x14ac:dyDescent="0.3">
      <c r="A100" s="2">
        <v>3</v>
      </c>
      <c r="C100" s="38" t="s">
        <v>41</v>
      </c>
      <c r="D100" s="42">
        <f>TRUNC(27247,-1)</f>
        <v>27240</v>
      </c>
      <c r="E100" s="63">
        <f t="shared" si="3"/>
        <v>90040</v>
      </c>
    </row>
    <row r="101" spans="1:7" x14ac:dyDescent="0.3">
      <c r="A101" s="2">
        <v>4</v>
      </c>
      <c r="C101" s="38" t="s">
        <v>42</v>
      </c>
      <c r="D101" s="42">
        <v>650</v>
      </c>
      <c r="E101" s="63">
        <f t="shared" si="3"/>
        <v>2140</v>
      </c>
    </row>
    <row r="102" spans="1:7" x14ac:dyDescent="0.3">
      <c r="A102" s="2">
        <v>5</v>
      </c>
      <c r="C102" s="38" t="s">
        <v>43</v>
      </c>
      <c r="D102" s="42">
        <f>TRUNC(18878,-1)</f>
        <v>18870</v>
      </c>
      <c r="E102" s="63">
        <f t="shared" si="3"/>
        <v>62380</v>
      </c>
    </row>
    <row r="103" spans="1:7" x14ac:dyDescent="0.3">
      <c r="A103" s="2">
        <v>6</v>
      </c>
      <c r="C103" s="38" t="s">
        <v>44</v>
      </c>
      <c r="D103" s="42">
        <f>TRUNC(11762,-1)</f>
        <v>11760</v>
      </c>
      <c r="E103" s="63">
        <f t="shared" si="3"/>
        <v>38870</v>
      </c>
    </row>
    <row r="104" spans="1:7" x14ac:dyDescent="0.3">
      <c r="A104" s="2">
        <v>7</v>
      </c>
      <c r="C104" s="38" t="s">
        <v>45</v>
      </c>
      <c r="D104" s="42">
        <f>TRUNC(4212,-1)</f>
        <v>4210</v>
      </c>
      <c r="E104" s="63">
        <f t="shared" si="3"/>
        <v>13910</v>
      </c>
    </row>
    <row r="105" spans="1:7" x14ac:dyDescent="0.3">
      <c r="A105" s="2">
        <v>8</v>
      </c>
      <c r="C105" s="38" t="s">
        <v>46</v>
      </c>
      <c r="D105" s="42">
        <f>TRUNC(7957,-1)</f>
        <v>7950</v>
      </c>
      <c r="E105" s="63">
        <f t="shared" si="3"/>
        <v>26280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TRUNC(2848,-1)</f>
        <v>2840</v>
      </c>
      <c r="E114" s="63">
        <f t="shared" si="3"/>
        <v>9380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TRUNC(7864,-1)</f>
        <v>7860</v>
      </c>
      <c r="E116" s="63">
        <f t="shared" si="3"/>
        <v>25980</v>
      </c>
    </row>
    <row r="117" spans="1:7" x14ac:dyDescent="0.3">
      <c r="A117" s="2">
        <v>20</v>
      </c>
      <c r="C117" s="38" t="s">
        <v>148</v>
      </c>
      <c r="D117" s="42">
        <f>TRUNC(82209,-1)</f>
        <v>82200</v>
      </c>
      <c r="E117" s="63">
        <f t="shared" si="3"/>
        <v>271730</v>
      </c>
    </row>
    <row r="118" spans="1:7" ht="17.25" thickBot="1" x14ac:dyDescent="0.35">
      <c r="A118" s="2">
        <v>21</v>
      </c>
      <c r="C118" s="38" t="s">
        <v>47</v>
      </c>
      <c r="D118" s="43">
        <f>TRUNC(330+14816,-1)</f>
        <v>15140</v>
      </c>
      <c r="E118" s="64">
        <f t="shared" si="3"/>
        <v>50040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198390</v>
      </c>
      <c r="E119" s="39">
        <f>SUM(E98:E118)</f>
        <v>655760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TRUNC(4395,-1)</f>
        <v>4390</v>
      </c>
      <c r="E122" s="62">
        <f t="shared" ref="E122:E132" si="4">TRUNC(+D122*3.3058,-1)</f>
        <v>14510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TRUNC(959,-1)</f>
        <v>950</v>
      </c>
      <c r="E124" s="63">
        <f t="shared" si="4"/>
        <v>3140</v>
      </c>
    </row>
    <row r="125" spans="1:7" x14ac:dyDescent="0.3">
      <c r="A125" s="2">
        <v>4</v>
      </c>
      <c r="C125" s="38" t="s">
        <v>138</v>
      </c>
      <c r="D125" s="42">
        <f>TRUNC(14982,-1)</f>
        <v>14980</v>
      </c>
      <c r="E125" s="63">
        <f t="shared" si="4"/>
        <v>49520</v>
      </c>
    </row>
    <row r="126" spans="1:7" x14ac:dyDescent="0.3">
      <c r="A126" s="2">
        <v>5</v>
      </c>
      <c r="C126" s="38" t="s">
        <v>53</v>
      </c>
      <c r="D126" s="42">
        <f>TRUNC(1279,-1)</f>
        <v>1270</v>
      </c>
      <c r="E126" s="63">
        <f t="shared" si="4"/>
        <v>4190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TRUNC(7388,-1)</f>
        <v>7380</v>
      </c>
      <c r="E128" s="63">
        <f t="shared" si="4"/>
        <v>24390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TRUNC(14739,-1)</f>
        <v>14730</v>
      </c>
      <c r="E130" s="63">
        <f t="shared" si="4"/>
        <v>48690</v>
      </c>
    </row>
    <row r="131" spans="1:7" x14ac:dyDescent="0.3">
      <c r="A131" s="2">
        <v>10</v>
      </c>
      <c r="C131" s="38" t="s">
        <v>148</v>
      </c>
      <c r="D131" s="42">
        <f>TRUNC(27838,-1)</f>
        <v>27830</v>
      </c>
      <c r="E131" s="63">
        <f t="shared" si="4"/>
        <v>92000</v>
      </c>
    </row>
    <row r="132" spans="1:7" ht="18" thickBot="1" x14ac:dyDescent="0.35">
      <c r="A132" s="2">
        <v>11</v>
      </c>
      <c r="C132" s="38" t="s">
        <v>47</v>
      </c>
      <c r="D132" s="43">
        <f>TRUNC(3618,-1)</f>
        <v>3610</v>
      </c>
      <c r="E132" s="64">
        <f t="shared" si="4"/>
        <v>11930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75140</v>
      </c>
      <c r="E133" s="39">
        <f>SUM(E122:E132)</f>
        <v>248370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TRUNC(2454,-1)</f>
        <v>2450</v>
      </c>
      <c r="E137" s="63">
        <f t="shared" si="5"/>
        <v>8090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TRUNC(1519,-1)</f>
        <v>1510</v>
      </c>
      <c r="E139" s="63">
        <f t="shared" si="5"/>
        <v>4990</v>
      </c>
    </row>
    <row r="140" spans="1:7" x14ac:dyDescent="0.3">
      <c r="A140" s="2">
        <v>5</v>
      </c>
      <c r="C140" s="38" t="s">
        <v>57</v>
      </c>
      <c r="D140" s="42">
        <f>TRUNC(2347,-1)</f>
        <v>2340</v>
      </c>
      <c r="E140" s="63">
        <f t="shared" si="5"/>
        <v>7730</v>
      </c>
    </row>
    <row r="141" spans="1:7" x14ac:dyDescent="0.3">
      <c r="A141" s="2">
        <v>6</v>
      </c>
      <c r="C141" s="38" t="s">
        <v>59</v>
      </c>
      <c r="D141" s="42">
        <f>TRUNC(12954,-1)</f>
        <v>12950</v>
      </c>
      <c r="E141" s="63">
        <f t="shared" si="5"/>
        <v>42810</v>
      </c>
    </row>
    <row r="142" spans="1:7" x14ac:dyDescent="0.3">
      <c r="A142" s="2">
        <v>7</v>
      </c>
      <c r="C142" s="38" t="s">
        <v>58</v>
      </c>
      <c r="D142" s="42">
        <f>TRUNC(6986,-1)</f>
        <v>6980</v>
      </c>
      <c r="E142" s="63">
        <f t="shared" si="5"/>
        <v>23070</v>
      </c>
    </row>
    <row r="143" spans="1:7" x14ac:dyDescent="0.3">
      <c r="A143" s="2">
        <v>8</v>
      </c>
      <c r="C143" s="38" t="s">
        <v>62</v>
      </c>
      <c r="D143" s="42">
        <f>TRUNC(6323,-1)</f>
        <v>6320</v>
      </c>
      <c r="E143" s="63">
        <f t="shared" si="5"/>
        <v>20890</v>
      </c>
    </row>
    <row r="144" spans="1:7" x14ac:dyDescent="0.3">
      <c r="A144" s="2">
        <v>9</v>
      </c>
      <c r="C144" s="38" t="s">
        <v>63</v>
      </c>
      <c r="D144" s="42">
        <f>TRUNC(24489,-1)</f>
        <v>24480</v>
      </c>
      <c r="E144" s="63">
        <f t="shared" si="5"/>
        <v>80920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57030</v>
      </c>
      <c r="E146" s="39">
        <f>SUM(E136:E145)</f>
        <v>188500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TRUNC(5170+2332,-1)</f>
        <v>7500</v>
      </c>
      <c r="E149" s="62">
        <f>TRUNC(+D149*3.3058,-1)</f>
        <v>24790</v>
      </c>
    </row>
    <row r="150" spans="1:7" x14ac:dyDescent="0.3">
      <c r="A150" s="2">
        <v>2</v>
      </c>
      <c r="C150" s="38" t="s">
        <v>49</v>
      </c>
      <c r="D150" s="42">
        <f>TRUNC(9958,-1)</f>
        <v>9950</v>
      </c>
      <c r="E150" s="63">
        <f>TRUNC(+D150*3.3058,-1)</f>
        <v>32890</v>
      </c>
    </row>
    <row r="151" spans="1:7" x14ac:dyDescent="0.3">
      <c r="A151" s="2">
        <v>3</v>
      </c>
      <c r="C151" s="38" t="s">
        <v>50</v>
      </c>
      <c r="D151" s="42">
        <f>TRUNC(3191,-1)</f>
        <v>3190</v>
      </c>
      <c r="E151" s="63">
        <f>TRUNC(+D151*3.3058,-1)</f>
        <v>10540</v>
      </c>
    </row>
    <row r="152" spans="1:7" x14ac:dyDescent="0.3">
      <c r="A152" s="2">
        <v>4</v>
      </c>
      <c r="C152" s="38" t="s">
        <v>47</v>
      </c>
      <c r="D152" s="42">
        <f>TRUNC(5023+627,-1)</f>
        <v>5650</v>
      </c>
      <c r="E152" s="63">
        <f>TRUNC(+D152*3.3058,-1)</f>
        <v>18670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TRUNC(32155,-1)</f>
        <v>32150</v>
      </c>
      <c r="E153" s="64">
        <f>TRUNC(+D153*3.3058,-1)</f>
        <v>106280</v>
      </c>
    </row>
    <row r="154" spans="1:7" x14ac:dyDescent="0.3">
      <c r="A154" s="2">
        <v>6</v>
      </c>
      <c r="C154" s="27" t="s">
        <v>112</v>
      </c>
      <c r="D154" s="39">
        <f>SUM(D149:D153)</f>
        <v>58440</v>
      </c>
      <c r="E154" s="39">
        <f>SUM(E149:E153)</f>
        <v>193170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TRUNC(17149,-1)</f>
        <v>17140</v>
      </c>
      <c r="E157" s="62">
        <f>TRUNC(+D157*3.3058,-1)</f>
        <v>56660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TRUNC(7249,-1)</f>
        <v>7240</v>
      </c>
      <c r="E159" s="63">
        <f>TRUNC(+D159*3.3058,-1)</f>
        <v>23930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f>TRUNC(7522,-1)</f>
        <v>7520</v>
      </c>
      <c r="E160" s="64">
        <f>TRUNC(+D160*3.3058,-1)</f>
        <v>24850</v>
      </c>
    </row>
    <row r="161" spans="1:5" x14ac:dyDescent="0.3">
      <c r="A161" s="2">
        <v>5</v>
      </c>
      <c r="C161" s="27" t="s">
        <v>112</v>
      </c>
      <c r="D161" s="39">
        <f>SUM(D157:D160)</f>
        <v>31900</v>
      </c>
      <c r="E161" s="39">
        <f>SUM(E157:E160)</f>
        <v>105440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2020-12-08T02:10:12Z</dcterms:modified>
</cp:coreProperties>
</file>