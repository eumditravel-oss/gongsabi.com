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1" i="4"/>
  <c r="D140" i="4"/>
  <c r="D139" i="4"/>
  <c r="D137" i="4"/>
  <c r="D132" i="4"/>
  <c r="D131" i="4"/>
  <c r="D130" i="4"/>
  <c r="D126" i="4"/>
  <c r="D125" i="4"/>
  <c r="D122" i="4"/>
  <c r="D118" i="4"/>
  <c r="D117" i="4"/>
  <c r="D116" i="4"/>
  <c r="D104" i="4"/>
  <c r="D103" i="4"/>
  <c r="D101" i="4"/>
  <c r="D100" i="4"/>
  <c r="D99" i="4"/>
  <c r="D98" i="4"/>
  <c r="D94" i="4"/>
  <c r="D92" i="4"/>
  <c r="D91" i="4"/>
  <c r="D89" i="4"/>
  <c r="D76" i="4"/>
  <c r="D73" i="4"/>
  <c r="D72" i="4"/>
  <c r="D63" i="4"/>
  <c r="D59" i="4"/>
  <c r="D58" i="4"/>
  <c r="D53" i="4"/>
  <c r="D50" i="4"/>
  <c r="D49" i="4"/>
  <c r="D48" i="4"/>
  <c r="D46" i="4"/>
  <c r="D44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<sst xmlns="http://schemas.openxmlformats.org/spreadsheetml/2006/main" count="392" uniqueCount="265">
  <si>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</si>
  <si>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</si>
  <si>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</si>
  <si>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</si>
  <si>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</si>
  <si>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</si>
  <si>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</si>
  <si>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</si>
  <si>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</si>
  <si>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</si>
  <si>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</si>
  <si>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</si>
  <si>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</si>
  <si>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</si>
  <si>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</si>
  <si>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</si>
  <si>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</si>
  <si>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</si>
  <si>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</si>
  <si>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</si>
  <si>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</si>
  <si>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</si>
  <si>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</si>
  <si>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</si>
  <si>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</si>
  <si>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</si>
  <si>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</si>
  <si>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</si>
  <si>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</si>
  <si>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</si>
  <si>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</si>
  <si>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</si>
  <si>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</si>
  <si>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</si>
  <si>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</si>
  <si>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</si>
  <si>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</si>
  <si>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</si>
  <si>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</si>
  <si>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</si>
  <si>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</si>
  <si>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</si>
  <si>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</si>
  <si>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</si>
  <si>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</si>
  <si>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</si>
  <si>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</si>
  <si>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</si>
  <si>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</si>
  <si>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</si>
  <si>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</si>
  <si>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</si>
  <si>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</si>
  <si>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</si>
  <si>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</si>
  <si>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</si>
  <si>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</si>
  <si>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</si>
  <si>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</si>
  <si>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</si>
  <si>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</si>
  <si>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</si>
  <si>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</si>
  <si>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</si>
  <si>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</si>
  <si>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</si>
  <si>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</si>
  <si>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</si>
  <si>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</si>
  <si>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</si>
  <si>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</si>
  <si>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</si>
  <si>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</si>
  <si>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</si>
  <si>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</si>
  <si>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</si>
  <si>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</si>
  <si>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</si>
  <si>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</si>
  <si>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</si>
  <si>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</si>
  <si>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</si>
  <si>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</si>
  <si>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</si>
  <si>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</si>
  <si>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</si>
  <si>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</si>
  <si>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</si>
  <si>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</si>
  <si>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</si>
  <si>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</si>
  <si>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</si>
  <si>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</si>
  <si>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</si>
  <si>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</si>
  <si>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</si>
  <si>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</si>
  <si>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</si>
  <si>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</si>
  <si>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</si>
  <si>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</si>
  <si>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</si>
  <si>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</si>
  <si>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</si>
  <si>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</si>
  <si>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</si>
  <si>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</si>
  <si>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</si>
  <si>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</si>
  <si>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</si>
  <si>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</si>
  <si>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</si>
  <si>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</si>
  <si>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</si>
  <si>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</si>
  <si>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</si>
  <si>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</si>
  <si>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</si>
  <si>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</si>
  <si>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</si>
  <si>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</si>
  <si>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</si>
  <si>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</si>
  <si>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</si>
  <si>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</si>
  <si>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</si>
  <si>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</si>
  <si>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</si>
  <si>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</si>
  <si>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</si>
  <si>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</si>
  <si>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</si>
  <si>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</si>
  <si>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</si>
  <si>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</si>
  <si>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</si>
  <si>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</si>
  <si>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</si>
  <si>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</si>
  <si>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</si>
  <si>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</si>
  <si>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</si>
  <si>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</si>
  <si>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</si>
  <si>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</si>
  <si>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</si>
  <si>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</si>
  <si>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</si>
  <si>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</si>
  <si>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</si>
  <si>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</si>
  <si>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</si>
  <si>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</si>
  <si>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</si>
  <si>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</si>
  <si>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</si>
  <si>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</si>
  <si>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</si>
  <si>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</si>
  <si>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</si>
  <si>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</si>
  <si>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</si>
  <si>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</si>
  <si>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</si>
  <si>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</si>
  <si>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</si>
  <si>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</si>
  <si>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</si>
  <si>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</si>
  <si>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</si>
  <si>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</si>
  <si>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</si>
  <si>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</si>
  <si>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</si>
  <si>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</si>
  <si>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</si>
  <si>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</si>
  <si>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</si>
  <si>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</si>
  <si>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</si>
  <si>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</si>
  <si>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</si>
  <si>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</si>
  <si>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</si>
  <si>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</si>
  <si>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</si>
  <si>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</si>
  <si>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</si>
  <si>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</si>
  <si>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</si>
  <si>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</si>
  <si>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</si>
  <si>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</si>
  <si>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</si>
  <si>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</si>
  <si>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</si>
  <si>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</si>
  <si>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</si>
  <si>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</si>
  <si>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</si>
  <si>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</si>
  <si>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</si>
  <si>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</si>
  <si>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</si>
  <si>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</si>
  <si>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</si>
  <si>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</si>
  <si>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</si>
  <si>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</si>
  <si>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</si>
  <si>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</si>
  <si>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</si>
  <si>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</si>
  <si>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</si>
  <si>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</si>
  <si>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</si>
  <si>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</si>
  <si>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</si>
  <si>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</si>
  <si>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</si>
  <si>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</si>
  <si>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</si>
  <si>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</si>
  <si>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</si>
  <si>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</si>
  <si>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</si>
  <si>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</si>
  <si>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</si>
  <si>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</si>
  <si>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</si>
  <si>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</si>
  <si>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</si>
  <si>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</si>
  <si>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</si>
  <si>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</si>
  <si>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</si>
  <si>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</si>
  <si>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</si>
  <si>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</si>
  <si>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</si>
  <si>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</si>
  <si>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</si>
  <si>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</si>
  <si>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</si>
  <si>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</si>
  <si>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</si>
  <si>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</si>
  <si>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</si>
  <si>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</si>
  <si>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</si>
  <si>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</si>
  <si>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</si>
  <si>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</si>
  <si>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</si>
  <si>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</si>
  <si>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덕산중고등학교 교사 이전 신축공사</t>
    <phoneticPr fontId="2" type="noConversion"/>
  </si>
  <si>
    <t>충청도</t>
  </si>
  <si>
    <t>기초공사, 골재비및운반비, 작업부산물, 품질시험비, 기타공사</t>
    <phoneticPr fontId="2" type="noConversion"/>
  </si>
  <si>
    <t>공조배관공사, 기타공사</t>
    <phoneticPr fontId="2" type="noConversion"/>
  </si>
  <si>
    <t>CCTV설비공사, 주차관제설비공사, 기타공사</t>
    <phoneticPr fontId="2" type="noConversion"/>
  </si>
  <si>
    <t xml:space="preserve"> 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</si>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</sst>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25609.73</v>
      </c>
      <c r="D7" s="36">
        <f>+C7/3.3058</f>
        <v>7746.9084639119119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774290</v>
      </c>
      <c r="E25" s="59">
        <f t="shared" si="0"/>
        <v>2559640</v>
      </c>
    </row>
    <row r="26" spans="1:5" x14ac:dyDescent="0.3">
      <c r="B26" s="2">
        <v>3</v>
      </c>
      <c r="C26" s="35" t="s">
        <v>95</v>
      </c>
      <c r="D26" s="45">
        <f>+D66</f>
        <v>8060</v>
      </c>
      <c r="E26" s="59">
        <f t="shared" si="0"/>
        <v>26640</v>
      </c>
    </row>
    <row r="27" spans="1:5" x14ac:dyDescent="0.3">
      <c r="B27" s="2">
        <v>4</v>
      </c>
      <c r="C27" s="35" t="s">
        <v>96</v>
      </c>
      <c r="D27" s="45">
        <f>+D95</f>
        <v>89680</v>
      </c>
      <c r="E27" s="59">
        <f t="shared" si="0"/>
        <v>296460</v>
      </c>
    </row>
    <row r="28" spans="1:5" x14ac:dyDescent="0.3">
      <c r="B28" s="2">
        <v>5</v>
      </c>
      <c r="C28" s="35" t="s">
        <v>97</v>
      </c>
      <c r="D28" s="45">
        <f>+D119</f>
        <v>141210</v>
      </c>
      <c r="E28" s="59">
        <f t="shared" si="0"/>
        <v>466810</v>
      </c>
    </row>
    <row r="29" spans="1:5" x14ac:dyDescent="0.3">
      <c r="B29" s="2">
        <v>6</v>
      </c>
      <c r="C29" s="35" t="s">
        <v>98</v>
      </c>
      <c r="D29" s="45">
        <f>+D133</f>
        <v>59740</v>
      </c>
      <c r="E29" s="59">
        <f t="shared" si="0"/>
        <v>197480</v>
      </c>
    </row>
    <row r="30" spans="1:5" x14ac:dyDescent="0.3">
      <c r="B30" s="2">
        <v>7</v>
      </c>
      <c r="C30" s="35" t="s">
        <v>99</v>
      </c>
      <c r="D30" s="45">
        <f>+D146</f>
        <v>46610</v>
      </c>
      <c r="E30" s="59">
        <f t="shared" si="0"/>
        <v>154080</v>
      </c>
    </row>
    <row r="31" spans="1:5" x14ac:dyDescent="0.3">
      <c r="B31" s="2">
        <v>8</v>
      </c>
      <c r="C31" s="35" t="s">
        <v>100</v>
      </c>
      <c r="D31" s="45">
        <f>+D154</f>
        <v>24820</v>
      </c>
      <c r="E31" s="59">
        <f t="shared" si="0"/>
        <v>82040</v>
      </c>
    </row>
    <row r="32" spans="1:5" x14ac:dyDescent="0.3">
      <c r="B32" s="2">
        <v>9</v>
      </c>
      <c r="C32" s="35" t="s">
        <v>101</v>
      </c>
      <c r="D32" s="45">
        <f>+D161</f>
        <v>25030</v>
      </c>
      <c r="E32" s="59">
        <f t="shared" si="0"/>
        <v>82740</v>
      </c>
    </row>
    <row r="33" spans="1:7" x14ac:dyDescent="0.3">
      <c r="B33" s="2">
        <v>10</v>
      </c>
      <c r="C33" s="35" t="s">
        <v>154</v>
      </c>
      <c r="D33" s="53">
        <f>TRUNC(SUM(D24:D32)*0.275,-1)</f>
        <v>321590</v>
      </c>
      <c r="E33" s="60">
        <f t="shared" si="0"/>
        <v>1063110</v>
      </c>
    </row>
    <row r="34" spans="1:7" x14ac:dyDescent="0.3">
      <c r="C34" s="35" t="s">
        <v>112</v>
      </c>
      <c r="D34" s="44">
        <f>SUM(D24:D33)</f>
        <v>1491030</v>
      </c>
      <c r="E34" s="44">
        <f>SUM(E24:E33)</f>
        <v>4929000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TRUNC(37439,-1)</f>
        <v>37430</v>
      </c>
      <c r="E40" s="62">
        <f t="shared" ref="E40:E59" si="1">TRUNC(+D40*3.3058,-1)</f>
        <v>123730</v>
      </c>
    </row>
    <row r="41" spans="1:7" x14ac:dyDescent="0.3">
      <c r="A41" s="2">
        <v>2</v>
      </c>
      <c r="C41" s="38" t="s">
        <v>13</v>
      </c>
      <c r="D41" s="42">
        <v>120240</v>
      </c>
      <c r="E41" s="63">
        <f t="shared" si="1"/>
        <v>397480</v>
      </c>
    </row>
    <row r="42" spans="1:7" x14ac:dyDescent="0.3">
      <c r="A42" s="2">
        <v>3</v>
      </c>
      <c r="C42" s="38" t="s">
        <v>14</v>
      </c>
      <c r="D42" s="42">
        <f>TRUNC(6718,-1)</f>
        <v>6710</v>
      </c>
      <c r="E42" s="63">
        <f t="shared" si="1"/>
        <v>22180</v>
      </c>
    </row>
    <row r="43" spans="1:7" x14ac:dyDescent="0.3">
      <c r="A43" s="2">
        <v>4</v>
      </c>
      <c r="C43" s="38" t="s">
        <v>16</v>
      </c>
      <c r="D43" s="42">
        <v>22440</v>
      </c>
      <c r="E43" s="63">
        <f t="shared" si="1"/>
        <v>74180</v>
      </c>
    </row>
    <row r="44" spans="1:7" x14ac:dyDescent="0.3">
      <c r="A44" s="2">
        <v>5</v>
      </c>
      <c r="C44" s="38" t="s">
        <v>17</v>
      </c>
      <c r="D44" s="42">
        <f>TRUNC(21112,-1)</f>
        <v>21110</v>
      </c>
      <c r="E44" s="63">
        <f t="shared" si="1"/>
        <v>69780</v>
      </c>
    </row>
    <row r="45" spans="1:7" x14ac:dyDescent="0.3">
      <c r="A45" s="2">
        <v>6</v>
      </c>
      <c r="C45" s="38" t="s">
        <v>18</v>
      </c>
      <c r="D45" s="42">
        <v>9320</v>
      </c>
      <c r="E45" s="63">
        <f t="shared" si="1"/>
        <v>30810</v>
      </c>
    </row>
    <row r="46" spans="1:7" x14ac:dyDescent="0.3">
      <c r="A46" s="2">
        <v>7</v>
      </c>
      <c r="C46" s="38" t="s">
        <v>19</v>
      </c>
      <c r="D46" s="42">
        <f>TRUNC(31329,-1)</f>
        <v>31320</v>
      </c>
      <c r="E46" s="63">
        <f t="shared" si="1"/>
        <v>103530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TRUNC(45922,-1)</f>
        <v>45920</v>
      </c>
      <c r="E48" s="63">
        <f t="shared" si="1"/>
        <v>151800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TRUNC(12813,-1)</f>
        <v>12810</v>
      </c>
      <c r="E49" s="63">
        <f t="shared" si="1"/>
        <v>42340</v>
      </c>
    </row>
    <row r="50" spans="1:7" x14ac:dyDescent="0.3">
      <c r="A50" s="2">
        <v>11</v>
      </c>
      <c r="C50" s="38" t="s">
        <v>155</v>
      </c>
      <c r="D50" s="42">
        <f>TRUNC(31529,-1)</f>
        <v>31520</v>
      </c>
      <c r="E50" s="63">
        <f t="shared" si="1"/>
        <v>104190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8060</v>
      </c>
      <c r="E52" s="63">
        <f t="shared" si="1"/>
        <v>26640</v>
      </c>
    </row>
    <row r="53" spans="1:7" x14ac:dyDescent="0.3">
      <c r="A53" s="2">
        <v>14</v>
      </c>
      <c r="C53" s="38" t="s">
        <v>25</v>
      </c>
      <c r="D53" s="42">
        <f>TRUNC(88032,-1)</f>
        <v>88030</v>
      </c>
      <c r="E53" s="63">
        <f t="shared" si="1"/>
        <v>291000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TRUNC(15743+7017-554+3804,-1)</f>
        <v>26010</v>
      </c>
      <c r="E58" s="63">
        <f t="shared" si="1"/>
        <v>85980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TRUNC(313375,-1)</f>
        <v>313370</v>
      </c>
      <c r="E59" s="64">
        <f t="shared" si="1"/>
        <v>1035930</v>
      </c>
    </row>
    <row r="60" spans="1:7" x14ac:dyDescent="0.3">
      <c r="A60" s="2">
        <v>21</v>
      </c>
      <c r="C60" s="27" t="s">
        <v>112</v>
      </c>
      <c r="D60" s="39">
        <f>SUM(D40:D59)</f>
        <v>774290</v>
      </c>
      <c r="E60" s="39">
        <f>SUM(E40:E59)</f>
        <v>2559570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TRUNC(8065,-1)</f>
        <v>8060</v>
      </c>
      <c r="E63" s="62">
        <f>TRUNC(+D63*3.3058,-1)</f>
        <v>26640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8060</v>
      </c>
      <c r="E66" s="65">
        <f>SUM(E63:E65)</f>
        <v>26640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TRUNC(1354,-1)</f>
        <v>1350</v>
      </c>
      <c r="E72" s="63">
        <f t="shared" si="2"/>
        <v>4460</v>
      </c>
    </row>
    <row r="73" spans="1:7" x14ac:dyDescent="0.3">
      <c r="A73" s="2">
        <v>5</v>
      </c>
      <c r="C73" s="38" t="s">
        <v>34</v>
      </c>
      <c r="D73" s="42">
        <f>TRUNC(14906,-1)</f>
        <v>14900</v>
      </c>
      <c r="E73" s="63">
        <f t="shared" si="2"/>
        <v>49250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TRUNC(40581,-1)</f>
        <v>40580</v>
      </c>
      <c r="E76" s="63">
        <f t="shared" si="2"/>
        <v>134140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TRUNC(7611,-1)</f>
        <v>7610</v>
      </c>
      <c r="E89" s="63">
        <f t="shared" si="2"/>
        <v>25150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TRUNC(3652,-1)</f>
        <v>3650</v>
      </c>
      <c r="E91" s="63">
        <f t="shared" si="2"/>
        <v>12060</v>
      </c>
    </row>
    <row r="92" spans="1:7" x14ac:dyDescent="0.3">
      <c r="A92" s="2">
        <v>24</v>
      </c>
      <c r="C92" s="38" t="s">
        <v>38</v>
      </c>
      <c r="D92" s="42">
        <f>TRUNC(15062,-1)</f>
        <v>15060</v>
      </c>
      <c r="E92" s="63">
        <f t="shared" si="2"/>
        <v>49780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TRUNC(825+5707,-1)</f>
        <v>6530</v>
      </c>
      <c r="E94" s="64">
        <f t="shared" si="2"/>
        <v>21580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89680</v>
      </c>
      <c r="E95" s="39">
        <f>SUM(E69:E94)</f>
        <v>296420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TRUNC(16707,-1)</f>
        <v>16700</v>
      </c>
      <c r="E98" s="62">
        <f t="shared" ref="E98:E118" si="3">TRUNC(+D98*3.3058,-1)</f>
        <v>55200</v>
      </c>
    </row>
    <row r="99" spans="1:7" x14ac:dyDescent="0.3">
      <c r="A99" s="2">
        <v>2</v>
      </c>
      <c r="C99" s="38" t="s">
        <v>40</v>
      </c>
      <c r="D99" s="42">
        <f>TRUNC(7624,-1)</f>
        <v>7620</v>
      </c>
      <c r="E99" s="63">
        <f t="shared" si="3"/>
        <v>25190</v>
      </c>
    </row>
    <row r="100" spans="1:7" x14ac:dyDescent="0.3">
      <c r="A100" s="2">
        <v>3</v>
      </c>
      <c r="C100" s="38" t="s">
        <v>41</v>
      </c>
      <c r="D100" s="42">
        <f>TRUNC(27252,-1)</f>
        <v>27250</v>
      </c>
      <c r="E100" s="63">
        <f t="shared" si="3"/>
        <v>90080</v>
      </c>
    </row>
    <row r="101" spans="1:7" x14ac:dyDescent="0.3">
      <c r="A101" s="2">
        <v>4</v>
      </c>
      <c r="C101" s="38" t="s">
        <v>42</v>
      </c>
      <c r="D101" s="42">
        <f>TRUNC(1425,-1)</f>
        <v>1420</v>
      </c>
      <c r="E101" s="63">
        <f t="shared" si="3"/>
        <v>4690</v>
      </c>
    </row>
    <row r="102" spans="1:7" x14ac:dyDescent="0.3">
      <c r="A102" s="2">
        <v>5</v>
      </c>
      <c r="C102" s="38" t="s">
        <v>43</v>
      </c>
      <c r="D102" s="42">
        <v>20530</v>
      </c>
      <c r="E102" s="63">
        <f t="shared" si="3"/>
        <v>67860</v>
      </c>
    </row>
    <row r="103" spans="1:7" x14ac:dyDescent="0.3">
      <c r="A103" s="2">
        <v>6</v>
      </c>
      <c r="C103" s="38" t="s">
        <v>44</v>
      </c>
      <c r="D103" s="42">
        <f>TRUNC(4497,-1)</f>
        <v>4490</v>
      </c>
      <c r="E103" s="63">
        <f t="shared" si="3"/>
        <v>14840</v>
      </c>
    </row>
    <row r="104" spans="1:7" x14ac:dyDescent="0.3">
      <c r="A104" s="2">
        <v>7</v>
      </c>
      <c r="C104" s="38" t="s">
        <v>45</v>
      </c>
      <c r="D104" s="42">
        <f>TRUNC(4026,-1)</f>
        <v>4020</v>
      </c>
      <c r="E104" s="63">
        <f t="shared" si="3"/>
        <v>13280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3050</v>
      </c>
      <c r="E114" s="63">
        <f t="shared" si="3"/>
        <v>10080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TRUNC(8446,-1)</f>
        <v>8440</v>
      </c>
      <c r="E116" s="63">
        <f t="shared" si="3"/>
        <v>27900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TRUNC(43129,-1)</f>
        <v>43120</v>
      </c>
      <c r="E117" s="63">
        <f t="shared" si="3"/>
        <v>142540</v>
      </c>
    </row>
    <row r="118" spans="1:7" ht="17.25" thickBot="1" x14ac:dyDescent="0.35">
      <c r="A118" s="2">
        <v>21</v>
      </c>
      <c r="C118" s="38" t="s">
        <v>47</v>
      </c>
      <c r="D118" s="43">
        <f>TRUNC(4574,-1)</f>
        <v>4570</v>
      </c>
      <c r="E118" s="64">
        <f t="shared" si="3"/>
        <v>15100</v>
      </c>
    </row>
    <row r="119" spans="1:7" x14ac:dyDescent="0.3">
      <c r="A119" s="2">
        <v>22</v>
      </c>
      <c r="C119" s="27" t="s">
        <v>112</v>
      </c>
      <c r="D119" s="39">
        <f>SUM(D98:D118)</f>
        <v>141210</v>
      </c>
      <c r="E119" s="39">
        <f>SUM(E98:E118)</f>
        <v>466760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TRUNC(3157,-1)</f>
        <v>3150</v>
      </c>
      <c r="E122" s="62">
        <f t="shared" ref="E122:E132" si="4">TRUNC(+D122*3.3058,-1)</f>
        <v>10410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870</v>
      </c>
      <c r="E124" s="63">
        <f t="shared" si="4"/>
        <v>2870</v>
      </c>
    </row>
    <row r="125" spans="1:7" x14ac:dyDescent="0.3">
      <c r="A125" s="2">
        <v>4</v>
      </c>
      <c r="C125" s="38" t="s">
        <v>138</v>
      </c>
      <c r="D125" s="42">
        <f>TRUNC(7152,-1)</f>
        <v>7150</v>
      </c>
      <c r="E125" s="63">
        <f t="shared" si="4"/>
        <v>23630</v>
      </c>
    </row>
    <row r="126" spans="1:7" x14ac:dyDescent="0.3">
      <c r="A126" s="2">
        <v>5</v>
      </c>
      <c r="C126" s="38" t="s">
        <v>53</v>
      </c>
      <c r="D126" s="42">
        <f>TRUNC(3625,-1)</f>
        <v>3620</v>
      </c>
      <c r="E126" s="63">
        <f t="shared" si="4"/>
        <v>11960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TRUNC(19676,-1)</f>
        <v>19670</v>
      </c>
      <c r="E130" s="63">
        <f t="shared" si="4"/>
        <v>65020</v>
      </c>
    </row>
    <row r="131" spans="1:7" x14ac:dyDescent="0.3">
      <c r="A131" s="2">
        <v>10</v>
      </c>
      <c r="C131" s="38" t="s">
        <v>148</v>
      </c>
      <c r="D131" s="42">
        <f>TRUNC(22527,-1)</f>
        <v>22520</v>
      </c>
      <c r="E131" s="63">
        <f t="shared" si="4"/>
        <v>74440</v>
      </c>
    </row>
    <row r="132" spans="1:7" ht="18" thickBot="1" x14ac:dyDescent="0.35">
      <c r="A132" s="2">
        <v>11</v>
      </c>
      <c r="C132" s="38" t="s">
        <v>47</v>
      </c>
      <c r="D132" s="43">
        <f>TRUNC(1143+266+1359,-1)</f>
        <v>2760</v>
      </c>
      <c r="E132" s="64">
        <f t="shared" si="4"/>
        <v>9120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59740</v>
      </c>
      <c r="E133" s="39">
        <f>SUM(E122:E132)</f>
        <v>197450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TRUNC(1338,-1)</f>
        <v>1330</v>
      </c>
      <c r="E137" s="63">
        <f t="shared" si="5"/>
        <v>4390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TRUNC(1653,-1)</f>
        <v>1650</v>
      </c>
      <c r="E139" s="63">
        <f t="shared" si="5"/>
        <v>5450</v>
      </c>
    </row>
    <row r="140" spans="1:7" x14ac:dyDescent="0.3">
      <c r="A140" s="2">
        <v>5</v>
      </c>
      <c r="C140" s="38" t="s">
        <v>57</v>
      </c>
      <c r="D140" s="42">
        <f>TRUNC(995,-1)</f>
        <v>990</v>
      </c>
      <c r="E140" s="63">
        <f t="shared" si="5"/>
        <v>3270</v>
      </c>
    </row>
    <row r="141" spans="1:7" x14ac:dyDescent="0.3">
      <c r="A141" s="2">
        <v>6</v>
      </c>
      <c r="C141" s="38" t="s">
        <v>59</v>
      </c>
      <c r="D141" s="42">
        <f>TRUNC(12927,-1)</f>
        <v>12920</v>
      </c>
      <c r="E141" s="63">
        <f t="shared" si="5"/>
        <v>42710</v>
      </c>
    </row>
    <row r="142" spans="1:7" x14ac:dyDescent="0.3">
      <c r="A142" s="2">
        <v>7</v>
      </c>
      <c r="C142" s="38" t="s">
        <v>58</v>
      </c>
      <c r="D142" s="42">
        <v>4980</v>
      </c>
      <c r="E142" s="63">
        <f t="shared" si="5"/>
        <v>16460</v>
      </c>
    </row>
    <row r="143" spans="1:7" x14ac:dyDescent="0.3">
      <c r="A143" s="2">
        <v>8</v>
      </c>
      <c r="C143" s="38" t="s">
        <v>62</v>
      </c>
      <c r="D143" s="42">
        <f>TRUNC(5372,-1)</f>
        <v>5370</v>
      </c>
      <c r="E143" s="63">
        <f t="shared" si="5"/>
        <v>17750</v>
      </c>
    </row>
    <row r="144" spans="1:7" x14ac:dyDescent="0.3">
      <c r="A144" s="2">
        <v>9</v>
      </c>
      <c r="C144" s="38" t="s">
        <v>63</v>
      </c>
      <c r="D144" s="42">
        <f>TRUNC(19372,-1)</f>
        <v>19370</v>
      </c>
      <c r="E144" s="63">
        <f t="shared" si="5"/>
        <v>64030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46610</v>
      </c>
      <c r="E146" s="39">
        <f>SUM(E136:E145)</f>
        <v>154060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TRUNC(6086+1483,-1)</f>
        <v>7560</v>
      </c>
      <c r="E149" s="62">
        <f>TRUNC(+D149*3.3058,-1)</f>
        <v>24990</v>
      </c>
    </row>
    <row r="150" spans="1:7" x14ac:dyDescent="0.3">
      <c r="A150" s="2">
        <v>2</v>
      </c>
      <c r="C150" s="38" t="s">
        <v>49</v>
      </c>
      <c r="D150" s="42">
        <f>TRUNC(5622,-1)</f>
        <v>5620</v>
      </c>
      <c r="E150" s="63">
        <f>TRUNC(+D150*3.3058,-1)</f>
        <v>18570</v>
      </c>
    </row>
    <row r="151" spans="1:7" x14ac:dyDescent="0.3">
      <c r="A151" s="2">
        <v>3</v>
      </c>
      <c r="C151" s="38" t="s">
        <v>50</v>
      </c>
      <c r="D151" s="42">
        <f>TRUNC(1691,-1)</f>
        <v>1690</v>
      </c>
      <c r="E151" s="63">
        <f>TRUNC(+D151*3.3058,-1)</f>
        <v>5580</v>
      </c>
    </row>
    <row r="152" spans="1:7" x14ac:dyDescent="0.3">
      <c r="A152" s="2">
        <v>4</v>
      </c>
      <c r="C152" s="38" t="s">
        <v>47</v>
      </c>
      <c r="D152" s="42">
        <f>TRUNC(8249+1704,-1)</f>
        <v>9950</v>
      </c>
      <c r="E152" s="63">
        <f>TRUNC(+D152*3.3058,-1)</f>
        <v>32890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24820</v>
      </c>
      <c r="E154" s="39">
        <f>SUM(E149:E153)</f>
        <v>82030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TRUNC(19017,-1)</f>
        <v>19010</v>
      </c>
      <c r="E157" s="62">
        <f>TRUNC(+D157*3.3058,-1)</f>
        <v>62840</v>
      </c>
    </row>
    <row r="158" spans="1:7" x14ac:dyDescent="0.3">
      <c r="A158" s="2">
        <v>2</v>
      </c>
      <c r="C158" s="38" t="s">
        <v>52</v>
      </c>
      <c r="D158" s="42">
        <f>TRUNC(5865,-1)</f>
        <v>5860</v>
      </c>
      <c r="E158" s="63">
        <f>TRUNC(+D158*3.3058,-1)</f>
        <v>19370</v>
      </c>
    </row>
    <row r="159" spans="1:7" x14ac:dyDescent="0.3">
      <c r="A159" s="2">
        <v>3</v>
      </c>
      <c r="C159" s="38" t="s">
        <v>47</v>
      </c>
      <c r="D159" s="42">
        <f>TRUNC(168,-1)</f>
        <v>160</v>
      </c>
      <c r="E159" s="63">
        <f>TRUNC(+D159*3.3058,-1)</f>
        <v>520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25030</v>
      </c>
      <c r="E161" s="39">
        <f>SUM(E157:E160)</f>
        <v>82730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2020-12-08T01:56:29Z</dcterms:modified>
</cp:coreProperties>
</file>