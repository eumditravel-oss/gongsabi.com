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44" i="4"/>
  <c r="D143" i="4"/>
  <c r="D142" i="4"/>
  <c r="D141" i="4"/>
  <c r="D140" i="4"/>
  <c r="D138" i="4"/>
  <c r="D137" i="4"/>
  <c r="D131" i="4"/>
  <c r="D132" i="4"/>
  <c r="D130" i="4"/>
  <c r="D128" i="4"/>
  <c r="D125" i="4"/>
  <c r="D124" i="4"/>
  <c r="D122" i="4"/>
  <c r="D117" i="4"/>
  <c r="D116" i="4"/>
  <c r="D114" i="4"/>
  <c r="D105" i="4"/>
  <c r="D104" i="4"/>
  <c r="D101" i="4"/>
  <c r="D100" i="4"/>
  <c r="D99" i="4"/>
  <c r="D98" i="4"/>
  <c r="D94" i="4"/>
  <c r="D92" i="4"/>
  <c r="D91" i="4"/>
  <c r="D90" i="4"/>
  <c r="D89" i="4"/>
  <c r="D76" i="4"/>
  <c r="D75" i="4"/>
  <c r="D73" i="4"/>
  <c r="D72" i="4"/>
  <c r="D70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<sst xmlns="http://schemas.openxmlformats.org/spreadsheetml/2006/main" count="393" uniqueCount="267">
  <si>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</si>
  <si>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</si>
  <si>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</si>
  <si>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</si>
  <si>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</si>
  <si>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</si>
  <si>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</si>
  <si>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</si>
  <si>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</si>
  <si>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</si>
  <si>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</si>
  <si>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</si>
  <si>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</si>
  <si>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</si>
  <si>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</si>
  <si>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</si>
  <si>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</si>
  <si>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</si>
  <si>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</si>
  <si>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</si>
  <si>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</si>
  <si>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</si>
  <si>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</si>
  <si>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</si>
  <si>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</si>
  <si>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</si>
  <si>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</si>
  <si>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</si>
  <si>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</si>
  <si>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</si>
  <si>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</si>
  <si>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</si>
  <si>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</si>
  <si>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</si>
  <si>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</si>
  <si>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</si>
  <si>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</si>
  <si>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</si>
  <si>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</si>
  <si>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</si>
  <si>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</si>
  <si>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</si>
  <si>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</si>
  <si>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</si>
  <si>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</si>
  <si>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</si>
  <si>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</si>
  <si>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</si>
  <si>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</si>
  <si>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</si>
  <si>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</si>
  <si>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</si>
  <si>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</si>
  <si>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</si>
  <si>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</si>
  <si>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</si>
  <si>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</si>
  <si>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</si>
  <si>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</si>
  <si>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</si>
  <si>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</si>
  <si>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</si>
  <si>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</si>
  <si>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</si>
  <si>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</si>
  <si>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</si>
  <si>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</si>
  <si>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</si>
  <si>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</si>
  <si>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</si>
  <si>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</si>
  <si>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</si>
  <si>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</si>
  <si>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</si>
  <si>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</si>
  <si>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</si>
  <si>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</si>
  <si>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</si>
  <si>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</si>
  <si>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</si>
  <si>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</si>
  <si>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</si>
  <si>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</si>
  <si>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</si>
  <si>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</si>
  <si>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</si>
  <si>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</si>
  <si>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</si>
  <si>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</si>
  <si>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</si>
  <si>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</si>
  <si>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</si>
  <si>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</si>
  <si>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</si>
  <si>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</si>
  <si>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</si>
  <si>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</si>
  <si>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</si>
  <si>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</si>
  <si>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</si>
  <si>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</si>
  <si>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</si>
  <si>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</si>
  <si>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</si>
  <si>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</si>
  <si>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</si>
  <si>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</si>
  <si>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</si>
  <si>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</si>
  <si>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</si>
  <si>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</si>
  <si>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</si>
  <si>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</si>
  <si>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</si>
  <si>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</si>
  <si>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</si>
  <si>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</si>
  <si>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</si>
  <si>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</si>
  <si>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</si>
  <si>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</si>
  <si>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</si>
  <si>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</si>
  <si>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</si>
  <si>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</si>
  <si>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</si>
  <si>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</si>
  <si>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</si>
  <si>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</si>
  <si>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</si>
  <si>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</si>
  <si>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</si>
  <si>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</si>
  <si>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</si>
  <si>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</si>
  <si>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</si>
  <si>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</si>
  <si>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</si>
  <si>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</si>
  <si>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</si>
  <si>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</si>
  <si>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</si>
  <si>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</si>
  <si>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</si>
  <si>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</si>
  <si>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</si>
  <si>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</si>
  <si>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</si>
  <si>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</si>
  <si>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</si>
  <si>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</si>
  <si>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</si>
  <si>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</si>
  <si>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</si>
  <si>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</si>
  <si>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</si>
  <si>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</si>
  <si>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</si>
  <si>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</si>
  <si>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</si>
  <si>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</si>
  <si>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</si>
  <si>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</si>
  <si>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</si>
  <si>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</si>
  <si>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</si>
  <si>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</si>
  <si>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</si>
  <si>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</si>
  <si>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</si>
  <si>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</si>
  <si>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</si>
  <si>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</si>
  <si>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</si>
  <si>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</si>
  <si>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</si>
  <si>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</si>
  <si>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</si>
  <si>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</si>
  <si>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</si>
  <si>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</si>
  <si>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</si>
  <si>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</si>
  <si>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</si>
  <si>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</si>
  <si>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</si>
  <si>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</si>
  <si>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</si>
  <si>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</si>
  <si>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</si>
  <si>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</si>
  <si>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</si>
  <si>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</si>
  <si>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</si>
  <si>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</si>
  <si>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</si>
  <si>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</si>
  <si>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</si>
  <si>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</si>
  <si>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</si>
  <si>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</si>
  <si>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</si>
  <si>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</si>
  <si>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</si>
  <si>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</si>
  <si>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</si>
  <si>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</si>
  <si>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</si>
  <si>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</si>
  <si>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</si>
  <si>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</si>
  <si>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</si>
  <si>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</si>
  <si>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</si>
  <si>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</si>
  <si>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</si>
  <si>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</si>
  <si>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</si>
  <si>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</si>
  <si>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</si>
  <si>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</si>
  <si>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</si>
  <si>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</si>
  <si>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</si>
  <si>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</si>
  <si>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</si>
  <si>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</si>
  <si>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</si>
  <si>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</si>
  <si>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</si>
  <si>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</si>
  <si>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</si>
  <si>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</si>
  <si>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</si>
  <si>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</si>
  <si>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</si>
  <si>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</si>
  <si>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</si>
  <si>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</si>
  <si>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</si>
  <si>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</si>
  <si>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</si>
  <si>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</si>
  <si>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</si>
  <si>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</si>
  <si>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</si>
  <si>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</si>
  <si>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</si>
  <si>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</si>
  <si>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</si>
  <si>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</si>
  <si>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</si>
  <si>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</si>
  <si>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</si>
  <si>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</si>
  <si>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업무</t>
  </si>
  <si>
    <t xml:space="preserve"> 전주지방법원청사 신축 공사</t>
    <phoneticPr fontId="2" type="noConversion"/>
  </si>
  <si>
    <t>전라도</t>
  </si>
  <si>
    <t>골재비및운반비, 작업부산물, 품질시험비, 기타공사</t>
    <phoneticPr fontId="2" type="noConversion"/>
  </si>
  <si>
    <t>공조배관공사, 우수처리시설공사, 기타공사</t>
    <phoneticPr fontId="2" type="noConversion"/>
  </si>
  <si>
    <t>CCTV설비공사, 주차관제설비공사, 기타공사</t>
    <phoneticPr fontId="2" type="noConversion"/>
  </si>
  <si>
    <t>옥외소화배관공사, 펌프실배관공사, 제연덕트설치공사, 무선통신보조설비공사, 기타공사</t>
    <phoneticPr fontId="2" type="noConversion"/>
  </si>
  <si>
    <t>사급자재비,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</si>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</sst>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38934.019999999997</v>
      </c>
      <c r="D7" s="36">
        <f>+C7/3.3058</f>
        <v>11777.488051303768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937610</v>
      </c>
      <c r="E25" s="59">
        <f t="shared" si="0"/>
        <v>3099550</v>
      </c>
    </row>
    <row r="26" spans="1:5" x14ac:dyDescent="0.3">
      <c r="B26" s="2">
        <v>3</v>
      </c>
      <c r="C26" s="35" t="s">
        <v>95</v>
      </c>
      <c r="D26" s="45">
        <f>+D66</f>
        <v>23950</v>
      </c>
      <c r="E26" s="59">
        <f t="shared" si="0"/>
        <v>79170</v>
      </c>
    </row>
    <row r="27" spans="1:5" x14ac:dyDescent="0.3">
      <c r="B27" s="2">
        <v>4</v>
      </c>
      <c r="C27" s="35" t="s">
        <v>96</v>
      </c>
      <c r="D27" s="45">
        <f>+D95</f>
        <v>276230</v>
      </c>
      <c r="E27" s="59">
        <f t="shared" si="0"/>
        <v>913160</v>
      </c>
    </row>
    <row r="28" spans="1:5" x14ac:dyDescent="0.3">
      <c r="B28" s="2">
        <v>5</v>
      </c>
      <c r="C28" s="35" t="s">
        <v>97</v>
      </c>
      <c r="D28" s="45">
        <f>+D119</f>
        <v>182050</v>
      </c>
      <c r="E28" s="59">
        <f t="shared" si="0"/>
        <v>601820</v>
      </c>
    </row>
    <row r="29" spans="1:5" x14ac:dyDescent="0.3">
      <c r="B29" s="2">
        <v>6</v>
      </c>
      <c r="C29" s="35" t="s">
        <v>98</v>
      </c>
      <c r="D29" s="45">
        <f>+D133</f>
        <v>85120</v>
      </c>
      <c r="E29" s="59">
        <f t="shared" si="0"/>
        <v>281380</v>
      </c>
    </row>
    <row r="30" spans="1:5" x14ac:dyDescent="0.3">
      <c r="B30" s="2">
        <v>7</v>
      </c>
      <c r="C30" s="35" t="s">
        <v>99</v>
      </c>
      <c r="D30" s="45">
        <f>+D146</f>
        <v>69680</v>
      </c>
      <c r="E30" s="59">
        <f t="shared" si="0"/>
        <v>230340</v>
      </c>
    </row>
    <row r="31" spans="1:5" x14ac:dyDescent="0.3">
      <c r="B31" s="2">
        <v>8</v>
      </c>
      <c r="C31" s="35" t="s">
        <v>100</v>
      </c>
      <c r="D31" s="45">
        <f>+D154</f>
        <v>13370</v>
      </c>
      <c r="E31" s="59">
        <f t="shared" si="0"/>
        <v>44190</v>
      </c>
    </row>
    <row r="32" spans="1:5" x14ac:dyDescent="0.3">
      <c r="B32" s="2">
        <v>9</v>
      </c>
      <c r="C32" s="35" t="s">
        <v>101</v>
      </c>
      <c r="D32" s="45">
        <f>+D161</f>
        <v>88130</v>
      </c>
      <c r="E32" s="59">
        <f t="shared" si="0"/>
        <v>291340</v>
      </c>
    </row>
    <row r="33" spans="1:7" x14ac:dyDescent="0.3">
      <c r="B33" s="2">
        <v>10</v>
      </c>
      <c r="C33" s="35" t="s">
        <v>155</v>
      </c>
      <c r="D33" s="53">
        <f>TRUNC(SUM(D24:D32)*0.275,-1)</f>
        <v>460930</v>
      </c>
      <c r="E33" s="60">
        <f t="shared" si="0"/>
        <v>1523740</v>
      </c>
    </row>
    <row r="34" spans="1:7" x14ac:dyDescent="0.3">
      <c r="C34" s="35" t="s">
        <v>112</v>
      </c>
      <c r="D34" s="44">
        <f>SUM(D24:D33)</f>
        <v>2137070</v>
      </c>
      <c r="E34" s="44">
        <f>SUM(E24:E33)</f>
        <v>7064690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TRUNC(41719,-1)</f>
        <v>41710</v>
      </c>
      <c r="E40" s="62">
        <f t="shared" ref="E40:E59" si="1">TRUNC(+D40*3.3058,-1)</f>
        <v>137880</v>
      </c>
    </row>
    <row r="41" spans="1:7" x14ac:dyDescent="0.3">
      <c r="A41" s="2">
        <v>2</v>
      </c>
      <c r="C41" s="38" t="s">
        <v>13</v>
      </c>
      <c r="D41" s="42">
        <f>TRUNC(102263,-1)</f>
        <v>102260</v>
      </c>
      <c r="E41" s="63">
        <f t="shared" si="1"/>
        <v>338050</v>
      </c>
    </row>
    <row r="42" spans="1:7" x14ac:dyDescent="0.3">
      <c r="A42" s="2">
        <v>3</v>
      </c>
      <c r="C42" s="38" t="s">
        <v>14</v>
      </c>
      <c r="D42" s="42">
        <f>TRUNC(17558,-1)</f>
        <v>17550</v>
      </c>
      <c r="E42" s="63">
        <f t="shared" si="1"/>
        <v>58010</v>
      </c>
    </row>
    <row r="43" spans="1:7" x14ac:dyDescent="0.3">
      <c r="A43" s="2">
        <v>4</v>
      </c>
      <c r="C43" s="38" t="s">
        <v>16</v>
      </c>
      <c r="D43" s="42">
        <f>TRUNC(15363,-1)</f>
        <v>15360</v>
      </c>
      <c r="E43" s="63">
        <f t="shared" si="1"/>
        <v>50770</v>
      </c>
    </row>
    <row r="44" spans="1:7" x14ac:dyDescent="0.3">
      <c r="A44" s="2">
        <v>5</v>
      </c>
      <c r="C44" s="38" t="s">
        <v>17</v>
      </c>
      <c r="D44" s="42">
        <f>TRUNC(19393,-1)</f>
        <v>19390</v>
      </c>
      <c r="E44" s="63">
        <f t="shared" si="1"/>
        <v>64090</v>
      </c>
    </row>
    <row r="45" spans="1:7" x14ac:dyDescent="0.3">
      <c r="A45" s="2">
        <v>6</v>
      </c>
      <c r="C45" s="38" t="s">
        <v>18</v>
      </c>
      <c r="D45" s="42">
        <f>TRUNC(2598,-1)</f>
        <v>2590</v>
      </c>
      <c r="E45" s="63">
        <f t="shared" si="1"/>
        <v>8560</v>
      </c>
    </row>
    <row r="46" spans="1:7" x14ac:dyDescent="0.3">
      <c r="A46" s="2">
        <v>7</v>
      </c>
      <c r="C46" s="38" t="s">
        <v>19</v>
      </c>
      <c r="D46" s="42">
        <f>TRUNC(35423,-1)</f>
        <v>35420</v>
      </c>
      <c r="E46" s="63">
        <f t="shared" si="1"/>
        <v>117090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TRUNC(62187,-1)</f>
        <v>62180</v>
      </c>
      <c r="E48" s="63">
        <f t="shared" si="1"/>
        <v>205550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TRUNC(16943,-1)</f>
        <v>16940</v>
      </c>
      <c r="E49" s="63">
        <f t="shared" si="1"/>
        <v>56000</v>
      </c>
    </row>
    <row r="50" spans="1:7" x14ac:dyDescent="0.3">
      <c r="A50" s="2">
        <v>11</v>
      </c>
      <c r="C50" s="38" t="s">
        <v>156</v>
      </c>
      <c r="D50" s="42">
        <f>TRUNC(44112,-1)</f>
        <v>44110</v>
      </c>
      <c r="E50" s="63">
        <f t="shared" si="1"/>
        <v>145810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TRUNC(7874,-1)</f>
        <v>7870</v>
      </c>
      <c r="E52" s="63">
        <f t="shared" si="1"/>
        <v>26010</v>
      </c>
    </row>
    <row r="53" spans="1:7" x14ac:dyDescent="0.3">
      <c r="A53" s="2">
        <v>14</v>
      </c>
      <c r="C53" s="38" t="s">
        <v>25</v>
      </c>
      <c r="D53" s="42">
        <f>TRUNC(134074,-1)</f>
        <v>134070</v>
      </c>
      <c r="E53" s="63">
        <f t="shared" si="1"/>
        <v>443200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TRUNC(3292-373+2833+31461,-1)</f>
        <v>37210</v>
      </c>
      <c r="E58" s="63">
        <f t="shared" si="1"/>
        <v>123000</v>
      </c>
      <c r="F58" s="2" t="s">
        <v>258</v>
      </c>
    </row>
    <row r="59" spans="1:7" ht="17.25" thickBot="1" x14ac:dyDescent="0.35">
      <c r="A59" s="2">
        <v>20</v>
      </c>
      <c r="C59" s="38" t="s">
        <v>149</v>
      </c>
      <c r="D59" s="43">
        <f>TRUNC(400952,-1)</f>
        <v>400950</v>
      </c>
      <c r="E59" s="64">
        <f t="shared" si="1"/>
        <v>1325460</v>
      </c>
    </row>
    <row r="60" spans="1:7" x14ac:dyDescent="0.3">
      <c r="A60" s="2">
        <v>21</v>
      </c>
      <c r="C60" s="27" t="s">
        <v>112</v>
      </c>
      <c r="D60" s="39">
        <f>SUM(D40:D59)</f>
        <v>937610</v>
      </c>
      <c r="E60" s="39">
        <f>SUM(E40:E59)</f>
        <v>3099480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TRUNC(23959,-1)</f>
        <v>23950</v>
      </c>
      <c r="E63" s="62">
        <f>TRUNC(+D63*3.3058,-1)</f>
        <v>79170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23950</v>
      </c>
      <c r="E66" s="65">
        <f>SUM(E63:E65)</f>
        <v>79170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v>14300</v>
      </c>
      <c r="E69" s="62">
        <f t="shared" ref="E69:E94" si="2">TRUNC(+D69*3.3058,-1)</f>
        <v>47270</v>
      </c>
    </row>
    <row r="70" spans="1:7" ht="16.5" customHeight="1" x14ac:dyDescent="0.3">
      <c r="A70" s="2">
        <v>2</v>
      </c>
      <c r="C70" s="38" t="s">
        <v>31</v>
      </c>
      <c r="D70" s="42">
        <f>TRUNC(1067,-1)</f>
        <v>1060</v>
      </c>
      <c r="E70" s="63">
        <f t="shared" si="2"/>
        <v>3500</v>
      </c>
    </row>
    <row r="71" spans="1:7" x14ac:dyDescent="0.3">
      <c r="A71" s="2">
        <v>3</v>
      </c>
      <c r="C71" s="38" t="s">
        <v>32</v>
      </c>
      <c r="D71" s="42">
        <v>27220</v>
      </c>
      <c r="E71" s="63">
        <f t="shared" si="2"/>
        <v>89980</v>
      </c>
    </row>
    <row r="72" spans="1:7" x14ac:dyDescent="0.3">
      <c r="A72" s="2">
        <v>4</v>
      </c>
      <c r="C72" s="38" t="s">
        <v>33</v>
      </c>
      <c r="D72" s="42">
        <f>TRUNC(2009,-1)</f>
        <v>2000</v>
      </c>
      <c r="E72" s="63">
        <f t="shared" si="2"/>
        <v>6610</v>
      </c>
    </row>
    <row r="73" spans="1:7" x14ac:dyDescent="0.3">
      <c r="A73" s="2">
        <v>5</v>
      </c>
      <c r="C73" s="38" t="s">
        <v>34</v>
      </c>
      <c r="D73" s="42">
        <f>TRUNC(8545,-1)</f>
        <v>8540</v>
      </c>
      <c r="E73" s="63">
        <f t="shared" si="2"/>
        <v>28230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TRUNC(1154,-1)</f>
        <v>1150</v>
      </c>
      <c r="E75" s="63">
        <f t="shared" si="2"/>
        <v>3800</v>
      </c>
    </row>
    <row r="76" spans="1:7" x14ac:dyDescent="0.3">
      <c r="A76" s="2">
        <v>8</v>
      </c>
      <c r="C76" s="38" t="s">
        <v>119</v>
      </c>
      <c r="D76" s="42">
        <f>TRUNC(49567,-1)</f>
        <v>49560</v>
      </c>
      <c r="E76" s="63">
        <f t="shared" si="2"/>
        <v>163830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TRUNC(11242,-1)</f>
        <v>11240</v>
      </c>
      <c r="E89" s="63">
        <f t="shared" si="2"/>
        <v>37150</v>
      </c>
    </row>
    <row r="90" spans="1:7" x14ac:dyDescent="0.3">
      <c r="A90" s="2">
        <v>22</v>
      </c>
      <c r="C90" s="38" t="s">
        <v>36</v>
      </c>
      <c r="D90" s="42">
        <f>TRUNC(2837,-1)</f>
        <v>2830</v>
      </c>
      <c r="E90" s="63">
        <f t="shared" si="2"/>
        <v>9350</v>
      </c>
    </row>
    <row r="91" spans="1:7" x14ac:dyDescent="0.3">
      <c r="A91" s="2">
        <v>23</v>
      </c>
      <c r="C91" s="38" t="s">
        <v>37</v>
      </c>
      <c r="D91" s="42">
        <f>TRUNC(80533,-1)</f>
        <v>80530</v>
      </c>
      <c r="E91" s="63">
        <f t="shared" si="2"/>
        <v>266210</v>
      </c>
    </row>
    <row r="92" spans="1:7" x14ac:dyDescent="0.3">
      <c r="A92" s="2">
        <v>24</v>
      </c>
      <c r="C92" s="38" t="s">
        <v>38</v>
      </c>
      <c r="D92" s="42">
        <f>TRUNC(5021,-1)</f>
        <v>5020</v>
      </c>
      <c r="E92" s="63">
        <f t="shared" si="2"/>
        <v>16590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TRUNC(61511+1462+9811,-1)</f>
        <v>72780</v>
      </c>
      <c r="E94" s="64">
        <f t="shared" si="2"/>
        <v>240590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276230</v>
      </c>
      <c r="E95" s="39">
        <f>SUM(E69:E94)</f>
        <v>913110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TRUNC(17837,-1)</f>
        <v>17830</v>
      </c>
      <c r="E98" s="62">
        <f t="shared" ref="E98:E118" si="3">TRUNC(+D98*3.3058,-1)</f>
        <v>58940</v>
      </c>
    </row>
    <row r="99" spans="1:7" x14ac:dyDescent="0.3">
      <c r="A99" s="2">
        <v>2</v>
      </c>
      <c r="C99" s="38" t="s">
        <v>40</v>
      </c>
      <c r="D99" s="42">
        <f>TRUNC(14464,-1)</f>
        <v>14460</v>
      </c>
      <c r="E99" s="63">
        <f t="shared" si="3"/>
        <v>47800</v>
      </c>
    </row>
    <row r="100" spans="1:7" x14ac:dyDescent="0.3">
      <c r="A100" s="2">
        <v>3</v>
      </c>
      <c r="C100" s="38" t="s">
        <v>41</v>
      </c>
      <c r="D100" s="42">
        <f>TRUNC(37628,-1)</f>
        <v>37620</v>
      </c>
      <c r="E100" s="63">
        <f t="shared" si="3"/>
        <v>124360</v>
      </c>
    </row>
    <row r="101" spans="1:7" x14ac:dyDescent="0.3">
      <c r="A101" s="2">
        <v>4</v>
      </c>
      <c r="C101" s="38" t="s">
        <v>42</v>
      </c>
      <c r="D101" s="42">
        <f>TRUNC(1194,-1)</f>
        <v>1190</v>
      </c>
      <c r="E101" s="63">
        <f t="shared" si="3"/>
        <v>3930</v>
      </c>
    </row>
    <row r="102" spans="1:7" x14ac:dyDescent="0.3">
      <c r="A102" s="2">
        <v>5</v>
      </c>
      <c r="C102" s="38" t="s">
        <v>43</v>
      </c>
      <c r="D102" s="42">
        <v>14980</v>
      </c>
      <c r="E102" s="63">
        <f t="shared" si="3"/>
        <v>49520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TRUNC(671,-1)</f>
        <v>670</v>
      </c>
      <c r="E104" s="63">
        <f t="shared" si="3"/>
        <v>2210</v>
      </c>
    </row>
    <row r="105" spans="1:7" x14ac:dyDescent="0.3">
      <c r="A105" s="2">
        <v>8</v>
      </c>
      <c r="C105" s="38" t="s">
        <v>46</v>
      </c>
      <c r="D105" s="42">
        <f>TRUNC(3213,-1)</f>
        <v>3210</v>
      </c>
      <c r="E105" s="63">
        <f t="shared" si="3"/>
        <v>10610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TRUNC(2879,-1)</f>
        <v>2870</v>
      </c>
      <c r="E114" s="63">
        <f t="shared" si="3"/>
        <v>9480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TRUNC(3714,-1)</f>
        <v>3710</v>
      </c>
      <c r="E116" s="63">
        <f t="shared" si="3"/>
        <v>12260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TRUNC(84788,-1)</f>
        <v>84780</v>
      </c>
      <c r="E117" s="63">
        <f t="shared" si="3"/>
        <v>280260</v>
      </c>
    </row>
    <row r="118" spans="1:7" ht="17.25" thickBot="1" x14ac:dyDescent="0.35">
      <c r="A118" s="2">
        <v>21</v>
      </c>
      <c r="C118" s="38" t="s">
        <v>47</v>
      </c>
      <c r="D118" s="43">
        <v>730</v>
      </c>
      <c r="E118" s="64">
        <f t="shared" si="3"/>
        <v>2410</v>
      </c>
    </row>
    <row r="119" spans="1:7" x14ac:dyDescent="0.3">
      <c r="A119" s="2">
        <v>22</v>
      </c>
      <c r="C119" s="27" t="s">
        <v>112</v>
      </c>
      <c r="D119" s="39">
        <f>SUM(D98:D118)</f>
        <v>182050</v>
      </c>
      <c r="E119" s="39">
        <f>SUM(E98:E118)</f>
        <v>601780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TRUNC(3704,-1)</f>
        <v>3700</v>
      </c>
      <c r="E122" s="62">
        <f t="shared" ref="E122:E132" si="4">TRUNC(+D122*3.3058,-1)</f>
        <v>12230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TRUNC(2039,-1)</f>
        <v>2030</v>
      </c>
      <c r="E124" s="63">
        <f t="shared" si="4"/>
        <v>6710</v>
      </c>
    </row>
    <row r="125" spans="1:7" x14ac:dyDescent="0.3">
      <c r="A125" s="2">
        <v>4</v>
      </c>
      <c r="C125" s="38" t="s">
        <v>138</v>
      </c>
      <c r="D125" s="42">
        <f>TRUNC(5735,-1)</f>
        <v>5730</v>
      </c>
      <c r="E125" s="63">
        <f t="shared" si="4"/>
        <v>18940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TRUNC(3174,-1)</f>
        <v>3170</v>
      </c>
      <c r="E128" s="63">
        <f t="shared" si="4"/>
        <v>10470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TRUNC(17915,-1)</f>
        <v>17910</v>
      </c>
      <c r="E130" s="63">
        <f t="shared" si="4"/>
        <v>59200</v>
      </c>
    </row>
    <row r="131" spans="1:7" x14ac:dyDescent="0.3">
      <c r="A131" s="2">
        <v>10</v>
      </c>
      <c r="C131" s="38" t="s">
        <v>149</v>
      </c>
      <c r="D131" s="42">
        <f>TRUNC(42662,-1)</f>
        <v>42660</v>
      </c>
      <c r="E131" s="63">
        <f t="shared" si="4"/>
        <v>141020</v>
      </c>
    </row>
    <row r="132" spans="1:7" ht="18" thickBot="1" x14ac:dyDescent="0.35">
      <c r="A132" s="2">
        <v>11</v>
      </c>
      <c r="C132" s="38" t="s">
        <v>47</v>
      </c>
      <c r="D132" s="43">
        <f>TRUNC(2277+432+7215,-1)</f>
        <v>9920</v>
      </c>
      <c r="E132" s="64">
        <f t="shared" si="4"/>
        <v>32790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85120</v>
      </c>
      <c r="E133" s="39">
        <f>SUM(E122:E132)</f>
        <v>281360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TRUNC(241+543+4791+2193+291,-1)</f>
        <v>8050</v>
      </c>
      <c r="E137" s="63">
        <f t="shared" si="5"/>
        <v>26610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f>TRUNC(4723,-1)</f>
        <v>4720</v>
      </c>
      <c r="E138" s="63">
        <f t="shared" si="5"/>
        <v>15600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TRUNC(568,-1)</f>
        <v>560</v>
      </c>
      <c r="E140" s="63">
        <f t="shared" si="5"/>
        <v>1850</v>
      </c>
    </row>
    <row r="141" spans="1:7" x14ac:dyDescent="0.3">
      <c r="A141" s="2">
        <v>6</v>
      </c>
      <c r="C141" s="38" t="s">
        <v>59</v>
      </c>
      <c r="D141" s="42">
        <f>TRUNC(29089,-1)</f>
        <v>29080</v>
      </c>
      <c r="E141" s="63">
        <f t="shared" si="5"/>
        <v>96130</v>
      </c>
    </row>
    <row r="142" spans="1:7" x14ac:dyDescent="0.3">
      <c r="A142" s="2">
        <v>7</v>
      </c>
      <c r="C142" s="38" t="s">
        <v>58</v>
      </c>
      <c r="D142" s="42">
        <f>TRUNC(4586,-1)</f>
        <v>4580</v>
      </c>
      <c r="E142" s="63">
        <f t="shared" si="5"/>
        <v>15140</v>
      </c>
    </row>
    <row r="143" spans="1:7" x14ac:dyDescent="0.3">
      <c r="A143" s="2">
        <v>8</v>
      </c>
      <c r="C143" s="38" t="s">
        <v>62</v>
      </c>
      <c r="D143" s="42">
        <f>TRUNC(5145,-1)</f>
        <v>5140</v>
      </c>
      <c r="E143" s="63">
        <f t="shared" si="5"/>
        <v>16990</v>
      </c>
    </row>
    <row r="144" spans="1:7" x14ac:dyDescent="0.3">
      <c r="A144" s="2">
        <v>9</v>
      </c>
      <c r="C144" s="38" t="s">
        <v>63</v>
      </c>
      <c r="D144" s="42">
        <f>TRUNC(17552,-1)</f>
        <v>17550</v>
      </c>
      <c r="E144" s="63">
        <f t="shared" si="5"/>
        <v>58010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69680</v>
      </c>
      <c r="E146" s="39">
        <f>SUM(E136:E145)</f>
        <v>230330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TRUNC(3845+1107,-1)</f>
        <v>4950</v>
      </c>
      <c r="E149" s="62">
        <f>TRUNC(+D149*3.3058,-1)</f>
        <v>16360</v>
      </c>
    </row>
    <row r="150" spans="1:7" x14ac:dyDescent="0.3">
      <c r="A150" s="2">
        <v>2</v>
      </c>
      <c r="C150" s="38" t="s">
        <v>49</v>
      </c>
      <c r="D150" s="42">
        <f>TRUNC(2029,-1)</f>
        <v>2020</v>
      </c>
      <c r="E150" s="63">
        <f>TRUNC(+D150*3.3058,-1)</f>
        <v>6670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TRUNC(2479+3925,-1)</f>
        <v>6400</v>
      </c>
      <c r="E152" s="63">
        <f>TRUNC(+D152*3.3058,-1)</f>
        <v>21150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13370</v>
      </c>
      <c r="E154" s="39">
        <f>SUM(E149:E153)</f>
        <v>44180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TRUNC(49757,-1)</f>
        <v>49750</v>
      </c>
      <c r="E157" s="62">
        <f>TRUNC(+D157*3.3058,-1)</f>
        <v>164460</v>
      </c>
    </row>
    <row r="158" spans="1:7" x14ac:dyDescent="0.3">
      <c r="A158" s="2">
        <v>2</v>
      </c>
      <c r="C158" s="38" t="s">
        <v>52</v>
      </c>
      <c r="D158" s="42">
        <f>TRUNC(30545,-1)</f>
        <v>30540</v>
      </c>
      <c r="E158" s="63">
        <f>TRUNC(+D158*3.3058,-1)</f>
        <v>100950</v>
      </c>
    </row>
    <row r="159" spans="1:7" x14ac:dyDescent="0.3">
      <c r="A159" s="2">
        <v>3</v>
      </c>
      <c r="C159" s="38" t="s">
        <v>47</v>
      </c>
      <c r="D159" s="42">
        <f>TRUNC(7849,-1)</f>
        <v>7840</v>
      </c>
      <c r="E159" s="63">
        <f>TRUNC(+D159*3.3058,-1)</f>
        <v>25910</v>
      </c>
      <c r="F159" s="2" t="s">
        <v>263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88130</v>
      </c>
      <c r="E161" s="39">
        <f>SUM(E157:E160)</f>
        <v>291320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2020-12-08T01:28:06Z</dcterms:modified>
</cp:coreProperties>
</file>