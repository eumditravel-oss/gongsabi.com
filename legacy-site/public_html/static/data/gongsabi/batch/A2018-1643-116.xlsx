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0" i="4"/>
  <c r="D149" i="4"/>
  <c r="D137" i="4"/>
  <c r="D144" i="4"/>
  <c r="D143" i="4"/>
  <c r="D139" i="4"/>
  <c r="D141" i="4"/>
  <c r="D142" i="4"/>
  <c r="D140" i="4"/>
  <c r="D128" i="4"/>
  <c r="D125" i="4"/>
  <c r="D122" i="4"/>
  <c r="D130" i="4"/>
  <c r="D105" i="4"/>
  <c r="D104" i="4"/>
  <c r="D102" i="4"/>
  <c r="D100" i="4"/>
  <c r="D99" i="4"/>
  <c r="D114" i="4"/>
  <c r="D98" i="4"/>
  <c r="D116" i="4"/>
  <c r="D92" i="4"/>
  <c r="D91" i="4"/>
  <c r="D89" i="4"/>
  <c r="D73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93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19" i="4"/>
  <c r="E95" i="4"/>
  <c r="E60" i="4"/>
  <c r="E133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<sst xmlns="http://schemas.openxmlformats.org/spreadsheetml/2006/main" count="393" uniqueCount="268">
  <si>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</si>
  <si>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</si>
  <si>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</si>
  <si>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</si>
  <si>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</si>
  <si>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</si>
  <si>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</si>
  <si>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</si>
  <si>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</si>
  <si>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</si>
  <si>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</si>
  <si>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</si>
  <si>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</si>
  <si>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</si>
  <si>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</si>
  <si>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</si>
  <si>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</si>
  <si>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</si>
  <si>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</si>
  <si>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</si>
  <si>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</si>
  <si>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</si>
  <si>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</si>
  <si>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</si>
  <si>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</si>
  <si>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</si>
  <si>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</si>
  <si>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</si>
  <si>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</si>
  <si>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</si>
  <si>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</si>
  <si>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</si>
  <si>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</si>
  <si>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</si>
  <si>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</si>
  <si>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</si>
  <si>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</si>
  <si>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</si>
  <si>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</si>
  <si>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</si>
  <si>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</si>
  <si>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</si>
  <si>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</si>
  <si>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</si>
  <si>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</si>
  <si>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</si>
  <si>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</si>
  <si>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</si>
  <si>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</si>
  <si>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</si>
  <si>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</si>
  <si>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</si>
  <si>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</si>
  <si>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</si>
  <si>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</si>
  <si>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</si>
  <si>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</si>
  <si>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</si>
  <si>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</si>
  <si>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</si>
  <si>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</si>
  <si>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</si>
  <si>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</si>
  <si>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</si>
  <si>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</si>
  <si>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</si>
  <si>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</si>
  <si>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</si>
  <si>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</si>
  <si>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</si>
  <si>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</si>
  <si>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</si>
  <si>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</si>
  <si>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</si>
  <si>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</si>
  <si>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</si>
  <si>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</si>
  <si>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</si>
  <si>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</si>
  <si>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</si>
  <si>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</si>
  <si>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</si>
  <si>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</si>
  <si>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</si>
  <si>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</si>
  <si>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</si>
  <si>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</si>
  <si>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</si>
  <si>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</si>
  <si>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</si>
  <si>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</si>
  <si>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</si>
  <si>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</si>
  <si>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</si>
  <si>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</si>
  <si>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</si>
  <si>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</si>
  <si>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</si>
  <si>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</si>
  <si>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</si>
  <si>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</si>
  <si>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</si>
  <si>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</si>
  <si>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</si>
  <si>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</si>
  <si>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</si>
  <si>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</si>
  <si>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</si>
  <si>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</si>
  <si>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</si>
  <si>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</si>
  <si>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</si>
  <si>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</si>
  <si>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</si>
  <si>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</si>
  <si>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</si>
  <si>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</si>
  <si>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</si>
  <si>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</si>
  <si>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</si>
  <si>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</si>
  <si>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</si>
  <si>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</si>
  <si>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</si>
  <si>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</si>
  <si>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</si>
  <si>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</si>
  <si>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</si>
  <si>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</si>
  <si>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</si>
  <si>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</si>
  <si>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</si>
  <si>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</si>
  <si>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</si>
  <si>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</si>
  <si>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</si>
  <si>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</si>
  <si>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</si>
  <si>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</si>
  <si>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</si>
  <si>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</si>
  <si>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</si>
  <si>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</si>
  <si>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</si>
  <si>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</si>
  <si>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</si>
  <si>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</si>
  <si>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</si>
  <si>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</si>
  <si>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</si>
  <si>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</si>
  <si>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</si>
  <si>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</si>
  <si>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</si>
  <si>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</si>
  <si>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</si>
  <si>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</si>
  <si>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</si>
  <si>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</si>
  <si>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</si>
  <si>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</si>
  <si>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</si>
  <si>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</si>
  <si>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</si>
  <si>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</si>
  <si>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</si>
  <si>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</si>
  <si>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</si>
  <si>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</si>
  <si>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</si>
  <si>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</si>
  <si>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</si>
  <si>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</si>
  <si>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</si>
  <si>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</si>
  <si>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</si>
  <si>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</si>
  <si>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</si>
  <si>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</si>
  <si>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</si>
  <si>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</si>
  <si>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</si>
  <si>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</si>
  <si>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</si>
  <si>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</si>
  <si>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</si>
  <si>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</si>
  <si>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</si>
  <si>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</si>
  <si>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</si>
  <si>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</si>
  <si>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</si>
  <si>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</si>
  <si>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</si>
  <si>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</si>
  <si>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</si>
  <si>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</si>
  <si>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</si>
  <si>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</si>
  <si>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</si>
  <si>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</si>
  <si>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</si>
  <si>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</si>
  <si>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</si>
  <si>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</si>
  <si>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</si>
  <si>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</si>
  <si>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</si>
  <si>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</si>
  <si>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</si>
  <si>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</si>
  <si>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</si>
  <si>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</si>
  <si>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</si>
  <si>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</si>
  <si>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</si>
  <si>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</si>
  <si>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</si>
  <si>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</si>
  <si>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</si>
  <si>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</si>
  <si>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</si>
  <si>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</si>
  <si>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</si>
  <si>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</si>
  <si>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</si>
  <si>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</si>
  <si>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</si>
  <si>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</si>
  <si>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</si>
  <si>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</si>
  <si>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</si>
  <si>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</si>
  <si>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</si>
  <si>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</si>
  <si>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</si>
  <si>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</si>
  <si>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</si>
  <si>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</si>
  <si>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</si>
  <si>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</si>
  <si>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</si>
  <si>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</si>
  <si>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</si>
  <si>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</si>
  <si>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</si>
  <si>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</si>
  <si>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</si>
  <si>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수협중앙회 인천 소비지 분산물류센터 신축공사</t>
    <phoneticPr fontId="2" type="noConversion"/>
  </si>
  <si>
    <t>창고</t>
  </si>
  <si>
    <t>인천시</t>
  </si>
  <si>
    <t>기초공사,해체및철거공사,폐기물처리비,골재비및운반비,작업부산물,품질시험비,기타공사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</si>
  <si>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</si>
  <si>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</si>
  <si>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</si>
  <si>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</si>
  <si>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</si>
  <si>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펌프실배관공사,제연덕트설치공사</t>
    <phoneticPr fontId="2" type="noConversion"/>
  </si>
  <si>
    <t>우수공사,오수공사</t>
    <phoneticPr fontId="2" type="noConversion"/>
  </si>
  <si>
    <t>포장공사,기타공사</t>
    <phoneticPr fontId="2" type="noConversion"/>
  </si>
  <si>
    <t>조경시설물</t>
    <phoneticPr fontId="2" type="noConversion"/>
  </si>
  <si>
    <t>상수도공사,사급자재비,운반비,기타공사</t>
    <phoneticPr fontId="2" type="noConversion"/>
  </si>
  <si>
    <t>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</si>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</sst>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16782.23</v>
      </c>
      <c r="D7" s="36">
        <f>+C7/3.3058</f>
        <v>5076.6017302922137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1013810</v>
      </c>
      <c r="E25" s="59">
        <f t="shared" si="0"/>
        <v>3351450</v>
      </c>
    </row>
    <row r="26" spans="1:5" x14ac:dyDescent="0.3">
      <c r="B26" s="2">
        <v>3</v>
      </c>
      <c r="C26" s="35" t="s">
        <v>95</v>
      </c>
      <c r="D26" s="45">
        <f>+D66</f>
        <v>5040</v>
      </c>
      <c r="E26" s="59">
        <f t="shared" si="0"/>
        <v>16660</v>
      </c>
    </row>
    <row r="27" spans="1:5" x14ac:dyDescent="0.3">
      <c r="B27" s="2">
        <v>4</v>
      </c>
      <c r="C27" s="35" t="s">
        <v>96</v>
      </c>
      <c r="D27" s="45">
        <f>+D95</f>
        <v>191730</v>
      </c>
      <c r="E27" s="59">
        <f t="shared" si="0"/>
        <v>633820</v>
      </c>
    </row>
    <row r="28" spans="1:5" x14ac:dyDescent="0.3">
      <c r="B28" s="2">
        <v>5</v>
      </c>
      <c r="C28" s="35" t="s">
        <v>97</v>
      </c>
      <c r="D28" s="45">
        <f>+D119</f>
        <v>156620</v>
      </c>
      <c r="E28" s="59">
        <f t="shared" si="0"/>
        <v>517750</v>
      </c>
    </row>
    <row r="29" spans="1:5" x14ac:dyDescent="0.3">
      <c r="B29" s="2">
        <v>6</v>
      </c>
      <c r="C29" s="35" t="s">
        <v>98</v>
      </c>
      <c r="D29" s="45">
        <f>+D133</f>
        <v>14480</v>
      </c>
      <c r="E29" s="59">
        <f t="shared" si="0"/>
        <v>47860</v>
      </c>
    </row>
    <row r="30" spans="1:5" x14ac:dyDescent="0.3">
      <c r="B30" s="2">
        <v>7</v>
      </c>
      <c r="C30" s="35" t="s">
        <v>99</v>
      </c>
      <c r="D30" s="45">
        <f>+D146</f>
        <v>42440</v>
      </c>
      <c r="E30" s="59">
        <f t="shared" si="0"/>
        <v>140290</v>
      </c>
    </row>
    <row r="31" spans="1:5" x14ac:dyDescent="0.3">
      <c r="B31" s="2">
        <v>8</v>
      </c>
      <c r="C31" s="35" t="s">
        <v>100</v>
      </c>
      <c r="D31" s="45">
        <f>+D154</f>
        <v>16670</v>
      </c>
      <c r="E31" s="59">
        <f t="shared" si="0"/>
        <v>55100</v>
      </c>
    </row>
    <row r="32" spans="1:5" x14ac:dyDescent="0.3">
      <c r="B32" s="2">
        <v>9</v>
      </c>
      <c r="C32" s="35" t="s">
        <v>101</v>
      </c>
      <c r="D32" s="45">
        <f>+D161</f>
        <v>25620</v>
      </c>
      <c r="E32" s="59">
        <f t="shared" si="0"/>
        <v>84690</v>
      </c>
    </row>
    <row r="33" spans="1:7" x14ac:dyDescent="0.3">
      <c r="B33" s="2">
        <v>10</v>
      </c>
      <c r="C33" s="35" t="s">
        <v>154</v>
      </c>
      <c r="D33" s="53">
        <f>TRUNC(SUM(D24:D32)*0.275,-1)</f>
        <v>403260</v>
      </c>
      <c r="E33" s="60">
        <f t="shared" si="0"/>
        <v>1333090</v>
      </c>
    </row>
    <row r="34" spans="1:7" x14ac:dyDescent="0.3">
      <c r="C34" s="35" t="s">
        <v>112</v>
      </c>
      <c r="D34" s="44">
        <f>SUM(D24:D33)</f>
        <v>1869670</v>
      </c>
      <c r="E34" s="44">
        <f>SUM(E24:E33)</f>
        <v>6180710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TRUNC(75570,-1)</f>
        <v>75570</v>
      </c>
      <c r="E40" s="62">
        <f t="shared" ref="E40:E59" si="1">TRUNC(+D40*3.3058,-1)</f>
        <v>249810</v>
      </c>
    </row>
    <row r="41" spans="1:7" x14ac:dyDescent="0.3">
      <c r="A41" s="2">
        <v>2</v>
      </c>
      <c r="C41" s="38" t="s">
        <v>13</v>
      </c>
      <c r="D41" s="42">
        <f>TRUNC(176430,-1)</f>
        <v>176430</v>
      </c>
      <c r="E41" s="63">
        <f t="shared" si="1"/>
        <v>583240</v>
      </c>
    </row>
    <row r="42" spans="1:7" x14ac:dyDescent="0.3">
      <c r="A42" s="2">
        <v>3</v>
      </c>
      <c r="C42" s="38" t="s">
        <v>14</v>
      </c>
      <c r="D42" s="42">
        <f>TRUNC(5991,-1)</f>
        <v>5990</v>
      </c>
      <c r="E42" s="63">
        <f t="shared" si="1"/>
        <v>19800</v>
      </c>
    </row>
    <row r="43" spans="1:7" x14ac:dyDescent="0.3">
      <c r="A43" s="2">
        <v>4</v>
      </c>
      <c r="C43" s="38" t="s">
        <v>16</v>
      </c>
      <c r="D43" s="42">
        <f>TRUNC(11161,-1)</f>
        <v>11160</v>
      </c>
      <c r="E43" s="63">
        <f t="shared" si="1"/>
        <v>36890</v>
      </c>
    </row>
    <row r="44" spans="1:7" x14ac:dyDescent="0.3">
      <c r="A44" s="2">
        <v>5</v>
      </c>
      <c r="C44" s="38" t="s">
        <v>17</v>
      </c>
      <c r="D44" s="42">
        <f>TRUNC(25264,-1)</f>
        <v>25260</v>
      </c>
      <c r="E44" s="63">
        <f t="shared" si="1"/>
        <v>83500</v>
      </c>
    </row>
    <row r="45" spans="1:7" x14ac:dyDescent="0.3">
      <c r="A45" s="2">
        <v>6</v>
      </c>
      <c r="C45" s="38" t="s">
        <v>18</v>
      </c>
      <c r="D45" s="42">
        <f>TRUNC(1465,-1)</f>
        <v>1460</v>
      </c>
      <c r="E45" s="63">
        <f t="shared" si="1"/>
        <v>4820</v>
      </c>
    </row>
    <row r="46" spans="1:7" x14ac:dyDescent="0.3">
      <c r="A46" s="2">
        <v>7</v>
      </c>
      <c r="C46" s="38" t="s">
        <v>19</v>
      </c>
      <c r="D46" s="42">
        <f>TRUNC(4363,-1)</f>
        <v>4360</v>
      </c>
      <c r="E46" s="63">
        <f t="shared" si="1"/>
        <v>14410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TRUNC(37089,-1)</f>
        <v>37080</v>
      </c>
      <c r="E48" s="63">
        <f t="shared" si="1"/>
        <v>122570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TRUNC(23398,-1)</f>
        <v>23390</v>
      </c>
      <c r="E49" s="63">
        <f t="shared" si="1"/>
        <v>77320</v>
      </c>
    </row>
    <row r="50" spans="1:7" x14ac:dyDescent="0.3">
      <c r="A50" s="2">
        <v>11</v>
      </c>
      <c r="C50" s="38" t="s">
        <v>155</v>
      </c>
      <c r="D50" s="42">
        <f>TRUNC(13468,-1)</f>
        <v>13460</v>
      </c>
      <c r="E50" s="63">
        <f t="shared" si="1"/>
        <v>44490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TRUNC(59032,-1)</f>
        <v>59030</v>
      </c>
      <c r="E52" s="63">
        <f t="shared" si="1"/>
        <v>195140</v>
      </c>
    </row>
    <row r="53" spans="1:7" x14ac:dyDescent="0.3">
      <c r="A53" s="2">
        <v>14</v>
      </c>
      <c r="C53" s="38" t="s">
        <v>25</v>
      </c>
      <c r="D53" s="42">
        <f>TRUNC(38854,-1)</f>
        <v>38850</v>
      </c>
      <c r="E53" s="63">
        <f t="shared" si="1"/>
        <v>128430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TRUNC(41581+10338+12595+3586-1155+618+157284,-1)</f>
        <v>224840</v>
      </c>
      <c r="E58" s="63">
        <f t="shared" si="1"/>
        <v>743270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TRUNC(316938,-1)</f>
        <v>316930</v>
      </c>
      <c r="E59" s="64">
        <f t="shared" si="1"/>
        <v>1047700</v>
      </c>
    </row>
    <row r="60" spans="1:7" x14ac:dyDescent="0.3">
      <c r="A60" s="2">
        <v>21</v>
      </c>
      <c r="C60" s="27" t="s">
        <v>112</v>
      </c>
      <c r="D60" s="39">
        <f>SUM(D40:D59)</f>
        <v>1013810</v>
      </c>
      <c r="E60" s="39">
        <f>SUM(E40:E59)</f>
        <v>3351390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TRUNC(5044,-1)</f>
        <v>5040</v>
      </c>
      <c r="E63" s="62">
        <f>TRUNC(+D63*3.3058,-1)</f>
        <v>16660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5040</v>
      </c>
      <c r="E66" s="65">
        <f>SUM(E63:E65)</f>
        <v>16660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TRUNC(1613,-1)</f>
        <v>1610</v>
      </c>
      <c r="E69" s="62">
        <f t="shared" ref="E69:E94" si="2">TRUNC(+D69*3.3058,-1)</f>
        <v>5320</v>
      </c>
    </row>
    <row r="70" spans="1:7" ht="16.5" customHeight="1" x14ac:dyDescent="0.3">
      <c r="A70" s="2">
        <v>2</v>
      </c>
      <c r="C70" s="38" t="s">
        <v>31</v>
      </c>
      <c r="D70" s="42">
        <f>TRUNC(45,-1)</f>
        <v>40</v>
      </c>
      <c r="E70" s="63">
        <f t="shared" si="2"/>
        <v>130</v>
      </c>
    </row>
    <row r="71" spans="1:7" x14ac:dyDescent="0.3">
      <c r="A71" s="2">
        <v>3</v>
      </c>
      <c r="C71" s="38" t="s">
        <v>32</v>
      </c>
      <c r="D71" s="42">
        <f>TRUNC(726,-1)</f>
        <v>720</v>
      </c>
      <c r="E71" s="63">
        <f t="shared" si="2"/>
        <v>2380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TRUNC(1132,-1)</f>
        <v>1130</v>
      </c>
      <c r="E73" s="63">
        <f t="shared" si="2"/>
        <v>3730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TRUNC(3298,-1)</f>
        <v>3290</v>
      </c>
      <c r="E89" s="63">
        <f t="shared" si="2"/>
        <v>10870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TRUNC(6497,-1)</f>
        <v>6490</v>
      </c>
      <c r="E91" s="63">
        <f t="shared" si="2"/>
        <v>21450</v>
      </c>
    </row>
    <row r="92" spans="1:7" x14ac:dyDescent="0.3">
      <c r="A92" s="2">
        <v>24</v>
      </c>
      <c r="C92" s="38" t="s">
        <v>38</v>
      </c>
      <c r="D92" s="42">
        <f>TRUNC(956,-1)</f>
        <v>950</v>
      </c>
      <c r="E92" s="63">
        <f t="shared" si="2"/>
        <v>3140</v>
      </c>
    </row>
    <row r="93" spans="1:7" x14ac:dyDescent="0.3">
      <c r="A93" s="2">
        <v>25</v>
      </c>
      <c r="C93" s="38" t="s">
        <v>148</v>
      </c>
      <c r="D93" s="42">
        <f>TRUNC(19516,-1)</f>
        <v>19510</v>
      </c>
      <c r="E93" s="63">
        <f t="shared" si="2"/>
        <v>64490</v>
      </c>
    </row>
    <row r="94" spans="1:7" ht="17.25" thickBot="1" x14ac:dyDescent="0.35">
      <c r="A94" s="2">
        <v>26</v>
      </c>
      <c r="C94" s="38" t="s">
        <v>47</v>
      </c>
      <c r="D94" s="43">
        <f>TRUNC(1469+156206+315,-1)</f>
        <v>157990</v>
      </c>
      <c r="E94" s="64">
        <f t="shared" si="2"/>
        <v>522280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191730</v>
      </c>
      <c r="E95" s="39">
        <f>SUM(E69:E94)</f>
        <v>633790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TRUNC(14603,-1)</f>
        <v>14600</v>
      </c>
      <c r="E98" s="62">
        <f t="shared" ref="E98:E118" si="3">TRUNC(+D98*3.3058,-1)</f>
        <v>48260</v>
      </c>
    </row>
    <row r="99" spans="1:7" x14ac:dyDescent="0.3">
      <c r="A99" s="2">
        <v>2</v>
      </c>
      <c r="C99" s="38" t="s">
        <v>40</v>
      </c>
      <c r="D99" s="42">
        <f>TRUNC(5792,-1)</f>
        <v>5790</v>
      </c>
      <c r="E99" s="63">
        <f t="shared" si="3"/>
        <v>19140</v>
      </c>
    </row>
    <row r="100" spans="1:7" x14ac:dyDescent="0.3">
      <c r="A100" s="2">
        <v>3</v>
      </c>
      <c r="C100" s="38" t="s">
        <v>41</v>
      </c>
      <c r="D100" s="42">
        <f>TRUNC(21913,-1)</f>
        <v>21910</v>
      </c>
      <c r="E100" s="63">
        <f t="shared" si="3"/>
        <v>72430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TRUNC(4381,-1)</f>
        <v>4380</v>
      </c>
      <c r="E102" s="63">
        <f t="shared" si="3"/>
        <v>14470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TRUNC(9894,-1)</f>
        <v>9890</v>
      </c>
      <c r="E104" s="63">
        <f t="shared" si="3"/>
        <v>32690</v>
      </c>
    </row>
    <row r="105" spans="1:7" x14ac:dyDescent="0.3">
      <c r="A105" s="2">
        <v>8</v>
      </c>
      <c r="C105" s="38" t="s">
        <v>46</v>
      </c>
      <c r="D105" s="42">
        <f>TRUNC(3303,-1)</f>
        <v>3300</v>
      </c>
      <c r="E105" s="63">
        <f t="shared" si="3"/>
        <v>10900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TRUNC(1781,-1)</f>
        <v>1780</v>
      </c>
      <c r="E114" s="63">
        <f t="shared" si="3"/>
        <v>5880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TRUNC(18958,-1)</f>
        <v>18950</v>
      </c>
      <c r="E116" s="63">
        <f t="shared" si="3"/>
        <v>62640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TRUNC(76020,-1)</f>
        <v>76020</v>
      </c>
      <c r="E117" s="63">
        <f t="shared" si="3"/>
        <v>251300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156620</v>
      </c>
      <c r="E119" s="39">
        <f>SUM(E98:E118)</f>
        <v>517710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TRUNC(2321,-1)</f>
        <v>2320</v>
      </c>
      <c r="E122" s="62">
        <f t="shared" ref="E122:E132" si="4">TRUNC(+D122*3.3058,-1)</f>
        <v>7660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TRUNC(2626,-1)</f>
        <v>2620</v>
      </c>
      <c r="E125" s="63">
        <f t="shared" si="4"/>
        <v>8660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TRUNC(522,-1)</f>
        <v>520</v>
      </c>
      <c r="E128" s="63">
        <f t="shared" si="4"/>
        <v>1710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TRUNC(7921,-1)</f>
        <v>7920</v>
      </c>
      <c r="E130" s="63">
        <f t="shared" si="4"/>
        <v>26180</v>
      </c>
    </row>
    <row r="131" spans="1:7" x14ac:dyDescent="0.3">
      <c r="A131" s="2">
        <v>10</v>
      </c>
      <c r="C131" s="38" t="s">
        <v>148</v>
      </c>
      <c r="D131" s="42">
        <f>TRUNC(1101,-1)</f>
        <v>1100</v>
      </c>
      <c r="E131" s="63">
        <f t="shared" si="4"/>
        <v>3630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14480</v>
      </c>
      <c r="E133" s="39">
        <f>SUM(E122:E132)</f>
        <v>47840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TRUNC(1179+1754,-1)</f>
        <v>2930</v>
      </c>
      <c r="E137" s="63">
        <f t="shared" si="5"/>
        <v>9680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TRUNC(1418,-1)</f>
        <v>1410</v>
      </c>
      <c r="E139" s="63">
        <f t="shared" si="5"/>
        <v>4660</v>
      </c>
    </row>
    <row r="140" spans="1:7" x14ac:dyDescent="0.3">
      <c r="A140" s="2">
        <v>5</v>
      </c>
      <c r="C140" s="38" t="s">
        <v>57</v>
      </c>
      <c r="D140" s="42">
        <f>TRUNC(1011,-1)</f>
        <v>1010</v>
      </c>
      <c r="E140" s="63">
        <f t="shared" si="5"/>
        <v>3330</v>
      </c>
    </row>
    <row r="141" spans="1:7" x14ac:dyDescent="0.3">
      <c r="A141" s="2">
        <v>6</v>
      </c>
      <c r="C141" s="38" t="s">
        <v>59</v>
      </c>
      <c r="D141" s="42">
        <f>TRUNC(15273,-1)</f>
        <v>15270</v>
      </c>
      <c r="E141" s="63">
        <f t="shared" si="5"/>
        <v>50470</v>
      </c>
    </row>
    <row r="142" spans="1:7" x14ac:dyDescent="0.3">
      <c r="A142" s="2">
        <v>7</v>
      </c>
      <c r="C142" s="38" t="s">
        <v>58</v>
      </c>
      <c r="D142" s="42">
        <f>TRUNC(4299,-1)</f>
        <v>4290</v>
      </c>
      <c r="E142" s="63">
        <f t="shared" si="5"/>
        <v>14180</v>
      </c>
    </row>
    <row r="143" spans="1:7" x14ac:dyDescent="0.3">
      <c r="A143" s="2">
        <v>8</v>
      </c>
      <c r="C143" s="38" t="s">
        <v>62</v>
      </c>
      <c r="D143" s="42">
        <f>TRUNC(2626,-1)</f>
        <v>2620</v>
      </c>
      <c r="E143" s="63">
        <f t="shared" si="5"/>
        <v>8660</v>
      </c>
    </row>
    <row r="144" spans="1:7" x14ac:dyDescent="0.3">
      <c r="A144" s="2">
        <v>9</v>
      </c>
      <c r="C144" s="38" t="s">
        <v>63</v>
      </c>
      <c r="D144" s="42">
        <f>TRUNC(14915,-1)</f>
        <v>14910</v>
      </c>
      <c r="E144" s="63">
        <f t="shared" si="5"/>
        <v>49280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42440</v>
      </c>
      <c r="E146" s="39">
        <f>SUM(E136:E145)</f>
        <v>140260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TRUNC(1039+1255,-1)</f>
        <v>2290</v>
      </c>
      <c r="E149" s="62">
        <f>TRUNC(+D149*3.3058,-1)</f>
        <v>7570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TRUNC(1733,-1)</f>
        <v>1730</v>
      </c>
      <c r="E150" s="63">
        <f>TRUNC(+D150*3.3058,-1)</f>
        <v>5710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TRUNC(424+2869+10+9349,-1)</f>
        <v>12650</v>
      </c>
      <c r="E152" s="63">
        <f>TRUNC(+D152*3.3058,-1)</f>
        <v>41810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16670</v>
      </c>
      <c r="E154" s="39">
        <f>SUM(E149:E153)</f>
        <v>55090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TRUNC(16565,-1)</f>
        <v>16560</v>
      </c>
      <c r="E157" s="62">
        <f>TRUNC(+D157*3.3058,-1)</f>
        <v>54740</v>
      </c>
    </row>
    <row r="158" spans="1:7" x14ac:dyDescent="0.3">
      <c r="A158" s="2">
        <v>2</v>
      </c>
      <c r="C158" s="38" t="s">
        <v>52</v>
      </c>
      <c r="D158" s="42">
        <f>TRUNC(7051,-1)</f>
        <v>7050</v>
      </c>
      <c r="E158" s="63">
        <f>TRUNC(+D158*3.3058,-1)</f>
        <v>23300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TRUNC(2007+6,-1)</f>
        <v>2010</v>
      </c>
      <c r="E159" s="63">
        <f>TRUNC(+D159*3.3058,-1)</f>
        <v>6640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25620</v>
      </c>
      <c r="E161" s="39">
        <f>SUM(E157:E160)</f>
        <v>84680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2020-12-08T02:36:01Z</dcterms:modified>
</cp:coreProperties>
</file>