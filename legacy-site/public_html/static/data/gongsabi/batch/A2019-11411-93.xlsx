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52" i="4"/>
  <c r="D131" i="4"/>
  <c r="D130" i="4"/>
  <c r="D117" i="4"/>
  <c r="D116" i="4"/>
  <c r="D93" i="4"/>
  <c r="D92" i="4"/>
  <c r="D59" i="4"/>
  <c r="D58" i="4"/>
  <c r="D151" i="4"/>
  <c r="D150" i="4"/>
  <c r="D149" i="4"/>
  <c r="D143" i="4"/>
  <c r="D142" i="4"/>
  <c r="D140" i="4"/>
  <c r="D139" i="4"/>
  <c r="D137" i="4"/>
  <c r="D132" i="4"/>
  <c r="D128" i="4"/>
  <c r="D126" i="4"/>
  <c r="D124" i="4"/>
  <c r="D122" i="4"/>
  <c r="D118" i="4"/>
  <c r="D114" i="4"/>
  <c r="D105" i="4"/>
  <c r="D104" i="4"/>
  <c r="D103" i="4"/>
  <c r="D102" i="4"/>
  <c r="D100" i="4"/>
  <c r="D99" i="4"/>
  <c r="D98" i="4"/>
  <c r="D94" i="4"/>
  <c r="D91" i="4"/>
  <c r="D89" i="4"/>
  <c r="D76" i="4"/>
  <c r="D73" i="4"/>
  <c r="D72" i="4"/>
  <c r="D70" i="4"/>
  <c r="D69" i="4"/>
  <c r="D63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<sst xmlns="http://schemas.openxmlformats.org/spreadsheetml/2006/main" count="391" uniqueCount="265">
  <si>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</si>
  <si>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</si>
  <si>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</si>
  <si>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</si>
  <si>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</si>
  <si>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</si>
  <si>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</si>
  <si>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</si>
  <si>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</si>
  <si>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</si>
  <si>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</si>
  <si>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</si>
  <si>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</si>
  <si>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</si>
  <si>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</si>
  <si>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</si>
  <si>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</si>
  <si>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</si>
  <si>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</si>
  <si>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</si>
  <si>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</si>
  <si>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</si>
  <si>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</si>
  <si>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</si>
  <si>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</si>
  <si>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</si>
  <si>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</si>
  <si>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</si>
  <si>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</si>
  <si>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</si>
  <si>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</si>
  <si>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</si>
  <si>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</si>
  <si>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</si>
  <si>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</si>
  <si>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</si>
  <si>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</si>
  <si>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</si>
  <si>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</si>
  <si>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</si>
  <si>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</si>
  <si>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</si>
  <si>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</si>
  <si>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</si>
  <si>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</si>
  <si>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</si>
  <si>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</si>
  <si>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</si>
  <si>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</si>
  <si>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</si>
  <si>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</si>
  <si>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</si>
  <si>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</si>
  <si>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</si>
  <si>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</si>
  <si>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</si>
  <si>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</si>
  <si>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</si>
  <si>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</si>
  <si>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</si>
  <si>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</si>
  <si>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</si>
  <si>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</si>
  <si>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</si>
  <si>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</si>
  <si>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</si>
  <si>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</si>
  <si>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</si>
  <si>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</si>
  <si>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</si>
  <si>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</si>
  <si>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</si>
  <si>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</si>
  <si>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</si>
  <si>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</si>
  <si>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</si>
  <si>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</si>
  <si>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</si>
  <si>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</si>
  <si>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</si>
  <si>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</si>
  <si>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</si>
  <si>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</si>
  <si>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</si>
  <si>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</si>
  <si>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</si>
  <si>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</si>
  <si>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</si>
  <si>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</si>
  <si>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</si>
  <si>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</si>
  <si>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</si>
  <si>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</si>
  <si>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</si>
  <si>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</si>
  <si>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</si>
  <si>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</si>
  <si>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</si>
  <si>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</si>
  <si>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</si>
  <si>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</si>
  <si>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</si>
  <si>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</si>
  <si>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</si>
  <si>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</si>
  <si>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</si>
  <si>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</si>
  <si>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</si>
  <si>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</si>
  <si>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</si>
  <si>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</si>
  <si>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</si>
  <si>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</si>
  <si>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</si>
  <si>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</si>
  <si>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</si>
  <si>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</si>
  <si>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</si>
  <si>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</si>
  <si>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</si>
  <si>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</si>
  <si>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</si>
  <si>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</si>
  <si>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</si>
  <si>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</si>
  <si>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</si>
  <si>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</si>
  <si>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</si>
  <si>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</si>
  <si>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</si>
  <si>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</si>
  <si>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</si>
  <si>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</si>
  <si>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</si>
  <si>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</si>
  <si>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</si>
  <si>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</si>
  <si>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</si>
  <si>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</si>
  <si>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</si>
  <si>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</si>
  <si>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</si>
  <si>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</si>
  <si>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</si>
  <si>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</si>
  <si>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</si>
  <si>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</si>
  <si>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</si>
  <si>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</si>
  <si>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</si>
  <si>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</si>
  <si>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</si>
  <si>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</si>
  <si>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</si>
  <si>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</si>
  <si>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</si>
  <si>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</si>
  <si>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</si>
  <si>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</si>
  <si>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</si>
  <si>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</si>
  <si>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</si>
  <si>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</si>
  <si>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</si>
  <si>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</si>
  <si>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</si>
  <si>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</si>
  <si>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</si>
  <si>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</si>
  <si>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</si>
  <si>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</si>
  <si>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</si>
  <si>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</si>
  <si>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</si>
  <si>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</si>
  <si>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</si>
  <si>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</si>
  <si>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</si>
  <si>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</si>
  <si>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</si>
  <si>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</si>
  <si>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</si>
  <si>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</si>
  <si>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</si>
  <si>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</si>
  <si>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</si>
  <si>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</si>
  <si>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</si>
  <si>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</si>
  <si>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</si>
  <si>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</si>
  <si>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</si>
  <si>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</si>
  <si>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</si>
  <si>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</si>
  <si>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</si>
  <si>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</si>
  <si>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</si>
  <si>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</si>
  <si>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</si>
  <si>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</si>
  <si>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</si>
  <si>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</si>
  <si>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</si>
  <si>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</si>
  <si>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</si>
  <si>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</si>
  <si>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</si>
  <si>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</si>
  <si>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</si>
  <si>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</si>
  <si>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</si>
  <si>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</si>
  <si>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</si>
  <si>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</si>
  <si>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</si>
  <si>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</si>
  <si>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</si>
  <si>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</si>
  <si>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</si>
  <si>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</si>
  <si>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</si>
  <si>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</si>
  <si>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</si>
  <si>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</si>
  <si>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</si>
  <si>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</si>
  <si>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</si>
  <si>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</si>
  <si>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</si>
  <si>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</si>
  <si>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</si>
  <si>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</si>
  <si>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</si>
  <si>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</si>
  <si>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</si>
  <si>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</si>
  <si>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</si>
  <si>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</si>
  <si>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</si>
  <si>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</si>
  <si>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</si>
  <si>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</si>
  <si>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</si>
  <si>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</si>
  <si>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</si>
  <si>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</si>
  <si>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</si>
  <si>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</si>
  <si>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</si>
  <si>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지붕및홈통공사 포함</t>
    <phoneticPr fontId="2" type="noConversion"/>
  </si>
  <si>
    <t>목공사및수장공사(인테리어공사 포함)</t>
    <phoneticPr fontId="2" type="noConversion"/>
  </si>
  <si>
    <t>기초공사, 골재비및운반비, 품질시험비, 기타공사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</si>
  <si>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</si>
  <si>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</si>
  <si>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(가칭)동남1초등학교 신축공사(계속비공사)</t>
    <phoneticPr fontId="2" type="noConversion"/>
  </si>
  <si>
    <t>충청도</t>
  </si>
  <si>
    <t>창호및유리공사</t>
    <phoneticPr fontId="2" type="noConversion"/>
  </si>
  <si>
    <t>난방배관공사, 기타공사</t>
    <phoneticPr fontId="2" type="noConversion"/>
  </si>
  <si>
    <t>전기인입 및 수변전 설비공사</t>
    <phoneticPr fontId="2" type="noConversion"/>
  </si>
  <si>
    <t>옥외소화배관공사, 기타공사</t>
    <phoneticPr fontId="2" type="noConversion"/>
  </si>
  <si>
    <t>상수도공사, 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</si>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</sst>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14402.33</v>
      </c>
      <c r="D7" s="36">
        <f>+C7/3.3058</f>
        <v>4356.6852199165105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816200</v>
      </c>
      <c r="E25" s="59">
        <f t="shared" si="0"/>
        <v>2698190</v>
      </c>
    </row>
    <row r="26" spans="1:5" x14ac:dyDescent="0.3">
      <c r="B26" s="2">
        <v>3</v>
      </c>
      <c r="C26" s="35" t="s">
        <v>95</v>
      </c>
      <c r="D26" s="45">
        <f>+D66</f>
        <v>7470</v>
      </c>
      <c r="E26" s="59">
        <f t="shared" si="0"/>
        <v>24690</v>
      </c>
    </row>
    <row r="27" spans="1:5" x14ac:dyDescent="0.3">
      <c r="B27" s="2">
        <v>4</v>
      </c>
      <c r="C27" s="35" t="s">
        <v>96</v>
      </c>
      <c r="D27" s="45">
        <f>+D95</f>
        <v>238950</v>
      </c>
      <c r="E27" s="59">
        <f t="shared" si="0"/>
        <v>789920</v>
      </c>
    </row>
    <row r="28" spans="1:5" x14ac:dyDescent="0.3">
      <c r="B28" s="2">
        <v>5</v>
      </c>
      <c r="C28" s="35" t="s">
        <v>97</v>
      </c>
      <c r="D28" s="45">
        <f>+D119</f>
        <v>129290</v>
      </c>
      <c r="E28" s="59">
        <f t="shared" si="0"/>
        <v>427400</v>
      </c>
    </row>
    <row r="29" spans="1:5" x14ac:dyDescent="0.3">
      <c r="B29" s="2">
        <v>6</v>
      </c>
      <c r="C29" s="35" t="s">
        <v>98</v>
      </c>
      <c r="D29" s="45">
        <f>+D133</f>
        <v>51630</v>
      </c>
      <c r="E29" s="59">
        <f t="shared" si="0"/>
        <v>170670</v>
      </c>
    </row>
    <row r="30" spans="1:5" x14ac:dyDescent="0.3">
      <c r="B30" s="2">
        <v>7</v>
      </c>
      <c r="C30" s="35" t="s">
        <v>99</v>
      </c>
      <c r="D30" s="45">
        <f>+D146</f>
        <v>58680</v>
      </c>
      <c r="E30" s="59">
        <f t="shared" si="0"/>
        <v>193980</v>
      </c>
    </row>
    <row r="31" spans="1:5" x14ac:dyDescent="0.3">
      <c r="B31" s="2">
        <v>8</v>
      </c>
      <c r="C31" s="35" t="s">
        <v>100</v>
      </c>
      <c r="D31" s="45">
        <f>+D154</f>
        <v>70630</v>
      </c>
      <c r="E31" s="59">
        <f t="shared" si="0"/>
        <v>233480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155</v>
      </c>
      <c r="D33" s="53">
        <f>TRUNC(SUM(D24:D32)*0.275,-1)</f>
        <v>377530</v>
      </c>
      <c r="E33" s="60">
        <f t="shared" si="0"/>
        <v>1248030</v>
      </c>
    </row>
    <row r="34" spans="1:7" x14ac:dyDescent="0.3">
      <c r="C34" s="35" t="s">
        <v>112</v>
      </c>
      <c r="D34" s="44">
        <f>SUM(D24:D33)</f>
        <v>1750380</v>
      </c>
      <c r="E34" s="44">
        <f>SUM(E24:E33)</f>
        <v>5786360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TRUNC(41382,-1)</f>
        <v>41380</v>
      </c>
      <c r="E40" s="62">
        <f t="shared" ref="E40:E59" si="1">TRUNC(+D40*3.3058,-1)</f>
        <v>136790</v>
      </c>
    </row>
    <row r="41" spans="1:7" x14ac:dyDescent="0.3">
      <c r="A41" s="2">
        <v>2</v>
      </c>
      <c r="C41" s="38" t="s">
        <v>13</v>
      </c>
      <c r="D41" s="42">
        <f>TRUNC(149162,-1)</f>
        <v>149160</v>
      </c>
      <c r="E41" s="63">
        <f t="shared" si="1"/>
        <v>493090</v>
      </c>
    </row>
    <row r="42" spans="1:7" x14ac:dyDescent="0.3">
      <c r="A42" s="2">
        <v>3</v>
      </c>
      <c r="C42" s="38" t="s">
        <v>14</v>
      </c>
      <c r="D42" s="42">
        <f>TRUNC(7458,-1)</f>
        <v>7450</v>
      </c>
      <c r="E42" s="63">
        <f t="shared" si="1"/>
        <v>24620</v>
      </c>
    </row>
    <row r="43" spans="1:7" x14ac:dyDescent="0.3">
      <c r="A43" s="2">
        <v>4</v>
      </c>
      <c r="C43" s="38" t="s">
        <v>16</v>
      </c>
      <c r="D43" s="42">
        <f>TRUNC(30483,-1)</f>
        <v>30480</v>
      </c>
      <c r="E43" s="63">
        <f t="shared" si="1"/>
        <v>100760</v>
      </c>
    </row>
    <row r="44" spans="1:7" x14ac:dyDescent="0.3">
      <c r="A44" s="2">
        <v>5</v>
      </c>
      <c r="C44" s="38" t="s">
        <v>17</v>
      </c>
      <c r="D44" s="42">
        <f>TRUNC(15481,-1)</f>
        <v>15480</v>
      </c>
      <c r="E44" s="63">
        <f t="shared" si="1"/>
        <v>51170</v>
      </c>
    </row>
    <row r="45" spans="1:7" x14ac:dyDescent="0.3">
      <c r="A45" s="2">
        <v>6</v>
      </c>
      <c r="C45" s="38" t="s">
        <v>18</v>
      </c>
      <c r="D45" s="42">
        <f>TRUNC(3357,-1)</f>
        <v>3350</v>
      </c>
      <c r="E45" s="63">
        <f t="shared" si="1"/>
        <v>11070</v>
      </c>
    </row>
    <row r="46" spans="1:7" x14ac:dyDescent="0.3">
      <c r="A46" s="2">
        <v>7</v>
      </c>
      <c r="C46" s="38" t="s">
        <v>19</v>
      </c>
      <c r="D46" s="42">
        <f>TRUNC(16225,-1)</f>
        <v>16220</v>
      </c>
      <c r="E46" s="63">
        <f t="shared" si="1"/>
        <v>53620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TRUNC(57169,-1)</f>
        <v>57160</v>
      </c>
      <c r="E48" s="63">
        <f t="shared" si="1"/>
        <v>188950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TRUNC(16327,-1)</f>
        <v>16320</v>
      </c>
      <c r="E49" s="63">
        <f t="shared" si="1"/>
        <v>53950</v>
      </c>
    </row>
    <row r="50" spans="1:7" x14ac:dyDescent="0.3">
      <c r="A50" s="2">
        <v>11</v>
      </c>
      <c r="C50" s="38" t="s">
        <v>156</v>
      </c>
      <c r="D50" s="42">
        <f>TRUNC(66569,-1)</f>
        <v>66560</v>
      </c>
      <c r="E50" s="63">
        <f t="shared" si="1"/>
        <v>220030</v>
      </c>
      <c r="F50" s="2" t="s">
        <v>257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TRUNC(7790,-1)</f>
        <v>7790</v>
      </c>
      <c r="E52" s="63">
        <f t="shared" si="1"/>
        <v>25750</v>
      </c>
    </row>
    <row r="53" spans="1:7" x14ac:dyDescent="0.3">
      <c r="A53" s="2">
        <v>14</v>
      </c>
      <c r="C53" s="38" t="s">
        <v>25</v>
      </c>
      <c r="D53" s="42">
        <f>TRUNC(85555,-1)</f>
        <v>85550</v>
      </c>
      <c r="E53" s="63">
        <f t="shared" si="1"/>
        <v>282810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TRUNC(47624+3982-795+5256,-1)</f>
        <v>56060</v>
      </c>
      <c r="E58" s="63">
        <f t="shared" si="1"/>
        <v>185320</v>
      </c>
      <c r="F58" s="2" t="s">
        <v>252</v>
      </c>
    </row>
    <row r="59" spans="1:7" ht="17.25" thickBot="1" x14ac:dyDescent="0.35">
      <c r="A59" s="2">
        <v>20</v>
      </c>
      <c r="C59" s="38" t="s">
        <v>149</v>
      </c>
      <c r="D59" s="43">
        <f>TRUNC(263244,-1)</f>
        <v>263240</v>
      </c>
      <c r="E59" s="64">
        <f t="shared" si="1"/>
        <v>870210</v>
      </c>
    </row>
    <row r="60" spans="1:7" x14ac:dyDescent="0.3">
      <c r="A60" s="2">
        <v>21</v>
      </c>
      <c r="C60" s="27" t="s">
        <v>112</v>
      </c>
      <c r="D60" s="39">
        <f>SUM(D40:D59)</f>
        <v>816200</v>
      </c>
      <c r="E60" s="39">
        <f>SUM(E40:E59)</f>
        <v>2698140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TRUNC(7473,-1)</f>
        <v>7470</v>
      </c>
      <c r="E63" s="62">
        <f>TRUNC(+D63*3.3058,-1)</f>
        <v>24690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7470</v>
      </c>
      <c r="E66" s="65">
        <f>SUM(E63:E65)</f>
        <v>24690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TRUNC(6906,-1)</f>
        <v>6900</v>
      </c>
      <c r="E69" s="62">
        <f t="shared" ref="E69:E94" si="2">TRUNC(+D69*3.3058,-1)</f>
        <v>22810</v>
      </c>
    </row>
    <row r="70" spans="1:7" ht="16.5" customHeight="1" x14ac:dyDescent="0.3">
      <c r="A70" s="2">
        <v>2</v>
      </c>
      <c r="C70" s="38" t="s">
        <v>31</v>
      </c>
      <c r="D70" s="42">
        <f>TRUNC(1775,-1)</f>
        <v>1770</v>
      </c>
      <c r="E70" s="63">
        <f t="shared" si="2"/>
        <v>5850</v>
      </c>
    </row>
    <row r="71" spans="1:7" x14ac:dyDescent="0.3">
      <c r="A71" s="2">
        <v>3</v>
      </c>
      <c r="C71" s="38" t="s">
        <v>32</v>
      </c>
      <c r="D71" s="42">
        <v>4790</v>
      </c>
      <c r="E71" s="63">
        <f t="shared" si="2"/>
        <v>15830</v>
      </c>
    </row>
    <row r="72" spans="1:7" x14ac:dyDescent="0.3">
      <c r="A72" s="2">
        <v>4</v>
      </c>
      <c r="C72" s="38" t="s">
        <v>33</v>
      </c>
      <c r="D72" s="42">
        <f>TRUNC(5866,-1)</f>
        <v>5860</v>
      </c>
      <c r="E72" s="63">
        <f t="shared" si="2"/>
        <v>19370</v>
      </c>
    </row>
    <row r="73" spans="1:7" x14ac:dyDescent="0.3">
      <c r="A73" s="2">
        <v>5</v>
      </c>
      <c r="C73" s="38" t="s">
        <v>34</v>
      </c>
      <c r="D73" s="42">
        <f>TRUNC(19121,-1)</f>
        <v>19120</v>
      </c>
      <c r="E73" s="63">
        <f t="shared" si="2"/>
        <v>63200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TRUNC(37556,-1)</f>
        <v>37550</v>
      </c>
      <c r="E76" s="63">
        <f t="shared" si="2"/>
        <v>124130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TRUNC(10302,-1)</f>
        <v>10300</v>
      </c>
      <c r="E89" s="63">
        <f t="shared" si="2"/>
        <v>34040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TRUNC(5289,-1)</f>
        <v>5280</v>
      </c>
      <c r="E91" s="63">
        <f t="shared" si="2"/>
        <v>17450</v>
      </c>
    </row>
    <row r="92" spans="1:7" x14ac:dyDescent="0.3">
      <c r="A92" s="2">
        <v>24</v>
      </c>
      <c r="C92" s="38" t="s">
        <v>38</v>
      </c>
      <c r="D92" s="42">
        <f>TRUNC(12196,-1)</f>
        <v>12190</v>
      </c>
      <c r="E92" s="63">
        <f t="shared" si="2"/>
        <v>40290</v>
      </c>
    </row>
    <row r="93" spans="1:7" x14ac:dyDescent="0.3">
      <c r="A93" s="2">
        <v>25</v>
      </c>
      <c r="C93" s="38" t="s">
        <v>149</v>
      </c>
      <c r="D93" s="42">
        <f>TRUNC(129233,-1)</f>
        <v>129230</v>
      </c>
      <c r="E93" s="63">
        <f t="shared" si="2"/>
        <v>427200</v>
      </c>
    </row>
    <row r="94" spans="1:7" ht="17.25" thickBot="1" x14ac:dyDescent="0.35">
      <c r="A94" s="2">
        <v>26</v>
      </c>
      <c r="C94" s="38" t="s">
        <v>47</v>
      </c>
      <c r="D94" s="43">
        <f>TRUNC(1920+4041,-1)</f>
        <v>5960</v>
      </c>
      <c r="E94" s="64">
        <f t="shared" si="2"/>
        <v>19700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238950</v>
      </c>
      <c r="E95" s="39">
        <f>SUM(E69:E94)</f>
        <v>789870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TRUNC(7358,-1)</f>
        <v>7350</v>
      </c>
      <c r="E98" s="62">
        <f t="shared" ref="E98:E118" si="3">TRUNC(+D98*3.3058,-1)</f>
        <v>24290</v>
      </c>
    </row>
    <row r="99" spans="1:7" x14ac:dyDescent="0.3">
      <c r="A99" s="2">
        <v>2</v>
      </c>
      <c r="C99" s="38" t="s">
        <v>40</v>
      </c>
      <c r="D99" s="42">
        <f>TRUNC(2935,-1)</f>
        <v>2930</v>
      </c>
      <c r="E99" s="63">
        <f t="shared" si="3"/>
        <v>9680</v>
      </c>
    </row>
    <row r="100" spans="1:7" x14ac:dyDescent="0.3">
      <c r="A100" s="2">
        <v>3</v>
      </c>
      <c r="C100" s="38" t="s">
        <v>41</v>
      </c>
      <c r="D100" s="42">
        <f>TRUNC(23975,-1)</f>
        <v>23970</v>
      </c>
      <c r="E100" s="63">
        <f t="shared" si="3"/>
        <v>79240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TRUNC(15501,-1)</f>
        <v>15500</v>
      </c>
      <c r="E102" s="63">
        <f t="shared" si="3"/>
        <v>51230</v>
      </c>
    </row>
    <row r="103" spans="1:7" x14ac:dyDescent="0.3">
      <c r="A103" s="2">
        <v>6</v>
      </c>
      <c r="C103" s="38" t="s">
        <v>44</v>
      </c>
      <c r="D103" s="42">
        <f>TRUNC(9533,-1)</f>
        <v>9530</v>
      </c>
      <c r="E103" s="63">
        <f t="shared" si="3"/>
        <v>31500</v>
      </c>
    </row>
    <row r="104" spans="1:7" x14ac:dyDescent="0.3">
      <c r="A104" s="2">
        <v>7</v>
      </c>
      <c r="C104" s="38" t="s">
        <v>45</v>
      </c>
      <c r="D104" s="42">
        <f>TRUNC(1951,-1)</f>
        <v>1950</v>
      </c>
      <c r="E104" s="63">
        <f t="shared" si="3"/>
        <v>6440</v>
      </c>
    </row>
    <row r="105" spans="1:7" x14ac:dyDescent="0.3">
      <c r="A105" s="2">
        <v>8</v>
      </c>
      <c r="C105" s="38" t="s">
        <v>46</v>
      </c>
      <c r="D105" s="42">
        <f>TRUNC(8039,-1)</f>
        <v>8030</v>
      </c>
      <c r="E105" s="63">
        <f t="shared" si="3"/>
        <v>26540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TRUNC(6805,-1)</f>
        <v>6800</v>
      </c>
      <c r="E114" s="63">
        <f t="shared" si="3"/>
        <v>22470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TRUNC(2317,-1)</f>
        <v>2310</v>
      </c>
      <c r="E116" s="63">
        <f t="shared" si="3"/>
        <v>7630</v>
      </c>
      <c r="F116" s="2" t="s">
        <v>259</v>
      </c>
    </row>
    <row r="117" spans="1:7" x14ac:dyDescent="0.3">
      <c r="A117" s="2">
        <v>20</v>
      </c>
      <c r="C117" s="38" t="s">
        <v>149</v>
      </c>
      <c r="D117" s="42">
        <f>TRUNC(50186,-1)</f>
        <v>50180</v>
      </c>
      <c r="E117" s="63">
        <f t="shared" si="3"/>
        <v>165880</v>
      </c>
    </row>
    <row r="118" spans="1:7" ht="17.25" thickBot="1" x14ac:dyDescent="0.35">
      <c r="A118" s="2">
        <v>21</v>
      </c>
      <c r="C118" s="38" t="s">
        <v>47</v>
      </c>
      <c r="D118" s="43">
        <f>TRUNC(742,-1)</f>
        <v>740</v>
      </c>
      <c r="E118" s="64">
        <f t="shared" si="3"/>
        <v>2440</v>
      </c>
    </row>
    <row r="119" spans="1:7" x14ac:dyDescent="0.3">
      <c r="A119" s="2">
        <v>22</v>
      </c>
      <c r="C119" s="27" t="s">
        <v>112</v>
      </c>
      <c r="D119" s="39">
        <f>SUM(D98:D118)</f>
        <v>129290</v>
      </c>
      <c r="E119" s="39">
        <f>SUM(E98:E118)</f>
        <v>427340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TRUNC(3171,-1)</f>
        <v>3170</v>
      </c>
      <c r="E122" s="62">
        <f t="shared" ref="E122:E132" si="4">TRUNC(+D122*3.3058,-1)</f>
        <v>10470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TRUNC(1139,-1)</f>
        <v>1130</v>
      </c>
      <c r="E124" s="63">
        <f t="shared" si="4"/>
        <v>3730</v>
      </c>
    </row>
    <row r="125" spans="1:7" x14ac:dyDescent="0.3">
      <c r="A125" s="2">
        <v>4</v>
      </c>
      <c r="C125" s="38" t="s">
        <v>138</v>
      </c>
      <c r="D125" s="42">
        <v>7560</v>
      </c>
      <c r="E125" s="63">
        <f t="shared" si="4"/>
        <v>24990</v>
      </c>
    </row>
    <row r="126" spans="1:7" x14ac:dyDescent="0.3">
      <c r="A126" s="2">
        <v>5</v>
      </c>
      <c r="C126" s="38" t="s">
        <v>53</v>
      </c>
      <c r="D126" s="42">
        <f>TRUNC(2094,-1)</f>
        <v>2090</v>
      </c>
      <c r="E126" s="63">
        <f t="shared" si="4"/>
        <v>6900</v>
      </c>
    </row>
    <row r="127" spans="1:7" x14ac:dyDescent="0.3">
      <c r="A127" s="2">
        <v>6</v>
      </c>
      <c r="C127" s="38" t="s">
        <v>56</v>
      </c>
      <c r="D127" s="42">
        <v>550</v>
      </c>
      <c r="E127" s="63">
        <f t="shared" si="4"/>
        <v>1810</v>
      </c>
    </row>
    <row r="128" spans="1:7" x14ac:dyDescent="0.3">
      <c r="A128" s="2">
        <v>7</v>
      </c>
      <c r="C128" s="38" t="s">
        <v>46</v>
      </c>
      <c r="D128" s="42">
        <f>TRUNC(6041,-1)</f>
        <v>6040</v>
      </c>
      <c r="E128" s="63">
        <f t="shared" si="4"/>
        <v>19960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TRUNC(14505,-1)</f>
        <v>14500</v>
      </c>
      <c r="E130" s="63">
        <f t="shared" si="4"/>
        <v>47930</v>
      </c>
    </row>
    <row r="131" spans="1:7" x14ac:dyDescent="0.3">
      <c r="A131" s="2">
        <v>10</v>
      </c>
      <c r="C131" s="38" t="s">
        <v>149</v>
      </c>
      <c r="D131" s="42">
        <f>TRUNC(15599,-1)</f>
        <v>15590</v>
      </c>
      <c r="E131" s="63">
        <f t="shared" si="4"/>
        <v>51530</v>
      </c>
    </row>
    <row r="132" spans="1:7" ht="18" thickBot="1" x14ac:dyDescent="0.35">
      <c r="A132" s="2">
        <v>11</v>
      </c>
      <c r="C132" s="38" t="s">
        <v>47</v>
      </c>
      <c r="D132" s="43">
        <f>TRUNC(930+75,-1)</f>
        <v>1000</v>
      </c>
      <c r="E132" s="64">
        <f t="shared" si="4"/>
        <v>3300</v>
      </c>
      <c r="F132" s="54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51630</v>
      </c>
      <c r="E133" s="39">
        <f>SUM(E122:E132)</f>
        <v>170620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TRUNC(585+491,-1)</f>
        <v>1070</v>
      </c>
      <c r="E137" s="63">
        <f t="shared" si="5"/>
        <v>3530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TRUNC(3487,-1)</f>
        <v>3480</v>
      </c>
      <c r="E139" s="63">
        <f t="shared" si="5"/>
        <v>11500</v>
      </c>
    </row>
    <row r="140" spans="1:7" x14ac:dyDescent="0.3">
      <c r="A140" s="2">
        <v>5</v>
      </c>
      <c r="C140" s="38" t="s">
        <v>57</v>
      </c>
      <c r="D140" s="42">
        <f>TRUNC(3463,-1)</f>
        <v>3460</v>
      </c>
      <c r="E140" s="63">
        <f t="shared" si="5"/>
        <v>11430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TRUNC(27249,-1)</f>
        <v>27240</v>
      </c>
      <c r="E142" s="63">
        <f t="shared" si="5"/>
        <v>90040</v>
      </c>
    </row>
    <row r="143" spans="1:7" x14ac:dyDescent="0.3">
      <c r="A143" s="2">
        <v>8</v>
      </c>
      <c r="C143" s="38" t="s">
        <v>62</v>
      </c>
      <c r="D143" s="42">
        <f>TRUNC(9798,-1)</f>
        <v>9790</v>
      </c>
      <c r="E143" s="63">
        <f t="shared" si="5"/>
        <v>32360</v>
      </c>
    </row>
    <row r="144" spans="1:7" x14ac:dyDescent="0.3">
      <c r="A144" s="2">
        <v>9</v>
      </c>
      <c r="C144" s="38" t="s">
        <v>63</v>
      </c>
      <c r="D144" s="42">
        <v>13640</v>
      </c>
      <c r="E144" s="63">
        <f t="shared" si="5"/>
        <v>45090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58680</v>
      </c>
      <c r="E146" s="39">
        <f>SUM(E136:E145)</f>
        <v>193950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TRUNC(7497+2795,-1)</f>
        <v>10290</v>
      </c>
      <c r="E149" s="62">
        <f>TRUNC(+D149*3.3058,-1)</f>
        <v>34010</v>
      </c>
    </row>
    <row r="150" spans="1:7" x14ac:dyDescent="0.3">
      <c r="A150" s="2">
        <v>2</v>
      </c>
      <c r="C150" s="38" t="s">
        <v>49</v>
      </c>
      <c r="D150" s="42">
        <f>TRUNC(8073,-1)</f>
        <v>8070</v>
      </c>
      <c r="E150" s="63">
        <f>TRUNC(+D150*3.3058,-1)</f>
        <v>26670</v>
      </c>
    </row>
    <row r="151" spans="1:7" x14ac:dyDescent="0.3">
      <c r="A151" s="2">
        <v>3</v>
      </c>
      <c r="C151" s="38" t="s">
        <v>50</v>
      </c>
      <c r="D151" s="42">
        <f>TRUNC(17786,-1)</f>
        <v>17780</v>
      </c>
      <c r="E151" s="63">
        <f>TRUNC(+D151*3.3058,-1)</f>
        <v>58770</v>
      </c>
    </row>
    <row r="152" spans="1:7" x14ac:dyDescent="0.3">
      <c r="A152" s="2">
        <v>4</v>
      </c>
      <c r="C152" s="38" t="s">
        <v>47</v>
      </c>
      <c r="D152" s="42">
        <f>TRUNC(241+91+3672,-1)</f>
        <v>4000</v>
      </c>
      <c r="E152" s="63">
        <f>TRUNC(+D152*3.3058,-1)</f>
        <v>13220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f>TRUNC(30491,-1)</f>
        <v>30490</v>
      </c>
      <c r="E153" s="64">
        <f>TRUNC(+D153*3.3058,-1)</f>
        <v>100790</v>
      </c>
    </row>
    <row r="154" spans="1:7" x14ac:dyDescent="0.3">
      <c r="A154" s="2">
        <v>6</v>
      </c>
      <c r="C154" s="27" t="s">
        <v>112</v>
      </c>
      <c r="D154" s="39">
        <f>SUM(D149:D153)</f>
        <v>70630</v>
      </c>
      <c r="E154" s="39">
        <f>SUM(E149:E153)</f>
        <v>233460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2020-12-08T04:39:41Z</dcterms:modified>
</cp:coreProperties>
</file>