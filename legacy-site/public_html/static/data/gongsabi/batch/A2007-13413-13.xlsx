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9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152" i="4"/>
  <c r="D153" i="4"/>
  <c r="D150" i="4"/>
  <c r="D151" i="4"/>
  <c r="D63" i="4"/>
  <c r="D159" i="4"/>
  <c r="D160" i="4"/>
  <c r="D75" i="4"/>
  <c r="D90" i="4"/>
  <c r="D94" i="4"/>
  <c r="D72" i="4"/>
  <c r="D89" i="4"/>
  <c r="D73" i="4"/>
  <c r="D78" i="4"/>
  <c r="D71" i="4"/>
  <c r="D70" i="4"/>
  <c r="D92" i="4"/>
  <c r="D69" i="4"/>
  <c r="D136" i="4"/>
  <c r="D93" i="4"/>
  <c r="D117" i="4"/>
  <c r="D118" i="4"/>
  <c r="D105" i="4"/>
  <c r="D101" i="4"/>
  <c r="D100" i="4"/>
  <c r="D102" i="4"/>
  <c r="D99" i="4"/>
  <c r="D98" i="4"/>
  <c r="D115" i="4"/>
  <c r="D137" i="4"/>
  <c r="D131" i="4"/>
  <c r="D132" i="4"/>
  <c r="D128" i="4"/>
  <c r="D125" i="4"/>
  <c r="D12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60" i="4"/>
  <c r="E154" i="4"/>
  <c r="E95" i="4"/>
  <c r="E119" i="4"/>
  <c r="E133" i="4"/>
  <c r="D161" i="4"/>
  <c r="D154" i="4"/>
  <c r="D31" i="4" s="1"/>
  <c r="E31" i="4" s="1"/>
  <c r="D146" i="4"/>
  <c r="D30" i="4" s="1"/>
  <c r="E30" i="4" s="1"/>
  <c r="D133" i="4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9" i="4"/>
  <c r="E29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<sst xmlns="http://schemas.openxmlformats.org/spreadsheetml/2006/main" count="394" uniqueCount="269">
  <si>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</si>
  <si>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</si>
  <si>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</si>
  <si>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</si>
  <si>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</si>
  <si>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</si>
  <si>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</si>
  <si>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</si>
  <si>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</si>
  <si>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</si>
  <si>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</si>
  <si>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</si>
  <si>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</si>
  <si>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</si>
  <si>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</si>
  <si>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</si>
  <si>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</si>
  <si>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</si>
  <si>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</si>
  <si>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</si>
  <si>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</si>
  <si>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</si>
  <si>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</si>
  <si>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</si>
  <si>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</si>
  <si>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</si>
  <si>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</si>
  <si>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</si>
  <si>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</si>
  <si>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</si>
  <si>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</si>
  <si>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</si>
  <si>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</si>
  <si>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</si>
  <si>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</si>
  <si>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</si>
  <si>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</si>
  <si>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</si>
  <si>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</si>
  <si>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</si>
  <si>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</si>
  <si>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</si>
  <si>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</si>
  <si>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</si>
  <si>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</si>
  <si>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</si>
  <si>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</si>
  <si>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</si>
  <si>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</si>
  <si>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</si>
  <si>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</si>
  <si>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</si>
  <si>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</si>
  <si>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</si>
  <si>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</si>
  <si>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</si>
  <si>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</si>
  <si>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</si>
  <si>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</si>
  <si>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</si>
  <si>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</si>
  <si>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</si>
  <si>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</si>
  <si>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</si>
  <si>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</si>
  <si>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</si>
  <si>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</si>
  <si>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</si>
  <si>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</si>
  <si>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</si>
  <si>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</si>
  <si>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</si>
  <si>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</si>
  <si>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</si>
  <si>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</si>
  <si>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</si>
  <si>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</si>
  <si>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</si>
  <si>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</si>
  <si>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</si>
  <si>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</si>
  <si>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</si>
  <si>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</si>
  <si>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</si>
  <si>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</si>
  <si>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</si>
  <si>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</si>
  <si>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</si>
  <si>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</si>
  <si>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</si>
  <si>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</si>
  <si>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</si>
  <si>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</si>
  <si>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</si>
  <si>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</si>
  <si>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</si>
  <si>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</si>
  <si>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</si>
  <si>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</si>
  <si>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</si>
  <si>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</si>
  <si>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</si>
  <si>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</si>
  <si>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</si>
  <si>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</si>
  <si>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</si>
  <si>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</si>
  <si>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</si>
  <si>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</si>
  <si>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</si>
  <si>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</si>
  <si>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</si>
  <si>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</si>
  <si>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</si>
  <si>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</si>
  <si>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</si>
  <si>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</si>
  <si>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</si>
  <si>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</si>
  <si>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</si>
  <si>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</si>
  <si>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</si>
  <si>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</si>
  <si>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</si>
  <si>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</si>
  <si>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</si>
  <si>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</si>
  <si>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</si>
  <si>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</si>
  <si>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</si>
  <si>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</si>
  <si>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</si>
  <si>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</si>
  <si>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</si>
  <si>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</si>
  <si>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</si>
  <si>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</si>
  <si>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</si>
  <si>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</si>
  <si>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</si>
  <si>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</si>
  <si>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</si>
  <si>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</si>
  <si>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</si>
  <si>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</si>
  <si>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</si>
  <si>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</si>
  <si>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</si>
  <si>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</si>
  <si>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</si>
  <si>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</si>
  <si>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</si>
  <si>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</si>
  <si>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</si>
  <si>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</si>
  <si>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</si>
  <si>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</si>
  <si>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</si>
  <si>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</si>
  <si>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</si>
  <si>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</si>
  <si>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</si>
  <si>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</si>
  <si>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</si>
  <si>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</si>
  <si>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</si>
  <si>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</si>
  <si>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</si>
  <si>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</si>
  <si>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</si>
  <si>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</si>
  <si>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</si>
  <si>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</si>
  <si>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</si>
  <si>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</si>
  <si>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</si>
  <si>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</si>
  <si>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</si>
  <si>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</si>
  <si>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</si>
  <si>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</si>
  <si>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</si>
  <si>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</si>
  <si>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</si>
  <si>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</si>
  <si>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</si>
  <si>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</si>
  <si>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</si>
  <si>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</si>
  <si>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</si>
  <si>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</si>
  <si>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</si>
  <si>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</si>
  <si>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</si>
  <si>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</si>
  <si>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</si>
  <si>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</si>
  <si>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</si>
  <si>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</si>
  <si>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</si>
  <si>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</si>
  <si>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</si>
  <si>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</si>
  <si>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</si>
  <si>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</si>
  <si>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</si>
  <si>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</si>
  <si>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</si>
  <si>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</si>
  <si>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</si>
  <si>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</si>
  <si>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</si>
  <si>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</si>
  <si>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</si>
  <si>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</si>
  <si>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</si>
  <si>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</si>
  <si>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</si>
  <si>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</si>
  <si>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</si>
  <si>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</si>
  <si>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</si>
  <si>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</si>
  <si>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</si>
  <si>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</si>
  <si>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</si>
  <si>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</si>
  <si>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</si>
  <si>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</si>
  <si>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</si>
  <si>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</si>
  <si>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</si>
  <si>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</si>
  <si>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</si>
  <si>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</si>
  <si>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</si>
  <si>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</si>
  <si>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</si>
  <si>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</si>
  <si>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</si>
  <si>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</si>
  <si>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</si>
  <si>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</si>
  <si>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</si>
  <si>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</si>
  <si>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</si>
  <si>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</si>
  <si>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</si>
  <si>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00군 신청사 건립공사</t>
  </si>
  <si>
    <t>업무</t>
  </si>
  <si>
    <t>전라도</t>
  </si>
  <si>
    <t>통신공사,운반비</t>
    <phoneticPr fontId="2" type="noConversion"/>
  </si>
  <si>
    <t>전기 소방공사</t>
    <phoneticPr fontId="2" type="noConversion"/>
  </si>
  <si>
    <t>옥외 및 수변전실공사</t>
  </si>
  <si>
    <t>경관조명설비공사</t>
  </si>
  <si>
    <t>CABLE TRAY 및 RACE WAT공사</t>
  </si>
  <si>
    <t>운반비</t>
    <phoneticPr fontId="2" type="noConversion"/>
  </si>
  <si>
    <t>기계 소방공사</t>
    <phoneticPr fontId="2" type="noConversion"/>
  </si>
  <si>
    <t>오배수통기배관공사</t>
  </si>
  <si>
    <t>공조배관공사,주방배관공사,우수배관공사</t>
    <phoneticPr fontId="2" type="noConversion"/>
  </si>
  <si>
    <t>방진공사</t>
    <phoneticPr fontId="2" type="noConversion"/>
  </si>
  <si>
    <t>조경공사</t>
    <phoneticPr fontId="2" type="noConversion"/>
  </si>
  <si>
    <t>배수공사,부대공사,사급자재대</t>
    <phoneticPr fontId="2" type="noConversion"/>
  </si>
  <si>
    <t>지정공사,기타공사,자재대및운반공사,작업부산물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</si>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</sst>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11378</v>
      </c>
      <c r="D7" s="36">
        <f>+C7/3.3058</f>
        <v>3441.8295117671969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10430</v>
      </c>
      <c r="E24" s="58">
        <f t="shared" ref="E24:E33" si="0">TRUNC(+D24*3.3058,-1)</f>
        <v>34470</v>
      </c>
    </row>
    <row r="25" spans="1:5" x14ac:dyDescent="0.3">
      <c r="B25" s="2">
        <v>2</v>
      </c>
      <c r="C25" s="35" t="s">
        <v>111</v>
      </c>
      <c r="D25" s="45">
        <f>+D60</f>
        <v>764930</v>
      </c>
      <c r="E25" s="59">
        <f t="shared" si="0"/>
        <v>2528700</v>
      </c>
    </row>
    <row r="26" spans="1:5" x14ac:dyDescent="0.3">
      <c r="B26" s="2">
        <v>3</v>
      </c>
      <c r="C26" s="35" t="s">
        <v>95</v>
      </c>
      <c r="D26" s="45">
        <f>+D66</f>
        <v>123200</v>
      </c>
      <c r="E26" s="59">
        <f t="shared" si="0"/>
        <v>407270</v>
      </c>
    </row>
    <row r="27" spans="1:5" x14ac:dyDescent="0.3">
      <c r="B27" s="2">
        <v>4</v>
      </c>
      <c r="C27" s="35" t="s">
        <v>96</v>
      </c>
      <c r="D27" s="45">
        <f>+D95</f>
        <v>306880</v>
      </c>
      <c r="E27" s="59">
        <f t="shared" si="0"/>
        <v>1014480</v>
      </c>
    </row>
    <row r="28" spans="1:5" x14ac:dyDescent="0.3">
      <c r="B28" s="2">
        <v>5</v>
      </c>
      <c r="C28" s="35" t="s">
        <v>97</v>
      </c>
      <c r="D28" s="45">
        <f>+D119</f>
        <v>181650</v>
      </c>
      <c r="E28" s="59">
        <f t="shared" si="0"/>
        <v>600490</v>
      </c>
    </row>
    <row r="29" spans="1:5" x14ac:dyDescent="0.3">
      <c r="B29" s="2">
        <v>6</v>
      </c>
      <c r="C29" s="35" t="s">
        <v>98</v>
      </c>
      <c r="D29" s="45">
        <f>+D133</f>
        <v>75970</v>
      </c>
      <c r="E29" s="59">
        <f t="shared" si="0"/>
        <v>251140</v>
      </c>
    </row>
    <row r="30" spans="1:5" x14ac:dyDescent="0.3">
      <c r="B30" s="2">
        <v>7</v>
      </c>
      <c r="C30" s="35" t="s">
        <v>99</v>
      </c>
      <c r="D30" s="45">
        <f>+D146</f>
        <v>16020</v>
      </c>
      <c r="E30" s="59">
        <f t="shared" si="0"/>
        <v>52950</v>
      </c>
    </row>
    <row r="31" spans="1:5" x14ac:dyDescent="0.3">
      <c r="B31" s="2">
        <v>8</v>
      </c>
      <c r="C31" s="35" t="s">
        <v>100</v>
      </c>
      <c r="D31" s="45">
        <f>+D154</f>
        <v>66080</v>
      </c>
      <c r="E31" s="59">
        <f t="shared" si="0"/>
        <v>218440</v>
      </c>
    </row>
    <row r="32" spans="1:5" x14ac:dyDescent="0.3">
      <c r="B32" s="2">
        <v>9</v>
      </c>
      <c r="C32" s="35" t="s">
        <v>101</v>
      </c>
      <c r="D32" s="45">
        <f>+D161</f>
        <v>35700</v>
      </c>
      <c r="E32" s="59">
        <f t="shared" si="0"/>
        <v>118010</v>
      </c>
    </row>
    <row r="33" spans="1:7" x14ac:dyDescent="0.3">
      <c r="B33" s="2">
        <v>10</v>
      </c>
      <c r="C33" s="35" t="s">
        <v>154</v>
      </c>
      <c r="D33" s="53">
        <f>TRUNC(SUM(D24:D32)*0.275,-1)</f>
        <v>434730</v>
      </c>
      <c r="E33" s="60">
        <f t="shared" si="0"/>
        <v>1437130</v>
      </c>
    </row>
    <row r="34" spans="1:7" x14ac:dyDescent="0.3">
      <c r="C34" s="35" t="s">
        <v>112</v>
      </c>
      <c r="D34" s="44">
        <f>SUM(D24:D33)</f>
        <v>2015590</v>
      </c>
      <c r="E34" s="44">
        <f>SUM(E24:E33)</f>
        <v>6663080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TRUNC(10431.5905255757,-1)</f>
        <v>10430</v>
      </c>
      <c r="E37" s="61">
        <f>TRUNC(+D37*3.3058,-1)</f>
        <v>34470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TRUNC(26067.701529267,-1)</f>
        <v>26060</v>
      </c>
      <c r="E40" s="62">
        <f t="shared" ref="E40:E59" si="1">TRUNC(+D40*3.3058,-1)</f>
        <v>86140</v>
      </c>
    </row>
    <row r="41" spans="1:7" x14ac:dyDescent="0.3">
      <c r="A41" s="2">
        <v>2</v>
      </c>
      <c r="C41" s="38" t="s">
        <v>13</v>
      </c>
      <c r="D41" s="42">
        <f>TRUNC(63785.2288627175,-1)</f>
        <v>63780</v>
      </c>
      <c r="E41" s="63">
        <f t="shared" si="1"/>
        <v>210840</v>
      </c>
    </row>
    <row r="42" spans="1:7" x14ac:dyDescent="0.3">
      <c r="A42" s="2">
        <v>3</v>
      </c>
      <c r="C42" s="38" t="s">
        <v>14</v>
      </c>
      <c r="D42" s="42">
        <f>TRUNC(103068.951573211,-1)</f>
        <v>103060</v>
      </c>
      <c r="E42" s="63">
        <f t="shared" si="1"/>
        <v>340690</v>
      </c>
    </row>
    <row r="43" spans="1:7" x14ac:dyDescent="0.3">
      <c r="A43" s="2">
        <v>4</v>
      </c>
      <c r="C43" s="38" t="s">
        <v>16</v>
      </c>
      <c r="D43" s="42">
        <f>TRUNC(10084.4461240991,-1)</f>
        <v>10080</v>
      </c>
      <c r="E43" s="63">
        <f t="shared" si="1"/>
        <v>33320</v>
      </c>
    </row>
    <row r="44" spans="1:7" x14ac:dyDescent="0.3">
      <c r="A44" s="2">
        <v>5</v>
      </c>
      <c r="C44" s="38" t="s">
        <v>17</v>
      </c>
      <c r="D44" s="42">
        <f>TRUNC(11825.3709790824,-1)</f>
        <v>11820</v>
      </c>
      <c r="E44" s="63">
        <f t="shared" si="1"/>
        <v>39070</v>
      </c>
    </row>
    <row r="45" spans="1:7" x14ac:dyDescent="0.3">
      <c r="A45" s="2">
        <v>6</v>
      </c>
      <c r="C45" s="38" t="s">
        <v>18</v>
      </c>
      <c r="D45" s="42">
        <f>TRUNC(4455.63543680787,-1)</f>
        <v>4450</v>
      </c>
      <c r="E45" s="63">
        <f t="shared" si="1"/>
        <v>14710</v>
      </c>
    </row>
    <row r="46" spans="1:7" x14ac:dyDescent="0.3">
      <c r="A46" s="2">
        <v>7</v>
      </c>
      <c r="C46" s="38" t="s">
        <v>19</v>
      </c>
      <c r="D46" s="42">
        <f>TRUNC(39812.6315696959,-1)</f>
        <v>39810</v>
      </c>
      <c r="E46" s="63">
        <f t="shared" si="1"/>
        <v>131600</v>
      </c>
    </row>
    <row r="47" spans="1:7" x14ac:dyDescent="0.3">
      <c r="A47" s="2">
        <v>8</v>
      </c>
      <c r="C47" s="38" t="s">
        <v>20</v>
      </c>
      <c r="D47" s="42">
        <f>TRUNC(5364.4833011074,-1)</f>
        <v>5360</v>
      </c>
      <c r="E47" s="63">
        <f t="shared" si="1"/>
        <v>17710</v>
      </c>
    </row>
    <row r="48" spans="1:7" x14ac:dyDescent="0.3">
      <c r="A48" s="2">
        <v>9</v>
      </c>
      <c r="C48" s="38" t="s">
        <v>21</v>
      </c>
      <c r="D48" s="42">
        <f>TRUNC(109271.3985762,-1)</f>
        <v>109270</v>
      </c>
      <c r="E48" s="63">
        <f t="shared" si="1"/>
        <v>361220</v>
      </c>
    </row>
    <row r="49" spans="1:7" x14ac:dyDescent="0.3">
      <c r="A49" s="2">
        <v>10</v>
      </c>
      <c r="C49" s="38" t="s">
        <v>22</v>
      </c>
      <c r="D49" s="42">
        <f>TRUNC(15487.8271225171,-1)</f>
        <v>15480</v>
      </c>
      <c r="E49" s="63">
        <f t="shared" si="1"/>
        <v>51170</v>
      </c>
    </row>
    <row r="50" spans="1:7" x14ac:dyDescent="0.3">
      <c r="A50" s="2">
        <v>11</v>
      </c>
      <c r="C50" s="38" t="s">
        <v>155</v>
      </c>
      <c r="D50" s="42">
        <f>TRUNC(47614.2996132888,-1)</f>
        <v>47610</v>
      </c>
      <c r="E50" s="63">
        <f t="shared" si="1"/>
        <v>157380</v>
      </c>
    </row>
    <row r="51" spans="1:7" x14ac:dyDescent="0.3">
      <c r="A51" s="2">
        <v>12</v>
      </c>
      <c r="C51" s="38" t="s">
        <v>23</v>
      </c>
      <c r="D51" s="42">
        <f>TRUNC(10730.9890138864,-1)</f>
        <v>10730</v>
      </c>
      <c r="E51" s="63">
        <f t="shared" si="1"/>
        <v>35470</v>
      </c>
    </row>
    <row r="52" spans="1:7" x14ac:dyDescent="0.3">
      <c r="A52" s="2">
        <v>13</v>
      </c>
      <c r="C52" s="38" t="s">
        <v>24</v>
      </c>
      <c r="D52" s="42">
        <f>TRUNC(6315.92265776059,-1)</f>
        <v>6310</v>
      </c>
      <c r="E52" s="63">
        <f t="shared" si="1"/>
        <v>20850</v>
      </c>
    </row>
    <row r="53" spans="1:7" x14ac:dyDescent="0.3">
      <c r="A53" s="2">
        <v>14</v>
      </c>
      <c r="C53" s="38" t="s">
        <v>25</v>
      </c>
      <c r="D53" s="42">
        <f>TRUNC(19038.1058182457,-1)</f>
        <v>19030</v>
      </c>
      <c r="E53" s="63">
        <f t="shared" si="1"/>
        <v>62900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TRUNC(559.241606609246,-1)</f>
        <v>550</v>
      </c>
      <c r="E55" s="63">
        <f t="shared" si="1"/>
        <v>1810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TRUNC(28937.9136930919+2853.31859729302+10245.9325892072-1348.64343469854,-1)</f>
        <v>40680</v>
      </c>
      <c r="E58" s="63">
        <f t="shared" si="1"/>
        <v>134470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TRUNC(218273.020390227+22332.5716294604+10245.9325892072,-1)</f>
        <v>250850</v>
      </c>
      <c r="E59" s="64">
        <f t="shared" si="1"/>
        <v>829250</v>
      </c>
    </row>
    <row r="60" spans="1:7" x14ac:dyDescent="0.3">
      <c r="A60" s="2">
        <v>21</v>
      </c>
      <c r="C60" s="27" t="s">
        <v>112</v>
      </c>
      <c r="D60" s="39">
        <f>SUM(D40:D59)</f>
        <v>764930</v>
      </c>
      <c r="E60" s="39">
        <f>SUM(E40:E59)</f>
        <v>2528600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TRUNC(123205.982949552,-1)</f>
        <v>123200</v>
      </c>
      <c r="E63" s="62">
        <f>TRUNC(+D63*3.3058,-1)</f>
        <v>407270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123200</v>
      </c>
      <c r="E66" s="65">
        <f>SUM(E63:E65)</f>
        <v>407270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TRUNC(8074.34566707681,-1)</f>
        <v>8070</v>
      </c>
      <c r="E69" s="62">
        <f t="shared" ref="E69:E94" si="2">TRUNC(+D69*3.3058,-1)</f>
        <v>26670</v>
      </c>
    </row>
    <row r="70" spans="1:7" ht="16.5" customHeight="1" x14ac:dyDescent="0.3">
      <c r="A70" s="2">
        <v>2</v>
      </c>
      <c r="C70" s="38" t="s">
        <v>31</v>
      </c>
      <c r="D70" s="42">
        <f>TRUNC(3921.81121462471,-1)</f>
        <v>3920</v>
      </c>
      <c r="E70" s="63">
        <f t="shared" si="2"/>
        <v>12950</v>
      </c>
    </row>
    <row r="71" spans="1:7" x14ac:dyDescent="0.3">
      <c r="A71" s="2">
        <v>3</v>
      </c>
      <c r="C71" s="38" t="s">
        <v>32</v>
      </c>
      <c r="D71" s="42">
        <f>TRUNC(25861.7671822816,-1)</f>
        <v>25860</v>
      </c>
      <c r="E71" s="63">
        <f t="shared" si="2"/>
        <v>85480</v>
      </c>
    </row>
    <row r="72" spans="1:7" x14ac:dyDescent="0.3">
      <c r="A72" s="2">
        <v>4</v>
      </c>
      <c r="C72" s="38" t="s">
        <v>33</v>
      </c>
      <c r="D72" s="42">
        <f>TRUNC(2365.44876076639,-1)</f>
        <v>2360</v>
      </c>
      <c r="E72" s="63">
        <f t="shared" si="2"/>
        <v>7800</v>
      </c>
    </row>
    <row r="73" spans="1:7" x14ac:dyDescent="0.3">
      <c r="A73" s="2">
        <v>5</v>
      </c>
      <c r="C73" s="38" t="s">
        <v>34</v>
      </c>
      <c r="D73" s="42">
        <f>TRUNC(5272.34619441027,-1)</f>
        <v>5270</v>
      </c>
      <c r="E73" s="63">
        <f t="shared" si="2"/>
        <v>17420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TRUNC(5572.08815257514,-1)</f>
        <v>5570</v>
      </c>
      <c r="E75" s="63">
        <f t="shared" si="2"/>
        <v>18410</v>
      </c>
      <c r="F75" s="2" t="s">
        <v>260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TRUNC(48590.3986640886,-1)</f>
        <v>48590</v>
      </c>
      <c r="E78" s="63">
        <f t="shared" si="2"/>
        <v>160620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TRUNC(3632.59588679909,-1)</f>
        <v>3630</v>
      </c>
      <c r="E89" s="63">
        <f t="shared" si="2"/>
        <v>12000</v>
      </c>
      <c r="F89" s="2" t="s">
        <v>258</v>
      </c>
    </row>
    <row r="90" spans="1:7" x14ac:dyDescent="0.3">
      <c r="A90" s="2">
        <v>22</v>
      </c>
      <c r="C90" s="38" t="s">
        <v>36</v>
      </c>
      <c r="D90" s="42">
        <f>TRUNC(787.635788363508,-1)</f>
        <v>780</v>
      </c>
      <c r="E90" s="63">
        <f t="shared" si="2"/>
        <v>2570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TRUNC(3342.43153454034,-1)</f>
        <v>3340</v>
      </c>
      <c r="E92" s="63">
        <f t="shared" si="2"/>
        <v>11040</v>
      </c>
    </row>
    <row r="93" spans="1:7" x14ac:dyDescent="0.3">
      <c r="A93" s="2">
        <v>25</v>
      </c>
      <c r="C93" s="38" t="s">
        <v>148</v>
      </c>
      <c r="D93" s="42">
        <f>TRUNC(167726.665494815,-1)</f>
        <v>167720</v>
      </c>
      <c r="E93" s="63">
        <f t="shared" si="2"/>
        <v>554440</v>
      </c>
    </row>
    <row r="94" spans="1:7" ht="17.25" thickBot="1" x14ac:dyDescent="0.35">
      <c r="A94" s="2">
        <v>26</v>
      </c>
      <c r="C94" s="38" t="s">
        <v>47</v>
      </c>
      <c r="D94" s="43">
        <f>TRUNC(28578.0216206715+1068.82597996133+2128.25197750044,-1)</f>
        <v>31770</v>
      </c>
      <c r="E94" s="64">
        <f t="shared" si="2"/>
        <v>105020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306880</v>
      </c>
      <c r="E95" s="39">
        <f>SUM(E69:E94)</f>
        <v>1014420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TRUNC(18793.0186324486,-1)</f>
        <v>18790</v>
      </c>
      <c r="E98" s="62">
        <f t="shared" ref="E98:E118" si="3">TRUNC(+D98*3.3058,-1)</f>
        <v>62110</v>
      </c>
    </row>
    <row r="99" spans="1:7" x14ac:dyDescent="0.3">
      <c r="A99" s="2">
        <v>2</v>
      </c>
      <c r="C99" s="38" t="s">
        <v>40</v>
      </c>
      <c r="D99" s="42">
        <f>TRUNC(8501.73211460714,-1)</f>
        <v>8500</v>
      </c>
      <c r="E99" s="63">
        <f t="shared" si="3"/>
        <v>28090</v>
      </c>
    </row>
    <row r="100" spans="1:7" x14ac:dyDescent="0.3">
      <c r="A100" s="2">
        <v>3</v>
      </c>
      <c r="C100" s="38" t="s">
        <v>41</v>
      </c>
      <c r="D100" s="42">
        <f>TRUNC(22071.8803831956,-1)</f>
        <v>22070</v>
      </c>
      <c r="E100" s="63">
        <f t="shared" si="3"/>
        <v>72950</v>
      </c>
    </row>
    <row r="101" spans="1:7" x14ac:dyDescent="0.3">
      <c r="A101" s="2">
        <v>4</v>
      </c>
      <c r="C101" s="38" t="s">
        <v>42</v>
      </c>
      <c r="D101" s="42">
        <f>TRUNC(4429.1179469151,-1)</f>
        <v>4420</v>
      </c>
      <c r="E101" s="63">
        <f t="shared" si="3"/>
        <v>14610</v>
      </c>
      <c r="F101" s="2" t="s">
        <v>254</v>
      </c>
    </row>
    <row r="102" spans="1:7" x14ac:dyDescent="0.3">
      <c r="A102" s="2">
        <v>5</v>
      </c>
      <c r="C102" s="38" t="s">
        <v>43</v>
      </c>
      <c r="D102" s="42">
        <f>TRUNC(7912.86676041484,-1)</f>
        <v>7910</v>
      </c>
      <c r="E102" s="63">
        <f t="shared" si="3"/>
        <v>26140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TRUNC(4179.63754614168,-1)</f>
        <v>4170</v>
      </c>
      <c r="E105" s="63">
        <f t="shared" si="3"/>
        <v>13780</v>
      </c>
      <c r="F105" s="2" t="s">
        <v>255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TRUNC(6502.08226401828,-1)</f>
        <v>6500</v>
      </c>
      <c r="E115" s="63">
        <f t="shared" si="3"/>
        <v>21480</v>
      </c>
      <c r="F115" s="2" t="s">
        <v>253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TRUNC(44027.9486728775+65181.0511513447,-1)</f>
        <v>109200</v>
      </c>
      <c r="E117" s="63">
        <f t="shared" si="3"/>
        <v>360990</v>
      </c>
    </row>
    <row r="118" spans="1:7" ht="17.25" thickBot="1" x14ac:dyDescent="0.35">
      <c r="A118" s="2">
        <v>21</v>
      </c>
      <c r="C118" s="38" t="s">
        <v>47</v>
      </c>
      <c r="D118" s="43">
        <f>TRUNC(96.6777992617332,-1)</f>
        <v>90</v>
      </c>
      <c r="E118" s="64">
        <f t="shared" si="3"/>
        <v>290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181650</v>
      </c>
      <c r="E119" s="39">
        <f>SUM(E98:E118)</f>
        <v>600440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TRUNC(1390.3497099666,-1)</f>
        <v>1390</v>
      </c>
      <c r="E122" s="62">
        <f t="shared" ref="E122:E132" si="4">TRUNC(+D122*3.3058,-1)</f>
        <v>4590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TRUNC(4551.43584109685,-1)</f>
        <v>4550</v>
      </c>
      <c r="E125" s="63">
        <f t="shared" si="4"/>
        <v>15040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TRUNC(2978.32431007207,-1)</f>
        <v>2970</v>
      </c>
      <c r="E128" s="63">
        <f t="shared" si="4"/>
        <v>9810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TRUNC(48769.5552821234,-1)</f>
        <v>48760</v>
      </c>
      <c r="E131" s="63">
        <f t="shared" si="4"/>
        <v>161190</v>
      </c>
    </row>
    <row r="132" spans="1:7" ht="18" thickBot="1" x14ac:dyDescent="0.35">
      <c r="A132" s="2">
        <v>11</v>
      </c>
      <c r="C132" s="38" t="s">
        <v>47</v>
      </c>
      <c r="D132" s="43">
        <f>TRUNC(18205.512480225+96.6777992617332,-1)</f>
        <v>18300</v>
      </c>
      <c r="E132" s="64">
        <f t="shared" si="4"/>
        <v>60490</v>
      </c>
      <c r="F132" s="54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75970</v>
      </c>
      <c r="E133" s="39">
        <f>SUM(E122:E132)</f>
        <v>251120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TRUNC(10130.6734048163,-1)</f>
        <v>10130</v>
      </c>
      <c r="E136" s="62">
        <f t="shared" ref="E136:E145" si="5">TRUNC(+D136*3.3058,-1)</f>
        <v>33480</v>
      </c>
      <c r="F136" s="2" t="s">
        <v>257</v>
      </c>
    </row>
    <row r="137" spans="1:7" x14ac:dyDescent="0.3">
      <c r="A137" s="2">
        <v>2</v>
      </c>
      <c r="C137" s="38" t="s">
        <v>47</v>
      </c>
      <c r="D137" s="42">
        <f>TRUNC(5896.89787308842,-1)</f>
        <v>5890</v>
      </c>
      <c r="E137" s="63">
        <f t="shared" si="5"/>
        <v>19470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16020</v>
      </c>
      <c r="E146" s="39">
        <f>SUM(E136:E145)</f>
        <v>52950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TRUNC(8850.65749692389,-1)</f>
        <v>8850</v>
      </c>
      <c r="E150" s="63">
        <f>TRUNC(+D150*3.3058,-1)</f>
        <v>29250</v>
      </c>
    </row>
    <row r="151" spans="1:7" x14ac:dyDescent="0.3">
      <c r="A151" s="2">
        <v>3</v>
      </c>
      <c r="C151" s="38" t="s">
        <v>50</v>
      </c>
      <c r="D151" s="42">
        <f>TRUNC(8903.2474072772,-1)</f>
        <v>8900</v>
      </c>
      <c r="E151" s="63">
        <f>TRUNC(+D151*3.3058,-1)</f>
        <v>29420</v>
      </c>
    </row>
    <row r="152" spans="1:7" x14ac:dyDescent="0.3">
      <c r="A152" s="2">
        <v>4</v>
      </c>
      <c r="C152" s="38" t="s">
        <v>47</v>
      </c>
      <c r="D152" s="42">
        <f>TRUNC(5440.17595359466+8701.5543153454+4216.73404816312,-1)</f>
        <v>18350</v>
      </c>
      <c r="E152" s="63">
        <f>TRUNC(+D152*3.3058,-1)</f>
        <v>60660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TRUNC(29980.1371066971,-1)</f>
        <v>29980</v>
      </c>
      <c r="E153" s="64">
        <f>TRUNC(+D153*3.3058,-1)</f>
        <v>99100</v>
      </c>
    </row>
    <row r="154" spans="1:7" x14ac:dyDescent="0.3">
      <c r="A154" s="2">
        <v>6</v>
      </c>
      <c r="C154" s="27" t="s">
        <v>112</v>
      </c>
      <c r="D154" s="39">
        <f>SUM(D149:D153)</f>
        <v>66080</v>
      </c>
      <c r="E154" s="39">
        <f>SUM(E149:E153)</f>
        <v>218430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TRUNC(30209.1561785903,-1)</f>
        <v>30200</v>
      </c>
      <c r="E159" s="63">
        <f>TRUNC(+D159*3.3058,-1)</f>
        <v>99830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f>TRUNC(5503.25188961153,-1)</f>
        <v>5500</v>
      </c>
      <c r="E160" s="64">
        <f>TRUNC(+D160*3.3058,-1)</f>
        <v>18180</v>
      </c>
    </row>
    <row r="161" spans="1:5" x14ac:dyDescent="0.3">
      <c r="A161" s="2">
        <v>5</v>
      </c>
      <c r="C161" s="27" t="s">
        <v>112</v>
      </c>
      <c r="D161" s="39">
        <f>SUM(D157:D160)</f>
        <v>35700</v>
      </c>
      <c r="E161" s="39">
        <f>SUM(E157:E160)</f>
        <v>118010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2020-12-07T09:23:42Z</dcterms:modified>
</cp:coreProperties>
</file>