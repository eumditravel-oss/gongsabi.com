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2" i="4"/>
  <c r="D141" i="4"/>
  <c r="D140" i="4"/>
  <c r="D138" i="4"/>
  <c r="D137" i="4"/>
  <c r="D132" i="4"/>
  <c r="D131" i="4"/>
  <c r="D130" i="4"/>
  <c r="D128" i="4"/>
  <c r="D127" i="4"/>
  <c r="D125" i="4"/>
  <c r="D124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2" i="4"/>
  <c r="D91" i="4"/>
  <c r="D89" i="4"/>
  <c r="D75" i="4"/>
  <c r="D73" i="4"/>
  <c r="D71" i="4"/>
  <c r="D70" i="4"/>
  <c r="D69" i="4"/>
  <c r="D63" i="4"/>
  <c r="D58" i="4"/>
  <c r="D59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<sst xmlns="http://schemas.openxmlformats.org/spreadsheetml/2006/main" count="393" uniqueCount="267">
  <si>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</si>
  <si>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</si>
  <si>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</si>
  <si>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</si>
  <si>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</si>
  <si>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</si>
  <si>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</si>
  <si>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</si>
  <si>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</si>
  <si>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</si>
  <si>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</si>
  <si>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</si>
  <si>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</si>
  <si>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</si>
  <si>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</si>
  <si>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</si>
  <si>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</si>
  <si>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</si>
  <si>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</si>
  <si>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</si>
  <si>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</si>
  <si>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</si>
  <si>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</si>
  <si>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</si>
  <si>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</si>
  <si>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</si>
  <si>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</si>
  <si>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</si>
  <si>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</si>
  <si>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</si>
  <si>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</si>
  <si>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</si>
  <si>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</si>
  <si>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</si>
  <si>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</si>
  <si>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</si>
  <si>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</si>
  <si>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</si>
  <si>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</si>
  <si>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</si>
  <si>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</si>
  <si>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</si>
  <si>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</si>
  <si>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</si>
  <si>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</si>
  <si>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</si>
  <si>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</si>
  <si>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</si>
  <si>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</si>
  <si>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</si>
  <si>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</si>
  <si>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</si>
  <si>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</si>
  <si>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</si>
  <si>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</si>
  <si>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</si>
  <si>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</si>
  <si>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</si>
  <si>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</si>
  <si>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</si>
  <si>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</si>
  <si>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</si>
  <si>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</si>
  <si>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</si>
  <si>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</si>
  <si>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</si>
  <si>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</si>
  <si>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</si>
  <si>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</si>
  <si>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</si>
  <si>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</si>
  <si>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</si>
  <si>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</si>
  <si>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</si>
  <si>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</si>
  <si>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</si>
  <si>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</si>
  <si>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</si>
  <si>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</si>
  <si>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</si>
  <si>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</si>
  <si>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</si>
  <si>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</si>
  <si>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</si>
  <si>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</si>
  <si>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</si>
  <si>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</si>
  <si>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</si>
  <si>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</si>
  <si>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</si>
  <si>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</si>
  <si>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</si>
  <si>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</si>
  <si>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</si>
  <si>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</si>
  <si>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</si>
  <si>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</si>
  <si>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</si>
  <si>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</si>
  <si>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</si>
  <si>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</si>
  <si>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</si>
  <si>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</si>
  <si>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</si>
  <si>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</si>
  <si>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</si>
  <si>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</si>
  <si>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</si>
  <si>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</si>
  <si>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</si>
  <si>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</si>
  <si>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</si>
  <si>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</si>
  <si>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</si>
  <si>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</si>
  <si>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</si>
  <si>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</si>
  <si>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</si>
  <si>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</si>
  <si>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</si>
  <si>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</si>
  <si>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</si>
  <si>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</si>
  <si>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</si>
  <si>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</si>
  <si>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</si>
  <si>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</si>
  <si>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</si>
  <si>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</si>
  <si>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</si>
  <si>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</si>
  <si>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</si>
  <si>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</si>
  <si>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</si>
  <si>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</si>
  <si>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</si>
  <si>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</si>
  <si>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</si>
  <si>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</si>
  <si>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</si>
  <si>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</si>
  <si>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</si>
  <si>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</si>
  <si>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</si>
  <si>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</si>
  <si>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</si>
  <si>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</si>
  <si>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</si>
  <si>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</si>
  <si>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</si>
  <si>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</si>
  <si>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</si>
  <si>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</si>
  <si>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</si>
  <si>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</si>
  <si>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</si>
  <si>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</si>
  <si>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</si>
  <si>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</si>
  <si>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</si>
  <si>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</si>
  <si>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</si>
  <si>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</si>
  <si>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</si>
  <si>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</si>
  <si>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</si>
  <si>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</si>
  <si>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</si>
  <si>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</si>
  <si>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</si>
  <si>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</si>
  <si>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</si>
  <si>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</si>
  <si>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</si>
  <si>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</si>
  <si>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</si>
  <si>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</si>
  <si>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</si>
  <si>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</si>
  <si>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</si>
  <si>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</si>
  <si>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</si>
  <si>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</si>
  <si>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</si>
  <si>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</si>
  <si>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</si>
  <si>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</si>
  <si>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</si>
  <si>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</si>
  <si>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</si>
  <si>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</si>
  <si>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</si>
  <si>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</si>
  <si>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</si>
  <si>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</si>
  <si>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</si>
  <si>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</si>
  <si>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</si>
  <si>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</si>
  <si>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</si>
  <si>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</si>
  <si>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</si>
  <si>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</si>
  <si>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</si>
  <si>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</si>
  <si>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</si>
  <si>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</si>
  <si>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</si>
  <si>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</si>
  <si>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</si>
  <si>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</si>
  <si>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</si>
  <si>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</si>
  <si>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</si>
  <si>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</si>
  <si>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</si>
  <si>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</si>
  <si>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</si>
  <si>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</si>
  <si>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</si>
  <si>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</si>
  <si>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</si>
  <si>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</si>
  <si>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</si>
  <si>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</si>
  <si>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</si>
  <si>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</si>
  <si>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</si>
  <si>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</si>
  <si>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</si>
  <si>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</si>
  <si>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</si>
  <si>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</si>
  <si>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</si>
  <si>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</si>
  <si>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</si>
  <si>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</si>
  <si>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</si>
  <si>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</si>
  <si>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</si>
  <si>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</si>
  <si>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</si>
  <si>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</si>
  <si>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</si>
  <si>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</si>
  <si>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</si>
  <si>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</si>
  <si>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</si>
  <si>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</si>
  <si>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</si>
  <si>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</si>
  <si>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</si>
  <si>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</si>
  <si>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</si>
  <si>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</si>
  <si>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</si>
  <si>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포장공사, 기타공사</t>
    <phoneticPr fontId="2" type="noConversion"/>
  </si>
  <si>
    <t>기타</t>
  </si>
  <si>
    <t xml:space="preserve"> 경주출토유물보관센터 건립공사</t>
    <phoneticPr fontId="2" type="noConversion"/>
  </si>
  <si>
    <t>경상도</t>
  </si>
  <si>
    <t>공조배관공사,바닥난방공사, 기타공사</t>
    <phoneticPr fontId="2" type="noConversion"/>
  </si>
  <si>
    <t>펌프실배관공사, 기타공사</t>
    <phoneticPr fontId="2" type="noConversion"/>
  </si>
  <si>
    <t>사급자재비, 운반비, 기타공사</t>
    <phoneticPr fontId="2" type="noConversion"/>
  </si>
  <si>
    <t>골재비및운반비, 작업부산물, 품질시험비,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</si>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</sst>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3935.43</v>
      </c>
      <c r="D7" s="36">
        <f>+C7/3.3058</f>
        <v>1190.4622179200194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1213950</v>
      </c>
      <c r="E25" s="59">
        <f t="shared" si="0"/>
        <v>4013070</v>
      </c>
    </row>
    <row r="26" spans="1:5" x14ac:dyDescent="0.3">
      <c r="B26" s="2">
        <v>3</v>
      </c>
      <c r="C26" s="35" t="s">
        <v>95</v>
      </c>
      <c r="D26" s="45">
        <f>+D66</f>
        <v>30950</v>
      </c>
      <c r="E26" s="59">
        <f t="shared" si="0"/>
        <v>102310</v>
      </c>
    </row>
    <row r="27" spans="1:5" x14ac:dyDescent="0.3">
      <c r="B27" s="2">
        <v>4</v>
      </c>
      <c r="C27" s="35" t="s">
        <v>96</v>
      </c>
      <c r="D27" s="45">
        <f>+D95</f>
        <v>77800</v>
      </c>
      <c r="E27" s="59">
        <f t="shared" si="0"/>
        <v>257190</v>
      </c>
    </row>
    <row r="28" spans="1:5" x14ac:dyDescent="0.3">
      <c r="B28" s="2">
        <v>5</v>
      </c>
      <c r="C28" s="35" t="s">
        <v>97</v>
      </c>
      <c r="D28" s="45">
        <f>+D119</f>
        <v>193520</v>
      </c>
      <c r="E28" s="59">
        <f t="shared" si="0"/>
        <v>639730</v>
      </c>
    </row>
    <row r="29" spans="1:5" x14ac:dyDescent="0.3">
      <c r="B29" s="2">
        <v>6</v>
      </c>
      <c r="C29" s="35" t="s">
        <v>98</v>
      </c>
      <c r="D29" s="45">
        <f>+D133</f>
        <v>112890</v>
      </c>
      <c r="E29" s="59">
        <f t="shared" si="0"/>
        <v>373190</v>
      </c>
    </row>
    <row r="30" spans="1:5" x14ac:dyDescent="0.3">
      <c r="B30" s="2">
        <v>7</v>
      </c>
      <c r="C30" s="35" t="s">
        <v>99</v>
      </c>
      <c r="D30" s="45">
        <f>+D146</f>
        <v>77830</v>
      </c>
      <c r="E30" s="59">
        <f t="shared" si="0"/>
        <v>257290</v>
      </c>
    </row>
    <row r="31" spans="1:5" x14ac:dyDescent="0.3">
      <c r="B31" s="2">
        <v>8</v>
      </c>
      <c r="C31" s="35" t="s">
        <v>100</v>
      </c>
      <c r="D31" s="45">
        <f>+D154</f>
        <v>37960</v>
      </c>
      <c r="E31" s="59">
        <f t="shared" si="0"/>
        <v>125480</v>
      </c>
    </row>
    <row r="32" spans="1:5" x14ac:dyDescent="0.3">
      <c r="B32" s="2">
        <v>9</v>
      </c>
      <c r="C32" s="35" t="s">
        <v>101</v>
      </c>
      <c r="D32" s="45">
        <f>+D161</f>
        <v>57540</v>
      </c>
      <c r="E32" s="59">
        <f t="shared" si="0"/>
        <v>190210</v>
      </c>
    </row>
    <row r="33" spans="1:7" x14ac:dyDescent="0.3">
      <c r="B33" s="2">
        <v>10</v>
      </c>
      <c r="C33" s="35" t="s">
        <v>155</v>
      </c>
      <c r="D33" s="53">
        <f>TRUNC(SUM(D24:D32)*0.275,-1)</f>
        <v>495670</v>
      </c>
      <c r="E33" s="60">
        <f t="shared" si="0"/>
        <v>1638580</v>
      </c>
    </row>
    <row r="34" spans="1:7" x14ac:dyDescent="0.3">
      <c r="C34" s="35" t="s">
        <v>112</v>
      </c>
      <c r="D34" s="44">
        <f>SUM(D24:D33)</f>
        <v>2298110</v>
      </c>
      <c r="E34" s="44">
        <f>SUM(E24:E33)</f>
        <v>7597050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TRUNC(90123,-1)</f>
        <v>90120</v>
      </c>
      <c r="E40" s="62">
        <f t="shared" ref="E40:E59" si="1">TRUNC(+D40*3.3058,-1)</f>
        <v>297910</v>
      </c>
    </row>
    <row r="41" spans="1:7" x14ac:dyDescent="0.3">
      <c r="A41" s="2">
        <v>2</v>
      </c>
      <c r="C41" s="38" t="s">
        <v>13</v>
      </c>
      <c r="D41" s="42">
        <f>TRUNC(185178,-1)</f>
        <v>185170</v>
      </c>
      <c r="E41" s="63">
        <f t="shared" si="1"/>
        <v>612130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TRUNC(19684,-1)</f>
        <v>19680</v>
      </c>
      <c r="E43" s="63">
        <f t="shared" si="1"/>
        <v>65050</v>
      </c>
    </row>
    <row r="44" spans="1:7" x14ac:dyDescent="0.3">
      <c r="A44" s="2">
        <v>5</v>
      </c>
      <c r="C44" s="38" t="s">
        <v>17</v>
      </c>
      <c r="D44" s="42">
        <f>TRUNC(34589,-1)</f>
        <v>34580</v>
      </c>
      <c r="E44" s="63">
        <f t="shared" si="1"/>
        <v>114310</v>
      </c>
    </row>
    <row r="45" spans="1:7" x14ac:dyDescent="0.3">
      <c r="A45" s="2">
        <v>6</v>
      </c>
      <c r="C45" s="38" t="s">
        <v>18</v>
      </c>
      <c r="D45" s="42">
        <f>TRUNC(4862,-1)</f>
        <v>4860</v>
      </c>
      <c r="E45" s="63">
        <f t="shared" si="1"/>
        <v>16060</v>
      </c>
    </row>
    <row r="46" spans="1:7" x14ac:dyDescent="0.3">
      <c r="A46" s="2">
        <v>7</v>
      </c>
      <c r="C46" s="38" t="s">
        <v>19</v>
      </c>
      <c r="D46" s="42">
        <f>TRUNC(13701,-1)</f>
        <v>13700</v>
      </c>
      <c r="E46" s="63">
        <f t="shared" si="1"/>
        <v>45280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TRUNC(107617,-1)</f>
        <v>107610</v>
      </c>
      <c r="E48" s="63">
        <f t="shared" si="1"/>
        <v>355730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TRUNC(45983,-1)</f>
        <v>45980</v>
      </c>
      <c r="E49" s="63">
        <f t="shared" si="1"/>
        <v>152000</v>
      </c>
    </row>
    <row r="50" spans="1:7" x14ac:dyDescent="0.3">
      <c r="A50" s="2">
        <v>11</v>
      </c>
      <c r="C50" s="38" t="s">
        <v>156</v>
      </c>
      <c r="D50" s="42">
        <f>TRUNC(70893,-1)</f>
        <v>70890</v>
      </c>
      <c r="E50" s="63">
        <f t="shared" si="1"/>
        <v>234340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TRUNC(29462,-1)</f>
        <v>29460</v>
      </c>
      <c r="E52" s="63">
        <f t="shared" si="1"/>
        <v>97380</v>
      </c>
    </row>
    <row r="53" spans="1:7" x14ac:dyDescent="0.3">
      <c r="A53" s="2">
        <v>14</v>
      </c>
      <c r="C53" s="38" t="s">
        <v>25</v>
      </c>
      <c r="D53" s="42">
        <f>TRUNC(162089,-1)</f>
        <v>162080</v>
      </c>
      <c r="E53" s="63">
        <f t="shared" si="1"/>
        <v>535800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TRUNC(6206-326+1446+905,-1)</f>
        <v>8230</v>
      </c>
      <c r="E58" s="63">
        <f t="shared" si="1"/>
        <v>27200</v>
      </c>
      <c r="F58" s="2" t="s">
        <v>263</v>
      </c>
    </row>
    <row r="59" spans="1:7" ht="17.25" thickBot="1" x14ac:dyDescent="0.35">
      <c r="A59" s="2">
        <v>20</v>
      </c>
      <c r="C59" s="38" t="s">
        <v>149</v>
      </c>
      <c r="D59" s="43">
        <f>TRUNC(441593,-1)</f>
        <v>441590</v>
      </c>
      <c r="E59" s="64">
        <f t="shared" si="1"/>
        <v>1459800</v>
      </c>
    </row>
    <row r="60" spans="1:7" x14ac:dyDescent="0.3">
      <c r="A60" s="2">
        <v>21</v>
      </c>
      <c r="C60" s="27" t="s">
        <v>112</v>
      </c>
      <c r="D60" s="39">
        <f>SUM(D40:D59)</f>
        <v>1213950</v>
      </c>
      <c r="E60" s="39">
        <f>SUM(E40:E59)</f>
        <v>4012990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TRUNC(30952,-1)</f>
        <v>30950</v>
      </c>
      <c r="E63" s="62">
        <f>TRUNC(+D63*3.3058,-1)</f>
        <v>102310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30950</v>
      </c>
      <c r="E66" s="65">
        <f>SUM(E63:E65)</f>
        <v>102310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TRUNC(5003,-1)</f>
        <v>5000</v>
      </c>
      <c r="E69" s="62">
        <f t="shared" ref="E69:E94" si="2">TRUNC(+D69*3.3058,-1)</f>
        <v>16520</v>
      </c>
    </row>
    <row r="70" spans="1:7" ht="16.5" customHeight="1" x14ac:dyDescent="0.3">
      <c r="A70" s="2">
        <v>2</v>
      </c>
      <c r="C70" s="38" t="s">
        <v>31</v>
      </c>
      <c r="D70" s="42">
        <f>TRUNC(905,-1)</f>
        <v>900</v>
      </c>
      <c r="E70" s="63">
        <f t="shared" si="2"/>
        <v>2970</v>
      </c>
    </row>
    <row r="71" spans="1:7" x14ac:dyDescent="0.3">
      <c r="A71" s="2">
        <v>3</v>
      </c>
      <c r="C71" s="38" t="s">
        <v>32</v>
      </c>
      <c r="D71" s="42">
        <f>TRUNC(10401,-1)</f>
        <v>10400</v>
      </c>
      <c r="E71" s="63">
        <f t="shared" si="2"/>
        <v>34380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TRUNC(1367,-1)</f>
        <v>1360</v>
      </c>
      <c r="E73" s="63">
        <f t="shared" si="2"/>
        <v>4490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TRUNC(2249,-1)</f>
        <v>2240</v>
      </c>
      <c r="E75" s="63">
        <f t="shared" si="2"/>
        <v>7400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TRUNC(12521,-1)</f>
        <v>12520</v>
      </c>
      <c r="E89" s="63">
        <f t="shared" si="2"/>
        <v>41380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TRUNC(32749,-1)</f>
        <v>32740</v>
      </c>
      <c r="E91" s="63">
        <f t="shared" si="2"/>
        <v>108230</v>
      </c>
    </row>
    <row r="92" spans="1:7" x14ac:dyDescent="0.3">
      <c r="A92" s="2">
        <v>24</v>
      </c>
      <c r="C92" s="38" t="s">
        <v>38</v>
      </c>
      <c r="D92" s="42">
        <f>TRUNC(2066,-1)</f>
        <v>2060</v>
      </c>
      <c r="E92" s="63">
        <f t="shared" si="2"/>
        <v>6800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TRUNC(7136+544+2906,-1)</f>
        <v>10580</v>
      </c>
      <c r="E94" s="64">
        <f t="shared" si="2"/>
        <v>34970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77800</v>
      </c>
      <c r="E95" s="39">
        <f>SUM(E69:E94)</f>
        <v>257140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TRUNC(6373,-1)</f>
        <v>6370</v>
      </c>
      <c r="E98" s="62">
        <f t="shared" ref="E98:E118" si="3">TRUNC(+D98*3.3058,-1)</f>
        <v>21050</v>
      </c>
    </row>
    <row r="99" spans="1:7" x14ac:dyDescent="0.3">
      <c r="A99" s="2">
        <v>2</v>
      </c>
      <c r="C99" s="38" t="s">
        <v>40</v>
      </c>
      <c r="D99" s="42">
        <f>TRUNC(9529,-1)</f>
        <v>9520</v>
      </c>
      <c r="E99" s="63">
        <f t="shared" si="3"/>
        <v>31470</v>
      </c>
    </row>
    <row r="100" spans="1:7" x14ac:dyDescent="0.3">
      <c r="A100" s="2">
        <v>3</v>
      </c>
      <c r="C100" s="38" t="s">
        <v>41</v>
      </c>
      <c r="D100" s="42">
        <f>TRUNC(34233,-1)</f>
        <v>34230</v>
      </c>
      <c r="E100" s="63">
        <f t="shared" si="3"/>
        <v>113150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TRUNC(10853,-1)</f>
        <v>10850</v>
      </c>
      <c r="E102" s="63">
        <f t="shared" si="3"/>
        <v>35860</v>
      </c>
    </row>
    <row r="103" spans="1:7" x14ac:dyDescent="0.3">
      <c r="A103" s="2">
        <v>6</v>
      </c>
      <c r="C103" s="38" t="s">
        <v>44</v>
      </c>
      <c r="D103" s="42">
        <f>TRUNC(1627,-1)</f>
        <v>1620</v>
      </c>
      <c r="E103" s="63">
        <f t="shared" si="3"/>
        <v>5350</v>
      </c>
    </row>
    <row r="104" spans="1:7" x14ac:dyDescent="0.3">
      <c r="A104" s="2">
        <v>7</v>
      </c>
      <c r="C104" s="38" t="s">
        <v>45</v>
      </c>
      <c r="D104" s="42">
        <f>TRUNC(5296,-1)</f>
        <v>5290</v>
      </c>
      <c r="E104" s="63">
        <f t="shared" si="3"/>
        <v>17480</v>
      </c>
    </row>
    <row r="105" spans="1:7" x14ac:dyDescent="0.3">
      <c r="A105" s="2">
        <v>8</v>
      </c>
      <c r="C105" s="38" t="s">
        <v>46</v>
      </c>
      <c r="D105" s="42">
        <f>TRUNC(3311,-1)</f>
        <v>3310</v>
      </c>
      <c r="E105" s="63">
        <f t="shared" si="3"/>
        <v>10940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TRUNC(5425,-1)</f>
        <v>5420</v>
      </c>
      <c r="E114" s="63">
        <f t="shared" si="3"/>
        <v>17910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TRUNC(5732,-1)</f>
        <v>5730</v>
      </c>
      <c r="E116" s="63">
        <f t="shared" si="3"/>
        <v>18940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TRUNC(110344,-1)</f>
        <v>110340</v>
      </c>
      <c r="E117" s="63">
        <f t="shared" si="3"/>
        <v>364760</v>
      </c>
    </row>
    <row r="118" spans="1:7" ht="17.25" thickBot="1" x14ac:dyDescent="0.35">
      <c r="A118" s="2">
        <v>21</v>
      </c>
      <c r="C118" s="38" t="s">
        <v>47</v>
      </c>
      <c r="D118" s="43">
        <f>TRUNC(849,-1)</f>
        <v>840</v>
      </c>
      <c r="E118" s="64">
        <f t="shared" si="3"/>
        <v>2770</v>
      </c>
    </row>
    <row r="119" spans="1:7" x14ac:dyDescent="0.3">
      <c r="A119" s="2">
        <v>22</v>
      </c>
      <c r="C119" s="27" t="s">
        <v>112</v>
      </c>
      <c r="D119" s="39">
        <f>SUM(D98:D118)</f>
        <v>193520</v>
      </c>
      <c r="E119" s="39">
        <f>SUM(E98:E118)</f>
        <v>639680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TRUNC(2209,-1)</f>
        <v>2200</v>
      </c>
      <c r="E122" s="62">
        <f t="shared" ref="E122:E132" si="4">TRUNC(+D122*3.3058,-1)</f>
        <v>7270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TRUNC(643,-1)</f>
        <v>640</v>
      </c>
      <c r="E124" s="63">
        <f t="shared" si="4"/>
        <v>2110</v>
      </c>
    </row>
    <row r="125" spans="1:7" x14ac:dyDescent="0.3">
      <c r="A125" s="2">
        <v>4</v>
      </c>
      <c r="C125" s="38" t="s">
        <v>138</v>
      </c>
      <c r="D125" s="42">
        <f>TRUNC(6626,-1)</f>
        <v>6620</v>
      </c>
      <c r="E125" s="63">
        <f t="shared" si="4"/>
        <v>21880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TRUNC(3198,-1)</f>
        <v>3190</v>
      </c>
      <c r="E127" s="63">
        <f t="shared" si="4"/>
        <v>10540</v>
      </c>
    </row>
    <row r="128" spans="1:7" x14ac:dyDescent="0.3">
      <c r="A128" s="2">
        <v>7</v>
      </c>
      <c r="C128" s="38" t="s">
        <v>46</v>
      </c>
      <c r="D128" s="42">
        <f>TRUNC(4756,-1)</f>
        <v>4750</v>
      </c>
      <c r="E128" s="63">
        <f t="shared" si="4"/>
        <v>15700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TRUNC(16204,-1)</f>
        <v>16200</v>
      </c>
      <c r="E130" s="63">
        <f t="shared" si="4"/>
        <v>53550</v>
      </c>
    </row>
    <row r="131" spans="1:7" x14ac:dyDescent="0.3">
      <c r="A131" s="2">
        <v>10</v>
      </c>
      <c r="C131" s="38" t="s">
        <v>149</v>
      </c>
      <c r="D131" s="42">
        <f>TRUNC(71910,-1)</f>
        <v>71910</v>
      </c>
      <c r="E131" s="63">
        <f t="shared" si="4"/>
        <v>237720</v>
      </c>
    </row>
    <row r="132" spans="1:7" ht="18" thickBot="1" x14ac:dyDescent="0.35">
      <c r="A132" s="2">
        <v>11</v>
      </c>
      <c r="C132" s="38" t="s">
        <v>47</v>
      </c>
      <c r="D132" s="43">
        <f>TRUNC(7207+180,-1)</f>
        <v>7380</v>
      </c>
      <c r="E132" s="64">
        <f t="shared" si="4"/>
        <v>24390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112890</v>
      </c>
      <c r="E133" s="39">
        <f>SUM(E122:E132)</f>
        <v>373160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TRUNC(3525+28281,-1)</f>
        <v>31800</v>
      </c>
      <c r="E137" s="63">
        <f t="shared" si="5"/>
        <v>105120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f>TRUNC(16544,-1)</f>
        <v>16540</v>
      </c>
      <c r="E138" s="63">
        <f t="shared" si="5"/>
        <v>54670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TRUNC(2972,-1)</f>
        <v>2970</v>
      </c>
      <c r="E140" s="63">
        <f t="shared" si="5"/>
        <v>9810</v>
      </c>
    </row>
    <row r="141" spans="1:7" x14ac:dyDescent="0.3">
      <c r="A141" s="2">
        <v>6</v>
      </c>
      <c r="C141" s="38" t="s">
        <v>59</v>
      </c>
      <c r="D141" s="42">
        <f>TRUNC(21218,-1)</f>
        <v>21210</v>
      </c>
      <c r="E141" s="63">
        <f t="shared" si="5"/>
        <v>70110</v>
      </c>
    </row>
    <row r="142" spans="1:7" x14ac:dyDescent="0.3">
      <c r="A142" s="2">
        <v>7</v>
      </c>
      <c r="C142" s="38" t="s">
        <v>58</v>
      </c>
      <c r="D142" s="42">
        <f>TRUNC(5318,-1)</f>
        <v>5310</v>
      </c>
      <c r="E142" s="63">
        <f t="shared" si="5"/>
        <v>17550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77830</v>
      </c>
      <c r="E146" s="39">
        <f>SUM(E136:E145)</f>
        <v>257260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TRUNC(14254+1970,-1)</f>
        <v>16220</v>
      </c>
      <c r="E149" s="62">
        <f>TRUNC(+D149*3.3058,-1)</f>
        <v>53620</v>
      </c>
    </row>
    <row r="150" spans="1:7" x14ac:dyDescent="0.3">
      <c r="A150" s="2">
        <v>2</v>
      </c>
      <c r="C150" s="38" t="s">
        <v>49</v>
      </c>
      <c r="D150" s="42">
        <f>TRUNC(9078,-1)</f>
        <v>9070</v>
      </c>
      <c r="E150" s="63">
        <f>TRUNC(+D150*3.3058,-1)</f>
        <v>29980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TRUNC(11700+660+317,-1)</f>
        <v>12670</v>
      </c>
      <c r="E152" s="63">
        <f>TRUNC(+D152*3.3058,-1)</f>
        <v>41880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37960</v>
      </c>
      <c r="E154" s="39">
        <f>SUM(E149:E153)</f>
        <v>125480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TRUNC(45958,-1)</f>
        <v>45950</v>
      </c>
      <c r="E157" s="62">
        <f>TRUNC(+D157*3.3058,-1)</f>
        <v>151900</v>
      </c>
    </row>
    <row r="158" spans="1:7" x14ac:dyDescent="0.3">
      <c r="A158" s="2">
        <v>2</v>
      </c>
      <c r="C158" s="38" t="s">
        <v>52</v>
      </c>
      <c r="D158" s="42">
        <f>TRUNC(6211,-1)</f>
        <v>6210</v>
      </c>
      <c r="E158" s="63">
        <f>TRUNC(+D158*3.3058,-1)</f>
        <v>20520</v>
      </c>
    </row>
    <row r="159" spans="1:7" x14ac:dyDescent="0.3">
      <c r="A159" s="2">
        <v>3</v>
      </c>
      <c r="C159" s="38" t="s">
        <v>47</v>
      </c>
      <c r="D159" s="42">
        <f>TRUNC(5223+162,-1)</f>
        <v>5380</v>
      </c>
      <c r="E159" s="63">
        <f>TRUNC(+D159*3.3058,-1)</f>
        <v>17780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57540</v>
      </c>
      <c r="E161" s="39">
        <f>SUM(E157:E160)</f>
        <v>190200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2020-12-08T01:33:47Z</dcterms:modified>
</cp:coreProperties>
</file>