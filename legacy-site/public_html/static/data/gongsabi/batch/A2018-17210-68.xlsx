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2" i="4"/>
  <c r="D150" i="4"/>
  <c r="D149" i="4"/>
  <c r="D144" i="4"/>
  <c r="D143" i="4"/>
  <c r="D139" i="4"/>
  <c r="D138" i="4"/>
  <c r="D140" i="4"/>
  <c r="D132" i="4"/>
  <c r="D128" i="4"/>
  <c r="D122" i="4"/>
  <c r="D130" i="4"/>
  <c r="D118" i="4"/>
  <c r="D105" i="4"/>
  <c r="D104" i="4"/>
  <c r="D103" i="4"/>
  <c r="D102" i="4"/>
  <c r="D100" i="4"/>
  <c r="D99" i="4"/>
  <c r="D98" i="4"/>
  <c r="D114" i="4"/>
  <c r="D116" i="4"/>
  <c r="D94" i="4"/>
  <c r="D92" i="4"/>
  <c r="D91" i="4"/>
  <c r="D89" i="4"/>
  <c r="D73" i="4"/>
  <c r="D72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<sst xmlns="http://schemas.openxmlformats.org/spreadsheetml/2006/main" count="392" uniqueCount="267">
  <si>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</si>
  <si>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</si>
  <si>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</si>
  <si>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</si>
  <si>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</si>
  <si>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</si>
  <si>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</si>
  <si>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</si>
  <si>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</si>
  <si>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</si>
  <si>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</si>
  <si>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</si>
  <si>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</si>
  <si>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</si>
  <si>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</si>
  <si>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</si>
  <si>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</si>
  <si>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</si>
  <si>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</si>
  <si>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</si>
  <si>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</si>
  <si>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</si>
  <si>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</si>
  <si>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</si>
  <si>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</si>
  <si>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</si>
  <si>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</si>
  <si>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</si>
  <si>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</si>
  <si>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</si>
  <si>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</si>
  <si>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</si>
  <si>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</si>
  <si>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</si>
  <si>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</si>
  <si>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</si>
  <si>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</si>
  <si>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</si>
  <si>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</si>
  <si>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</si>
  <si>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</si>
  <si>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</si>
  <si>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</si>
  <si>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</si>
  <si>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</si>
  <si>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</si>
  <si>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</si>
  <si>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</si>
  <si>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</si>
  <si>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</si>
  <si>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</si>
  <si>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</si>
  <si>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</si>
  <si>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</si>
  <si>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</si>
  <si>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</si>
  <si>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</si>
  <si>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</si>
  <si>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</si>
  <si>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</si>
  <si>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</si>
  <si>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</si>
  <si>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</si>
  <si>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</si>
  <si>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</si>
  <si>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</si>
  <si>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</si>
  <si>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</si>
  <si>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</si>
  <si>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</si>
  <si>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</si>
  <si>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</si>
  <si>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</si>
  <si>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</si>
  <si>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</si>
  <si>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</si>
  <si>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</si>
  <si>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</si>
  <si>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</si>
  <si>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</si>
  <si>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</si>
  <si>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</si>
  <si>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</si>
  <si>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</si>
  <si>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</si>
  <si>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</si>
  <si>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</si>
  <si>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</si>
  <si>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</si>
  <si>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</si>
  <si>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</si>
  <si>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</si>
  <si>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</si>
  <si>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</si>
  <si>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</si>
  <si>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</si>
  <si>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</si>
  <si>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</si>
  <si>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</si>
  <si>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</si>
  <si>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</si>
  <si>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</si>
  <si>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</si>
  <si>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</si>
  <si>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</si>
  <si>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</si>
  <si>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</si>
  <si>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</si>
  <si>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</si>
  <si>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</si>
  <si>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</si>
  <si>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</si>
  <si>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</si>
  <si>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</si>
  <si>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</si>
  <si>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</si>
  <si>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</si>
  <si>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</si>
  <si>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</si>
  <si>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</si>
  <si>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</si>
  <si>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</si>
  <si>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</si>
  <si>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</si>
  <si>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</si>
  <si>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</si>
  <si>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</si>
  <si>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</si>
  <si>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</si>
  <si>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</si>
  <si>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</si>
  <si>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</si>
  <si>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</si>
  <si>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</si>
  <si>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</si>
  <si>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</si>
  <si>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</si>
  <si>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</si>
  <si>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</si>
  <si>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</si>
  <si>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</si>
  <si>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</si>
  <si>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</si>
  <si>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</si>
  <si>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</si>
  <si>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</si>
  <si>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</si>
  <si>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</si>
  <si>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</si>
  <si>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</si>
  <si>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</si>
  <si>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</si>
  <si>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</si>
  <si>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</si>
  <si>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</si>
  <si>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</si>
  <si>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</si>
  <si>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</si>
  <si>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</si>
  <si>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</si>
  <si>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</si>
  <si>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</si>
  <si>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</si>
  <si>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</si>
  <si>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</si>
  <si>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</si>
  <si>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</si>
  <si>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</si>
  <si>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</si>
  <si>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</si>
  <si>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</si>
  <si>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</si>
  <si>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</si>
  <si>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</si>
  <si>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</si>
  <si>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</si>
  <si>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</si>
  <si>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</si>
  <si>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</si>
  <si>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</si>
  <si>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</si>
  <si>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</si>
  <si>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</si>
  <si>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</si>
  <si>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</si>
  <si>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</si>
  <si>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</si>
  <si>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</si>
  <si>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</si>
  <si>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</si>
  <si>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</si>
  <si>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</si>
  <si>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</si>
  <si>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</si>
  <si>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</si>
  <si>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</si>
  <si>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</si>
  <si>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</si>
  <si>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</si>
  <si>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</si>
  <si>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</si>
  <si>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</si>
  <si>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</si>
  <si>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</si>
  <si>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</si>
  <si>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</si>
  <si>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</si>
  <si>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</si>
  <si>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</si>
  <si>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</si>
  <si>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</si>
  <si>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</si>
  <si>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</si>
  <si>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</si>
  <si>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</si>
  <si>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</si>
  <si>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</si>
  <si>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</si>
  <si>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</si>
  <si>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</si>
  <si>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</si>
  <si>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</si>
  <si>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</si>
  <si>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</si>
  <si>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</si>
  <si>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</si>
  <si>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</si>
  <si>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</si>
  <si>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</si>
  <si>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</si>
  <si>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</si>
  <si>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</si>
  <si>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</si>
  <si>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</si>
  <si>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</si>
  <si>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</si>
  <si>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</si>
  <si>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</si>
  <si>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</si>
  <si>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</si>
  <si>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</si>
  <si>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</si>
  <si>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</si>
  <si>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</si>
  <si>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</si>
  <si>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</si>
  <si>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</si>
  <si>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</si>
  <si>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KTL 강원지역시험소 신축공사</t>
    <phoneticPr fontId="2" type="noConversion"/>
  </si>
  <si>
    <t>기타</t>
  </si>
  <si>
    <t>강원도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</si>
  <si>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</si>
  <si>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</si>
  <si>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</si>
  <si>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기초공사,해체및철거공사,골재비및운반비,작업부산물,기타공사</t>
    <phoneticPr fontId="2" type="noConversion"/>
  </si>
  <si>
    <t>공조배관공사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</si>
  <si>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</si>
  <si>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</si>
  <si>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</si>
  <si>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</si>
  <si>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오수공사</t>
    <phoneticPr fontId="2" type="noConversion"/>
  </si>
  <si>
    <t>사급자재비,기타공사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</si>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</sst>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9.62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2685.69</v>
      </c>
      <c r="D7" s="36">
        <f>+C7/3.3058</f>
        <v>812.41756912093899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986800</v>
      </c>
      <c r="E25" s="59">
        <f t="shared" si="0"/>
        <v>3262160</v>
      </c>
    </row>
    <row r="26" spans="1:5" x14ac:dyDescent="0.3">
      <c r="B26" s="2">
        <v>3</v>
      </c>
      <c r="C26" s="35" t="s">
        <v>95</v>
      </c>
      <c r="D26" s="45">
        <f>+D66</f>
        <v>90</v>
      </c>
      <c r="E26" s="59">
        <f t="shared" si="0"/>
        <v>290</v>
      </c>
    </row>
    <row r="27" spans="1:5" x14ac:dyDescent="0.3">
      <c r="B27" s="2">
        <v>4</v>
      </c>
      <c r="C27" s="35" t="s">
        <v>96</v>
      </c>
      <c r="D27" s="45">
        <f>+D95</f>
        <v>80520</v>
      </c>
      <c r="E27" s="59">
        <f t="shared" si="0"/>
        <v>266180</v>
      </c>
    </row>
    <row r="28" spans="1:5" x14ac:dyDescent="0.3">
      <c r="B28" s="2">
        <v>5</v>
      </c>
      <c r="C28" s="35" t="s">
        <v>97</v>
      </c>
      <c r="D28" s="45">
        <f>+D119</f>
        <v>500230</v>
      </c>
      <c r="E28" s="59">
        <f t="shared" si="0"/>
        <v>1653660</v>
      </c>
    </row>
    <row r="29" spans="1:5" x14ac:dyDescent="0.3">
      <c r="B29" s="2">
        <v>6</v>
      </c>
      <c r="C29" s="35" t="s">
        <v>98</v>
      </c>
      <c r="D29" s="45">
        <f>+D133</f>
        <v>79960</v>
      </c>
      <c r="E29" s="59">
        <f t="shared" si="0"/>
        <v>264330</v>
      </c>
    </row>
    <row r="30" spans="1:5" x14ac:dyDescent="0.3">
      <c r="B30" s="2">
        <v>7</v>
      </c>
      <c r="C30" s="35" t="s">
        <v>99</v>
      </c>
      <c r="D30" s="45">
        <f>+D146</f>
        <v>53910</v>
      </c>
      <c r="E30" s="59">
        <f t="shared" si="0"/>
        <v>178210</v>
      </c>
    </row>
    <row r="31" spans="1:5" x14ac:dyDescent="0.3">
      <c r="B31" s="2">
        <v>8</v>
      </c>
      <c r="C31" s="35" t="s">
        <v>100</v>
      </c>
      <c r="D31" s="45">
        <f>+D154</f>
        <v>6150</v>
      </c>
      <c r="E31" s="59">
        <f t="shared" si="0"/>
        <v>20330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469600</v>
      </c>
      <c r="E33" s="60">
        <f t="shared" si="0"/>
        <v>1552400</v>
      </c>
    </row>
    <row r="34" spans="1:7" x14ac:dyDescent="0.3">
      <c r="C34" s="35" t="s">
        <v>112</v>
      </c>
      <c r="D34" s="44">
        <f>SUM(D24:D33)</f>
        <v>2177260</v>
      </c>
      <c r="E34" s="44">
        <f>SUM(E24:E33)</f>
        <v>7197560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TRUNC(60412,-1)</f>
        <v>60410</v>
      </c>
      <c r="E40" s="62">
        <f t="shared" ref="E40:E59" si="1">TRUNC(+D40*3.3058,-1)</f>
        <v>199700</v>
      </c>
    </row>
    <row r="41" spans="1:7" x14ac:dyDescent="0.3">
      <c r="A41" s="2">
        <v>2</v>
      </c>
      <c r="C41" s="38" t="s">
        <v>13</v>
      </c>
      <c r="D41" s="42">
        <f>TRUNC(86284,-1)</f>
        <v>86280</v>
      </c>
      <c r="E41" s="63">
        <f t="shared" si="1"/>
        <v>285220</v>
      </c>
    </row>
    <row r="42" spans="1:7" x14ac:dyDescent="0.3">
      <c r="A42" s="2">
        <v>3</v>
      </c>
      <c r="C42" s="38" t="s">
        <v>14</v>
      </c>
      <c r="D42" s="42">
        <f>TRUNC(217859,-1)</f>
        <v>217850</v>
      </c>
      <c r="E42" s="63">
        <f t="shared" si="1"/>
        <v>720160</v>
      </c>
    </row>
    <row r="43" spans="1:7" x14ac:dyDescent="0.3">
      <c r="A43" s="2">
        <v>4</v>
      </c>
      <c r="C43" s="38" t="s">
        <v>16</v>
      </c>
      <c r="D43" s="42">
        <f>TRUNC(8547,-1)</f>
        <v>8540</v>
      </c>
      <c r="E43" s="63">
        <f t="shared" si="1"/>
        <v>28230</v>
      </c>
    </row>
    <row r="44" spans="1:7" x14ac:dyDescent="0.3">
      <c r="A44" s="2">
        <v>5</v>
      </c>
      <c r="C44" s="38" t="s">
        <v>17</v>
      </c>
      <c r="D44" s="42">
        <f>TRUNC(20032,-1)</f>
        <v>20030</v>
      </c>
      <c r="E44" s="63">
        <f t="shared" si="1"/>
        <v>66210</v>
      </c>
    </row>
    <row r="45" spans="1:7" x14ac:dyDescent="0.3">
      <c r="A45" s="2">
        <v>6</v>
      </c>
      <c r="C45" s="38" t="s">
        <v>18</v>
      </c>
      <c r="D45" s="42">
        <f>TRUNC(4499,-1)</f>
        <v>4490</v>
      </c>
      <c r="E45" s="63">
        <f t="shared" si="1"/>
        <v>14840</v>
      </c>
    </row>
    <row r="46" spans="1:7" x14ac:dyDescent="0.3">
      <c r="A46" s="2">
        <v>7</v>
      </c>
      <c r="C46" s="38" t="s">
        <v>19</v>
      </c>
      <c r="D46" s="42">
        <f>TRUNC(12295,-1)</f>
        <v>12290</v>
      </c>
      <c r="E46" s="63">
        <f t="shared" si="1"/>
        <v>40620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TRUNC(70873,-1)</f>
        <v>70870</v>
      </c>
      <c r="E48" s="63">
        <f t="shared" si="1"/>
        <v>234280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TRUNC(11984,-1)</f>
        <v>11980</v>
      </c>
      <c r="E49" s="63">
        <f t="shared" si="1"/>
        <v>39600</v>
      </c>
    </row>
    <row r="50" spans="1:7" x14ac:dyDescent="0.3">
      <c r="A50" s="2">
        <v>11</v>
      </c>
      <c r="C50" s="38" t="s">
        <v>155</v>
      </c>
      <c r="D50" s="42">
        <f>TRUNC(24174,-1)</f>
        <v>24170</v>
      </c>
      <c r="E50" s="63">
        <f t="shared" si="1"/>
        <v>79900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TRUNC(28655,-1)</f>
        <v>28650</v>
      </c>
      <c r="E52" s="63">
        <f t="shared" si="1"/>
        <v>94710</v>
      </c>
    </row>
    <row r="53" spans="1:7" x14ac:dyDescent="0.3">
      <c r="A53" s="2">
        <v>14</v>
      </c>
      <c r="C53" s="38" t="s">
        <v>25</v>
      </c>
      <c r="D53" s="42">
        <f>TRUNC(94440,-1)</f>
        <v>94440</v>
      </c>
      <c r="E53" s="63">
        <f t="shared" si="1"/>
        <v>312190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TRUNC(60960+4814+1858-3038+3528,-1)</f>
        <v>68120</v>
      </c>
      <c r="E58" s="63">
        <f t="shared" si="1"/>
        <v>225190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TRUNC(278689,-1)</f>
        <v>278680</v>
      </c>
      <c r="E59" s="64">
        <f t="shared" si="1"/>
        <v>921260</v>
      </c>
    </row>
    <row r="60" spans="1:7" x14ac:dyDescent="0.3">
      <c r="A60" s="2">
        <v>21</v>
      </c>
      <c r="C60" s="27" t="s">
        <v>112</v>
      </c>
      <c r="D60" s="39">
        <f>SUM(D40:D59)</f>
        <v>986800</v>
      </c>
      <c r="E60" s="39">
        <f>SUM(E40:E59)</f>
        <v>3262110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TRUNC(90,-1)</f>
        <v>90</v>
      </c>
      <c r="E63" s="62">
        <f>TRUNC(+D63*3.3058,-1)</f>
        <v>290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90</v>
      </c>
      <c r="E66" s="65">
        <f>SUM(E63:E65)</f>
        <v>290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TRUNC(11522,-1)</f>
        <v>11520</v>
      </c>
      <c r="E69" s="62">
        <f t="shared" ref="E69:E94" si="2">TRUNC(+D69*3.3058,-1)</f>
        <v>38080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TRUNC(1924,-1)</f>
        <v>1920</v>
      </c>
      <c r="E72" s="63">
        <f t="shared" si="2"/>
        <v>6340</v>
      </c>
    </row>
    <row r="73" spans="1:7" x14ac:dyDescent="0.3">
      <c r="A73" s="2">
        <v>5</v>
      </c>
      <c r="C73" s="38" t="s">
        <v>34</v>
      </c>
      <c r="D73" s="42">
        <f>TRUNC(5914,-1)</f>
        <v>5910</v>
      </c>
      <c r="E73" s="63">
        <f t="shared" si="2"/>
        <v>19530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TRUNC(2130,-1)</f>
        <v>2130</v>
      </c>
      <c r="E89" s="63">
        <f t="shared" si="2"/>
        <v>7040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TRUNC(165,-1)</f>
        <v>160</v>
      </c>
      <c r="E91" s="63">
        <f t="shared" si="2"/>
        <v>520</v>
      </c>
    </row>
    <row r="92" spans="1:7" x14ac:dyDescent="0.3">
      <c r="A92" s="2">
        <v>24</v>
      </c>
      <c r="C92" s="38" t="s">
        <v>38</v>
      </c>
      <c r="D92" s="42">
        <f>TRUNC(2043,-1)</f>
        <v>2040</v>
      </c>
      <c r="E92" s="63">
        <f t="shared" si="2"/>
        <v>6740</v>
      </c>
    </row>
    <row r="93" spans="1:7" x14ac:dyDescent="0.3">
      <c r="A93" s="2">
        <v>25</v>
      </c>
      <c r="C93" s="38" t="s">
        <v>148</v>
      </c>
      <c r="D93" s="42">
        <f>TRUNC(55560,-1)</f>
        <v>55560</v>
      </c>
      <c r="E93" s="63">
        <f t="shared" si="2"/>
        <v>183670</v>
      </c>
    </row>
    <row r="94" spans="1:7" ht="17.25" thickBot="1" x14ac:dyDescent="0.35">
      <c r="A94" s="2">
        <v>26</v>
      </c>
      <c r="C94" s="38" t="s">
        <v>47</v>
      </c>
      <c r="D94" s="43">
        <f>TRUNC(1287,-1)</f>
        <v>1280</v>
      </c>
      <c r="E94" s="64">
        <f t="shared" si="2"/>
        <v>4230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80520</v>
      </c>
      <c r="E95" s="39">
        <f>SUM(E69:E94)</f>
        <v>266150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TRUNC(76383,-1)</f>
        <v>76380</v>
      </c>
      <c r="E98" s="62">
        <f t="shared" ref="E98:E118" si="3">TRUNC(+D98*3.3058,-1)</f>
        <v>252490</v>
      </c>
    </row>
    <row r="99" spans="1:7" x14ac:dyDescent="0.3">
      <c r="A99" s="2">
        <v>2</v>
      </c>
      <c r="C99" s="38" t="s">
        <v>40</v>
      </c>
      <c r="D99" s="42">
        <f>TRUNC(2443,-1)</f>
        <v>2440</v>
      </c>
      <c r="E99" s="63">
        <f t="shared" si="3"/>
        <v>8060</v>
      </c>
    </row>
    <row r="100" spans="1:7" x14ac:dyDescent="0.3">
      <c r="A100" s="2">
        <v>3</v>
      </c>
      <c r="C100" s="38" t="s">
        <v>41</v>
      </c>
      <c r="D100" s="42">
        <f>TRUNC(49037,-1)</f>
        <v>49030</v>
      </c>
      <c r="E100" s="63">
        <f t="shared" si="3"/>
        <v>162080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TRUNC(8079,-1)</f>
        <v>8070</v>
      </c>
      <c r="E102" s="63">
        <f t="shared" si="3"/>
        <v>26670</v>
      </c>
    </row>
    <row r="103" spans="1:7" x14ac:dyDescent="0.3">
      <c r="A103" s="2">
        <v>6</v>
      </c>
      <c r="C103" s="38" t="s">
        <v>44</v>
      </c>
      <c r="D103" s="42">
        <f>TRUNC(1792,-1)</f>
        <v>1790</v>
      </c>
      <c r="E103" s="63">
        <f t="shared" si="3"/>
        <v>5910</v>
      </c>
    </row>
    <row r="104" spans="1:7" x14ac:dyDescent="0.3">
      <c r="A104" s="2">
        <v>7</v>
      </c>
      <c r="C104" s="38" t="s">
        <v>45</v>
      </c>
      <c r="D104" s="42">
        <f>TRUNC(47763,-1)</f>
        <v>47760</v>
      </c>
      <c r="E104" s="63">
        <f t="shared" si="3"/>
        <v>157880</v>
      </c>
    </row>
    <row r="105" spans="1:7" x14ac:dyDescent="0.3">
      <c r="A105" s="2">
        <v>8</v>
      </c>
      <c r="C105" s="38" t="s">
        <v>46</v>
      </c>
      <c r="D105" s="42">
        <f>TRUNC(17529,-1)</f>
        <v>17520</v>
      </c>
      <c r="E105" s="63">
        <f t="shared" si="3"/>
        <v>57910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TRUNC(2757,-1)</f>
        <v>2750</v>
      </c>
      <c r="E114" s="63">
        <f t="shared" si="3"/>
        <v>9090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TRUNC(20330,-1)</f>
        <v>20330</v>
      </c>
      <c r="E116" s="63">
        <f t="shared" si="3"/>
        <v>67200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TRUNC(267824,-1)</f>
        <v>267820</v>
      </c>
      <c r="E117" s="63">
        <f t="shared" si="3"/>
        <v>885350</v>
      </c>
    </row>
    <row r="118" spans="1:7" ht="17.25" thickBot="1" x14ac:dyDescent="0.35">
      <c r="A118" s="2">
        <v>21</v>
      </c>
      <c r="C118" s="38" t="s">
        <v>47</v>
      </c>
      <c r="D118" s="43">
        <f>TRUNC(6344,-1)</f>
        <v>6340</v>
      </c>
      <c r="E118" s="64">
        <f t="shared" si="3"/>
        <v>20950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500230</v>
      </c>
      <c r="E119" s="39">
        <f>SUM(E98:E118)</f>
        <v>1653590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TRUNC(3480,-1)</f>
        <v>3480</v>
      </c>
      <c r="E122" s="62">
        <f t="shared" ref="E122:E132" si="4">TRUNC(+D122*3.3058,-1)</f>
        <v>11500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TRUNC(6600,-1)</f>
        <v>6600</v>
      </c>
      <c r="E128" s="63">
        <f t="shared" si="4"/>
        <v>21810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TRUNC(21578,-1)</f>
        <v>21570</v>
      </c>
      <c r="E130" s="63">
        <f t="shared" si="4"/>
        <v>71300</v>
      </c>
    </row>
    <row r="131" spans="1:7" x14ac:dyDescent="0.3">
      <c r="A131" s="2">
        <v>10</v>
      </c>
      <c r="C131" s="38" t="s">
        <v>148</v>
      </c>
      <c r="D131" s="42">
        <f>TRUNC(46299,-1)</f>
        <v>46290</v>
      </c>
      <c r="E131" s="63">
        <f t="shared" si="4"/>
        <v>153020</v>
      </c>
    </row>
    <row r="132" spans="1:7" ht="18" thickBot="1" x14ac:dyDescent="0.35">
      <c r="A132" s="2">
        <v>11</v>
      </c>
      <c r="C132" s="38" t="s">
        <v>47</v>
      </c>
      <c r="D132" s="43">
        <f>TRUNC(2028,-1)</f>
        <v>2020</v>
      </c>
      <c r="E132" s="64">
        <f t="shared" si="4"/>
        <v>6670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79960</v>
      </c>
      <c r="E133" s="39">
        <f>SUM(E122:E132)</f>
        <v>264300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f>TRUNC(24773,-1)</f>
        <v>24770</v>
      </c>
      <c r="E138" s="63">
        <f t="shared" si="5"/>
        <v>81880</v>
      </c>
    </row>
    <row r="139" spans="1:7" x14ac:dyDescent="0.3">
      <c r="A139" s="2">
        <v>4</v>
      </c>
      <c r="C139" s="38" t="s">
        <v>61</v>
      </c>
      <c r="D139" s="42">
        <f>TRUNC(4189,-1)</f>
        <v>4180</v>
      </c>
      <c r="E139" s="63">
        <f t="shared" si="5"/>
        <v>13810</v>
      </c>
    </row>
    <row r="140" spans="1:7" x14ac:dyDescent="0.3">
      <c r="A140" s="2">
        <v>5</v>
      </c>
      <c r="C140" s="38" t="s">
        <v>57</v>
      </c>
      <c r="D140" s="42">
        <f>TRUNC(6195,-1)</f>
        <v>6190</v>
      </c>
      <c r="E140" s="63">
        <f t="shared" si="5"/>
        <v>20460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TRUNC(3295,-1)</f>
        <v>3290</v>
      </c>
      <c r="E143" s="63">
        <f t="shared" si="5"/>
        <v>10870</v>
      </c>
    </row>
    <row r="144" spans="1:7" x14ac:dyDescent="0.3">
      <c r="A144" s="2">
        <v>9</v>
      </c>
      <c r="C144" s="38" t="s">
        <v>63</v>
      </c>
      <c r="D144" s="42">
        <f>TRUNC(15482,-1)</f>
        <v>15480</v>
      </c>
      <c r="E144" s="63">
        <f t="shared" si="5"/>
        <v>51170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53910</v>
      </c>
      <c r="E146" s="39">
        <f>SUM(E136:E145)</f>
        <v>178190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TRUNC(490,-1)</f>
        <v>490</v>
      </c>
      <c r="E149" s="62">
        <f>TRUNC(+D149*3.3058,-1)</f>
        <v>1610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TRUNC(446,-1)</f>
        <v>440</v>
      </c>
      <c r="E150" s="63">
        <f>TRUNC(+D150*3.3058,-1)</f>
        <v>1450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TRUNC(3941+1280,-1)</f>
        <v>5220</v>
      </c>
      <c r="E152" s="63">
        <f>TRUNC(+D152*3.3058,-1)</f>
        <v>17250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6150</v>
      </c>
      <c r="E154" s="39">
        <f>SUM(E149:E153)</f>
        <v>20310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2020-12-08T04:05:38Z</dcterms:modified>
</cp:coreProperties>
</file>