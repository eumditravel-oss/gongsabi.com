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0" i="4"/>
  <c r="E145" i="4"/>
  <c r="E141" i="4"/>
  <c r="E138" i="4"/>
  <c r="E136" i="4"/>
  <c r="E131" i="4"/>
  <c r="E129" i="4"/>
  <c r="E128" i="4"/>
  <c r="E127" i="4"/>
  <c r="E123" i="4"/>
  <c r="E117" i="4"/>
  <c r="E115" i="4"/>
  <c r="E114" i="4"/>
  <c r="E113" i="4"/>
  <c r="E112" i="4"/>
  <c r="E111" i="4"/>
  <c r="E110" i="4"/>
  <c r="E109" i="4"/>
  <c r="E108" i="4"/>
  <c r="E107" i="4"/>
  <c r="E106" i="4"/>
  <c r="E105" i="4"/>
  <c r="E102" i="4"/>
  <c r="E101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4" i="4"/>
  <c r="E59" i="4"/>
  <c r="E57" i="4"/>
  <c r="E56" i="4"/>
  <c r="E55" i="4"/>
  <c r="E54" i="4"/>
  <c r="E51" i="4"/>
  <c r="E48" i="4"/>
  <c r="E47" i="4"/>
  <c r="E37" i="4"/>
  <c r="D159" i="4" l="1"/>
  <c r="E159" i="4" s="1"/>
  <c r="D158" i="4"/>
  <c r="E158" i="4" s="1"/>
  <c r="D157" i="4"/>
  <c r="E157" i="4" s="1"/>
  <c r="D152" i="4"/>
  <c r="E152" i="4" s="1"/>
  <c r="D151" i="4"/>
  <c r="E151" i="4" s="1"/>
  <c r="E154" i="4" s="1"/>
  <c r="D149" i="4"/>
  <c r="E149" i="4" s="1"/>
  <c r="D144" i="4"/>
  <c r="E144" i="4" s="1"/>
  <c r="D143" i="4"/>
  <c r="E143" i="4" s="1"/>
  <c r="D142" i="4"/>
  <c r="E142" i="4" s="1"/>
  <c r="D140" i="4"/>
  <c r="E140" i="4" s="1"/>
  <c r="D139" i="4"/>
  <c r="E139" i="4" s="1"/>
  <c r="D137" i="4"/>
  <c r="E137" i="4" s="1"/>
  <c r="E146" i="4" s="1"/>
  <c r="D132" i="4"/>
  <c r="E132" i="4" s="1"/>
  <c r="D130" i="4"/>
  <c r="E130" i="4" s="1"/>
  <c r="D126" i="4"/>
  <c r="E126" i="4" s="1"/>
  <c r="D125" i="4"/>
  <c r="E125" i="4" s="1"/>
  <c r="D124" i="4"/>
  <c r="E124" i="4" s="1"/>
  <c r="D122" i="4"/>
  <c r="E122" i="4" s="1"/>
  <c r="D118" i="4"/>
  <c r="E118" i="4" s="1"/>
  <c r="D116" i="4"/>
  <c r="E116" i="4" s="1"/>
  <c r="D104" i="4"/>
  <c r="E104" i="4" s="1"/>
  <c r="D103" i="4"/>
  <c r="E103" i="4" s="1"/>
  <c r="D100" i="4"/>
  <c r="E100" i="4" s="1"/>
  <c r="D99" i="4"/>
  <c r="E99" i="4" s="1"/>
  <c r="D98" i="4"/>
  <c r="E98" i="4" s="1"/>
  <c r="E119" i="4" s="1"/>
  <c r="D94" i="4"/>
  <c r="E94" i="4" s="1"/>
  <c r="D92" i="4"/>
  <c r="E92" i="4" s="1"/>
  <c r="D91" i="4"/>
  <c r="E91" i="4" s="1"/>
  <c r="D89" i="4"/>
  <c r="E89" i="4" s="1"/>
  <c r="D73" i="4"/>
  <c r="E73" i="4" s="1"/>
  <c r="D72" i="4"/>
  <c r="E72" i="4" s="1"/>
  <c r="D70" i="4"/>
  <c r="E70" i="4" s="1"/>
  <c r="D69" i="4"/>
  <c r="E69" i="4" s="1"/>
  <c r="E95" i="4" s="1"/>
  <c r="D63" i="4"/>
  <c r="E63" i="4" s="1"/>
  <c r="E66" i="4" s="1"/>
  <c r="D58" i="4"/>
  <c r="E58" i="4" s="1"/>
  <c r="D53" i="4"/>
  <c r="E53" i="4" s="1"/>
  <c r="D52" i="4"/>
  <c r="E52" i="4" s="1"/>
  <c r="D50" i="4"/>
  <c r="E50" i="4" s="1"/>
  <c r="D49" i="4"/>
  <c r="E49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161" i="4" l="1"/>
  <c r="E60" i="4"/>
  <c r="E133" i="4"/>
  <c r="D161" i="4"/>
  <c r="D32" i="4" s="1"/>
  <c r="E32" i="4" s="1"/>
  <c r="D154" i="4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9" i="4" l="1"/>
  <c r="E29" i="4" s="1"/>
  <c r="E34" i="4" s="1"/>
  <c r="D33" i="4"/>
  <c r="E33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<sst xmlns="http://schemas.openxmlformats.org/spreadsheetml/2006/main" count="390" uniqueCount="265">
  <si>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</si>
  <si>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</si>
  <si>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</si>
  <si>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</si>
  <si>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</si>
  <si>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</si>
  <si>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</si>
  <si>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</si>
  <si>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</si>
  <si>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</si>
  <si>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</si>
  <si>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</si>
  <si>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</si>
  <si>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</si>
  <si>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</si>
  <si>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</si>
  <si>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</si>
  <si>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</si>
  <si>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</si>
  <si>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</si>
  <si>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</si>
  <si>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</si>
  <si>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</si>
  <si>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</si>
  <si>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</si>
  <si>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</si>
  <si>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</si>
  <si>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</si>
  <si>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</si>
  <si>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</si>
  <si>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</si>
  <si>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</si>
  <si>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</si>
  <si>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</si>
  <si>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</si>
  <si>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</si>
  <si>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</si>
  <si>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</si>
  <si>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</si>
  <si>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</si>
  <si>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</si>
  <si>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</si>
  <si>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</si>
  <si>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</si>
  <si>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</si>
  <si>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</si>
  <si>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</si>
  <si>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</si>
  <si>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</si>
  <si>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</si>
  <si>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</si>
  <si>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</si>
  <si>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</si>
  <si>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</si>
  <si>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</si>
  <si>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</si>
  <si>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</si>
  <si>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</si>
  <si>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</si>
  <si>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</si>
  <si>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</si>
  <si>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</si>
  <si>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</si>
  <si>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</si>
  <si>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</si>
  <si>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</si>
  <si>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</si>
  <si>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</si>
  <si>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</si>
  <si>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</si>
  <si>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</si>
  <si>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</si>
  <si>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</si>
  <si>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</si>
  <si>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</si>
  <si>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</si>
  <si>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</si>
  <si>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</si>
  <si>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</si>
  <si>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</si>
  <si>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</si>
  <si>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</si>
  <si>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</si>
  <si>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</si>
  <si>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</si>
  <si>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</si>
  <si>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</si>
  <si>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</si>
  <si>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</si>
  <si>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</si>
  <si>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</si>
  <si>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</si>
  <si>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</si>
  <si>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</si>
  <si>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</si>
  <si>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</si>
  <si>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</si>
  <si>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</si>
  <si>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</si>
  <si>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</si>
  <si>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</si>
  <si>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</si>
  <si>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</si>
  <si>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</si>
  <si>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</si>
  <si>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</si>
  <si>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</si>
  <si>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</si>
  <si>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</si>
  <si>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</si>
  <si>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</si>
  <si>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</si>
  <si>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</si>
  <si>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</si>
  <si>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</si>
  <si>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</si>
  <si>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</si>
  <si>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</si>
  <si>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</si>
  <si>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</si>
  <si>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</si>
  <si>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</si>
  <si>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</si>
  <si>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</si>
  <si>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</si>
  <si>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</si>
  <si>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</si>
  <si>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</si>
  <si>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</si>
  <si>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</si>
  <si>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</si>
  <si>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</si>
  <si>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</si>
  <si>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</si>
  <si>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</si>
  <si>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</si>
  <si>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</si>
  <si>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</si>
  <si>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</si>
  <si>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</si>
  <si>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</si>
  <si>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</si>
  <si>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</si>
  <si>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</si>
  <si>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</si>
  <si>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</si>
  <si>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</si>
  <si>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</si>
  <si>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</si>
  <si>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</si>
  <si>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</si>
  <si>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</si>
  <si>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</si>
  <si>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</si>
  <si>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</si>
  <si>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</si>
  <si>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</si>
  <si>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</si>
  <si>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</si>
  <si>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</si>
  <si>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</si>
  <si>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</si>
  <si>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</si>
  <si>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</si>
  <si>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</si>
  <si>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</si>
  <si>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</si>
  <si>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</si>
  <si>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</si>
  <si>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</si>
  <si>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</si>
  <si>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</si>
  <si>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</si>
  <si>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</si>
  <si>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</si>
  <si>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</si>
  <si>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</si>
  <si>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</si>
  <si>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</si>
  <si>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</si>
  <si>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</si>
  <si>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</si>
  <si>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</si>
  <si>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</si>
  <si>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</si>
  <si>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</si>
  <si>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</si>
  <si>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</si>
  <si>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</si>
  <si>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</si>
  <si>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</si>
  <si>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</si>
  <si>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</si>
  <si>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</si>
  <si>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</si>
  <si>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</si>
  <si>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</si>
  <si>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</si>
  <si>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</si>
  <si>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</si>
  <si>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</si>
  <si>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</si>
  <si>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</si>
  <si>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</si>
  <si>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</si>
  <si>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</si>
  <si>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</si>
  <si>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</si>
  <si>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</si>
  <si>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</si>
  <si>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</si>
  <si>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</si>
  <si>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</si>
  <si>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</si>
  <si>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</si>
  <si>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</si>
  <si>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</si>
  <si>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</si>
  <si>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</si>
  <si>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</si>
  <si>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</si>
  <si>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</si>
  <si>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</si>
  <si>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</si>
  <si>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</si>
  <si>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</si>
  <si>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</si>
  <si>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</si>
  <si>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</si>
  <si>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</si>
  <si>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</si>
  <si>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</si>
  <si>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</si>
  <si>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</si>
  <si>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</si>
  <si>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</si>
  <si>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</si>
  <si>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</si>
  <si>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</si>
  <si>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</si>
  <si>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</si>
  <si>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</si>
  <si>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</si>
  <si>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</si>
  <si>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</si>
  <si>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</si>
  <si>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</si>
  <si>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</si>
  <si>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</si>
  <si>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</si>
  <si>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경찰청 제천수련원 조성사업</t>
    <phoneticPr fontId="2" type="noConversion"/>
  </si>
  <si>
    <t>교육연구</t>
  </si>
  <si>
    <t>충청도</t>
  </si>
  <si>
    <t>창호및유리공사</t>
    <phoneticPr fontId="2" type="noConversion"/>
  </si>
  <si>
    <t>골재비및운반비, 작업부산물, 기타공사</t>
    <phoneticPr fontId="2" type="noConversion"/>
  </si>
  <si>
    <t>우수처리시설공사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</si>
  <si>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</si>
  <si>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</si>
  <si>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토목 상수도공사, 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</si>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</sst>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10271.16</v>
      </c>
      <c r="D7" s="36">
        <f>+C7/3.3058</f>
        <v>3107.011918446367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643570</v>
      </c>
      <c r="E25" s="59">
        <f t="shared" si="0"/>
        <v>2127510</v>
      </c>
    </row>
    <row r="26" spans="1:5" x14ac:dyDescent="0.3">
      <c r="B26" s="2">
        <v>3</v>
      </c>
      <c r="C26" s="35" t="s">
        <v>95</v>
      </c>
      <c r="D26" s="45">
        <f>+D66</f>
        <v>69320</v>
      </c>
      <c r="E26" s="59">
        <f t="shared" si="0"/>
        <v>229150</v>
      </c>
    </row>
    <row r="27" spans="1:5" x14ac:dyDescent="0.3">
      <c r="B27" s="2">
        <v>4</v>
      </c>
      <c r="C27" s="35" t="s">
        <v>96</v>
      </c>
      <c r="D27" s="45">
        <f>+D95</f>
        <v>74570</v>
      </c>
      <c r="E27" s="59">
        <f t="shared" si="0"/>
        <v>246510</v>
      </c>
    </row>
    <row r="28" spans="1:5" x14ac:dyDescent="0.3">
      <c r="B28" s="2">
        <v>5</v>
      </c>
      <c r="C28" s="35" t="s">
        <v>97</v>
      </c>
      <c r="D28" s="45">
        <f>+D119</f>
        <v>133880</v>
      </c>
      <c r="E28" s="59">
        <f t="shared" si="0"/>
        <v>442580</v>
      </c>
    </row>
    <row r="29" spans="1:5" x14ac:dyDescent="0.3">
      <c r="B29" s="2">
        <v>6</v>
      </c>
      <c r="C29" s="35" t="s">
        <v>98</v>
      </c>
      <c r="D29" s="45">
        <f>+D133</f>
        <v>84270</v>
      </c>
      <c r="E29" s="59">
        <f t="shared" si="0"/>
        <v>278570</v>
      </c>
    </row>
    <row r="30" spans="1:5" x14ac:dyDescent="0.3">
      <c r="B30" s="2">
        <v>7</v>
      </c>
      <c r="C30" s="35" t="s">
        <v>99</v>
      </c>
      <c r="D30" s="45">
        <f>+D146</f>
        <v>28090</v>
      </c>
      <c r="E30" s="59">
        <f t="shared" si="0"/>
        <v>92850</v>
      </c>
    </row>
    <row r="31" spans="1:5" x14ac:dyDescent="0.3">
      <c r="B31" s="2">
        <v>8</v>
      </c>
      <c r="C31" s="35" t="s">
        <v>100</v>
      </c>
      <c r="D31" s="45">
        <f>+D154</f>
        <v>143360</v>
      </c>
      <c r="E31" s="59">
        <f t="shared" si="0"/>
        <v>473910</v>
      </c>
    </row>
    <row r="32" spans="1:5" x14ac:dyDescent="0.3">
      <c r="B32" s="2">
        <v>9</v>
      </c>
      <c r="C32" s="35" t="s">
        <v>101</v>
      </c>
      <c r="D32" s="45">
        <f>+D161</f>
        <v>84470</v>
      </c>
      <c r="E32" s="59">
        <f t="shared" si="0"/>
        <v>279240</v>
      </c>
    </row>
    <row r="33" spans="1:7" x14ac:dyDescent="0.3">
      <c r="B33" s="2">
        <v>10</v>
      </c>
      <c r="C33" s="35" t="s">
        <v>154</v>
      </c>
      <c r="D33" s="53">
        <f>TRUNC(SUM(D24:D32)*0.275,-1)</f>
        <v>346920</v>
      </c>
      <c r="E33" s="60">
        <f t="shared" si="0"/>
        <v>1146840</v>
      </c>
    </row>
    <row r="34" spans="1:7" x14ac:dyDescent="0.3">
      <c r="C34" s="35" t="s">
        <v>112</v>
      </c>
      <c r="D34" s="44">
        <f>SUM(D24:D33)</f>
        <v>1608450</v>
      </c>
      <c r="E34" s="44">
        <f>SUM(E24:E33)</f>
        <v>5317160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TRUNC(79162,-1)</f>
        <v>79160</v>
      </c>
      <c r="E40" s="62">
        <f t="shared" ref="E40:E59" si="1">TRUNC(+D40*3.3058,-1)</f>
        <v>261680</v>
      </c>
    </row>
    <row r="41" spans="1:7" x14ac:dyDescent="0.3">
      <c r="A41" s="2">
        <v>2</v>
      </c>
      <c r="C41" s="38" t="s">
        <v>13</v>
      </c>
      <c r="D41" s="42">
        <f>TRUNC(217886,-1)</f>
        <v>217880</v>
      </c>
      <c r="E41" s="63">
        <f t="shared" si="1"/>
        <v>720260</v>
      </c>
    </row>
    <row r="42" spans="1:7" x14ac:dyDescent="0.3">
      <c r="A42" s="2">
        <v>3</v>
      </c>
      <c r="C42" s="38" t="s">
        <v>14</v>
      </c>
      <c r="D42" s="42">
        <f>TRUNC(2456,-1)</f>
        <v>2450</v>
      </c>
      <c r="E42" s="63">
        <f t="shared" si="1"/>
        <v>8090</v>
      </c>
    </row>
    <row r="43" spans="1:7" x14ac:dyDescent="0.3">
      <c r="A43" s="2">
        <v>4</v>
      </c>
      <c r="C43" s="38" t="s">
        <v>16</v>
      </c>
      <c r="D43" s="42">
        <f>TRUNC(21367,-1)</f>
        <v>21360</v>
      </c>
      <c r="E43" s="63">
        <f t="shared" si="1"/>
        <v>70610</v>
      </c>
    </row>
    <row r="44" spans="1:7" x14ac:dyDescent="0.3">
      <c r="A44" s="2">
        <v>5</v>
      </c>
      <c r="C44" s="38" t="s">
        <v>17</v>
      </c>
      <c r="D44" s="42">
        <f>TRUNC(34935,-1)</f>
        <v>34930</v>
      </c>
      <c r="E44" s="63">
        <f t="shared" si="1"/>
        <v>115470</v>
      </c>
    </row>
    <row r="45" spans="1:7" x14ac:dyDescent="0.3">
      <c r="A45" s="2">
        <v>6</v>
      </c>
      <c r="C45" s="38" t="s">
        <v>18</v>
      </c>
      <c r="D45" s="42">
        <f>TRUNC(23995,-1)</f>
        <v>23990</v>
      </c>
      <c r="E45" s="63">
        <f t="shared" si="1"/>
        <v>79300</v>
      </c>
    </row>
    <row r="46" spans="1:7" x14ac:dyDescent="0.3">
      <c r="A46" s="2">
        <v>7</v>
      </c>
      <c r="C46" s="38" t="s">
        <v>19</v>
      </c>
      <c r="D46" s="42">
        <f>TRUNC(9853,-1)</f>
        <v>9850</v>
      </c>
      <c r="E46" s="63">
        <f t="shared" si="1"/>
        <v>32560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50250</v>
      </c>
      <c r="E48" s="63">
        <f t="shared" si="1"/>
        <v>166110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TRUNC(33301,-1)</f>
        <v>33300</v>
      </c>
      <c r="E49" s="63">
        <f t="shared" si="1"/>
        <v>110080</v>
      </c>
    </row>
    <row r="50" spans="1:7" x14ac:dyDescent="0.3">
      <c r="A50" s="2">
        <v>11</v>
      </c>
      <c r="C50" s="38" t="s">
        <v>155</v>
      </c>
      <c r="D50" s="42">
        <f>TRUNC(52719,-1)</f>
        <v>52710</v>
      </c>
      <c r="E50" s="63">
        <f t="shared" si="1"/>
        <v>174240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TRUNC(9716,-1)</f>
        <v>9710</v>
      </c>
      <c r="E52" s="63">
        <f t="shared" si="1"/>
        <v>32090</v>
      </c>
    </row>
    <row r="53" spans="1:7" x14ac:dyDescent="0.3">
      <c r="A53" s="2">
        <v>14</v>
      </c>
      <c r="C53" s="38" t="s">
        <v>25</v>
      </c>
      <c r="D53" s="42">
        <f>TRUNC(98146,-1)</f>
        <v>98140</v>
      </c>
      <c r="E53" s="63">
        <f t="shared" si="1"/>
        <v>324430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TRUNC(5787-676+4734,-1)</f>
        <v>9840</v>
      </c>
      <c r="E58" s="63">
        <f t="shared" si="1"/>
        <v>32520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643570</v>
      </c>
      <c r="E60" s="39">
        <f>SUM(E40:E59)</f>
        <v>2127440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TRUNC(69325,-1)</f>
        <v>69320</v>
      </c>
      <c r="E63" s="62">
        <f>TRUNC(+D63*3.3058,-1)</f>
        <v>229150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69320</v>
      </c>
      <c r="E66" s="65">
        <f>SUM(E63:E65)</f>
        <v>229150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TRUNC(6396,-1)</f>
        <v>6390</v>
      </c>
      <c r="E69" s="62">
        <f t="shared" ref="E69:E94" si="2">TRUNC(+D69*3.3058,-1)</f>
        <v>21120</v>
      </c>
    </row>
    <row r="70" spans="1:7" ht="16.5" customHeight="1" x14ac:dyDescent="0.3">
      <c r="A70" s="2">
        <v>2</v>
      </c>
      <c r="C70" s="38" t="s">
        <v>31</v>
      </c>
      <c r="D70" s="42">
        <f>TRUNC(555,-1)</f>
        <v>550</v>
      </c>
      <c r="E70" s="63">
        <f t="shared" si="2"/>
        <v>1810</v>
      </c>
    </row>
    <row r="71" spans="1:7" x14ac:dyDescent="0.3">
      <c r="A71" s="2">
        <v>3</v>
      </c>
      <c r="C71" s="38" t="s">
        <v>32</v>
      </c>
      <c r="D71" s="42">
        <v>4410</v>
      </c>
      <c r="E71" s="63">
        <f t="shared" si="2"/>
        <v>14570</v>
      </c>
    </row>
    <row r="72" spans="1:7" x14ac:dyDescent="0.3">
      <c r="A72" s="2">
        <v>4</v>
      </c>
      <c r="C72" s="38" t="s">
        <v>33</v>
      </c>
      <c r="D72" s="42">
        <f>TRUNC(2879,-1)</f>
        <v>2870</v>
      </c>
      <c r="E72" s="63">
        <f t="shared" si="2"/>
        <v>9480</v>
      </c>
    </row>
    <row r="73" spans="1:7" x14ac:dyDescent="0.3">
      <c r="A73" s="2">
        <v>5</v>
      </c>
      <c r="C73" s="38" t="s">
        <v>34</v>
      </c>
      <c r="D73" s="42">
        <f>TRUNC(18826,-1)</f>
        <v>18820</v>
      </c>
      <c r="E73" s="63">
        <f t="shared" si="2"/>
        <v>62210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TRUNC(17191,-1)</f>
        <v>17190</v>
      </c>
      <c r="E89" s="63">
        <f t="shared" si="2"/>
        <v>56820</v>
      </c>
    </row>
    <row r="90" spans="1:7" x14ac:dyDescent="0.3">
      <c r="A90" s="2">
        <v>22</v>
      </c>
      <c r="C90" s="38" t="s">
        <v>36</v>
      </c>
      <c r="D90" s="42">
        <v>1850</v>
      </c>
      <c r="E90" s="63">
        <f t="shared" si="2"/>
        <v>6110</v>
      </c>
    </row>
    <row r="91" spans="1:7" x14ac:dyDescent="0.3">
      <c r="A91" s="2">
        <v>23</v>
      </c>
      <c r="C91" s="38" t="s">
        <v>37</v>
      </c>
      <c r="D91" s="42">
        <f>TRUNC(8018,-1)</f>
        <v>8010</v>
      </c>
      <c r="E91" s="63">
        <f t="shared" si="2"/>
        <v>26470</v>
      </c>
    </row>
    <row r="92" spans="1:7" x14ac:dyDescent="0.3">
      <c r="A92" s="2">
        <v>24</v>
      </c>
      <c r="C92" s="38" t="s">
        <v>38</v>
      </c>
      <c r="D92" s="42">
        <f>TRUNC(12379,-1)</f>
        <v>12370</v>
      </c>
      <c r="E92" s="63">
        <f t="shared" si="2"/>
        <v>40890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TRUNC(2117,-1)</f>
        <v>2110</v>
      </c>
      <c r="E94" s="64">
        <f t="shared" si="2"/>
        <v>6970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74570</v>
      </c>
      <c r="E95" s="39">
        <f>SUM(E69:E94)</f>
        <v>246450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TRUNC(35038,-1)</f>
        <v>35030</v>
      </c>
      <c r="E98" s="62">
        <f t="shared" ref="E98:E118" si="3">TRUNC(+D98*3.3058,-1)</f>
        <v>115800</v>
      </c>
    </row>
    <row r="99" spans="1:7" x14ac:dyDescent="0.3">
      <c r="A99" s="2">
        <v>2</v>
      </c>
      <c r="C99" s="38" t="s">
        <v>40</v>
      </c>
      <c r="D99" s="42">
        <f>TRUNC(5583,-1)</f>
        <v>5580</v>
      </c>
      <c r="E99" s="63">
        <f t="shared" si="3"/>
        <v>18440</v>
      </c>
    </row>
    <row r="100" spans="1:7" x14ac:dyDescent="0.3">
      <c r="A100" s="2">
        <v>3</v>
      </c>
      <c r="C100" s="38" t="s">
        <v>41</v>
      </c>
      <c r="D100" s="42">
        <f>TRUNC(39658,-1)</f>
        <v>39650</v>
      </c>
      <c r="E100" s="63">
        <f t="shared" si="3"/>
        <v>131070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17270</v>
      </c>
      <c r="E102" s="63">
        <f t="shared" si="3"/>
        <v>57090</v>
      </c>
    </row>
    <row r="103" spans="1:7" x14ac:dyDescent="0.3">
      <c r="A103" s="2">
        <v>6</v>
      </c>
      <c r="C103" s="38" t="s">
        <v>44</v>
      </c>
      <c r="D103" s="42">
        <f>TRUNC(9715,-1)</f>
        <v>9710</v>
      </c>
      <c r="E103" s="63">
        <f t="shared" si="3"/>
        <v>32090</v>
      </c>
    </row>
    <row r="104" spans="1:7" x14ac:dyDescent="0.3">
      <c r="A104" s="2">
        <v>7</v>
      </c>
      <c r="C104" s="38" t="s">
        <v>45</v>
      </c>
      <c r="D104" s="42">
        <f>TRUNC(2384,-1)</f>
        <v>2380</v>
      </c>
      <c r="E104" s="63">
        <f t="shared" si="3"/>
        <v>7860</v>
      </c>
    </row>
    <row r="105" spans="1:7" x14ac:dyDescent="0.3">
      <c r="A105" s="2">
        <v>8</v>
      </c>
      <c r="C105" s="38" t="s">
        <v>46</v>
      </c>
      <c r="D105" s="42">
        <v>5250</v>
      </c>
      <c r="E105" s="63">
        <f t="shared" si="3"/>
        <v>17350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TRUNC(14068,-1)</f>
        <v>14060</v>
      </c>
      <c r="E116" s="63">
        <f t="shared" si="3"/>
        <v>46470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TRUNC(4955,-1)</f>
        <v>4950</v>
      </c>
      <c r="E118" s="64">
        <f t="shared" si="3"/>
        <v>16360</v>
      </c>
    </row>
    <row r="119" spans="1:7" x14ac:dyDescent="0.3">
      <c r="A119" s="2">
        <v>22</v>
      </c>
      <c r="C119" s="27" t="s">
        <v>112</v>
      </c>
      <c r="D119" s="39">
        <f>SUM(D98:D118)</f>
        <v>133880</v>
      </c>
      <c r="E119" s="39">
        <f>SUM(E98:E118)</f>
        <v>442530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TRUNC(10772,-1)</f>
        <v>10770</v>
      </c>
      <c r="E122" s="62">
        <f t="shared" ref="E122:E132" si="4">TRUNC(+D122*3.3058,-1)</f>
        <v>35600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TRUNC(1188,-1)</f>
        <v>1180</v>
      </c>
      <c r="E124" s="63">
        <f t="shared" si="4"/>
        <v>3900</v>
      </c>
    </row>
    <row r="125" spans="1:7" x14ac:dyDescent="0.3">
      <c r="A125" s="2">
        <v>4</v>
      </c>
      <c r="C125" s="38" t="s">
        <v>138</v>
      </c>
      <c r="D125" s="42">
        <f>TRUNC(5426,-1)</f>
        <v>5420</v>
      </c>
      <c r="E125" s="63">
        <f t="shared" si="4"/>
        <v>17910</v>
      </c>
    </row>
    <row r="126" spans="1:7" x14ac:dyDescent="0.3">
      <c r="A126" s="2">
        <v>5</v>
      </c>
      <c r="C126" s="38" t="s">
        <v>53</v>
      </c>
      <c r="D126" s="42">
        <f>TRUNC(12602,-1)</f>
        <v>12600</v>
      </c>
      <c r="E126" s="63">
        <f t="shared" si="4"/>
        <v>41650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5450</v>
      </c>
      <c r="E128" s="63">
        <f t="shared" si="4"/>
        <v>18010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TRUNC(22668,-1)</f>
        <v>22660</v>
      </c>
      <c r="E130" s="63">
        <f t="shared" si="4"/>
        <v>74900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TRUNC(994+25204,-1)</f>
        <v>26190</v>
      </c>
      <c r="E132" s="64">
        <f t="shared" si="4"/>
        <v>86570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84270</v>
      </c>
      <c r="E133" s="39">
        <f>SUM(E122:E132)</f>
        <v>278540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TRUNC(186+1962,-1)</f>
        <v>2140</v>
      </c>
      <c r="E137" s="63">
        <f t="shared" si="5"/>
        <v>7070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TRUNC(1096,-1)</f>
        <v>1090</v>
      </c>
      <c r="E139" s="63">
        <f t="shared" si="5"/>
        <v>3600</v>
      </c>
    </row>
    <row r="140" spans="1:7" x14ac:dyDescent="0.3">
      <c r="A140" s="2">
        <v>5</v>
      </c>
      <c r="C140" s="38" t="s">
        <v>57</v>
      </c>
      <c r="D140" s="42">
        <f>TRUNC(662,-1)</f>
        <v>660</v>
      </c>
      <c r="E140" s="63">
        <f t="shared" si="5"/>
        <v>2180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TRUNC(5788,-1)</f>
        <v>5780</v>
      </c>
      <c r="E142" s="63">
        <f t="shared" si="5"/>
        <v>19100</v>
      </c>
    </row>
    <row r="143" spans="1:7" x14ac:dyDescent="0.3">
      <c r="A143" s="2">
        <v>8</v>
      </c>
      <c r="C143" s="38" t="s">
        <v>62</v>
      </c>
      <c r="D143" s="42">
        <f>TRUNC(3558,-1)</f>
        <v>3550</v>
      </c>
      <c r="E143" s="63">
        <f t="shared" si="5"/>
        <v>11730</v>
      </c>
    </row>
    <row r="144" spans="1:7" x14ac:dyDescent="0.3">
      <c r="A144" s="2">
        <v>9</v>
      </c>
      <c r="C144" s="38" t="s">
        <v>63</v>
      </c>
      <c r="D144" s="42">
        <f>TRUNC(14872,-1)</f>
        <v>14870</v>
      </c>
      <c r="E144" s="63">
        <f t="shared" si="5"/>
        <v>49150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28090</v>
      </c>
      <c r="E146" s="39">
        <f>SUM(E136:E145)</f>
        <v>92830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TRUNC(34089+12588,-1)</f>
        <v>46670</v>
      </c>
      <c r="E149" s="62">
        <f>TRUNC(+D149*3.3058,-1)</f>
        <v>154280</v>
      </c>
    </row>
    <row r="150" spans="1:7" x14ac:dyDescent="0.3">
      <c r="A150" s="2">
        <v>2</v>
      </c>
      <c r="C150" s="38" t="s">
        <v>49</v>
      </c>
      <c r="D150" s="42">
        <v>16350</v>
      </c>
      <c r="E150" s="63">
        <f>TRUNC(+D150*3.3058,-1)</f>
        <v>54040</v>
      </c>
    </row>
    <row r="151" spans="1:7" x14ac:dyDescent="0.3">
      <c r="A151" s="2">
        <v>3</v>
      </c>
      <c r="C151" s="38" t="s">
        <v>50</v>
      </c>
      <c r="D151" s="42">
        <f>TRUNC(39783,-1)</f>
        <v>39780</v>
      </c>
      <c r="E151" s="63">
        <f>TRUNC(+D151*3.3058,-1)</f>
        <v>131500</v>
      </c>
    </row>
    <row r="152" spans="1:7" x14ac:dyDescent="0.3">
      <c r="A152" s="2">
        <v>4</v>
      </c>
      <c r="C152" s="38" t="s">
        <v>47</v>
      </c>
      <c r="D152" s="42">
        <f>TRUNC(1226+26360+464+12516,-1)</f>
        <v>40560</v>
      </c>
      <c r="E152" s="63">
        <f>TRUNC(+D152*3.3058,-1)</f>
        <v>134080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143360</v>
      </c>
      <c r="E154" s="39">
        <f>SUM(E149:E153)</f>
        <v>473900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TRUNC(49153,-1)</f>
        <v>49150</v>
      </c>
      <c r="E157" s="62">
        <f>TRUNC(+D157*3.3058,-1)</f>
        <v>162480</v>
      </c>
    </row>
    <row r="158" spans="1:7" x14ac:dyDescent="0.3">
      <c r="A158" s="2">
        <v>2</v>
      </c>
      <c r="C158" s="38" t="s">
        <v>52</v>
      </c>
      <c r="D158" s="42">
        <f>TRUNC(3346,-1)</f>
        <v>3340</v>
      </c>
      <c r="E158" s="63">
        <f>TRUNC(+D158*3.3058,-1)</f>
        <v>11040</v>
      </c>
    </row>
    <row r="159" spans="1:7" x14ac:dyDescent="0.3">
      <c r="A159" s="2">
        <v>3</v>
      </c>
      <c r="C159" s="38" t="s">
        <v>47</v>
      </c>
      <c r="D159" s="42">
        <f>TRUNC(8998+22986,-1)</f>
        <v>31980</v>
      </c>
      <c r="E159" s="63">
        <f>TRUNC(+D159*3.3058,-1)</f>
        <v>105710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84470</v>
      </c>
      <c r="E161" s="39">
        <f>SUM(E157:E160)</f>
        <v>279230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2020-12-08T01:23:03Z</dcterms:modified>
</cp:coreProperties>
</file>