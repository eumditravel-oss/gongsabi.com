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4" i="4"/>
  <c r="D143" i="4"/>
  <c r="D142" i="4"/>
  <c r="D141" i="4"/>
  <c r="D140" i="4"/>
  <c r="D137" i="4"/>
  <c r="D132" i="4"/>
  <c r="D131" i="4"/>
  <c r="D130" i="4"/>
  <c r="D128" i="4"/>
  <c r="D127" i="4"/>
  <c r="D126" i="4"/>
  <c r="D125" i="4"/>
  <c r="D124" i="4"/>
  <c r="D117" i="4"/>
  <c r="D116" i="4"/>
  <c r="D114" i="4"/>
  <c r="D105" i="4"/>
  <c r="D102" i="4"/>
  <c r="D101" i="4"/>
  <c r="D100" i="4"/>
  <c r="D98" i="4"/>
  <c r="D94" i="4"/>
  <c r="D93" i="4"/>
  <c r="D92" i="4"/>
  <c r="D91" i="4"/>
  <c r="D90" i="4"/>
  <c r="D76" i="4"/>
  <c r="D73" i="4"/>
  <c r="D75" i="4"/>
  <c r="D72" i="4"/>
  <c r="D71" i="4"/>
  <c r="D69" i="4"/>
  <c r="D63" i="4"/>
  <c r="D59" i="4"/>
  <c r="D58" i="4"/>
  <c r="D53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<sst xmlns="http://schemas.openxmlformats.org/spreadsheetml/2006/main" count="392" uniqueCount="268">
  <si>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</si>
  <si>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</si>
  <si>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</si>
  <si>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</si>
  <si>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</si>
  <si>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</si>
  <si>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</si>
  <si>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</si>
  <si>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</si>
  <si>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</si>
  <si>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</si>
  <si>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</si>
  <si>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</si>
  <si>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</si>
  <si>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</si>
  <si>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</si>
  <si>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</si>
  <si>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</si>
  <si>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</si>
  <si>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</si>
  <si>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</si>
  <si>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</si>
  <si>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</si>
  <si>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</si>
  <si>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</si>
  <si>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</si>
  <si>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</si>
  <si>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</si>
  <si>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</si>
  <si>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</si>
  <si>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</si>
  <si>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</si>
  <si>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</si>
  <si>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</si>
  <si>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</si>
  <si>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</si>
  <si>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</si>
  <si>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</si>
  <si>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</si>
  <si>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</si>
  <si>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</si>
  <si>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</si>
  <si>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</si>
  <si>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</si>
  <si>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</si>
  <si>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</si>
  <si>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</si>
  <si>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</si>
  <si>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</si>
  <si>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</si>
  <si>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</si>
  <si>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</si>
  <si>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</si>
  <si>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</si>
  <si>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</si>
  <si>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</si>
  <si>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</si>
  <si>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</si>
  <si>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</si>
  <si>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</si>
  <si>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</si>
  <si>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</si>
  <si>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</si>
  <si>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</si>
  <si>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</si>
  <si>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</si>
  <si>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</si>
  <si>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</si>
  <si>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</si>
  <si>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</si>
  <si>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</si>
  <si>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</si>
  <si>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</si>
  <si>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</si>
  <si>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</si>
  <si>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</si>
  <si>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</si>
  <si>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</si>
  <si>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</si>
  <si>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</si>
  <si>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</si>
  <si>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</si>
  <si>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</si>
  <si>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</si>
  <si>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</si>
  <si>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</si>
  <si>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</si>
  <si>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</si>
  <si>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</si>
  <si>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</si>
  <si>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</si>
  <si>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</si>
  <si>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</si>
  <si>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</si>
  <si>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</si>
  <si>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</si>
  <si>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</si>
  <si>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</si>
  <si>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</si>
  <si>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</si>
  <si>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</si>
  <si>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</si>
  <si>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</si>
  <si>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</si>
  <si>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</si>
  <si>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</si>
  <si>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</si>
  <si>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</si>
  <si>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</si>
  <si>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</si>
  <si>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</si>
  <si>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</si>
  <si>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</si>
  <si>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</si>
  <si>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</si>
  <si>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</si>
  <si>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</si>
  <si>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</si>
  <si>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</si>
  <si>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</si>
  <si>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</si>
  <si>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</si>
  <si>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</si>
  <si>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</si>
  <si>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</si>
  <si>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</si>
  <si>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</si>
  <si>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</si>
  <si>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</si>
  <si>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</si>
  <si>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</si>
  <si>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</si>
  <si>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</si>
  <si>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</si>
  <si>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</si>
  <si>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</si>
  <si>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</si>
  <si>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</si>
  <si>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</si>
  <si>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</si>
  <si>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</si>
  <si>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</si>
  <si>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</si>
  <si>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</si>
  <si>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</si>
  <si>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</si>
  <si>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</si>
  <si>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</si>
  <si>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</si>
  <si>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</si>
  <si>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</si>
  <si>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</si>
  <si>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</si>
  <si>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</si>
  <si>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</si>
  <si>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</si>
  <si>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</si>
  <si>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</si>
  <si>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</si>
  <si>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</si>
  <si>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</si>
  <si>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</si>
  <si>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</si>
  <si>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</si>
  <si>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</si>
  <si>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</si>
  <si>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</si>
  <si>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</si>
  <si>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</si>
  <si>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</si>
  <si>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</si>
  <si>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</si>
  <si>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</si>
  <si>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</si>
  <si>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</si>
  <si>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</si>
  <si>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</si>
  <si>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</si>
  <si>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</si>
  <si>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</si>
  <si>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</si>
  <si>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</si>
  <si>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</si>
  <si>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</si>
  <si>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</si>
  <si>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</si>
  <si>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</si>
  <si>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</si>
  <si>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</si>
  <si>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</si>
  <si>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</si>
  <si>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</si>
  <si>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</si>
  <si>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</si>
  <si>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</si>
  <si>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</si>
  <si>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</si>
  <si>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</si>
  <si>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</si>
  <si>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</si>
  <si>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</si>
  <si>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</si>
  <si>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</si>
  <si>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</si>
  <si>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</si>
  <si>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</si>
  <si>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</si>
  <si>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</si>
  <si>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</si>
  <si>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</si>
  <si>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</si>
  <si>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</si>
  <si>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</si>
  <si>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</si>
  <si>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</si>
  <si>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</si>
  <si>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</si>
  <si>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</si>
  <si>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</si>
  <si>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</si>
  <si>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</si>
  <si>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</si>
  <si>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</si>
  <si>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</si>
  <si>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</si>
  <si>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</si>
  <si>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</si>
  <si>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</si>
  <si>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</si>
  <si>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</si>
  <si>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</si>
  <si>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</si>
  <si>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</si>
  <si>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</si>
  <si>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</si>
  <si>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</si>
  <si>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</si>
  <si>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</si>
  <si>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</si>
  <si>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</si>
  <si>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</si>
  <si>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</si>
  <si>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</si>
  <si>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</si>
  <si>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</si>
  <si>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</si>
  <si>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</si>
  <si>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</si>
  <si>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</si>
  <si>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</si>
  <si>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</si>
  <si>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</si>
  <si>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</si>
  <si>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</si>
  <si>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</si>
  <si>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</si>
  <si>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거창구치소 신축공사</t>
    <phoneticPr fontId="2" type="noConversion"/>
  </si>
  <si>
    <t>기타</t>
  </si>
  <si>
    <t>경상도</t>
  </si>
  <si>
    <t>기초공사, 해체및철거공사, 골재비및운반비, 기타공사</t>
    <phoneticPr fontId="2" type="noConversion"/>
  </si>
  <si>
    <t>공조배관공사,난방배관공사,바닥난방공사,기타공사</t>
    <phoneticPr fontId="2" type="noConversion"/>
  </si>
  <si>
    <t>CCTV설비공사, 주차관제설비공사, 기타공사</t>
    <phoneticPr fontId="2" type="noConversion"/>
  </si>
  <si>
    <t>옥외소화배관공사, 펌프실배관공사, 기타공사</t>
    <phoneticPr fontId="2" type="noConversion"/>
  </si>
  <si>
    <t>상수도공사, 사급자재비, 운반비,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</si>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</sst>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19844.05</v>
      </c>
      <c r="D7" s="36">
        <f>+C7/3.3058</f>
        <v>6002.7981124084936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1011220</v>
      </c>
      <c r="E25" s="59">
        <f t="shared" si="0"/>
        <v>3342890</v>
      </c>
    </row>
    <row r="26" spans="1:5" x14ac:dyDescent="0.3">
      <c r="B26" s="2">
        <v>3</v>
      </c>
      <c r="C26" s="35" t="s">
        <v>95</v>
      </c>
      <c r="D26" s="45">
        <f>+D66</f>
        <v>112170</v>
      </c>
      <c r="E26" s="59">
        <f t="shared" si="0"/>
        <v>370810</v>
      </c>
    </row>
    <row r="27" spans="1:5" x14ac:dyDescent="0.3">
      <c r="B27" s="2">
        <v>4</v>
      </c>
      <c r="C27" s="35" t="s">
        <v>96</v>
      </c>
      <c r="D27" s="45">
        <f>+D95</f>
        <v>349220</v>
      </c>
      <c r="E27" s="59">
        <f t="shared" si="0"/>
        <v>1154450</v>
      </c>
    </row>
    <row r="28" spans="1:5" x14ac:dyDescent="0.3">
      <c r="B28" s="2">
        <v>5</v>
      </c>
      <c r="C28" s="35" t="s">
        <v>97</v>
      </c>
      <c r="D28" s="45">
        <f>+D119</f>
        <v>181180</v>
      </c>
      <c r="E28" s="59">
        <f t="shared" si="0"/>
        <v>598940</v>
      </c>
    </row>
    <row r="29" spans="1:5" x14ac:dyDescent="0.3">
      <c r="B29" s="2">
        <v>6</v>
      </c>
      <c r="C29" s="35" t="s">
        <v>98</v>
      </c>
      <c r="D29" s="45">
        <f>+D133</f>
        <v>217290</v>
      </c>
      <c r="E29" s="59">
        <f t="shared" si="0"/>
        <v>718310</v>
      </c>
    </row>
    <row r="30" spans="1:5" x14ac:dyDescent="0.3">
      <c r="B30" s="2">
        <v>7</v>
      </c>
      <c r="C30" s="35" t="s">
        <v>99</v>
      </c>
      <c r="D30" s="45">
        <f>+D146</f>
        <v>32070</v>
      </c>
      <c r="E30" s="59">
        <f t="shared" si="0"/>
        <v>106010</v>
      </c>
    </row>
    <row r="31" spans="1:5" x14ac:dyDescent="0.3">
      <c r="B31" s="2">
        <v>8</v>
      </c>
      <c r="C31" s="35" t="s">
        <v>100</v>
      </c>
      <c r="D31" s="45">
        <f>+D154</f>
        <v>226550</v>
      </c>
      <c r="E31" s="59">
        <f t="shared" si="0"/>
        <v>748920</v>
      </c>
    </row>
    <row r="32" spans="1:5" x14ac:dyDescent="0.3">
      <c r="B32" s="2">
        <v>9</v>
      </c>
      <c r="C32" s="35" t="s">
        <v>101</v>
      </c>
      <c r="D32" s="45">
        <f>+D161</f>
        <v>40590</v>
      </c>
      <c r="E32" s="59">
        <f t="shared" si="0"/>
        <v>134180</v>
      </c>
    </row>
    <row r="33" spans="1:7" x14ac:dyDescent="0.3">
      <c r="B33" s="2">
        <v>10</v>
      </c>
      <c r="C33" s="35" t="s">
        <v>154</v>
      </c>
      <c r="D33" s="53">
        <f>TRUNC(SUM(D24:D32)*0.275,-1)</f>
        <v>596820</v>
      </c>
      <c r="E33" s="60">
        <f t="shared" si="0"/>
        <v>1972960</v>
      </c>
    </row>
    <row r="34" spans="1:7" x14ac:dyDescent="0.3">
      <c r="C34" s="35" t="s">
        <v>112</v>
      </c>
      <c r="D34" s="44">
        <f>SUM(D24:D33)</f>
        <v>2767110</v>
      </c>
      <c r="E34" s="44">
        <f>SUM(E24:E33)</f>
        <v>9147470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248</v>
      </c>
      <c r="D39" s="57" t="s">
        <v>249</v>
      </c>
      <c r="E39" s="57" t="s">
        <v>250</v>
      </c>
      <c r="G39" s="55"/>
    </row>
    <row r="40" spans="1:7" x14ac:dyDescent="0.3">
      <c r="A40" s="2">
        <v>1</v>
      </c>
      <c r="C40" s="38" t="s">
        <v>15</v>
      </c>
      <c r="D40" s="40">
        <f>TRUNC(52861,-1)</f>
        <v>52860</v>
      </c>
      <c r="E40" s="62">
        <f t="shared" ref="E40:E59" si="1">TRUNC(+D40*3.3058,-1)</f>
        <v>174740</v>
      </c>
    </row>
    <row r="41" spans="1:7" x14ac:dyDescent="0.3">
      <c r="A41" s="2">
        <v>2</v>
      </c>
      <c r="C41" s="38" t="s">
        <v>13</v>
      </c>
      <c r="D41" s="42">
        <f>TRUNC(190035,-1)</f>
        <v>190030</v>
      </c>
      <c r="E41" s="63">
        <f t="shared" si="1"/>
        <v>628200</v>
      </c>
    </row>
    <row r="42" spans="1:7" x14ac:dyDescent="0.3">
      <c r="A42" s="2">
        <v>3</v>
      </c>
      <c r="C42" s="38" t="s">
        <v>14</v>
      </c>
      <c r="D42" s="42">
        <v>6230</v>
      </c>
      <c r="E42" s="63">
        <f t="shared" si="1"/>
        <v>20590</v>
      </c>
    </row>
    <row r="43" spans="1:7" x14ac:dyDescent="0.3">
      <c r="A43" s="2">
        <v>4</v>
      </c>
      <c r="C43" s="38" t="s">
        <v>16</v>
      </c>
      <c r="D43" s="42">
        <f>TRUNC(47326,-1)</f>
        <v>47320</v>
      </c>
      <c r="E43" s="63">
        <f t="shared" si="1"/>
        <v>156430</v>
      </c>
    </row>
    <row r="44" spans="1:7" x14ac:dyDescent="0.3">
      <c r="A44" s="2">
        <v>5</v>
      </c>
      <c r="C44" s="38" t="s">
        <v>17</v>
      </c>
      <c r="D44" s="42">
        <f>TRUNC(44848,-1)</f>
        <v>44840</v>
      </c>
      <c r="E44" s="63">
        <f t="shared" si="1"/>
        <v>148230</v>
      </c>
    </row>
    <row r="45" spans="1:7" x14ac:dyDescent="0.3">
      <c r="A45" s="2">
        <v>6</v>
      </c>
      <c r="C45" s="38" t="s">
        <v>18</v>
      </c>
      <c r="D45" s="42">
        <f>TRUNC(12381,-1)</f>
        <v>12380</v>
      </c>
      <c r="E45" s="63">
        <f t="shared" si="1"/>
        <v>40920</v>
      </c>
    </row>
    <row r="46" spans="1:7" x14ac:dyDescent="0.3">
      <c r="A46" s="2">
        <v>7</v>
      </c>
      <c r="C46" s="38" t="s">
        <v>19</v>
      </c>
      <c r="D46" s="42">
        <f>TRUNC(14051,-1)</f>
        <v>14050</v>
      </c>
      <c r="E46" s="63">
        <f t="shared" si="1"/>
        <v>46440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TRUNC(41748,-1)</f>
        <v>41740</v>
      </c>
      <c r="E48" s="63">
        <f t="shared" si="1"/>
        <v>137980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TRUNC(35215,-1)</f>
        <v>35210</v>
      </c>
      <c r="E49" s="63">
        <f t="shared" si="1"/>
        <v>116390</v>
      </c>
    </row>
    <row r="50" spans="1:7" x14ac:dyDescent="0.3">
      <c r="A50" s="2">
        <v>11</v>
      </c>
      <c r="C50" s="38" t="s">
        <v>155</v>
      </c>
      <c r="D50" s="42">
        <f>TRUNC(140805,-1)</f>
        <v>140800</v>
      </c>
      <c r="E50" s="63">
        <f t="shared" si="1"/>
        <v>465450</v>
      </c>
      <c r="F50" s="2" t="s">
        <v>254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13960</v>
      </c>
      <c r="E52" s="63">
        <f t="shared" si="1"/>
        <v>46140</v>
      </c>
    </row>
    <row r="53" spans="1:7" x14ac:dyDescent="0.3">
      <c r="A53" s="2">
        <v>14</v>
      </c>
      <c r="C53" s="38" t="s">
        <v>25</v>
      </c>
      <c r="D53" s="42">
        <f>TRUNC(93728,-1)</f>
        <v>93720</v>
      </c>
      <c r="E53" s="63">
        <f t="shared" si="1"/>
        <v>309810</v>
      </c>
      <c r="F53" s="2" t="s">
        <v>255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TRUNC(27050+15591+8277+9064,-1)</f>
        <v>59980</v>
      </c>
      <c r="E58" s="63">
        <f t="shared" si="1"/>
        <v>198280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TRUNC(258103,-1)</f>
        <v>258100</v>
      </c>
      <c r="E59" s="64">
        <f t="shared" si="1"/>
        <v>853220</v>
      </c>
    </row>
    <row r="60" spans="1:7" x14ac:dyDescent="0.3">
      <c r="A60" s="2">
        <v>21</v>
      </c>
      <c r="C60" s="27" t="s">
        <v>112</v>
      </c>
      <c r="D60" s="39">
        <f>SUM(D40:D59)</f>
        <v>1011220</v>
      </c>
      <c r="E60" s="39">
        <f>SUM(E40:E59)</f>
        <v>3342820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TRUNC(112175,-1)</f>
        <v>112170</v>
      </c>
      <c r="E63" s="62">
        <f>TRUNC(+D63*3.3058,-1)</f>
        <v>370810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112170</v>
      </c>
      <c r="E66" s="65">
        <f>SUM(E63:E65)</f>
        <v>370810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TRUNC(18729,-1)</f>
        <v>18720</v>
      </c>
      <c r="E69" s="62">
        <f t="shared" ref="E69:E94" si="2">TRUNC(+D69*3.3058,-1)</f>
        <v>61880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TRUNC(11693,-1)</f>
        <v>11690</v>
      </c>
      <c r="E71" s="63">
        <f t="shared" si="2"/>
        <v>38640</v>
      </c>
    </row>
    <row r="72" spans="1:7" x14ac:dyDescent="0.3">
      <c r="A72" s="2">
        <v>4</v>
      </c>
      <c r="C72" s="38" t="s">
        <v>33</v>
      </c>
      <c r="D72" s="42">
        <f>TRUNC(4741,-1)</f>
        <v>4740</v>
      </c>
      <c r="E72" s="63">
        <f t="shared" si="2"/>
        <v>15660</v>
      </c>
    </row>
    <row r="73" spans="1:7" x14ac:dyDescent="0.3">
      <c r="A73" s="2">
        <v>5</v>
      </c>
      <c r="C73" s="38" t="s">
        <v>34</v>
      </c>
      <c r="D73" s="42">
        <f>TRUNC(33165,-1)</f>
        <v>33160</v>
      </c>
      <c r="E73" s="63">
        <f t="shared" si="2"/>
        <v>109620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TRUNC(777,-1)</f>
        <v>770</v>
      </c>
      <c r="E75" s="63">
        <f t="shared" si="2"/>
        <v>2540</v>
      </c>
    </row>
    <row r="76" spans="1:7" x14ac:dyDescent="0.3">
      <c r="A76" s="2">
        <v>8</v>
      </c>
      <c r="C76" s="38" t="s">
        <v>119</v>
      </c>
      <c r="D76" s="42">
        <f>TRUNC(49144,-1)</f>
        <v>49140</v>
      </c>
      <c r="E76" s="63">
        <f t="shared" si="2"/>
        <v>162440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19270</v>
      </c>
      <c r="E89" s="63">
        <f t="shared" si="2"/>
        <v>63700</v>
      </c>
    </row>
    <row r="90" spans="1:7" x14ac:dyDescent="0.3">
      <c r="A90" s="2">
        <v>22</v>
      </c>
      <c r="C90" s="38" t="s">
        <v>36</v>
      </c>
      <c r="D90" s="42">
        <f>TRUNC(1357,-1)</f>
        <v>1350</v>
      </c>
      <c r="E90" s="63">
        <f t="shared" si="2"/>
        <v>4460</v>
      </c>
    </row>
    <row r="91" spans="1:7" x14ac:dyDescent="0.3">
      <c r="A91" s="2">
        <v>23</v>
      </c>
      <c r="C91" s="38" t="s">
        <v>37</v>
      </c>
      <c r="D91" s="42">
        <f>TRUNC(23303,-1)</f>
        <v>23300</v>
      </c>
      <c r="E91" s="63">
        <f t="shared" si="2"/>
        <v>77020</v>
      </c>
    </row>
    <row r="92" spans="1:7" x14ac:dyDescent="0.3">
      <c r="A92" s="2">
        <v>24</v>
      </c>
      <c r="C92" s="38" t="s">
        <v>38</v>
      </c>
      <c r="D92" s="42">
        <f>TRUNC(10704,-1)</f>
        <v>10700</v>
      </c>
      <c r="E92" s="63">
        <f t="shared" si="2"/>
        <v>35370</v>
      </c>
    </row>
    <row r="93" spans="1:7" x14ac:dyDescent="0.3">
      <c r="A93" s="2">
        <v>25</v>
      </c>
      <c r="C93" s="38" t="s">
        <v>148</v>
      </c>
      <c r="D93" s="42">
        <f>TRUNC(128846,-1)</f>
        <v>128840</v>
      </c>
      <c r="E93" s="63">
        <f t="shared" si="2"/>
        <v>425910</v>
      </c>
    </row>
    <row r="94" spans="1:7" ht="17.25" thickBot="1" x14ac:dyDescent="0.35">
      <c r="A94" s="2">
        <v>26</v>
      </c>
      <c r="C94" s="38" t="s">
        <v>47</v>
      </c>
      <c r="D94" s="43">
        <f>TRUNC(2239+21171+646+23491,-1)</f>
        <v>47540</v>
      </c>
      <c r="E94" s="64">
        <f t="shared" si="2"/>
        <v>157150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349220</v>
      </c>
      <c r="E95" s="39">
        <f>SUM(E69:E94)</f>
        <v>1154390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TRUNC(14823,-1)</f>
        <v>14820</v>
      </c>
      <c r="E98" s="62">
        <f t="shared" ref="E98:E118" si="3">TRUNC(+D98*3.3058,-1)</f>
        <v>48990</v>
      </c>
    </row>
    <row r="99" spans="1:7" x14ac:dyDescent="0.3">
      <c r="A99" s="2">
        <v>2</v>
      </c>
      <c r="C99" s="38" t="s">
        <v>40</v>
      </c>
      <c r="D99" s="42">
        <v>10200</v>
      </c>
      <c r="E99" s="63">
        <f t="shared" si="3"/>
        <v>33710</v>
      </c>
    </row>
    <row r="100" spans="1:7" x14ac:dyDescent="0.3">
      <c r="A100" s="2">
        <v>3</v>
      </c>
      <c r="C100" s="38" t="s">
        <v>41</v>
      </c>
      <c r="D100" s="42">
        <f>TRUNC(42731,-1)</f>
        <v>42730</v>
      </c>
      <c r="E100" s="63">
        <f t="shared" si="3"/>
        <v>141250</v>
      </c>
    </row>
    <row r="101" spans="1:7" x14ac:dyDescent="0.3">
      <c r="A101" s="2">
        <v>4</v>
      </c>
      <c r="C101" s="38" t="s">
        <v>42</v>
      </c>
      <c r="D101" s="42">
        <f>TRUNC(1944,-1)</f>
        <v>1940</v>
      </c>
      <c r="E101" s="63">
        <f t="shared" si="3"/>
        <v>6410</v>
      </c>
    </row>
    <row r="102" spans="1:7" x14ac:dyDescent="0.3">
      <c r="A102" s="2">
        <v>5</v>
      </c>
      <c r="C102" s="38" t="s">
        <v>43</v>
      </c>
      <c r="D102" s="42">
        <f>TRUNC(15788,-1)</f>
        <v>15780</v>
      </c>
      <c r="E102" s="63">
        <f t="shared" si="3"/>
        <v>52160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TRUNC(8054,-1)</f>
        <v>8050</v>
      </c>
      <c r="E105" s="63">
        <f t="shared" si="3"/>
        <v>26610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TRUNC(7274,-1)</f>
        <v>7270</v>
      </c>
      <c r="E114" s="63">
        <f t="shared" si="3"/>
        <v>24030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TRUNC(3353,-1)</f>
        <v>3350</v>
      </c>
      <c r="E116" s="63">
        <f t="shared" si="3"/>
        <v>11070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TRUNC(77045,-1)</f>
        <v>77040</v>
      </c>
      <c r="E117" s="63">
        <f t="shared" si="3"/>
        <v>254670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181180</v>
      </c>
      <c r="E119" s="39">
        <f>SUM(E98:E118)</f>
        <v>598900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7870</v>
      </c>
      <c r="E122" s="62">
        <f t="shared" ref="E122:E132" si="4">TRUNC(+D122*3.3058,-1)</f>
        <v>26010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TRUNC(859,-1)</f>
        <v>850</v>
      </c>
      <c r="E124" s="63">
        <f t="shared" si="4"/>
        <v>2800</v>
      </c>
    </row>
    <row r="125" spans="1:7" x14ac:dyDescent="0.3">
      <c r="A125" s="2">
        <v>4</v>
      </c>
      <c r="C125" s="38" t="s">
        <v>138</v>
      </c>
      <c r="D125" s="42">
        <f>TRUNC(8727,-1)</f>
        <v>8720</v>
      </c>
      <c r="E125" s="63">
        <f t="shared" si="4"/>
        <v>28820</v>
      </c>
    </row>
    <row r="126" spans="1:7" x14ac:dyDescent="0.3">
      <c r="A126" s="2">
        <v>5</v>
      </c>
      <c r="C126" s="38" t="s">
        <v>53</v>
      </c>
      <c r="D126" s="42">
        <f>TRUNC(1565,-1)</f>
        <v>1560</v>
      </c>
      <c r="E126" s="63">
        <f t="shared" si="4"/>
        <v>5150</v>
      </c>
    </row>
    <row r="127" spans="1:7" x14ac:dyDescent="0.3">
      <c r="A127" s="2">
        <v>6</v>
      </c>
      <c r="C127" s="38" t="s">
        <v>56</v>
      </c>
      <c r="D127" s="42">
        <f>TRUNC(2951,-1)</f>
        <v>2950</v>
      </c>
      <c r="E127" s="63">
        <f t="shared" si="4"/>
        <v>9750</v>
      </c>
    </row>
    <row r="128" spans="1:7" x14ac:dyDescent="0.3">
      <c r="A128" s="2">
        <v>7</v>
      </c>
      <c r="C128" s="38" t="s">
        <v>46</v>
      </c>
      <c r="D128" s="42">
        <f>TRUNC(5697,-1)</f>
        <v>5690</v>
      </c>
      <c r="E128" s="63">
        <f t="shared" si="4"/>
        <v>18810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TRUNC(21364,-1)</f>
        <v>21360</v>
      </c>
      <c r="E130" s="63">
        <f t="shared" si="4"/>
        <v>70610</v>
      </c>
    </row>
    <row r="131" spans="1:7" x14ac:dyDescent="0.3">
      <c r="A131" s="2">
        <v>10</v>
      </c>
      <c r="C131" s="38" t="s">
        <v>148</v>
      </c>
      <c r="D131" s="42">
        <f>TRUNC(106981,-1)</f>
        <v>106980</v>
      </c>
      <c r="E131" s="63">
        <f t="shared" si="4"/>
        <v>353650</v>
      </c>
    </row>
    <row r="132" spans="1:7" ht="18" thickBot="1" x14ac:dyDescent="0.35">
      <c r="A132" s="2">
        <v>11</v>
      </c>
      <c r="C132" s="38" t="s">
        <v>47</v>
      </c>
      <c r="D132" s="43">
        <f>TRUNC(5652+86+55577,-1)</f>
        <v>61310</v>
      </c>
      <c r="E132" s="64">
        <f t="shared" si="4"/>
        <v>202670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217290</v>
      </c>
      <c r="E133" s="39">
        <f>SUM(E122:E132)</f>
        <v>718270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TRUNC(791+1135+20,-1)</f>
        <v>1940</v>
      </c>
      <c r="E137" s="63">
        <f t="shared" si="5"/>
        <v>6410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TRUNC(2315,-1)</f>
        <v>2310</v>
      </c>
      <c r="E140" s="63">
        <f t="shared" si="5"/>
        <v>7630</v>
      </c>
    </row>
    <row r="141" spans="1:7" x14ac:dyDescent="0.3">
      <c r="A141" s="2">
        <v>6</v>
      </c>
      <c r="C141" s="38" t="s">
        <v>59</v>
      </c>
      <c r="D141" s="42">
        <f>TRUNC(7191,-1)</f>
        <v>7190</v>
      </c>
      <c r="E141" s="63">
        <f t="shared" si="5"/>
        <v>23760</v>
      </c>
    </row>
    <row r="142" spans="1:7" x14ac:dyDescent="0.3">
      <c r="A142" s="2">
        <v>7</v>
      </c>
      <c r="C142" s="38" t="s">
        <v>58</v>
      </c>
      <c r="D142" s="42">
        <f>TRUNC(7031,-1)</f>
        <v>7030</v>
      </c>
      <c r="E142" s="63">
        <f t="shared" si="5"/>
        <v>23230</v>
      </c>
    </row>
    <row r="143" spans="1:7" x14ac:dyDescent="0.3">
      <c r="A143" s="2">
        <v>8</v>
      </c>
      <c r="C143" s="38" t="s">
        <v>62</v>
      </c>
      <c r="D143" s="42">
        <f>TRUNC(3072,-1)</f>
        <v>3070</v>
      </c>
      <c r="E143" s="63">
        <f t="shared" si="5"/>
        <v>10140</v>
      </c>
    </row>
    <row r="144" spans="1:7" x14ac:dyDescent="0.3">
      <c r="A144" s="2">
        <v>9</v>
      </c>
      <c r="C144" s="38" t="s">
        <v>63</v>
      </c>
      <c r="D144" s="42">
        <f>TRUNC(10531,-1)</f>
        <v>10530</v>
      </c>
      <c r="E144" s="63">
        <f t="shared" si="5"/>
        <v>34810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32070</v>
      </c>
      <c r="E146" s="39">
        <f>SUM(E136:E145)</f>
        <v>105980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TRUNC(45939+6076,-1)</f>
        <v>52010</v>
      </c>
      <c r="E149" s="62">
        <f>TRUNC(+D149*3.3058,-1)</f>
        <v>171930</v>
      </c>
    </row>
    <row r="150" spans="1:7" x14ac:dyDescent="0.3">
      <c r="A150" s="2">
        <v>2</v>
      </c>
      <c r="C150" s="38" t="s">
        <v>49</v>
      </c>
      <c r="D150" s="42">
        <f>TRUNC(10288,-1)</f>
        <v>10280</v>
      </c>
      <c r="E150" s="63">
        <f>TRUNC(+D150*3.3058,-1)</f>
        <v>33980</v>
      </c>
    </row>
    <row r="151" spans="1:7" x14ac:dyDescent="0.3">
      <c r="A151" s="2">
        <v>3</v>
      </c>
      <c r="C151" s="38" t="s">
        <v>50</v>
      </c>
      <c r="D151" s="42">
        <f>TRUNC(14744,-1)</f>
        <v>14740</v>
      </c>
      <c r="E151" s="63">
        <f>TRUNC(+D151*3.3058,-1)</f>
        <v>48720</v>
      </c>
    </row>
    <row r="152" spans="1:7" x14ac:dyDescent="0.3">
      <c r="A152" s="2">
        <v>4</v>
      </c>
      <c r="C152" s="38" t="s">
        <v>47</v>
      </c>
      <c r="D152" s="42">
        <f>TRUNC(1644+23710+504+18006,-1)</f>
        <v>43860</v>
      </c>
      <c r="E152" s="63">
        <f>TRUNC(+D152*3.3058,-1)</f>
        <v>144990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f>TRUNC(105668,-1)</f>
        <v>105660</v>
      </c>
      <c r="E153" s="64">
        <f>TRUNC(+D153*3.3058,-1)</f>
        <v>349290</v>
      </c>
    </row>
    <row r="154" spans="1:7" x14ac:dyDescent="0.3">
      <c r="A154" s="2">
        <v>6</v>
      </c>
      <c r="C154" s="27" t="s">
        <v>112</v>
      </c>
      <c r="D154" s="39">
        <f>SUM(D149:D153)</f>
        <v>226550</v>
      </c>
      <c r="E154" s="39">
        <f>SUM(E149:E153)</f>
        <v>748910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TRUNC(27375,-1)</f>
        <v>27370</v>
      </c>
      <c r="E157" s="62">
        <f>TRUNC(+D157*3.3058,-1)</f>
        <v>90470</v>
      </c>
    </row>
    <row r="158" spans="1:7" x14ac:dyDescent="0.3">
      <c r="A158" s="2">
        <v>2</v>
      </c>
      <c r="C158" s="38" t="s">
        <v>52</v>
      </c>
      <c r="D158" s="42">
        <f>TRUNC(2677,-1)</f>
        <v>2670</v>
      </c>
      <c r="E158" s="63">
        <f>TRUNC(+D158*3.3058,-1)</f>
        <v>8820</v>
      </c>
    </row>
    <row r="159" spans="1:7" x14ac:dyDescent="0.3">
      <c r="A159" s="2">
        <v>3</v>
      </c>
      <c r="C159" s="38" t="s">
        <v>47</v>
      </c>
      <c r="D159" s="42">
        <f>TRUNC(7238+3319,-1)</f>
        <v>10550</v>
      </c>
      <c r="E159" s="63">
        <f>TRUNC(+D159*3.3058,-1)</f>
        <v>34870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40590</v>
      </c>
      <c r="E161" s="39">
        <f>SUM(E157:E160)</f>
        <v>134160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2020-12-07T10:19:10Z</dcterms:modified>
</cp:coreProperties>
</file>