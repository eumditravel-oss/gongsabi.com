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59" i="4" l="1"/>
  <c r="D158" i="4"/>
  <c r="D157" i="4"/>
  <c r="D152" i="4"/>
  <c r="D150" i="4"/>
  <c r="D149" i="4"/>
  <c r="D144" i="4"/>
  <c r="D143" i="4"/>
  <c r="D142" i="4"/>
  <c r="D132" i="4"/>
  <c r="D128" i="4"/>
  <c r="D125" i="4"/>
  <c r="D124" i="4"/>
  <c r="D122" i="4"/>
  <c r="D130" i="4"/>
  <c r="D126" i="4"/>
  <c r="D118" i="4"/>
  <c r="D105" i="4"/>
  <c r="D104" i="4"/>
  <c r="D103" i="4"/>
  <c r="D102" i="4"/>
  <c r="D101" i="4"/>
  <c r="D100" i="4"/>
  <c r="D99" i="4"/>
  <c r="D114" i="4"/>
  <c r="D98" i="4"/>
  <c r="D116" i="4"/>
  <c r="D75" i="4"/>
  <c r="D92" i="4"/>
  <c r="D91" i="4"/>
  <c r="D89" i="4"/>
  <c r="D76" i="4"/>
  <c r="D73" i="4"/>
  <c r="D72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31" i="4"/>
  <c r="D117" i="4"/>
  <c r="D5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46" i="4" s="1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33" i="4"/>
  <c r="E95" i="4"/>
  <c r="E60" i="4"/>
  <c r="E119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<sst xmlns="http://schemas.openxmlformats.org/spreadsheetml/2006/main" count="394" uniqueCount="269">
  <si>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</si>
  <si>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</si>
  <si>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</si>
  <si>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</si>
  <si>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</si>
  <si>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</si>
  <si>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</si>
  <si>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</si>
  <si>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</si>
  <si>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</si>
  <si>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</si>
  <si>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</si>
  <si>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</si>
  <si>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</si>
  <si>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</si>
  <si>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</si>
  <si>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</si>
  <si>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</si>
  <si>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</si>
  <si>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</si>
  <si>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</si>
  <si>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</si>
  <si>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</si>
  <si>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</si>
  <si>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</si>
  <si>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</si>
  <si>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</si>
  <si>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</si>
  <si>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</si>
  <si>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</si>
  <si>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</si>
  <si>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</si>
  <si>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</si>
  <si>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</si>
  <si>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</si>
  <si>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</si>
  <si>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</si>
  <si>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</si>
  <si>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</si>
  <si>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</si>
  <si>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</si>
  <si>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</si>
  <si>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</si>
  <si>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</si>
  <si>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</si>
  <si>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</si>
  <si>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</si>
  <si>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</si>
  <si>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</si>
  <si>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</si>
  <si>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</si>
  <si>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</si>
  <si>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</si>
  <si>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</si>
  <si>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</si>
  <si>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</si>
  <si>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</si>
  <si>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</si>
  <si>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</si>
  <si>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</si>
  <si>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</si>
  <si>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</si>
  <si>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</si>
  <si>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</si>
  <si>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</si>
  <si>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</si>
  <si>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</si>
  <si>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</si>
  <si>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</si>
  <si>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</si>
  <si>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</si>
  <si>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</si>
  <si>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</si>
  <si>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</si>
  <si>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</si>
  <si>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</si>
  <si>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</si>
  <si>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</si>
  <si>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</si>
  <si>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</si>
  <si>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</si>
  <si>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</si>
  <si>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</si>
  <si>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</si>
  <si>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</si>
  <si>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</si>
  <si>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</si>
  <si>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</si>
  <si>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</si>
  <si>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</si>
  <si>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</si>
  <si>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</si>
  <si>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</si>
  <si>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</si>
  <si>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</si>
  <si>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</si>
  <si>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</si>
  <si>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</si>
  <si>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</si>
  <si>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</si>
  <si>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</si>
  <si>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</si>
  <si>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</si>
  <si>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</si>
  <si>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</si>
  <si>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</si>
  <si>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</si>
  <si>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</si>
  <si>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</si>
  <si>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</si>
  <si>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</si>
  <si>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</si>
  <si>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</si>
  <si>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</si>
  <si>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</si>
  <si>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</si>
  <si>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</si>
  <si>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</si>
  <si>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</si>
  <si>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</si>
  <si>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</si>
  <si>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</si>
  <si>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</si>
  <si>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</si>
  <si>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</si>
  <si>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</si>
  <si>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</si>
  <si>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</si>
  <si>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</si>
  <si>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</si>
  <si>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</si>
  <si>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</si>
  <si>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</si>
  <si>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</si>
  <si>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</si>
  <si>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</si>
  <si>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</si>
  <si>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</si>
  <si>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</si>
  <si>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</si>
  <si>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</si>
  <si>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</si>
  <si>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</si>
  <si>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</si>
  <si>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</si>
  <si>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</si>
  <si>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</si>
  <si>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</si>
  <si>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</si>
  <si>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</si>
  <si>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</si>
  <si>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</si>
  <si>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</si>
  <si>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</si>
  <si>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</si>
  <si>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</si>
  <si>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</si>
  <si>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</si>
  <si>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</si>
  <si>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</si>
  <si>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</si>
  <si>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</si>
  <si>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</si>
  <si>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</si>
  <si>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</si>
  <si>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</si>
  <si>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</si>
  <si>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</si>
  <si>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</si>
  <si>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</si>
  <si>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</si>
  <si>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</si>
  <si>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</si>
  <si>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</si>
  <si>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</si>
  <si>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</si>
  <si>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</si>
  <si>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</si>
  <si>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</si>
  <si>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</si>
  <si>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</si>
  <si>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</si>
  <si>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</si>
  <si>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</si>
  <si>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</si>
  <si>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</si>
  <si>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</si>
  <si>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</si>
  <si>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</si>
  <si>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</si>
  <si>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</si>
  <si>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</si>
  <si>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</si>
  <si>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</si>
  <si>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</si>
  <si>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</si>
  <si>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</si>
  <si>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</si>
  <si>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</si>
  <si>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</si>
  <si>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</si>
  <si>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</si>
  <si>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</si>
  <si>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</si>
  <si>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</si>
  <si>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</si>
  <si>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</si>
  <si>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</si>
  <si>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</si>
  <si>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</si>
  <si>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</si>
  <si>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</si>
  <si>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</si>
  <si>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</si>
  <si>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</si>
  <si>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</si>
  <si>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</si>
  <si>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</si>
  <si>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</si>
  <si>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</si>
  <si>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</si>
  <si>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</si>
  <si>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</si>
  <si>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</si>
  <si>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</si>
  <si>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</si>
  <si>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</si>
  <si>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</si>
  <si>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</si>
  <si>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</si>
  <si>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</si>
  <si>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</si>
  <si>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</si>
  <si>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</si>
  <si>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</si>
  <si>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</si>
  <si>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</si>
  <si>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</si>
  <si>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</si>
  <si>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</si>
  <si>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</si>
  <si>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</si>
  <si>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</si>
  <si>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</si>
  <si>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</si>
  <si>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</si>
  <si>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</si>
  <si>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</si>
  <si>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(가칭)전주화정중학교 신축공사</t>
    <phoneticPr fontId="2" type="noConversion"/>
  </si>
  <si>
    <t>교육연구</t>
  </si>
  <si>
    <t>전라도</t>
  </si>
  <si>
    <t>포장공사</t>
    <phoneticPr fontId="2" type="noConversion"/>
  </si>
  <si>
    <t>조경시설물</t>
    <phoneticPr fontId="2" type="noConversion"/>
  </si>
  <si>
    <t>우수공사</t>
    <phoneticPr fontId="2" type="noConversion"/>
  </si>
  <si>
    <t>기타공사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</si>
  <si>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</si>
  <si>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</si>
  <si>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 xml:space="preserve">기타공사 </t>
    <phoneticPr fontId="2" type="noConversion"/>
  </si>
  <si>
    <t>전기인입 및 수변전 설비공사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</si>
  <si>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</si>
  <si>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</si>
  <si>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</si>
  <si>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기초공사,골재비및운반비,품질시험비,기타공사</t>
    <phoneticPr fontId="2" type="noConversion"/>
  </si>
  <si>
    <t>공조배관공사, 바닥난방공사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</si>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</sst>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10971.06</v>
      </c>
      <c r="D7" s="36">
        <f>+C7/3.3058</f>
        <v>3318.7307157117789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1120990</v>
      </c>
      <c r="E25" s="59">
        <f t="shared" si="0"/>
        <v>3705760</v>
      </c>
    </row>
    <row r="26" spans="1:5" x14ac:dyDescent="0.3">
      <c r="B26" s="2">
        <v>3</v>
      </c>
      <c r="C26" s="35" t="s">
        <v>95</v>
      </c>
      <c r="D26" s="45">
        <f>+D66</f>
        <v>870</v>
      </c>
      <c r="E26" s="59">
        <f t="shared" si="0"/>
        <v>2870</v>
      </c>
    </row>
    <row r="27" spans="1:5" x14ac:dyDescent="0.3">
      <c r="B27" s="2">
        <v>4</v>
      </c>
      <c r="C27" s="35" t="s">
        <v>96</v>
      </c>
      <c r="D27" s="45">
        <f>+D95</f>
        <v>95990</v>
      </c>
      <c r="E27" s="59">
        <f t="shared" si="0"/>
        <v>317320</v>
      </c>
    </row>
    <row r="28" spans="1:5" x14ac:dyDescent="0.3">
      <c r="B28" s="2">
        <v>5</v>
      </c>
      <c r="C28" s="35" t="s">
        <v>97</v>
      </c>
      <c r="D28" s="45">
        <f>+D119</f>
        <v>191620</v>
      </c>
      <c r="E28" s="59">
        <f t="shared" si="0"/>
        <v>633450</v>
      </c>
    </row>
    <row r="29" spans="1:5" x14ac:dyDescent="0.3">
      <c r="B29" s="2">
        <v>6</v>
      </c>
      <c r="C29" s="35" t="s">
        <v>98</v>
      </c>
      <c r="D29" s="45">
        <f>+D133</f>
        <v>88950</v>
      </c>
      <c r="E29" s="59">
        <f t="shared" si="0"/>
        <v>294050</v>
      </c>
    </row>
    <row r="30" spans="1:5" x14ac:dyDescent="0.3">
      <c r="B30" s="2">
        <v>7</v>
      </c>
      <c r="C30" s="35" t="s">
        <v>99</v>
      </c>
      <c r="D30" s="45">
        <f>+D146</f>
        <v>35320</v>
      </c>
      <c r="E30" s="59">
        <f t="shared" si="0"/>
        <v>116760</v>
      </c>
    </row>
    <row r="31" spans="1:5" x14ac:dyDescent="0.3">
      <c r="B31" s="2">
        <v>8</v>
      </c>
      <c r="C31" s="35" t="s">
        <v>100</v>
      </c>
      <c r="D31" s="45">
        <f>+D154</f>
        <v>28280</v>
      </c>
      <c r="E31" s="59">
        <f t="shared" si="0"/>
        <v>93480</v>
      </c>
    </row>
    <row r="32" spans="1:5" x14ac:dyDescent="0.3">
      <c r="B32" s="2">
        <v>9</v>
      </c>
      <c r="C32" s="35" t="s">
        <v>101</v>
      </c>
      <c r="D32" s="45">
        <f>+D161</f>
        <v>35070</v>
      </c>
      <c r="E32" s="59">
        <f t="shared" si="0"/>
        <v>115930</v>
      </c>
    </row>
    <row r="33" spans="1:7" x14ac:dyDescent="0.3">
      <c r="B33" s="2">
        <v>10</v>
      </c>
      <c r="C33" s="35" t="s">
        <v>154</v>
      </c>
      <c r="D33" s="53">
        <f>TRUNC(SUM(D24:D32)*0.275,-1)</f>
        <v>439190</v>
      </c>
      <c r="E33" s="60">
        <f t="shared" si="0"/>
        <v>1451870</v>
      </c>
    </row>
    <row r="34" spans="1:7" x14ac:dyDescent="0.3">
      <c r="C34" s="35" t="s">
        <v>112</v>
      </c>
      <c r="D34" s="44">
        <f>SUM(D24:D33)</f>
        <v>2036280</v>
      </c>
      <c r="E34" s="44">
        <f>SUM(E24:E33)</f>
        <v>6731490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f>TRUNC(51824,-1)</f>
        <v>51820</v>
      </c>
      <c r="E40" s="62">
        <f t="shared" ref="E40:E59" si="1">TRUNC(+D40*3.3058,-1)</f>
        <v>171300</v>
      </c>
    </row>
    <row r="41" spans="1:7" x14ac:dyDescent="0.3">
      <c r="A41" s="2">
        <v>2</v>
      </c>
      <c r="C41" s="38" t="s">
        <v>13</v>
      </c>
      <c r="D41" s="42">
        <f>TRUNC(165289,-1)</f>
        <v>165280</v>
      </c>
      <c r="E41" s="63">
        <f t="shared" si="1"/>
        <v>546380</v>
      </c>
    </row>
    <row r="42" spans="1:7" x14ac:dyDescent="0.3">
      <c r="A42" s="2">
        <v>3</v>
      </c>
      <c r="C42" s="38" t="s">
        <v>14</v>
      </c>
      <c r="D42" s="42">
        <f>TRUNC(7835,-1)</f>
        <v>7830</v>
      </c>
      <c r="E42" s="63">
        <f t="shared" si="1"/>
        <v>25880</v>
      </c>
    </row>
    <row r="43" spans="1:7" x14ac:dyDescent="0.3">
      <c r="A43" s="2">
        <v>4</v>
      </c>
      <c r="C43" s="38" t="s">
        <v>16</v>
      </c>
      <c r="D43" s="42">
        <f>TRUNC(37066,-1)</f>
        <v>37060</v>
      </c>
      <c r="E43" s="63">
        <f t="shared" si="1"/>
        <v>122510</v>
      </c>
    </row>
    <row r="44" spans="1:7" x14ac:dyDescent="0.3">
      <c r="A44" s="2">
        <v>5</v>
      </c>
      <c r="C44" s="38" t="s">
        <v>17</v>
      </c>
      <c r="D44" s="42">
        <f>TRUNC(12694,-1)</f>
        <v>12690</v>
      </c>
      <c r="E44" s="63">
        <f t="shared" si="1"/>
        <v>41950</v>
      </c>
    </row>
    <row r="45" spans="1:7" x14ac:dyDescent="0.3">
      <c r="A45" s="2">
        <v>6</v>
      </c>
      <c r="C45" s="38" t="s">
        <v>18</v>
      </c>
      <c r="D45" s="42">
        <f>TRUNC(6884,-1)</f>
        <v>6880</v>
      </c>
      <c r="E45" s="63">
        <f t="shared" si="1"/>
        <v>22740</v>
      </c>
    </row>
    <row r="46" spans="1:7" x14ac:dyDescent="0.3">
      <c r="A46" s="2">
        <v>7</v>
      </c>
      <c r="C46" s="38" t="s">
        <v>19</v>
      </c>
      <c r="D46" s="42">
        <f>TRUNC(21678,-1)</f>
        <v>21670</v>
      </c>
      <c r="E46" s="63">
        <f t="shared" si="1"/>
        <v>71630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TRUNC(23123,-1)</f>
        <v>23120</v>
      </c>
      <c r="E48" s="63">
        <f t="shared" si="1"/>
        <v>76430</v>
      </c>
      <c r="F48" s="2" t="s">
        <v>259</v>
      </c>
    </row>
    <row r="49" spans="1:7" x14ac:dyDescent="0.3">
      <c r="A49" s="2">
        <v>10</v>
      </c>
      <c r="C49" s="38" t="s">
        <v>22</v>
      </c>
      <c r="D49" s="42">
        <f>TRUNC(18463,-1)</f>
        <v>18460</v>
      </c>
      <c r="E49" s="63">
        <f t="shared" si="1"/>
        <v>61020</v>
      </c>
    </row>
    <row r="50" spans="1:7" x14ac:dyDescent="0.3">
      <c r="A50" s="2">
        <v>11</v>
      </c>
      <c r="C50" s="38" t="s">
        <v>155</v>
      </c>
      <c r="D50" s="42">
        <f>TRUNC(48843,-1)</f>
        <v>48840</v>
      </c>
      <c r="E50" s="63">
        <f t="shared" si="1"/>
        <v>161450</v>
      </c>
      <c r="F50" s="2" t="s">
        <v>260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TRUNC(13856,-1)</f>
        <v>13850</v>
      </c>
      <c r="E52" s="63">
        <f t="shared" si="1"/>
        <v>45780</v>
      </c>
    </row>
    <row r="53" spans="1:7" x14ac:dyDescent="0.3">
      <c r="A53" s="2">
        <v>14</v>
      </c>
      <c r="C53" s="38" t="s">
        <v>25</v>
      </c>
      <c r="D53" s="42">
        <f>TRUNC(154127,-1)</f>
        <v>154120</v>
      </c>
      <c r="E53" s="63">
        <f t="shared" si="1"/>
        <v>509480</v>
      </c>
      <c r="F53" s="2" t="s">
        <v>261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TRUNC(46564+12989+2098+11999,-1)</f>
        <v>73650</v>
      </c>
      <c r="E58" s="63">
        <f t="shared" si="1"/>
        <v>243470</v>
      </c>
      <c r="F58" s="2" t="s">
        <v>262</v>
      </c>
    </row>
    <row r="59" spans="1:7" ht="17.25" thickBot="1" x14ac:dyDescent="0.35">
      <c r="A59" s="2">
        <v>20</v>
      </c>
      <c r="C59" s="38" t="s">
        <v>148</v>
      </c>
      <c r="D59" s="43">
        <f>TRUNC(485724,-1)</f>
        <v>485720</v>
      </c>
      <c r="E59" s="64">
        <f t="shared" si="1"/>
        <v>1605690</v>
      </c>
    </row>
    <row r="60" spans="1:7" x14ac:dyDescent="0.3">
      <c r="A60" s="2">
        <v>21</v>
      </c>
      <c r="C60" s="27" t="s">
        <v>112</v>
      </c>
      <c r="D60" s="39">
        <f>SUM(D40:D59)</f>
        <v>1120990</v>
      </c>
      <c r="E60" s="39">
        <f>SUM(E40:E59)</f>
        <v>3705710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TRUNC(873,-1)</f>
        <v>870</v>
      </c>
      <c r="E63" s="62">
        <f>TRUNC(+D63*3.3058,-1)</f>
        <v>2870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870</v>
      </c>
      <c r="E66" s="65">
        <f>SUM(E63:E65)</f>
        <v>2870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TRUNC(7571,-1)</f>
        <v>7570</v>
      </c>
      <c r="E69" s="62">
        <f t="shared" ref="E69:E94" si="2">TRUNC(+D69*3.3058,-1)</f>
        <v>25020</v>
      </c>
    </row>
    <row r="70" spans="1:7" ht="16.5" customHeight="1" x14ac:dyDescent="0.3">
      <c r="A70" s="2">
        <v>2</v>
      </c>
      <c r="C70" s="38" t="s">
        <v>31</v>
      </c>
      <c r="D70" s="42">
        <f>TRUNC(1876,-1)</f>
        <v>1870</v>
      </c>
      <c r="E70" s="63">
        <f t="shared" si="2"/>
        <v>6180</v>
      </c>
    </row>
    <row r="71" spans="1:7" x14ac:dyDescent="0.3">
      <c r="A71" s="2">
        <v>3</v>
      </c>
      <c r="C71" s="38" t="s">
        <v>32</v>
      </c>
      <c r="D71" s="42">
        <f>TRUNC(6977,-1)</f>
        <v>6970</v>
      </c>
      <c r="E71" s="63">
        <f t="shared" si="2"/>
        <v>23040</v>
      </c>
    </row>
    <row r="72" spans="1:7" x14ac:dyDescent="0.3">
      <c r="A72" s="2">
        <v>4</v>
      </c>
      <c r="C72" s="38" t="s">
        <v>33</v>
      </c>
      <c r="D72" s="42">
        <f>TRUNC(4834,-1)</f>
        <v>4830</v>
      </c>
      <c r="E72" s="63">
        <f t="shared" si="2"/>
        <v>15960</v>
      </c>
    </row>
    <row r="73" spans="1:7" x14ac:dyDescent="0.3">
      <c r="A73" s="2">
        <v>5</v>
      </c>
      <c r="C73" s="38" t="s">
        <v>34</v>
      </c>
      <c r="D73" s="42">
        <f>TRUNC(15735,-1)</f>
        <v>15730</v>
      </c>
      <c r="E73" s="63">
        <f t="shared" si="2"/>
        <v>52000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TRUNC(1617,-1)</f>
        <v>1610</v>
      </c>
      <c r="E75" s="63">
        <f t="shared" si="2"/>
        <v>5320</v>
      </c>
    </row>
    <row r="76" spans="1:7" x14ac:dyDescent="0.3">
      <c r="A76" s="2">
        <v>8</v>
      </c>
      <c r="C76" s="38" t="s">
        <v>119</v>
      </c>
      <c r="D76" s="42">
        <f>TRUNC(33105,-1)</f>
        <v>33100</v>
      </c>
      <c r="E76" s="63">
        <f t="shared" si="2"/>
        <v>109420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TRUNC(4611,-1)</f>
        <v>4610</v>
      </c>
      <c r="E89" s="63">
        <f t="shared" si="2"/>
        <v>15230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TRUNC(4674,-1)</f>
        <v>4670</v>
      </c>
      <c r="E91" s="63">
        <f t="shared" si="2"/>
        <v>15430</v>
      </c>
    </row>
    <row r="92" spans="1:7" x14ac:dyDescent="0.3">
      <c r="A92" s="2">
        <v>24</v>
      </c>
      <c r="C92" s="38" t="s">
        <v>38</v>
      </c>
      <c r="D92" s="42">
        <f>TRUNC(12355,-1)</f>
        <v>12350</v>
      </c>
      <c r="E92" s="63">
        <f t="shared" si="2"/>
        <v>40820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TRUNC(2473+209,-1)</f>
        <v>2680</v>
      </c>
      <c r="E94" s="64">
        <f t="shared" si="2"/>
        <v>8850</v>
      </c>
      <c r="F94" s="2" t="s">
        <v>263</v>
      </c>
    </row>
    <row r="95" spans="1:7" x14ac:dyDescent="0.3">
      <c r="A95" s="2">
        <v>27</v>
      </c>
      <c r="C95" s="27" t="s">
        <v>112</v>
      </c>
      <c r="D95" s="39">
        <f>SUM(D69:D94)</f>
        <v>95990</v>
      </c>
      <c r="E95" s="39">
        <f>SUM(E69:E94)</f>
        <v>317270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TRUNC(13077,-1)</f>
        <v>13070</v>
      </c>
      <c r="E98" s="62">
        <f t="shared" ref="E98:E118" si="3">TRUNC(+D98*3.3058,-1)</f>
        <v>43200</v>
      </c>
    </row>
    <row r="99" spans="1:7" x14ac:dyDescent="0.3">
      <c r="A99" s="2">
        <v>2</v>
      </c>
      <c r="C99" s="38" t="s">
        <v>40</v>
      </c>
      <c r="D99" s="42">
        <f>TRUNC(5557,-1)</f>
        <v>5550</v>
      </c>
      <c r="E99" s="63">
        <f t="shared" si="3"/>
        <v>18340</v>
      </c>
    </row>
    <row r="100" spans="1:7" x14ac:dyDescent="0.3">
      <c r="A100" s="2">
        <v>3</v>
      </c>
      <c r="C100" s="38" t="s">
        <v>41</v>
      </c>
      <c r="D100" s="42">
        <f>TRUNC(28742,-1)</f>
        <v>28740</v>
      </c>
      <c r="E100" s="63">
        <f t="shared" si="3"/>
        <v>95000</v>
      </c>
    </row>
    <row r="101" spans="1:7" x14ac:dyDescent="0.3">
      <c r="A101" s="2">
        <v>4</v>
      </c>
      <c r="C101" s="38" t="s">
        <v>42</v>
      </c>
      <c r="D101" s="42">
        <f>TRUNC(12444,-1)</f>
        <v>12440</v>
      </c>
      <c r="E101" s="63">
        <f t="shared" si="3"/>
        <v>41120</v>
      </c>
    </row>
    <row r="102" spans="1:7" x14ac:dyDescent="0.3">
      <c r="A102" s="2">
        <v>5</v>
      </c>
      <c r="C102" s="38" t="s">
        <v>43</v>
      </c>
      <c r="D102" s="42">
        <f>TRUNC(15856,-1)</f>
        <v>15850</v>
      </c>
      <c r="E102" s="63">
        <f t="shared" si="3"/>
        <v>52390</v>
      </c>
    </row>
    <row r="103" spans="1:7" x14ac:dyDescent="0.3">
      <c r="A103" s="2">
        <v>6</v>
      </c>
      <c r="C103" s="38" t="s">
        <v>44</v>
      </c>
      <c r="D103" s="42">
        <f>TRUNC(9051,-1)</f>
        <v>9050</v>
      </c>
      <c r="E103" s="63">
        <f t="shared" si="3"/>
        <v>29910</v>
      </c>
    </row>
    <row r="104" spans="1:7" x14ac:dyDescent="0.3">
      <c r="A104" s="2">
        <v>7</v>
      </c>
      <c r="C104" s="38" t="s">
        <v>45</v>
      </c>
      <c r="D104" s="42">
        <f>TRUNC(4132,-1)</f>
        <v>4130</v>
      </c>
      <c r="E104" s="63">
        <f t="shared" si="3"/>
        <v>13650</v>
      </c>
    </row>
    <row r="105" spans="1:7" x14ac:dyDescent="0.3">
      <c r="A105" s="2">
        <v>8</v>
      </c>
      <c r="C105" s="38" t="s">
        <v>46</v>
      </c>
      <c r="D105" s="42">
        <f>TRUNC(4356,-1)</f>
        <v>4350</v>
      </c>
      <c r="E105" s="63">
        <f t="shared" si="3"/>
        <v>14380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TRUNC(2863,-1)</f>
        <v>2860</v>
      </c>
      <c r="E114" s="63">
        <f t="shared" si="3"/>
        <v>9450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TRUNC(2730,-1)</f>
        <v>2730</v>
      </c>
      <c r="E116" s="63">
        <f t="shared" si="3"/>
        <v>9020</v>
      </c>
      <c r="F116" s="2" t="s">
        <v>258</v>
      </c>
    </row>
    <row r="117" spans="1:7" x14ac:dyDescent="0.3">
      <c r="A117" s="2">
        <v>20</v>
      </c>
      <c r="C117" s="38" t="s">
        <v>148</v>
      </c>
      <c r="D117" s="42">
        <f>TRUNC(89867,-1)</f>
        <v>89860</v>
      </c>
      <c r="E117" s="63">
        <f t="shared" si="3"/>
        <v>297050</v>
      </c>
    </row>
    <row r="118" spans="1:7" ht="17.25" thickBot="1" x14ac:dyDescent="0.35">
      <c r="A118" s="2">
        <v>21</v>
      </c>
      <c r="C118" s="38" t="s">
        <v>47</v>
      </c>
      <c r="D118" s="43">
        <f>TRUNC(2997,-1)</f>
        <v>2990</v>
      </c>
      <c r="E118" s="64">
        <f t="shared" si="3"/>
        <v>9880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191620</v>
      </c>
      <c r="E119" s="39">
        <f>SUM(E98:E118)</f>
        <v>633390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TRUNC(4634,-1)</f>
        <v>4630</v>
      </c>
      <c r="E122" s="62">
        <f t="shared" ref="E122:E132" si="4">TRUNC(+D122*3.3058,-1)</f>
        <v>15300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TRUNC(2504,-1)</f>
        <v>2500</v>
      </c>
      <c r="E124" s="63">
        <f t="shared" si="4"/>
        <v>8260</v>
      </c>
    </row>
    <row r="125" spans="1:7" x14ac:dyDescent="0.3">
      <c r="A125" s="2">
        <v>4</v>
      </c>
      <c r="C125" s="38" t="s">
        <v>138</v>
      </c>
      <c r="D125" s="42">
        <f>TRUNC(7278,-1)</f>
        <v>7270</v>
      </c>
      <c r="E125" s="63">
        <f t="shared" si="4"/>
        <v>24030</v>
      </c>
    </row>
    <row r="126" spans="1:7" x14ac:dyDescent="0.3">
      <c r="A126" s="2">
        <v>5</v>
      </c>
      <c r="C126" s="38" t="s">
        <v>53</v>
      </c>
      <c r="D126" s="42">
        <f>TRUNC(3368,-1)</f>
        <v>3360</v>
      </c>
      <c r="E126" s="63">
        <f t="shared" si="4"/>
        <v>11100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TRUNC(6609,-1)</f>
        <v>6600</v>
      </c>
      <c r="E128" s="63">
        <f t="shared" si="4"/>
        <v>21810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TRUNC(12635,-1)</f>
        <v>12630</v>
      </c>
      <c r="E130" s="63">
        <f t="shared" si="4"/>
        <v>41750</v>
      </c>
    </row>
    <row r="131" spans="1:7" x14ac:dyDescent="0.3">
      <c r="A131" s="2">
        <v>10</v>
      </c>
      <c r="C131" s="38" t="s">
        <v>148</v>
      </c>
      <c r="D131" s="42">
        <f>TRUNC(49794,-1)</f>
        <v>49790</v>
      </c>
      <c r="E131" s="63">
        <f t="shared" si="4"/>
        <v>164590</v>
      </c>
    </row>
    <row r="132" spans="1:7" ht="18" thickBot="1" x14ac:dyDescent="0.35">
      <c r="A132" s="2">
        <v>11</v>
      </c>
      <c r="C132" s="38" t="s">
        <v>47</v>
      </c>
      <c r="D132" s="43">
        <f>TRUNC(292+1886,-1)</f>
        <v>2170</v>
      </c>
      <c r="E132" s="64">
        <f t="shared" si="4"/>
        <v>7170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88950</v>
      </c>
      <c r="E133" s="39">
        <f>SUM(E122:E132)</f>
        <v>294010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TRUNC(16331,-1)</f>
        <v>16330</v>
      </c>
      <c r="E142" s="63">
        <f t="shared" si="5"/>
        <v>53980</v>
      </c>
    </row>
    <row r="143" spans="1:7" x14ac:dyDescent="0.3">
      <c r="A143" s="2">
        <v>8</v>
      </c>
      <c r="C143" s="38" t="s">
        <v>62</v>
      </c>
      <c r="D143" s="42">
        <f>TRUNC(4402,-1)</f>
        <v>4400</v>
      </c>
      <c r="E143" s="63">
        <f t="shared" si="5"/>
        <v>14540</v>
      </c>
    </row>
    <row r="144" spans="1:7" x14ac:dyDescent="0.3">
      <c r="A144" s="2">
        <v>9</v>
      </c>
      <c r="C144" s="38" t="s">
        <v>63</v>
      </c>
      <c r="D144" s="42">
        <f>TRUNC(14597,-1)</f>
        <v>14590</v>
      </c>
      <c r="E144" s="63">
        <f t="shared" si="5"/>
        <v>48230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35320</v>
      </c>
      <c r="E146" s="39">
        <f>SUM(E136:E145)</f>
        <v>116750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TRUNC(12240,-1)</f>
        <v>12240</v>
      </c>
      <c r="E149" s="62">
        <f>TRUNC(+D149*3.3058,-1)</f>
        <v>40460</v>
      </c>
      <c r="F149" s="2" t="s">
        <v>253</v>
      </c>
    </row>
    <row r="150" spans="1:7" x14ac:dyDescent="0.3">
      <c r="A150" s="2">
        <v>2</v>
      </c>
      <c r="C150" s="38" t="s">
        <v>49</v>
      </c>
      <c r="D150" s="42">
        <f>TRUNC(11682,-1)</f>
        <v>11680</v>
      </c>
      <c r="E150" s="63">
        <f>TRUNC(+D150*3.3058,-1)</f>
        <v>38610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TRUNC(4368,-1)</f>
        <v>4360</v>
      </c>
      <c r="E152" s="63">
        <f>TRUNC(+D152*3.3058,-1)</f>
        <v>14410</v>
      </c>
      <c r="F152" s="2" t="s">
        <v>254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28280</v>
      </c>
      <c r="E154" s="39">
        <f>SUM(E149:E153)</f>
        <v>93480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TRUNC(20194,-1)</f>
        <v>20190</v>
      </c>
      <c r="E157" s="62">
        <f>TRUNC(+D157*3.3058,-1)</f>
        <v>66740</v>
      </c>
    </row>
    <row r="158" spans="1:7" x14ac:dyDescent="0.3">
      <c r="A158" s="2">
        <v>2</v>
      </c>
      <c r="C158" s="38" t="s">
        <v>52</v>
      </c>
      <c r="D158" s="42">
        <f>TRUNC(7735,-1)</f>
        <v>7730</v>
      </c>
      <c r="E158" s="63">
        <f>TRUNC(+D158*3.3058,-1)</f>
        <v>25550</v>
      </c>
      <c r="F158" s="2" t="s">
        <v>252</v>
      </c>
    </row>
    <row r="159" spans="1:7" x14ac:dyDescent="0.3">
      <c r="A159" s="2">
        <v>3</v>
      </c>
      <c r="C159" s="38" t="s">
        <v>47</v>
      </c>
      <c r="D159" s="42">
        <f>TRUNC(7153,-1)</f>
        <v>7150</v>
      </c>
      <c r="E159" s="63">
        <f>TRUNC(+D159*3.3058,-1)</f>
        <v>23630</v>
      </c>
      <c r="F159" s="2" t="s">
        <v>251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35070</v>
      </c>
      <c r="E161" s="39">
        <f>SUM(E157:E160)</f>
        <v>115920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2020-12-08T04:03:28Z</dcterms:modified>
</cp:coreProperties>
</file>