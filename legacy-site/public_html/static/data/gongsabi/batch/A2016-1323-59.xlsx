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2" i="4"/>
  <c r="D150" i="4"/>
  <c r="D149" i="4"/>
  <c r="D145" i="4"/>
  <c r="D142" i="4"/>
  <c r="D141" i="4"/>
  <c r="D140" i="4"/>
  <c r="D137" i="4"/>
  <c r="D132" i="4"/>
  <c r="D130" i="4"/>
  <c r="D128" i="4"/>
  <c r="D127" i="4"/>
  <c r="D124" i="4"/>
  <c r="D122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94" i="4"/>
  <c r="D92" i="4"/>
  <c r="D91" i="4"/>
  <c r="D90" i="4"/>
  <c r="D89" i="4"/>
  <c r="D75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<sst xmlns="http://schemas.openxmlformats.org/spreadsheetml/2006/main" count="393" uniqueCount="267">
  <si>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</si>
  <si>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</si>
  <si>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</si>
  <si>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</si>
  <si>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</si>
  <si>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</si>
  <si>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</si>
  <si>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</si>
  <si>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</si>
  <si>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</si>
  <si>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</si>
  <si>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</si>
  <si>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</si>
  <si>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</si>
  <si>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</si>
  <si>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</si>
  <si>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</si>
  <si>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</si>
  <si>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</si>
  <si>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</si>
  <si>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</si>
  <si>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</si>
  <si>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</si>
  <si>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</si>
  <si>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</si>
  <si>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</si>
  <si>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</si>
  <si>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</si>
  <si>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</si>
  <si>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</si>
  <si>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</si>
  <si>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</si>
  <si>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</si>
  <si>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</si>
  <si>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</si>
  <si>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</si>
  <si>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</si>
  <si>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</si>
  <si>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</si>
  <si>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</si>
  <si>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</si>
  <si>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</si>
  <si>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</si>
  <si>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</si>
  <si>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</si>
  <si>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</si>
  <si>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</si>
  <si>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</si>
  <si>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</si>
  <si>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</si>
  <si>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</si>
  <si>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</si>
  <si>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</si>
  <si>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</si>
  <si>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</si>
  <si>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</si>
  <si>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</si>
  <si>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</si>
  <si>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</si>
  <si>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</si>
  <si>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</si>
  <si>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</si>
  <si>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</si>
  <si>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</si>
  <si>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</si>
  <si>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</si>
  <si>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</si>
  <si>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</si>
  <si>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</si>
  <si>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</si>
  <si>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</si>
  <si>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</si>
  <si>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</si>
  <si>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</si>
  <si>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</si>
  <si>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</si>
  <si>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</si>
  <si>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</si>
  <si>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</si>
  <si>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</si>
  <si>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</si>
  <si>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</si>
  <si>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</si>
  <si>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</si>
  <si>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</si>
  <si>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</si>
  <si>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</si>
  <si>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</si>
  <si>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</si>
  <si>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</si>
  <si>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</si>
  <si>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</si>
  <si>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</si>
  <si>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</si>
  <si>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</si>
  <si>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</si>
  <si>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</si>
  <si>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</si>
  <si>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</si>
  <si>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</si>
  <si>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</si>
  <si>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</si>
  <si>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</si>
  <si>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</si>
  <si>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</si>
  <si>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</si>
  <si>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</si>
  <si>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</si>
  <si>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</si>
  <si>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</si>
  <si>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</si>
  <si>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</si>
  <si>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</si>
  <si>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</si>
  <si>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</si>
  <si>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</si>
  <si>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</si>
  <si>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</si>
  <si>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</si>
  <si>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</si>
  <si>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</si>
  <si>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</si>
  <si>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</si>
  <si>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</si>
  <si>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</si>
  <si>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</si>
  <si>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</si>
  <si>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</si>
  <si>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</si>
  <si>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</si>
  <si>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</si>
  <si>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</si>
  <si>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</si>
  <si>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</si>
  <si>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</si>
  <si>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</si>
  <si>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</si>
  <si>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</si>
  <si>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</si>
  <si>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</si>
  <si>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</si>
  <si>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</si>
  <si>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</si>
  <si>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</si>
  <si>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</si>
  <si>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</si>
  <si>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</si>
  <si>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</si>
  <si>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</si>
  <si>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</si>
  <si>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</si>
  <si>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</si>
  <si>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</si>
  <si>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</si>
  <si>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</si>
  <si>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</si>
  <si>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</si>
  <si>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</si>
  <si>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</si>
  <si>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</si>
  <si>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</si>
  <si>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</si>
  <si>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</si>
  <si>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</si>
  <si>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</si>
  <si>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</si>
  <si>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</si>
  <si>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</si>
  <si>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</si>
  <si>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</si>
  <si>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</si>
  <si>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</si>
  <si>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</si>
  <si>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</si>
  <si>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</si>
  <si>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</si>
  <si>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</si>
  <si>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</si>
  <si>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</si>
  <si>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</si>
  <si>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</si>
  <si>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</si>
  <si>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</si>
  <si>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</si>
  <si>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</si>
  <si>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</si>
  <si>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</si>
  <si>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</si>
  <si>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</si>
  <si>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</si>
  <si>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</si>
  <si>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</si>
  <si>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</si>
  <si>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</si>
  <si>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</si>
  <si>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</si>
  <si>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</si>
  <si>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</si>
  <si>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</si>
  <si>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</si>
  <si>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</si>
  <si>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</si>
  <si>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</si>
  <si>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</si>
  <si>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</si>
  <si>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</si>
  <si>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</si>
  <si>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</si>
  <si>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</si>
  <si>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</si>
  <si>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</si>
  <si>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</si>
  <si>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</si>
  <si>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</si>
  <si>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</si>
  <si>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</si>
  <si>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</si>
  <si>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</si>
  <si>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</si>
  <si>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</si>
  <si>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</si>
  <si>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</si>
  <si>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</si>
  <si>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</si>
  <si>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</si>
  <si>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</si>
  <si>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</si>
  <si>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</si>
  <si>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</si>
  <si>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</si>
  <si>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</si>
  <si>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</si>
  <si>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</si>
  <si>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</si>
  <si>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</si>
  <si>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</si>
  <si>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</si>
  <si>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</si>
  <si>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</si>
  <si>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</si>
  <si>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</si>
  <si>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</si>
  <si>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</si>
  <si>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</si>
  <si>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</si>
  <si>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</si>
  <si>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</si>
  <si>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</si>
  <si>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</si>
  <si>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</si>
  <si>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</si>
  <si>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</si>
  <si>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</si>
  <si>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</si>
  <si>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</si>
  <si>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</si>
  <si>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</si>
  <si>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국립환경과학원 국가환경위성센터 건립공사</t>
    <phoneticPr fontId="2" type="noConversion"/>
  </si>
  <si>
    <t>인천시</t>
  </si>
  <si>
    <t>기초공사, 골재비및운반비, 작업부산물,기타공사</t>
    <phoneticPr fontId="2" type="noConversion"/>
  </si>
  <si>
    <t>공조배관공사, 바닥난방공사, 기타공사</t>
    <phoneticPr fontId="2" type="noConversion"/>
  </si>
  <si>
    <t>CCTV설비공사, 기타공사</t>
    <phoneticPr fontId="2" type="noConversion"/>
  </si>
  <si>
    <t>펌프실배관공사, 기타공사</t>
    <phoneticPr fontId="2" type="noConversion"/>
  </si>
  <si>
    <t>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</si>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</sst>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2917.51</v>
      </c>
      <c r="D7" s="36">
        <f>+C7/3.3058</f>
        <v>882.54280355738399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1381110</v>
      </c>
      <c r="E25" s="59">
        <f t="shared" si="0"/>
        <v>4565670</v>
      </c>
    </row>
    <row r="26" spans="1:5" x14ac:dyDescent="0.3">
      <c r="B26" s="2">
        <v>3</v>
      </c>
      <c r="C26" s="35" t="s">
        <v>95</v>
      </c>
      <c r="D26" s="45">
        <f>+D66</f>
        <v>104890</v>
      </c>
      <c r="E26" s="59">
        <f t="shared" si="0"/>
        <v>346740</v>
      </c>
    </row>
    <row r="27" spans="1:5" x14ac:dyDescent="0.3">
      <c r="B27" s="2">
        <v>4</v>
      </c>
      <c r="C27" s="35" t="s">
        <v>96</v>
      </c>
      <c r="D27" s="45">
        <f>+D95</f>
        <v>186670</v>
      </c>
      <c r="E27" s="59">
        <f t="shared" si="0"/>
        <v>617090</v>
      </c>
    </row>
    <row r="28" spans="1:5" x14ac:dyDescent="0.3">
      <c r="B28" s="2">
        <v>5</v>
      </c>
      <c r="C28" s="35" t="s">
        <v>97</v>
      </c>
      <c r="D28" s="45">
        <f>+D119</f>
        <v>429310</v>
      </c>
      <c r="E28" s="59">
        <f t="shared" si="0"/>
        <v>1419210</v>
      </c>
    </row>
    <row r="29" spans="1:5" x14ac:dyDescent="0.3">
      <c r="B29" s="2">
        <v>6</v>
      </c>
      <c r="C29" s="35" t="s">
        <v>98</v>
      </c>
      <c r="D29" s="45">
        <f>+D133</f>
        <v>159770</v>
      </c>
      <c r="E29" s="59">
        <f t="shared" si="0"/>
        <v>528160</v>
      </c>
    </row>
    <row r="30" spans="1:5" x14ac:dyDescent="0.3">
      <c r="B30" s="2">
        <v>7</v>
      </c>
      <c r="C30" s="35" t="s">
        <v>99</v>
      </c>
      <c r="D30" s="45">
        <f>+D146</f>
        <v>80700</v>
      </c>
      <c r="E30" s="59">
        <f t="shared" si="0"/>
        <v>266770</v>
      </c>
    </row>
    <row r="31" spans="1:5" x14ac:dyDescent="0.3">
      <c r="B31" s="2">
        <v>8</v>
      </c>
      <c r="C31" s="35" t="s">
        <v>100</v>
      </c>
      <c r="D31" s="45">
        <f>+D154</f>
        <v>19860</v>
      </c>
      <c r="E31" s="59">
        <f t="shared" si="0"/>
        <v>65650</v>
      </c>
    </row>
    <row r="32" spans="1:5" x14ac:dyDescent="0.3">
      <c r="B32" s="2">
        <v>9</v>
      </c>
      <c r="C32" s="35" t="s">
        <v>101</v>
      </c>
      <c r="D32" s="45">
        <f>+D161</f>
        <v>18340</v>
      </c>
      <c r="E32" s="59">
        <f t="shared" si="0"/>
        <v>60620</v>
      </c>
    </row>
    <row r="33" spans="1:7" x14ac:dyDescent="0.3">
      <c r="B33" s="2">
        <v>10</v>
      </c>
      <c r="C33" s="35" t="s">
        <v>155</v>
      </c>
      <c r="D33" s="53">
        <f>TRUNC(SUM(D24:D32)*0.275,-1)</f>
        <v>654670</v>
      </c>
      <c r="E33" s="60">
        <f t="shared" si="0"/>
        <v>2164200</v>
      </c>
    </row>
    <row r="34" spans="1:7" x14ac:dyDescent="0.3">
      <c r="C34" s="35" t="s">
        <v>112</v>
      </c>
      <c r="D34" s="44">
        <f>SUM(D24:D33)</f>
        <v>3035320</v>
      </c>
      <c r="E34" s="44">
        <f>SUM(E24:E33)</f>
        <v>10034110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TRUNC(94331,-1)</f>
        <v>94330</v>
      </c>
      <c r="E40" s="62">
        <f t="shared" ref="E40:E59" si="1">TRUNC(+D40*3.3058,-1)</f>
        <v>311830</v>
      </c>
    </row>
    <row r="41" spans="1:7" x14ac:dyDescent="0.3">
      <c r="A41" s="2">
        <v>2</v>
      </c>
      <c r="C41" s="38" t="s">
        <v>13</v>
      </c>
      <c r="D41" s="42">
        <f>TRUNC(201446,-1)</f>
        <v>201440</v>
      </c>
      <c r="E41" s="63">
        <f t="shared" si="1"/>
        <v>665920</v>
      </c>
    </row>
    <row r="42" spans="1:7" x14ac:dyDescent="0.3">
      <c r="A42" s="2">
        <v>3</v>
      </c>
      <c r="C42" s="38" t="s">
        <v>14</v>
      </c>
      <c r="D42" s="42">
        <f>TRUNC(5955,-1)</f>
        <v>5950</v>
      </c>
      <c r="E42" s="63">
        <f t="shared" si="1"/>
        <v>19660</v>
      </c>
    </row>
    <row r="43" spans="1:7" x14ac:dyDescent="0.3">
      <c r="A43" s="2">
        <v>4</v>
      </c>
      <c r="C43" s="38" t="s">
        <v>16</v>
      </c>
      <c r="D43" s="42">
        <f>TRUNC(33433,-1)</f>
        <v>33430</v>
      </c>
      <c r="E43" s="63">
        <f t="shared" si="1"/>
        <v>110510</v>
      </c>
    </row>
    <row r="44" spans="1:7" x14ac:dyDescent="0.3">
      <c r="A44" s="2">
        <v>5</v>
      </c>
      <c r="C44" s="38" t="s">
        <v>17</v>
      </c>
      <c r="D44" s="42">
        <f>TRUNC(29317,-1)</f>
        <v>29310</v>
      </c>
      <c r="E44" s="63">
        <f t="shared" si="1"/>
        <v>96890</v>
      </c>
    </row>
    <row r="45" spans="1:7" x14ac:dyDescent="0.3">
      <c r="A45" s="2">
        <v>6</v>
      </c>
      <c r="C45" s="38" t="s">
        <v>18</v>
      </c>
      <c r="D45" s="42">
        <v>10560</v>
      </c>
      <c r="E45" s="63">
        <f t="shared" si="1"/>
        <v>34900</v>
      </c>
    </row>
    <row r="46" spans="1:7" x14ac:dyDescent="0.3">
      <c r="A46" s="2">
        <v>7</v>
      </c>
      <c r="C46" s="38" t="s">
        <v>19</v>
      </c>
      <c r="D46" s="42">
        <f>TRUNC(21443,-1)</f>
        <v>21440</v>
      </c>
      <c r="E46" s="63">
        <f t="shared" si="1"/>
        <v>70870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TRUNC(85976,-1)</f>
        <v>85970</v>
      </c>
      <c r="E48" s="63">
        <f t="shared" si="1"/>
        <v>284190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TRUNC(18476,-1)</f>
        <v>18470</v>
      </c>
      <c r="E49" s="63">
        <f t="shared" si="1"/>
        <v>61050</v>
      </c>
    </row>
    <row r="50" spans="1:7" x14ac:dyDescent="0.3">
      <c r="A50" s="2">
        <v>11</v>
      </c>
      <c r="C50" s="38" t="s">
        <v>156</v>
      </c>
      <c r="D50" s="42">
        <f>TRUNC(65232,-1)</f>
        <v>65230</v>
      </c>
      <c r="E50" s="63">
        <f t="shared" si="1"/>
        <v>215630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TRUNC(17537,-1)</f>
        <v>17530</v>
      </c>
      <c r="E52" s="63">
        <f t="shared" si="1"/>
        <v>57950</v>
      </c>
    </row>
    <row r="53" spans="1:7" x14ac:dyDescent="0.3">
      <c r="A53" s="2">
        <v>14</v>
      </c>
      <c r="C53" s="38" t="s">
        <v>25</v>
      </c>
      <c r="D53" s="42">
        <f>TRUNC(126921,-1)</f>
        <v>126920</v>
      </c>
      <c r="E53" s="63">
        <f t="shared" si="1"/>
        <v>419570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TRUNC(68031+5076-804+30036,-1)</f>
        <v>102330</v>
      </c>
      <c r="E58" s="63">
        <f t="shared" si="1"/>
        <v>338280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TRUNC(568202,-1)</f>
        <v>568200</v>
      </c>
      <c r="E59" s="64">
        <f t="shared" si="1"/>
        <v>1878350</v>
      </c>
    </row>
    <row r="60" spans="1:7" x14ac:dyDescent="0.3">
      <c r="A60" s="2">
        <v>21</v>
      </c>
      <c r="C60" s="27" t="s">
        <v>112</v>
      </c>
      <c r="D60" s="39">
        <f>SUM(D40:D59)</f>
        <v>1381110</v>
      </c>
      <c r="E60" s="39">
        <f>SUM(E40:E59)</f>
        <v>4565600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TRUNC(13968,-1)</f>
        <v>13960</v>
      </c>
      <c r="E63" s="62">
        <f>TRUNC(+D63*3.3058,-1)</f>
        <v>46140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TRUNC(90935,-1)</f>
        <v>90930</v>
      </c>
      <c r="E65" s="64">
        <f>TRUNC(+D65*3.3058,-1)</f>
        <v>300590</v>
      </c>
    </row>
    <row r="66" spans="1:7" x14ac:dyDescent="0.3">
      <c r="A66" s="2">
        <v>4</v>
      </c>
      <c r="C66" s="27" t="s">
        <v>112</v>
      </c>
      <c r="D66" s="39">
        <f>SUM(D63:D65)</f>
        <v>104890</v>
      </c>
      <c r="E66" s="65">
        <f>SUM(E63:E65)</f>
        <v>346730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TRUNC(33024,-1)</f>
        <v>33020</v>
      </c>
      <c r="E69" s="62">
        <f t="shared" ref="E69:E94" si="2">TRUNC(+D69*3.3058,-1)</f>
        <v>109150</v>
      </c>
    </row>
    <row r="70" spans="1:7" ht="16.5" customHeight="1" x14ac:dyDescent="0.3">
      <c r="A70" s="2">
        <v>2</v>
      </c>
      <c r="C70" s="38" t="s">
        <v>31</v>
      </c>
      <c r="D70" s="42">
        <f>TRUNC(842,-1)</f>
        <v>840</v>
      </c>
      <c r="E70" s="63">
        <f t="shared" si="2"/>
        <v>2770</v>
      </c>
    </row>
    <row r="71" spans="1:7" x14ac:dyDescent="0.3">
      <c r="A71" s="2">
        <v>3</v>
      </c>
      <c r="C71" s="38" t="s">
        <v>32</v>
      </c>
      <c r="D71" s="42">
        <f>TRUNC(10733,-1)</f>
        <v>10730</v>
      </c>
      <c r="E71" s="63">
        <f t="shared" si="2"/>
        <v>35470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4490</v>
      </c>
      <c r="E73" s="63">
        <f t="shared" si="2"/>
        <v>14840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TRUNC(2829,-1)</f>
        <v>2820</v>
      </c>
      <c r="E75" s="63">
        <f t="shared" si="2"/>
        <v>9320</v>
      </c>
    </row>
    <row r="76" spans="1:7" x14ac:dyDescent="0.3">
      <c r="A76" s="2">
        <v>8</v>
      </c>
      <c r="C76" s="38" t="s">
        <v>119</v>
      </c>
      <c r="D76" s="42">
        <v>52190</v>
      </c>
      <c r="E76" s="63">
        <f t="shared" si="2"/>
        <v>172520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TRUNC(15233,-1)</f>
        <v>15230</v>
      </c>
      <c r="E89" s="63">
        <f t="shared" si="2"/>
        <v>50340</v>
      </c>
    </row>
    <row r="90" spans="1:7" x14ac:dyDescent="0.3">
      <c r="A90" s="2">
        <v>22</v>
      </c>
      <c r="C90" s="38" t="s">
        <v>36</v>
      </c>
      <c r="D90" s="42">
        <f>TRUNC(10244,-1)</f>
        <v>10240</v>
      </c>
      <c r="E90" s="63">
        <f t="shared" si="2"/>
        <v>33850</v>
      </c>
    </row>
    <row r="91" spans="1:7" x14ac:dyDescent="0.3">
      <c r="A91" s="2">
        <v>23</v>
      </c>
      <c r="C91" s="38" t="s">
        <v>37</v>
      </c>
      <c r="D91" s="42">
        <f>TRUNC(28919,-1)</f>
        <v>28910</v>
      </c>
      <c r="E91" s="63">
        <f t="shared" si="2"/>
        <v>95570</v>
      </c>
    </row>
    <row r="92" spans="1:7" x14ac:dyDescent="0.3">
      <c r="A92" s="2">
        <v>24</v>
      </c>
      <c r="C92" s="38" t="s">
        <v>38</v>
      </c>
      <c r="D92" s="42">
        <f>TRUNC(3373,-1)</f>
        <v>3370</v>
      </c>
      <c r="E92" s="63">
        <f t="shared" si="2"/>
        <v>11140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TRUNC(13610+891+10338,-1)</f>
        <v>24830</v>
      </c>
      <c r="E94" s="64">
        <f t="shared" si="2"/>
        <v>82080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186670</v>
      </c>
      <c r="E95" s="39">
        <f>SUM(E69:E94)</f>
        <v>617050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TRUNC(19028,-1)</f>
        <v>19020</v>
      </c>
      <c r="E98" s="62">
        <f t="shared" ref="E98:E118" si="3">TRUNC(+D98*3.3058,-1)</f>
        <v>62870</v>
      </c>
    </row>
    <row r="99" spans="1:7" x14ac:dyDescent="0.3">
      <c r="A99" s="2">
        <v>2</v>
      </c>
      <c r="C99" s="38" t="s">
        <v>40</v>
      </c>
      <c r="D99" s="42">
        <f>TRUNC(7458,-1)</f>
        <v>7450</v>
      </c>
      <c r="E99" s="63">
        <f t="shared" si="3"/>
        <v>24620</v>
      </c>
    </row>
    <row r="100" spans="1:7" x14ac:dyDescent="0.3">
      <c r="A100" s="2">
        <v>3</v>
      </c>
      <c r="C100" s="38" t="s">
        <v>41</v>
      </c>
      <c r="D100" s="42">
        <f>TRUNC(41165,-1)</f>
        <v>41160</v>
      </c>
      <c r="E100" s="63">
        <f t="shared" si="3"/>
        <v>136060</v>
      </c>
    </row>
    <row r="101" spans="1:7" x14ac:dyDescent="0.3">
      <c r="A101" s="2">
        <v>4</v>
      </c>
      <c r="C101" s="38" t="s">
        <v>42</v>
      </c>
      <c r="D101" s="42">
        <f>TRUNC(1496,-1)</f>
        <v>1490</v>
      </c>
      <c r="E101" s="63">
        <f t="shared" si="3"/>
        <v>4920</v>
      </c>
    </row>
    <row r="102" spans="1:7" x14ac:dyDescent="0.3">
      <c r="A102" s="2">
        <v>5</v>
      </c>
      <c r="C102" s="38" t="s">
        <v>43</v>
      </c>
      <c r="D102" s="42">
        <f>TRUNC(14753,-1)</f>
        <v>14750</v>
      </c>
      <c r="E102" s="63">
        <f t="shared" si="3"/>
        <v>48760</v>
      </c>
    </row>
    <row r="103" spans="1:7" x14ac:dyDescent="0.3">
      <c r="A103" s="2">
        <v>6</v>
      </c>
      <c r="C103" s="38" t="s">
        <v>44</v>
      </c>
      <c r="D103" s="42">
        <f>TRUNC(5302,-1)</f>
        <v>5300</v>
      </c>
      <c r="E103" s="63">
        <f t="shared" si="3"/>
        <v>17520</v>
      </c>
    </row>
    <row r="104" spans="1:7" x14ac:dyDescent="0.3">
      <c r="A104" s="2">
        <v>7</v>
      </c>
      <c r="C104" s="38" t="s">
        <v>45</v>
      </c>
      <c r="D104" s="42">
        <f>TRUNC(12731,-1)</f>
        <v>12730</v>
      </c>
      <c r="E104" s="63">
        <f t="shared" si="3"/>
        <v>42080</v>
      </c>
    </row>
    <row r="105" spans="1:7" x14ac:dyDescent="0.3">
      <c r="A105" s="2">
        <v>8</v>
      </c>
      <c r="C105" s="38" t="s">
        <v>46</v>
      </c>
      <c r="D105" s="42">
        <f>TRUNC(17846,-1)</f>
        <v>17840</v>
      </c>
      <c r="E105" s="63">
        <f t="shared" si="3"/>
        <v>58970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TRUNC(3871,-1)</f>
        <v>3870</v>
      </c>
      <c r="E114" s="63">
        <f t="shared" si="3"/>
        <v>12790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TRUNC(27697,-1)</f>
        <v>27690</v>
      </c>
      <c r="E116" s="63">
        <f t="shared" si="3"/>
        <v>91530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TRUNC(277245,-1)</f>
        <v>277240</v>
      </c>
      <c r="E117" s="63">
        <f t="shared" si="3"/>
        <v>916490</v>
      </c>
    </row>
    <row r="118" spans="1:7" ht="17.25" thickBot="1" x14ac:dyDescent="0.35">
      <c r="A118" s="2">
        <v>21</v>
      </c>
      <c r="C118" s="38" t="s">
        <v>47</v>
      </c>
      <c r="D118" s="43">
        <f>TRUNC(771,-1)</f>
        <v>770</v>
      </c>
      <c r="E118" s="64">
        <f t="shared" si="3"/>
        <v>2540</v>
      </c>
    </row>
    <row r="119" spans="1:7" x14ac:dyDescent="0.3">
      <c r="A119" s="2">
        <v>22</v>
      </c>
      <c r="C119" s="27" t="s">
        <v>112</v>
      </c>
      <c r="D119" s="39">
        <f>SUM(D98:D118)</f>
        <v>429310</v>
      </c>
      <c r="E119" s="39">
        <f>SUM(E98:E118)</f>
        <v>1419150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TRUNC(2664,-1)</f>
        <v>2660</v>
      </c>
      <c r="E122" s="62">
        <f t="shared" ref="E122:E132" si="4">TRUNC(+D122*3.3058,-1)</f>
        <v>8790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TRUNC(6494,-1)</f>
        <v>6490</v>
      </c>
      <c r="E124" s="63">
        <f t="shared" si="4"/>
        <v>21450</v>
      </c>
    </row>
    <row r="125" spans="1:7" x14ac:dyDescent="0.3">
      <c r="A125" s="2">
        <v>4</v>
      </c>
      <c r="C125" s="38" t="s">
        <v>138</v>
      </c>
      <c r="D125" s="42">
        <v>8010</v>
      </c>
      <c r="E125" s="63">
        <f t="shared" si="4"/>
        <v>26470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TRUNC(8501,-1)</f>
        <v>8500</v>
      </c>
      <c r="E127" s="63">
        <f t="shared" si="4"/>
        <v>28090</v>
      </c>
    </row>
    <row r="128" spans="1:7" x14ac:dyDescent="0.3">
      <c r="A128" s="2">
        <v>7</v>
      </c>
      <c r="C128" s="38" t="s">
        <v>46</v>
      </c>
      <c r="D128" s="42">
        <f>TRUNC(13532,-1)</f>
        <v>13530</v>
      </c>
      <c r="E128" s="63">
        <f t="shared" si="4"/>
        <v>44720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TRUNC(28796,-1)</f>
        <v>28790</v>
      </c>
      <c r="E130" s="63">
        <f t="shared" si="4"/>
        <v>95170</v>
      </c>
    </row>
    <row r="131" spans="1:7" x14ac:dyDescent="0.3">
      <c r="A131" s="2">
        <v>10</v>
      </c>
      <c r="C131" s="38" t="s">
        <v>149</v>
      </c>
      <c r="D131" s="42">
        <v>84930</v>
      </c>
      <c r="E131" s="63">
        <f t="shared" si="4"/>
        <v>280760</v>
      </c>
    </row>
    <row r="132" spans="1:7" ht="18" thickBot="1" x14ac:dyDescent="0.35">
      <c r="A132" s="2">
        <v>11</v>
      </c>
      <c r="C132" s="38" t="s">
        <v>47</v>
      </c>
      <c r="D132" s="43">
        <f>TRUNC(5342+1521,-1)</f>
        <v>6860</v>
      </c>
      <c r="E132" s="64">
        <f t="shared" si="4"/>
        <v>22670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159770</v>
      </c>
      <c r="E133" s="39">
        <f>SUM(E122:E132)</f>
        <v>528120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TRUNC(5176+40676,-1)</f>
        <v>45850</v>
      </c>
      <c r="E137" s="63">
        <f t="shared" si="5"/>
        <v>151570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TRUNC(1737,-1)</f>
        <v>1730</v>
      </c>
      <c r="E140" s="63">
        <f t="shared" si="5"/>
        <v>5710</v>
      </c>
    </row>
    <row r="141" spans="1:7" x14ac:dyDescent="0.3">
      <c r="A141" s="2">
        <v>6</v>
      </c>
      <c r="C141" s="38" t="s">
        <v>59</v>
      </c>
      <c r="D141" s="42">
        <f>TRUNC(3305,-1)</f>
        <v>3300</v>
      </c>
      <c r="E141" s="63">
        <f t="shared" si="5"/>
        <v>10900</v>
      </c>
    </row>
    <row r="142" spans="1:7" x14ac:dyDescent="0.3">
      <c r="A142" s="2">
        <v>7</v>
      </c>
      <c r="C142" s="38" t="s">
        <v>58</v>
      </c>
      <c r="D142" s="42">
        <f>TRUNC(5656,-1)</f>
        <v>5650</v>
      </c>
      <c r="E142" s="63">
        <f t="shared" si="5"/>
        <v>18670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149</v>
      </c>
      <c r="D145" s="43">
        <f>TRUNC(24172,-1)</f>
        <v>24170</v>
      </c>
      <c r="E145" s="64">
        <f t="shared" si="5"/>
        <v>79900</v>
      </c>
    </row>
    <row r="146" spans="1:7" x14ac:dyDescent="0.3">
      <c r="A146" s="2">
        <v>11</v>
      </c>
      <c r="C146" s="27" t="s">
        <v>112</v>
      </c>
      <c r="D146" s="39">
        <f>SUM(D136:D145)</f>
        <v>80700</v>
      </c>
      <c r="E146" s="39">
        <f>SUM(E136:E145)</f>
        <v>266750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TRUNC(4368+506,-1)</f>
        <v>4870</v>
      </c>
      <c r="E149" s="62">
        <f>TRUNC(+D149*3.3058,-1)</f>
        <v>16090</v>
      </c>
    </row>
    <row r="150" spans="1:7" x14ac:dyDescent="0.3">
      <c r="A150" s="2">
        <v>2</v>
      </c>
      <c r="C150" s="38" t="s">
        <v>49</v>
      </c>
      <c r="D150" s="42">
        <f>TRUNC(2836,-1)</f>
        <v>2830</v>
      </c>
      <c r="E150" s="63">
        <f>TRUNC(+D150*3.3058,-1)</f>
        <v>9350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TRUNC(8627+3537,-1)</f>
        <v>12160</v>
      </c>
      <c r="E152" s="63">
        <f>TRUNC(+D152*3.3058,-1)</f>
        <v>40190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19860</v>
      </c>
      <c r="E154" s="39">
        <f>SUM(E149:E153)</f>
        <v>65630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15550</v>
      </c>
      <c r="E157" s="62">
        <f>TRUNC(+D157*3.3058,-1)</f>
        <v>51400</v>
      </c>
    </row>
    <row r="158" spans="1:7" x14ac:dyDescent="0.3">
      <c r="A158" s="2">
        <v>2</v>
      </c>
      <c r="C158" s="38" t="s">
        <v>52</v>
      </c>
      <c r="D158" s="42">
        <f>TRUNC(845,-1)</f>
        <v>840</v>
      </c>
      <c r="E158" s="63">
        <f>TRUNC(+D158*3.3058,-1)</f>
        <v>2770</v>
      </c>
    </row>
    <row r="159" spans="1:7" x14ac:dyDescent="0.3">
      <c r="A159" s="2">
        <v>3</v>
      </c>
      <c r="C159" s="38" t="s">
        <v>47</v>
      </c>
      <c r="D159" s="42">
        <f>TRUNC(1953,-1)</f>
        <v>1950</v>
      </c>
      <c r="E159" s="63">
        <f>TRUNC(+D159*3.3058,-1)</f>
        <v>6440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18340</v>
      </c>
      <c r="E161" s="39">
        <f>SUM(E157:E160)</f>
        <v>60610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2020-12-08T01:19:55Z</dcterms:modified>
</cp:coreProperties>
</file>