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7" i="4"/>
  <c r="D152" i="4"/>
  <c r="D151" i="4"/>
  <c r="D150" i="4"/>
  <c r="D149" i="4"/>
  <c r="D144" i="4"/>
  <c r="D143" i="4"/>
  <c r="D142" i="4"/>
  <c r="D141" i="4"/>
  <c r="D140" i="4"/>
  <c r="D139" i="4"/>
  <c r="D137" i="4"/>
  <c r="D131" i="4"/>
  <c r="D130" i="4"/>
  <c r="D128" i="4"/>
  <c r="D127" i="4"/>
  <c r="D125" i="4"/>
  <c r="D122" i="4"/>
  <c r="D118" i="4"/>
  <c r="D117" i="4"/>
  <c r="D116" i="4"/>
  <c r="D105" i="4"/>
  <c r="D104" i="4"/>
  <c r="D103" i="4"/>
  <c r="D102" i="4"/>
  <c r="D100" i="4"/>
  <c r="D99" i="4"/>
  <c r="D98" i="4"/>
  <c r="D94" i="4"/>
  <c r="D89" i="4"/>
  <c r="D76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6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<sst xmlns="http://schemas.openxmlformats.org/spreadsheetml/2006/main" count="392" uniqueCount="269">
  <si>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</si>
  <si>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</si>
  <si>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</si>
  <si>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</si>
  <si>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</si>
  <si>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</si>
  <si>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</si>
  <si>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</si>
  <si>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</si>
  <si>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</si>
  <si>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</si>
  <si>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</si>
  <si>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</si>
  <si>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</si>
  <si>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</si>
  <si>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</si>
  <si>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</si>
  <si>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</si>
  <si>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</si>
  <si>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</si>
  <si>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</si>
  <si>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</si>
  <si>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</si>
  <si>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</si>
  <si>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</si>
  <si>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</si>
  <si>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</si>
  <si>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</si>
  <si>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</si>
  <si>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</si>
  <si>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</si>
  <si>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</si>
  <si>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</si>
  <si>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</si>
  <si>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</si>
  <si>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</si>
  <si>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</si>
  <si>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</si>
  <si>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</si>
  <si>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</si>
  <si>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</si>
  <si>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</si>
  <si>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</si>
  <si>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</si>
  <si>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</si>
  <si>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</si>
  <si>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</si>
  <si>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</si>
  <si>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</si>
  <si>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</si>
  <si>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</si>
  <si>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</si>
  <si>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</si>
  <si>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</si>
  <si>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</si>
  <si>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</si>
  <si>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</si>
  <si>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</si>
  <si>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</si>
  <si>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</si>
  <si>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</si>
  <si>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</si>
  <si>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</si>
  <si>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</si>
  <si>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</si>
  <si>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</si>
  <si>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</si>
  <si>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</si>
  <si>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</si>
  <si>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</si>
  <si>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</si>
  <si>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</si>
  <si>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</si>
  <si>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</si>
  <si>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</si>
  <si>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</si>
  <si>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</si>
  <si>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</si>
  <si>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</si>
  <si>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</si>
  <si>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</si>
  <si>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</si>
  <si>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</si>
  <si>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</si>
  <si>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</si>
  <si>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</si>
  <si>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</si>
  <si>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</si>
  <si>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</si>
  <si>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</si>
  <si>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</si>
  <si>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</si>
  <si>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</si>
  <si>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</si>
  <si>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</si>
  <si>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</si>
  <si>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</si>
  <si>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</si>
  <si>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</si>
  <si>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</si>
  <si>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</si>
  <si>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</si>
  <si>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</si>
  <si>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</si>
  <si>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</si>
  <si>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</si>
  <si>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</si>
  <si>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</si>
  <si>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</si>
  <si>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</si>
  <si>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</si>
  <si>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</si>
  <si>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</si>
  <si>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</si>
  <si>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</si>
  <si>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</si>
  <si>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</si>
  <si>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</si>
  <si>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</si>
  <si>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</si>
  <si>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</si>
  <si>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</si>
  <si>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</si>
  <si>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</si>
  <si>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</si>
  <si>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</si>
  <si>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</si>
  <si>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</si>
  <si>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</si>
  <si>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</si>
  <si>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</si>
  <si>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</si>
  <si>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</si>
  <si>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</si>
  <si>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</si>
  <si>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</si>
  <si>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</si>
  <si>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</si>
  <si>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</si>
  <si>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</si>
  <si>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</si>
  <si>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</si>
  <si>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</si>
  <si>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</si>
  <si>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</si>
  <si>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</si>
  <si>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</si>
  <si>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</si>
  <si>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</si>
  <si>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</si>
  <si>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</si>
  <si>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</si>
  <si>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</si>
  <si>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</si>
  <si>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</si>
  <si>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</si>
  <si>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</si>
  <si>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</si>
  <si>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</si>
  <si>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</si>
  <si>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</si>
  <si>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</si>
  <si>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</si>
  <si>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</si>
  <si>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</si>
  <si>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</si>
  <si>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</si>
  <si>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</si>
  <si>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</si>
  <si>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</si>
  <si>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</si>
  <si>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</si>
  <si>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</si>
  <si>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</si>
  <si>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</si>
  <si>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</si>
  <si>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</si>
  <si>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</si>
  <si>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</si>
  <si>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</si>
  <si>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</si>
  <si>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</si>
  <si>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</si>
  <si>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</si>
  <si>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</si>
  <si>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</si>
  <si>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</si>
  <si>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</si>
  <si>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</si>
  <si>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</si>
  <si>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</si>
  <si>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</si>
  <si>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</si>
  <si>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</si>
  <si>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</si>
  <si>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</si>
  <si>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</si>
  <si>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</si>
  <si>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</si>
  <si>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</si>
  <si>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</si>
  <si>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</si>
  <si>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</si>
  <si>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</si>
  <si>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</si>
  <si>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</si>
  <si>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</si>
  <si>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</si>
  <si>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</si>
  <si>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</si>
  <si>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</si>
  <si>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</si>
  <si>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</si>
  <si>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</si>
  <si>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</si>
  <si>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</si>
  <si>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</si>
  <si>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</si>
  <si>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</si>
  <si>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</si>
  <si>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</si>
  <si>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</si>
  <si>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</si>
  <si>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</si>
  <si>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</si>
  <si>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</si>
  <si>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</si>
  <si>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</si>
  <si>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</si>
  <si>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</si>
  <si>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</si>
  <si>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</si>
  <si>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</si>
  <si>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</si>
  <si>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</si>
  <si>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</si>
  <si>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</si>
  <si>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</si>
  <si>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</si>
  <si>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</si>
  <si>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</si>
  <si>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</si>
  <si>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</si>
  <si>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</si>
  <si>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</si>
  <si>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</si>
  <si>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</si>
  <si>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</si>
  <si>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복합교육센터 신축공사</t>
    <phoneticPr fontId="2" type="noConversion"/>
  </si>
  <si>
    <t>교육연구</t>
  </si>
  <si>
    <t>부산시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</si>
  <si>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</si>
  <si>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</si>
  <si>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</si>
  <si>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난방배관공사,우수처리시설공사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</si>
  <si>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</si>
  <si>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</si>
  <si>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</si>
  <si>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우수공사,오수공사</t>
    <phoneticPr fontId="2" type="noConversion"/>
  </si>
  <si>
    <t>기타공사</t>
    <phoneticPr fontId="2" type="noConversion"/>
  </si>
  <si>
    <t>기초공사,골재비및운반비,작업부산물,기타공사</t>
    <phoneticPr fontId="2" type="noConversion"/>
  </si>
  <si>
    <t>옥외소화배관공사,펌프실배관공사,제연덕트설치공사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</si>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</sst>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8869.7099999999991</v>
      </c>
      <c r="D7" s="36">
        <f>+C7/3.3058</f>
        <v>2683.0752011615946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858280</v>
      </c>
      <c r="E25" s="59">
        <f t="shared" si="0"/>
        <v>2837300</v>
      </c>
    </row>
    <row r="26" spans="1:5" x14ac:dyDescent="0.3">
      <c r="B26" s="2">
        <v>3</v>
      </c>
      <c r="C26" s="35" t="s">
        <v>95</v>
      </c>
      <c r="D26" s="45">
        <f>+D66</f>
        <v>36620</v>
      </c>
      <c r="E26" s="59">
        <f t="shared" si="0"/>
        <v>121050</v>
      </c>
    </row>
    <row r="27" spans="1:5" x14ac:dyDescent="0.3">
      <c r="B27" s="2">
        <v>4</v>
      </c>
      <c r="C27" s="35" t="s">
        <v>96</v>
      </c>
      <c r="D27" s="45">
        <f>+D95</f>
        <v>213150</v>
      </c>
      <c r="E27" s="59">
        <f t="shared" si="0"/>
        <v>704630</v>
      </c>
    </row>
    <row r="28" spans="1:5" x14ac:dyDescent="0.3">
      <c r="B28" s="2">
        <v>5</v>
      </c>
      <c r="C28" s="35" t="s">
        <v>97</v>
      </c>
      <c r="D28" s="45">
        <f>+D119</f>
        <v>175920</v>
      </c>
      <c r="E28" s="59">
        <f t="shared" si="0"/>
        <v>581550</v>
      </c>
    </row>
    <row r="29" spans="1:5" x14ac:dyDescent="0.3">
      <c r="B29" s="2">
        <v>6</v>
      </c>
      <c r="C29" s="35" t="s">
        <v>98</v>
      </c>
      <c r="D29" s="45">
        <f>+D133</f>
        <v>49510</v>
      </c>
      <c r="E29" s="59">
        <f t="shared" si="0"/>
        <v>163670</v>
      </c>
    </row>
    <row r="30" spans="1:5" x14ac:dyDescent="0.3">
      <c r="B30" s="2">
        <v>7</v>
      </c>
      <c r="C30" s="35" t="s">
        <v>99</v>
      </c>
      <c r="D30" s="45">
        <f>+D146</f>
        <v>97730</v>
      </c>
      <c r="E30" s="59">
        <f t="shared" si="0"/>
        <v>323070</v>
      </c>
    </row>
    <row r="31" spans="1:5" x14ac:dyDescent="0.3">
      <c r="B31" s="2">
        <v>8</v>
      </c>
      <c r="C31" s="35" t="s">
        <v>100</v>
      </c>
      <c r="D31" s="45">
        <f>+D154</f>
        <v>7970</v>
      </c>
      <c r="E31" s="59">
        <f t="shared" si="0"/>
        <v>26340</v>
      </c>
    </row>
    <row r="32" spans="1:5" x14ac:dyDescent="0.3">
      <c r="B32" s="2">
        <v>9</v>
      </c>
      <c r="C32" s="35" t="s">
        <v>101</v>
      </c>
      <c r="D32" s="45">
        <f>+D161</f>
        <v>2160</v>
      </c>
      <c r="E32" s="59">
        <f t="shared" si="0"/>
        <v>7140</v>
      </c>
    </row>
    <row r="33" spans="1:7" x14ac:dyDescent="0.3">
      <c r="B33" s="2">
        <v>10</v>
      </c>
      <c r="C33" s="35" t="s">
        <v>154</v>
      </c>
      <c r="D33" s="53">
        <f>TRUNC(SUM(D24:D32)*0.275,-1)</f>
        <v>396360</v>
      </c>
      <c r="E33" s="60">
        <f t="shared" si="0"/>
        <v>1310280</v>
      </c>
    </row>
    <row r="34" spans="1:7" x14ac:dyDescent="0.3">
      <c r="C34" s="35" t="s">
        <v>112</v>
      </c>
      <c r="D34" s="44">
        <f>SUM(D24:D33)</f>
        <v>1837700</v>
      </c>
      <c r="E34" s="44">
        <f>SUM(E24:E33)</f>
        <v>6075030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262</v>
      </c>
      <c r="C39" s="56" t="s">
        <v>263</v>
      </c>
      <c r="D39" s="57" t="s">
        <v>264</v>
      </c>
      <c r="E39" s="57" t="s">
        <v>265</v>
      </c>
      <c r="G39" s="55"/>
    </row>
    <row r="40" spans="1:7" x14ac:dyDescent="0.3">
      <c r="A40" s="2">
        <v>1</v>
      </c>
      <c r="C40" s="38" t="s">
        <v>15</v>
      </c>
      <c r="D40" s="40">
        <f>TRUNC(77698,-1)</f>
        <v>77690</v>
      </c>
      <c r="E40" s="62">
        <f t="shared" ref="E40:E59" si="1">TRUNC(+D40*3.3058,-1)</f>
        <v>256820</v>
      </c>
    </row>
    <row r="41" spans="1:7" x14ac:dyDescent="0.3">
      <c r="A41" s="2">
        <v>2</v>
      </c>
      <c r="C41" s="38" t="s">
        <v>13</v>
      </c>
      <c r="D41" s="42">
        <f>TRUNC(134833,-1)</f>
        <v>134830</v>
      </c>
      <c r="E41" s="63">
        <f t="shared" si="1"/>
        <v>445720</v>
      </c>
    </row>
    <row r="42" spans="1:7" x14ac:dyDescent="0.3">
      <c r="A42" s="2">
        <v>3</v>
      </c>
      <c r="C42" s="38" t="s">
        <v>14</v>
      </c>
      <c r="D42" s="42">
        <f>TRUNC(4019,-1)</f>
        <v>4010</v>
      </c>
      <c r="E42" s="63">
        <f t="shared" si="1"/>
        <v>13250</v>
      </c>
    </row>
    <row r="43" spans="1:7" x14ac:dyDescent="0.3">
      <c r="A43" s="2">
        <v>4</v>
      </c>
      <c r="C43" s="38" t="s">
        <v>16</v>
      </c>
      <c r="D43" s="42">
        <f>TRUNC(20854,-1)</f>
        <v>20850</v>
      </c>
      <c r="E43" s="63">
        <f t="shared" si="1"/>
        <v>68920</v>
      </c>
    </row>
    <row r="44" spans="1:7" x14ac:dyDescent="0.3">
      <c r="A44" s="2">
        <v>5</v>
      </c>
      <c r="C44" s="38" t="s">
        <v>17</v>
      </c>
      <c r="D44" s="42">
        <f>TRUNC(14797,-1)</f>
        <v>14790</v>
      </c>
      <c r="E44" s="63">
        <f t="shared" si="1"/>
        <v>48890</v>
      </c>
    </row>
    <row r="45" spans="1:7" x14ac:dyDescent="0.3">
      <c r="A45" s="2">
        <v>6</v>
      </c>
      <c r="C45" s="38" t="s">
        <v>18</v>
      </c>
      <c r="D45" s="42">
        <f>TRUNC(8974,-1)</f>
        <v>8970</v>
      </c>
      <c r="E45" s="63">
        <f t="shared" si="1"/>
        <v>29650</v>
      </c>
    </row>
    <row r="46" spans="1:7" x14ac:dyDescent="0.3">
      <c r="A46" s="2">
        <v>7</v>
      </c>
      <c r="C46" s="38" t="s">
        <v>19</v>
      </c>
      <c r="D46" s="42">
        <f>TRUNC(80066,-1)</f>
        <v>80060</v>
      </c>
      <c r="E46" s="63">
        <f t="shared" si="1"/>
        <v>264660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TRUNC(48499,-1)</f>
        <v>48490</v>
      </c>
      <c r="E48" s="63">
        <f t="shared" si="1"/>
        <v>160290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TRUNC(20039,-1)</f>
        <v>20030</v>
      </c>
      <c r="E49" s="63">
        <f t="shared" si="1"/>
        <v>66210</v>
      </c>
    </row>
    <row r="50" spans="1:7" x14ac:dyDescent="0.3">
      <c r="A50" s="2">
        <v>11</v>
      </c>
      <c r="C50" s="38" t="s">
        <v>155</v>
      </c>
      <c r="D50" s="42">
        <f>TRUNC(63866,-1)</f>
        <v>63860</v>
      </c>
      <c r="E50" s="63">
        <f t="shared" si="1"/>
        <v>211100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TRUNC(11933,-1)</f>
        <v>11930</v>
      </c>
      <c r="E52" s="63">
        <f t="shared" si="1"/>
        <v>39430</v>
      </c>
    </row>
    <row r="53" spans="1:7" x14ac:dyDescent="0.3">
      <c r="A53" s="2">
        <v>14</v>
      </c>
      <c r="C53" s="38" t="s">
        <v>25</v>
      </c>
      <c r="D53" s="42">
        <f>TRUNC(55912,-1)</f>
        <v>55910</v>
      </c>
      <c r="E53" s="63">
        <f t="shared" si="1"/>
        <v>184820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TRUNC(15232+5063-691+3680,-1)</f>
        <v>23280</v>
      </c>
      <c r="E58" s="63">
        <f t="shared" si="1"/>
        <v>76950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TRUNC(293587,-1)</f>
        <v>293580</v>
      </c>
      <c r="E59" s="64">
        <f t="shared" si="1"/>
        <v>970510</v>
      </c>
    </row>
    <row r="60" spans="1:7" x14ac:dyDescent="0.3">
      <c r="A60" s="2">
        <v>21</v>
      </c>
      <c r="C60" s="27" t="s">
        <v>112</v>
      </c>
      <c r="D60" s="39">
        <f>SUM(D40:D59)</f>
        <v>858280</v>
      </c>
      <c r="E60" s="39">
        <f>SUM(E40:E59)</f>
        <v>2837220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TRUNC(8103,-1)</f>
        <v>8100</v>
      </c>
      <c r="E63" s="62">
        <f>TRUNC(+D63*3.3058,-1)</f>
        <v>26770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TRUNC(28522,-1)</f>
        <v>28520</v>
      </c>
      <c r="E65" s="64">
        <f>TRUNC(+D65*3.3058,-1)</f>
        <v>94280</v>
      </c>
    </row>
    <row r="66" spans="1:7" x14ac:dyDescent="0.3">
      <c r="A66" s="2">
        <v>4</v>
      </c>
      <c r="C66" s="27" t="s">
        <v>112</v>
      </c>
      <c r="D66" s="39">
        <f>SUM(D63:D65)</f>
        <v>36620</v>
      </c>
      <c r="E66" s="65">
        <f>SUM(E63:E65)</f>
        <v>121050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TRUNC(3477,-1)</f>
        <v>3470</v>
      </c>
      <c r="E69" s="62">
        <f t="shared" ref="E69:E94" si="2">TRUNC(+D69*3.3058,-1)</f>
        <v>11470</v>
      </c>
    </row>
    <row r="70" spans="1:7" ht="16.5" customHeight="1" x14ac:dyDescent="0.3">
      <c r="A70" s="2">
        <v>2</v>
      </c>
      <c r="C70" s="38" t="s">
        <v>31</v>
      </c>
      <c r="D70" s="42">
        <f>TRUNC(2806,-1)</f>
        <v>2800</v>
      </c>
      <c r="E70" s="63">
        <f t="shared" si="2"/>
        <v>9250</v>
      </c>
    </row>
    <row r="71" spans="1:7" x14ac:dyDescent="0.3">
      <c r="A71" s="2">
        <v>3</v>
      </c>
      <c r="C71" s="38" t="s">
        <v>32</v>
      </c>
      <c r="D71" s="42">
        <f>TRUNC(5867,-1)</f>
        <v>5860</v>
      </c>
      <c r="E71" s="63">
        <f t="shared" si="2"/>
        <v>19370</v>
      </c>
    </row>
    <row r="72" spans="1:7" x14ac:dyDescent="0.3">
      <c r="A72" s="2">
        <v>4</v>
      </c>
      <c r="C72" s="38" t="s">
        <v>33</v>
      </c>
      <c r="D72" s="42">
        <f>TRUNC(1758,-1)</f>
        <v>1750</v>
      </c>
      <c r="E72" s="63">
        <f t="shared" si="2"/>
        <v>5780</v>
      </c>
    </row>
    <row r="73" spans="1:7" x14ac:dyDescent="0.3">
      <c r="A73" s="2">
        <v>5</v>
      </c>
      <c r="C73" s="38" t="s">
        <v>34</v>
      </c>
      <c r="D73" s="42">
        <f>TRUNC(9053,-1)</f>
        <v>9050</v>
      </c>
      <c r="E73" s="63">
        <f t="shared" si="2"/>
        <v>29910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TRUNC(100635,-1)</f>
        <v>100630</v>
      </c>
      <c r="E76" s="63">
        <f t="shared" si="2"/>
        <v>332660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TRUNC(11612,-1)</f>
        <v>11610</v>
      </c>
      <c r="E89" s="63">
        <f t="shared" si="2"/>
        <v>38380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8520</v>
      </c>
      <c r="E91" s="63">
        <f t="shared" si="2"/>
        <v>28160</v>
      </c>
    </row>
    <row r="92" spans="1:7" x14ac:dyDescent="0.3">
      <c r="A92" s="2">
        <v>24</v>
      </c>
      <c r="C92" s="38" t="s">
        <v>38</v>
      </c>
      <c r="D92" s="42">
        <v>11040</v>
      </c>
      <c r="E92" s="63">
        <f t="shared" si="2"/>
        <v>36490</v>
      </c>
    </row>
    <row r="93" spans="1:7" x14ac:dyDescent="0.3">
      <c r="A93" s="2">
        <v>25</v>
      </c>
      <c r="C93" s="38" t="s">
        <v>148</v>
      </c>
      <c r="D93" s="42">
        <v>55890</v>
      </c>
      <c r="E93" s="63">
        <f t="shared" si="2"/>
        <v>184760</v>
      </c>
    </row>
    <row r="94" spans="1:7" ht="17.25" thickBot="1" x14ac:dyDescent="0.35">
      <c r="A94" s="2">
        <v>26</v>
      </c>
      <c r="C94" s="38" t="s">
        <v>47</v>
      </c>
      <c r="D94" s="43">
        <f>TRUNC(1979+556,-1)</f>
        <v>2530</v>
      </c>
      <c r="E94" s="64">
        <f t="shared" si="2"/>
        <v>8360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213150</v>
      </c>
      <c r="E95" s="39">
        <f>SUM(E69:E94)</f>
        <v>704590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TRUNC(15001,-1)</f>
        <v>15000</v>
      </c>
      <c r="E98" s="62">
        <f t="shared" ref="E98:E118" si="3">TRUNC(+D98*3.3058,-1)</f>
        <v>49580</v>
      </c>
    </row>
    <row r="99" spans="1:7" x14ac:dyDescent="0.3">
      <c r="A99" s="2">
        <v>2</v>
      </c>
      <c r="C99" s="38" t="s">
        <v>40</v>
      </c>
      <c r="D99" s="42">
        <f>TRUNC(8882,-1)</f>
        <v>8880</v>
      </c>
      <c r="E99" s="63">
        <f t="shared" si="3"/>
        <v>29350</v>
      </c>
    </row>
    <row r="100" spans="1:7" x14ac:dyDescent="0.3">
      <c r="A100" s="2">
        <v>3</v>
      </c>
      <c r="C100" s="38" t="s">
        <v>41</v>
      </c>
      <c r="D100" s="42">
        <f>TRUNC(38975,-1)</f>
        <v>38970</v>
      </c>
      <c r="E100" s="63">
        <f t="shared" si="3"/>
        <v>128820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TRUNC(28465,-1)</f>
        <v>28460</v>
      </c>
      <c r="E102" s="63">
        <f t="shared" si="3"/>
        <v>94080</v>
      </c>
    </row>
    <row r="103" spans="1:7" x14ac:dyDescent="0.3">
      <c r="A103" s="2">
        <v>6</v>
      </c>
      <c r="C103" s="38" t="s">
        <v>44</v>
      </c>
      <c r="D103" s="42">
        <f>TRUNC(6671,-1)</f>
        <v>6670</v>
      </c>
      <c r="E103" s="63">
        <f t="shared" si="3"/>
        <v>22040</v>
      </c>
    </row>
    <row r="104" spans="1:7" x14ac:dyDescent="0.3">
      <c r="A104" s="2">
        <v>7</v>
      </c>
      <c r="C104" s="38" t="s">
        <v>45</v>
      </c>
      <c r="D104" s="42">
        <f>TRUNC(5526,-1)</f>
        <v>5520</v>
      </c>
      <c r="E104" s="63">
        <f t="shared" si="3"/>
        <v>18240</v>
      </c>
    </row>
    <row r="105" spans="1:7" x14ac:dyDescent="0.3">
      <c r="A105" s="2">
        <v>8</v>
      </c>
      <c r="C105" s="38" t="s">
        <v>46</v>
      </c>
      <c r="D105" s="42">
        <f>TRUNC(13695,-1)</f>
        <v>13690</v>
      </c>
      <c r="E105" s="63">
        <f t="shared" si="3"/>
        <v>45250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1030</v>
      </c>
      <c r="E114" s="63">
        <f t="shared" si="3"/>
        <v>3400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TRUNC(13727,-1)</f>
        <v>13720</v>
      </c>
      <c r="E116" s="63">
        <f t="shared" si="3"/>
        <v>45350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TRUNC(43553,-1)</f>
        <v>43550</v>
      </c>
      <c r="E117" s="63">
        <f t="shared" si="3"/>
        <v>143960</v>
      </c>
    </row>
    <row r="118" spans="1:7" ht="17.25" thickBot="1" x14ac:dyDescent="0.35">
      <c r="A118" s="2">
        <v>21</v>
      </c>
      <c r="C118" s="38" t="s">
        <v>47</v>
      </c>
      <c r="D118" s="43">
        <f>TRUNC(436,-1)</f>
        <v>430</v>
      </c>
      <c r="E118" s="64">
        <f t="shared" si="3"/>
        <v>1420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175920</v>
      </c>
      <c r="E119" s="39">
        <f>SUM(E98:E118)</f>
        <v>581490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TRUNC(6012,-1)</f>
        <v>6010</v>
      </c>
      <c r="E122" s="62">
        <f t="shared" ref="E122:E132" si="4">TRUNC(+D122*3.3058,-1)</f>
        <v>19860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TRUNC(7164,-1)</f>
        <v>7160</v>
      </c>
      <c r="E125" s="63">
        <f t="shared" si="4"/>
        <v>23660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TRUNC(3084,-1)</f>
        <v>3080</v>
      </c>
      <c r="E127" s="63">
        <f t="shared" si="4"/>
        <v>10180</v>
      </c>
    </row>
    <row r="128" spans="1:7" x14ac:dyDescent="0.3">
      <c r="A128" s="2">
        <v>7</v>
      </c>
      <c r="C128" s="38" t="s">
        <v>46</v>
      </c>
      <c r="D128" s="42">
        <f>TRUNC(7917,-1)</f>
        <v>7910</v>
      </c>
      <c r="E128" s="63">
        <f t="shared" si="4"/>
        <v>26140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TRUNC(25048,-1)</f>
        <v>25040</v>
      </c>
      <c r="E130" s="63">
        <f t="shared" si="4"/>
        <v>82770</v>
      </c>
    </row>
    <row r="131" spans="1:7" x14ac:dyDescent="0.3">
      <c r="A131" s="2">
        <v>10</v>
      </c>
      <c r="C131" s="38" t="s">
        <v>148</v>
      </c>
      <c r="D131" s="42">
        <f>TRUNC(319,-1)</f>
        <v>310</v>
      </c>
      <c r="E131" s="63">
        <f t="shared" si="4"/>
        <v>1020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49510</v>
      </c>
      <c r="E133" s="39">
        <f>SUM(E122:E132)</f>
        <v>163630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TRUNC(168+4429+21668,-1)</f>
        <v>26260</v>
      </c>
      <c r="E137" s="63">
        <f t="shared" si="5"/>
        <v>86810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TRUNC(2122,-1)</f>
        <v>2120</v>
      </c>
      <c r="E139" s="63">
        <f t="shared" si="5"/>
        <v>7000</v>
      </c>
    </row>
    <row r="140" spans="1:7" x14ac:dyDescent="0.3">
      <c r="A140" s="2">
        <v>5</v>
      </c>
      <c r="C140" s="38" t="s">
        <v>57</v>
      </c>
      <c r="D140" s="42">
        <f>TRUNC(4649,-1)</f>
        <v>4640</v>
      </c>
      <c r="E140" s="63">
        <f t="shared" si="5"/>
        <v>15330</v>
      </c>
    </row>
    <row r="141" spans="1:7" x14ac:dyDescent="0.3">
      <c r="A141" s="2">
        <v>6</v>
      </c>
      <c r="C141" s="38" t="s">
        <v>59</v>
      </c>
      <c r="D141" s="42">
        <f>TRUNC(33307,-1)</f>
        <v>33300</v>
      </c>
      <c r="E141" s="63">
        <f t="shared" si="5"/>
        <v>110080</v>
      </c>
    </row>
    <row r="142" spans="1:7" x14ac:dyDescent="0.3">
      <c r="A142" s="2">
        <v>7</v>
      </c>
      <c r="C142" s="38" t="s">
        <v>58</v>
      </c>
      <c r="D142" s="42">
        <f>TRUNC(13985,-1)</f>
        <v>13980</v>
      </c>
      <c r="E142" s="63">
        <f t="shared" si="5"/>
        <v>46210</v>
      </c>
    </row>
    <row r="143" spans="1:7" x14ac:dyDescent="0.3">
      <c r="A143" s="2">
        <v>8</v>
      </c>
      <c r="C143" s="38" t="s">
        <v>62</v>
      </c>
      <c r="D143" s="42">
        <f>TRUNC(6716,-1)</f>
        <v>6710</v>
      </c>
      <c r="E143" s="63">
        <f t="shared" si="5"/>
        <v>22180</v>
      </c>
    </row>
    <row r="144" spans="1:7" x14ac:dyDescent="0.3">
      <c r="A144" s="2">
        <v>9</v>
      </c>
      <c r="C144" s="38" t="s">
        <v>63</v>
      </c>
      <c r="D144" s="42">
        <f>TRUNC(10723,-1)</f>
        <v>10720</v>
      </c>
      <c r="E144" s="63">
        <f t="shared" si="5"/>
        <v>35430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97730</v>
      </c>
      <c r="E146" s="39">
        <f>SUM(E136:E145)</f>
        <v>323040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TRUNC(1020+339,-1)</f>
        <v>1350</v>
      </c>
      <c r="E149" s="62">
        <f>TRUNC(+D149*3.3058,-1)</f>
        <v>4460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TRUNC(1629,-1)</f>
        <v>1620</v>
      </c>
      <c r="E150" s="63">
        <f>TRUNC(+D150*3.3058,-1)</f>
        <v>5350</v>
      </c>
    </row>
    <row r="151" spans="1:7" x14ac:dyDescent="0.3">
      <c r="A151" s="2">
        <v>3</v>
      </c>
      <c r="C151" s="38" t="s">
        <v>50</v>
      </c>
      <c r="D151" s="42">
        <f>TRUNC(951,-1)</f>
        <v>950</v>
      </c>
      <c r="E151" s="63">
        <f>TRUNC(+D151*3.3058,-1)</f>
        <v>3140</v>
      </c>
    </row>
    <row r="152" spans="1:7" x14ac:dyDescent="0.3">
      <c r="A152" s="2">
        <v>4</v>
      </c>
      <c r="C152" s="38" t="s">
        <v>47</v>
      </c>
      <c r="D152" s="42">
        <f>TRUNC(912,-1)</f>
        <v>910</v>
      </c>
      <c r="E152" s="63">
        <f>TRUNC(+D152*3.3058,-1)</f>
        <v>3000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3140</v>
      </c>
      <c r="E153" s="64">
        <f>TRUNC(+D153*3.3058,-1)</f>
        <v>10380</v>
      </c>
    </row>
    <row r="154" spans="1:7" x14ac:dyDescent="0.3">
      <c r="A154" s="2">
        <v>6</v>
      </c>
      <c r="C154" s="27" t="s">
        <v>112</v>
      </c>
      <c r="D154" s="39">
        <f>SUM(D149:D153)</f>
        <v>7970</v>
      </c>
      <c r="E154" s="39">
        <f>SUM(E149:E153)</f>
        <v>26330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TRUNC(2043,-1)</f>
        <v>2040</v>
      </c>
      <c r="E157" s="62">
        <f>TRUNC(+D157*3.3058,-1)</f>
        <v>6740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f>TRUNC(124,-1)</f>
        <v>120</v>
      </c>
      <c r="E160" s="64">
        <f>TRUNC(+D160*3.3058,-1)</f>
        <v>390</v>
      </c>
    </row>
    <row r="161" spans="1:5" x14ac:dyDescent="0.3">
      <c r="A161" s="2">
        <v>5</v>
      </c>
      <c r="C161" s="27" t="s">
        <v>112</v>
      </c>
      <c r="D161" s="39">
        <f>SUM(D157:D160)</f>
        <v>2160</v>
      </c>
      <c r="E161" s="39">
        <f>SUM(E157:E160)</f>
        <v>7130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2020-12-08T04:22:18Z</dcterms:modified>
</cp:coreProperties>
</file>