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49" i="4"/>
  <c r="D144" i="4"/>
  <c r="D143" i="4"/>
  <c r="D142" i="4"/>
  <c r="D140" i="4"/>
  <c r="D139" i="4"/>
  <c r="D137" i="4"/>
  <c r="D132" i="4"/>
  <c r="D131" i="4"/>
  <c r="D128" i="4"/>
  <c r="D127" i="4"/>
  <c r="D126" i="4"/>
  <c r="D125" i="4"/>
  <c r="D124" i="4"/>
  <c r="D122" i="4"/>
  <c r="D118" i="4"/>
  <c r="D117" i="4"/>
  <c r="D116" i="4"/>
  <c r="D114" i="4"/>
  <c r="D104" i="4"/>
  <c r="D103" i="4"/>
  <c r="D100" i="4"/>
  <c r="D99" i="4"/>
  <c r="D98" i="4"/>
  <c r="D93" i="4"/>
  <c r="D92" i="4"/>
  <c r="D89" i="4"/>
  <c r="D73" i="4"/>
  <c r="D72" i="4"/>
  <c r="D71" i="4"/>
  <c r="D65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<sst xmlns="http://schemas.openxmlformats.org/spreadsheetml/2006/main" count="393" uniqueCount="267">
  <si>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</si>
  <si>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</si>
  <si>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</si>
  <si>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</si>
  <si>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</si>
  <si>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</si>
  <si>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</si>
  <si>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</si>
  <si>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</si>
  <si>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</si>
  <si>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</si>
  <si>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</si>
  <si>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</si>
  <si>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</si>
  <si>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</si>
  <si>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</si>
  <si>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</si>
  <si>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</si>
  <si>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</si>
  <si>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</si>
  <si>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</si>
  <si>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</si>
  <si>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</si>
  <si>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</si>
  <si>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</si>
  <si>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</si>
  <si>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</si>
  <si>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</si>
  <si>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</si>
  <si>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</si>
  <si>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</si>
  <si>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</si>
  <si>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</si>
  <si>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</si>
  <si>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</si>
  <si>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</si>
  <si>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</si>
  <si>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</si>
  <si>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</si>
  <si>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</si>
  <si>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</si>
  <si>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</si>
  <si>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</si>
  <si>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</si>
  <si>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</si>
  <si>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</si>
  <si>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</si>
  <si>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</si>
  <si>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</si>
  <si>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</si>
  <si>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</si>
  <si>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</si>
  <si>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</si>
  <si>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</si>
  <si>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</si>
  <si>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</si>
  <si>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</si>
  <si>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</si>
  <si>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</si>
  <si>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</si>
  <si>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</si>
  <si>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</si>
  <si>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</si>
  <si>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</si>
  <si>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</si>
  <si>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</si>
  <si>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</si>
  <si>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</si>
  <si>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</si>
  <si>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</si>
  <si>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</si>
  <si>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</si>
  <si>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</si>
  <si>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</si>
  <si>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</si>
  <si>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</si>
  <si>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</si>
  <si>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</si>
  <si>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</si>
  <si>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</si>
  <si>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</si>
  <si>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</si>
  <si>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</si>
  <si>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</si>
  <si>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</si>
  <si>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</si>
  <si>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</si>
  <si>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</si>
  <si>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</si>
  <si>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</si>
  <si>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</si>
  <si>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</si>
  <si>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</si>
  <si>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</si>
  <si>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</si>
  <si>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</si>
  <si>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</si>
  <si>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</si>
  <si>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</si>
  <si>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</si>
  <si>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</si>
  <si>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</si>
  <si>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</si>
  <si>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</si>
  <si>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</si>
  <si>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</si>
  <si>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</si>
  <si>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</si>
  <si>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</si>
  <si>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</si>
  <si>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</si>
  <si>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</si>
  <si>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</si>
  <si>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</si>
  <si>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</si>
  <si>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</si>
  <si>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</si>
  <si>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</si>
  <si>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</si>
  <si>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</si>
  <si>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</si>
  <si>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</si>
  <si>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</si>
  <si>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</si>
  <si>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</si>
  <si>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</si>
  <si>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</si>
  <si>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</si>
  <si>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</si>
  <si>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</si>
  <si>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</si>
  <si>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</si>
  <si>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</si>
  <si>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</si>
  <si>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</si>
  <si>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</si>
  <si>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</si>
  <si>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</si>
  <si>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</si>
  <si>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</si>
  <si>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</si>
  <si>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</si>
  <si>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</si>
  <si>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</si>
  <si>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</si>
  <si>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</si>
  <si>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</si>
  <si>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</si>
  <si>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</si>
  <si>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</si>
  <si>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</si>
  <si>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</si>
  <si>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</si>
  <si>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</si>
  <si>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</si>
  <si>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</si>
  <si>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</si>
  <si>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</si>
  <si>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</si>
  <si>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</si>
  <si>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</si>
  <si>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</si>
  <si>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</si>
  <si>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</si>
  <si>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</si>
  <si>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</si>
  <si>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</si>
  <si>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</si>
  <si>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</si>
  <si>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</si>
  <si>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</si>
  <si>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</si>
  <si>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</si>
  <si>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</si>
  <si>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</si>
  <si>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</si>
  <si>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</si>
  <si>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</si>
  <si>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</si>
  <si>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</si>
  <si>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</si>
  <si>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</si>
  <si>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</si>
  <si>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</si>
  <si>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</si>
  <si>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</si>
  <si>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</si>
  <si>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</si>
  <si>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</si>
  <si>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</si>
  <si>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</si>
  <si>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</si>
  <si>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</si>
  <si>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</si>
  <si>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</si>
  <si>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</si>
  <si>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</si>
  <si>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</si>
  <si>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</si>
  <si>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</si>
  <si>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</si>
  <si>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</si>
  <si>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</si>
  <si>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</si>
  <si>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</si>
  <si>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</si>
  <si>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</si>
  <si>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</si>
  <si>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</si>
  <si>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</si>
  <si>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</si>
  <si>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</si>
  <si>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</si>
  <si>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</si>
  <si>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</si>
  <si>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</si>
  <si>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</si>
  <si>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</si>
  <si>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</si>
  <si>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</si>
  <si>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</si>
  <si>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</si>
  <si>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</si>
  <si>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</si>
  <si>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</si>
  <si>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</si>
  <si>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</si>
  <si>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</si>
  <si>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</si>
  <si>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</si>
  <si>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</si>
  <si>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</si>
  <si>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</si>
  <si>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</si>
  <si>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</si>
  <si>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</si>
  <si>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</si>
  <si>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</si>
  <si>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</si>
  <si>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</si>
  <si>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</si>
  <si>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</si>
  <si>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</si>
  <si>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</si>
  <si>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</si>
  <si>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</si>
  <si>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</si>
  <si>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</si>
  <si>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</si>
  <si>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</si>
  <si>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</si>
  <si>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</si>
  <si>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</si>
  <si>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</si>
  <si>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</si>
  <si>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</si>
  <si>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</si>
  <si>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</si>
  <si>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업무</t>
  </si>
  <si>
    <t>영주지사 청사 신축공사(건축)</t>
    <phoneticPr fontId="2" type="noConversion"/>
  </si>
  <si>
    <t>경상도</t>
  </si>
  <si>
    <t>해체및철거공사, 골재비및운반비, 작업부산물, 품질시험비, 기타공사</t>
    <phoneticPr fontId="2" type="noConversion"/>
  </si>
  <si>
    <t>원격검침 설비공사, 기타공사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</si>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</sst>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2540.75</v>
      </c>
      <c r="D7" s="36">
        <f>+C7/3.3058</f>
        <v>768.57341641962614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908190</v>
      </c>
      <c r="E25" s="59">
        <f t="shared" si="0"/>
        <v>3002290</v>
      </c>
    </row>
    <row r="26" spans="1:5" x14ac:dyDescent="0.3">
      <c r="B26" s="2">
        <v>3</v>
      </c>
      <c r="C26" s="35" t="s">
        <v>95</v>
      </c>
      <c r="D26" s="45">
        <f>+D66</f>
        <v>144500</v>
      </c>
      <c r="E26" s="59">
        <f t="shared" si="0"/>
        <v>477680</v>
      </c>
    </row>
    <row r="27" spans="1:5" x14ac:dyDescent="0.3">
      <c r="B27" s="2">
        <v>4</v>
      </c>
      <c r="C27" s="35" t="s">
        <v>96</v>
      </c>
      <c r="D27" s="45">
        <f>+D95</f>
        <v>147160</v>
      </c>
      <c r="E27" s="59">
        <f t="shared" si="0"/>
        <v>486480</v>
      </c>
    </row>
    <row r="28" spans="1:5" x14ac:dyDescent="0.3">
      <c r="B28" s="2">
        <v>5</v>
      </c>
      <c r="C28" s="35" t="s">
        <v>97</v>
      </c>
      <c r="D28" s="45">
        <f>+D119</f>
        <v>234740</v>
      </c>
      <c r="E28" s="59">
        <f t="shared" si="0"/>
        <v>776000</v>
      </c>
    </row>
    <row r="29" spans="1:5" x14ac:dyDescent="0.3">
      <c r="B29" s="2">
        <v>6</v>
      </c>
      <c r="C29" s="35" t="s">
        <v>98</v>
      </c>
      <c r="D29" s="45">
        <f>+D133</f>
        <v>161040</v>
      </c>
      <c r="E29" s="59">
        <f t="shared" si="0"/>
        <v>532360</v>
      </c>
    </row>
    <row r="30" spans="1:5" x14ac:dyDescent="0.3">
      <c r="B30" s="2">
        <v>7</v>
      </c>
      <c r="C30" s="35" t="s">
        <v>99</v>
      </c>
      <c r="D30" s="45">
        <f>+D146</f>
        <v>58120</v>
      </c>
      <c r="E30" s="59">
        <f t="shared" si="0"/>
        <v>192130</v>
      </c>
    </row>
    <row r="31" spans="1:5" x14ac:dyDescent="0.3">
      <c r="B31" s="2">
        <v>8</v>
      </c>
      <c r="C31" s="35" t="s">
        <v>100</v>
      </c>
      <c r="D31" s="45">
        <f>+D154</f>
        <v>39010</v>
      </c>
      <c r="E31" s="59">
        <f t="shared" si="0"/>
        <v>128950</v>
      </c>
    </row>
    <row r="32" spans="1:5" x14ac:dyDescent="0.3">
      <c r="B32" s="2">
        <v>9</v>
      </c>
      <c r="C32" s="35" t="s">
        <v>101</v>
      </c>
      <c r="D32" s="45">
        <f>+D161</f>
        <v>18800</v>
      </c>
      <c r="E32" s="59">
        <f t="shared" si="0"/>
        <v>62140</v>
      </c>
    </row>
    <row r="33" spans="1:7" x14ac:dyDescent="0.3">
      <c r="B33" s="2">
        <v>10</v>
      </c>
      <c r="C33" s="35" t="s">
        <v>155</v>
      </c>
      <c r="D33" s="53">
        <f>TRUNC(SUM(D24:D32)*0.275,-1)</f>
        <v>470670</v>
      </c>
      <c r="E33" s="60">
        <f t="shared" si="0"/>
        <v>1555940</v>
      </c>
    </row>
    <row r="34" spans="1:7" x14ac:dyDescent="0.3">
      <c r="C34" s="35" t="s">
        <v>112</v>
      </c>
      <c r="D34" s="44">
        <f>SUM(D24:D33)</f>
        <v>2182230</v>
      </c>
      <c r="E34" s="44">
        <f>SUM(E24:E33)</f>
        <v>7213970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48460</v>
      </c>
      <c r="E40" s="62">
        <f t="shared" ref="E40:E59" si="1">TRUNC(+D40*3.3058,-1)</f>
        <v>160190</v>
      </c>
    </row>
    <row r="41" spans="1:7" x14ac:dyDescent="0.3">
      <c r="A41" s="2">
        <v>2</v>
      </c>
      <c r="C41" s="38" t="s">
        <v>13</v>
      </c>
      <c r="D41" s="42">
        <f>TRUNC(168595,-1)</f>
        <v>168590</v>
      </c>
      <c r="E41" s="63">
        <f t="shared" si="1"/>
        <v>557320</v>
      </c>
    </row>
    <row r="42" spans="1:7" x14ac:dyDescent="0.3">
      <c r="A42" s="2">
        <v>3</v>
      </c>
      <c r="C42" s="38" t="s">
        <v>14</v>
      </c>
      <c r="D42" s="42">
        <f>TRUNC(4251,-1)</f>
        <v>4250</v>
      </c>
      <c r="E42" s="63">
        <f t="shared" si="1"/>
        <v>14040</v>
      </c>
    </row>
    <row r="43" spans="1:7" x14ac:dyDescent="0.3">
      <c r="A43" s="2">
        <v>4</v>
      </c>
      <c r="C43" s="38" t="s">
        <v>16</v>
      </c>
      <c r="D43" s="42">
        <f>TRUNC(12319,-1)</f>
        <v>12310</v>
      </c>
      <c r="E43" s="63">
        <f t="shared" si="1"/>
        <v>40690</v>
      </c>
    </row>
    <row r="44" spans="1:7" x14ac:dyDescent="0.3">
      <c r="A44" s="2">
        <v>5</v>
      </c>
      <c r="C44" s="38" t="s">
        <v>17</v>
      </c>
      <c r="D44" s="42">
        <f>TRUNC(34892,-1)</f>
        <v>34890</v>
      </c>
      <c r="E44" s="63">
        <f t="shared" si="1"/>
        <v>115330</v>
      </c>
    </row>
    <row r="45" spans="1:7" x14ac:dyDescent="0.3">
      <c r="A45" s="2">
        <v>6</v>
      </c>
      <c r="C45" s="38" t="s">
        <v>18</v>
      </c>
      <c r="D45" s="42">
        <f>TRUNC(15293,-1)</f>
        <v>15290</v>
      </c>
      <c r="E45" s="63">
        <f t="shared" si="1"/>
        <v>50540</v>
      </c>
    </row>
    <row r="46" spans="1:7" x14ac:dyDescent="0.3">
      <c r="A46" s="2">
        <v>7</v>
      </c>
      <c r="C46" s="38" t="s">
        <v>19</v>
      </c>
      <c r="D46" s="42">
        <f>TRUNC(2287,-1)</f>
        <v>2280</v>
      </c>
      <c r="E46" s="63">
        <f t="shared" si="1"/>
        <v>7530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TRUNC(39205,-1)</f>
        <v>39200</v>
      </c>
      <c r="E48" s="63">
        <f t="shared" si="1"/>
        <v>129580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TRUNC(21809,-1)</f>
        <v>21800</v>
      </c>
      <c r="E49" s="63">
        <f t="shared" si="1"/>
        <v>72060</v>
      </c>
    </row>
    <row r="50" spans="1:7" x14ac:dyDescent="0.3">
      <c r="A50" s="2">
        <v>11</v>
      </c>
      <c r="C50" s="38" t="s">
        <v>156</v>
      </c>
      <c r="D50" s="42">
        <v>42560</v>
      </c>
      <c r="E50" s="63">
        <f t="shared" si="1"/>
        <v>140690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TRUNC(15872,-1)</f>
        <v>15870</v>
      </c>
      <c r="E52" s="63">
        <f t="shared" si="1"/>
        <v>52460</v>
      </c>
    </row>
    <row r="53" spans="1:7" x14ac:dyDescent="0.3">
      <c r="A53" s="2">
        <v>14</v>
      </c>
      <c r="C53" s="38" t="s">
        <v>25</v>
      </c>
      <c r="D53" s="42">
        <f>TRUNC(128283,-1)</f>
        <v>128280</v>
      </c>
      <c r="E53" s="63">
        <f t="shared" si="1"/>
        <v>424060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TRUNC(30038+12875-1972+1576+9917,-1)</f>
        <v>52430</v>
      </c>
      <c r="E58" s="63">
        <f t="shared" si="1"/>
        <v>173320</v>
      </c>
      <c r="F58" s="2" t="s">
        <v>261</v>
      </c>
    </row>
    <row r="59" spans="1:7" ht="17.25" thickBot="1" x14ac:dyDescent="0.35">
      <c r="A59" s="2">
        <v>20</v>
      </c>
      <c r="C59" s="38" t="s">
        <v>149</v>
      </c>
      <c r="D59" s="43">
        <f>TRUNC(321988,-1)</f>
        <v>321980</v>
      </c>
      <c r="E59" s="64">
        <f t="shared" si="1"/>
        <v>1064400</v>
      </c>
    </row>
    <row r="60" spans="1:7" x14ac:dyDescent="0.3">
      <c r="A60" s="2">
        <v>21</v>
      </c>
      <c r="C60" s="27" t="s">
        <v>112</v>
      </c>
      <c r="D60" s="39">
        <f>SUM(D40:D59)</f>
        <v>908190</v>
      </c>
      <c r="E60" s="39">
        <f>SUM(E40:E59)</f>
        <v>3002210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TRUNC(48132,-1)</f>
        <v>48130</v>
      </c>
      <c r="E63" s="62">
        <f>TRUNC(+D63*3.3058,-1)</f>
        <v>159100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TRUNC(96375,-1)</f>
        <v>96370</v>
      </c>
      <c r="E65" s="64">
        <f>TRUNC(+D65*3.3058,-1)</f>
        <v>318570</v>
      </c>
    </row>
    <row r="66" spans="1:7" x14ac:dyDescent="0.3">
      <c r="A66" s="2">
        <v>4</v>
      </c>
      <c r="C66" s="27" t="s">
        <v>112</v>
      </c>
      <c r="D66" s="39">
        <f>SUM(D63:D65)</f>
        <v>144500</v>
      </c>
      <c r="E66" s="65">
        <f>SUM(E63:E65)</f>
        <v>477670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17990</v>
      </c>
      <c r="E69" s="62">
        <f t="shared" ref="E69:E94" si="2">TRUNC(+D69*3.3058,-1)</f>
        <v>59470</v>
      </c>
    </row>
    <row r="70" spans="1:7" ht="16.5" customHeight="1" x14ac:dyDescent="0.3">
      <c r="A70" s="2">
        <v>2</v>
      </c>
      <c r="C70" s="38" t="s">
        <v>31</v>
      </c>
      <c r="D70" s="42">
        <v>280</v>
      </c>
      <c r="E70" s="63">
        <f t="shared" si="2"/>
        <v>920</v>
      </c>
    </row>
    <row r="71" spans="1:7" x14ac:dyDescent="0.3">
      <c r="A71" s="2">
        <v>3</v>
      </c>
      <c r="C71" s="38" t="s">
        <v>32</v>
      </c>
      <c r="D71" s="42">
        <f>TRUNC(7664,-1)</f>
        <v>7660</v>
      </c>
      <c r="E71" s="63">
        <f t="shared" si="2"/>
        <v>25320</v>
      </c>
    </row>
    <row r="72" spans="1:7" x14ac:dyDescent="0.3">
      <c r="A72" s="2">
        <v>4</v>
      </c>
      <c r="C72" s="38" t="s">
        <v>33</v>
      </c>
      <c r="D72" s="42">
        <f>TRUNC(3095,-1)</f>
        <v>3090</v>
      </c>
      <c r="E72" s="63">
        <f t="shared" si="2"/>
        <v>10210</v>
      </c>
    </row>
    <row r="73" spans="1:7" x14ac:dyDescent="0.3">
      <c r="A73" s="2">
        <v>5</v>
      </c>
      <c r="C73" s="38" t="s">
        <v>34</v>
      </c>
      <c r="D73" s="42">
        <f>TRUNC(8083,-1)</f>
        <v>8080</v>
      </c>
      <c r="E73" s="63">
        <f t="shared" si="2"/>
        <v>26710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TRUNC(8474,-1)</f>
        <v>8470</v>
      </c>
      <c r="E89" s="63">
        <f t="shared" si="2"/>
        <v>28000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2810</v>
      </c>
      <c r="E91" s="63">
        <f t="shared" si="2"/>
        <v>9280</v>
      </c>
    </row>
    <row r="92" spans="1:7" x14ac:dyDescent="0.3">
      <c r="A92" s="2">
        <v>24</v>
      </c>
      <c r="C92" s="38" t="s">
        <v>38</v>
      </c>
      <c r="D92" s="42">
        <f>TRUNC(7269,-1)</f>
        <v>7260</v>
      </c>
      <c r="E92" s="63">
        <f t="shared" si="2"/>
        <v>24000</v>
      </c>
    </row>
    <row r="93" spans="1:7" x14ac:dyDescent="0.3">
      <c r="A93" s="2">
        <v>25</v>
      </c>
      <c r="C93" s="38" t="s">
        <v>149</v>
      </c>
      <c r="D93" s="42">
        <f>TRUNC(91528,-1)</f>
        <v>91520</v>
      </c>
      <c r="E93" s="63">
        <f t="shared" si="2"/>
        <v>302540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147160</v>
      </c>
      <c r="E95" s="39">
        <f>SUM(E69:E94)</f>
        <v>486450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TRUNC(13193,-1)</f>
        <v>13190</v>
      </c>
      <c r="E98" s="62">
        <f t="shared" ref="E98:E118" si="3">TRUNC(+D98*3.3058,-1)</f>
        <v>43600</v>
      </c>
    </row>
    <row r="99" spans="1:7" x14ac:dyDescent="0.3">
      <c r="A99" s="2">
        <v>2</v>
      </c>
      <c r="C99" s="38" t="s">
        <v>40</v>
      </c>
      <c r="D99" s="42">
        <f>TRUNC(18206,-1)</f>
        <v>18200</v>
      </c>
      <c r="E99" s="63">
        <f t="shared" si="3"/>
        <v>60160</v>
      </c>
    </row>
    <row r="100" spans="1:7" x14ac:dyDescent="0.3">
      <c r="A100" s="2">
        <v>3</v>
      </c>
      <c r="C100" s="38" t="s">
        <v>41</v>
      </c>
      <c r="D100" s="42">
        <f>TRUNC(40676,-1)</f>
        <v>40670</v>
      </c>
      <c r="E100" s="63">
        <f t="shared" si="3"/>
        <v>134440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18920</v>
      </c>
      <c r="E102" s="63">
        <f t="shared" si="3"/>
        <v>62540</v>
      </c>
    </row>
    <row r="103" spans="1:7" x14ac:dyDescent="0.3">
      <c r="A103" s="2">
        <v>6</v>
      </c>
      <c r="C103" s="38" t="s">
        <v>44</v>
      </c>
      <c r="D103" s="42">
        <f>TRUNC(4599,-1)</f>
        <v>4590</v>
      </c>
      <c r="E103" s="63">
        <f t="shared" si="3"/>
        <v>15170</v>
      </c>
    </row>
    <row r="104" spans="1:7" x14ac:dyDescent="0.3">
      <c r="A104" s="2">
        <v>7</v>
      </c>
      <c r="C104" s="38" t="s">
        <v>45</v>
      </c>
      <c r="D104" s="42">
        <f>TRUNC(8627,-1)</f>
        <v>8620</v>
      </c>
      <c r="E104" s="63">
        <f t="shared" si="3"/>
        <v>28490</v>
      </c>
    </row>
    <row r="105" spans="1:7" x14ac:dyDescent="0.3">
      <c r="A105" s="2">
        <v>8</v>
      </c>
      <c r="C105" s="38" t="s">
        <v>46</v>
      </c>
      <c r="D105" s="42">
        <v>4100</v>
      </c>
      <c r="E105" s="63">
        <f t="shared" si="3"/>
        <v>13550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TRUNC(3149,-1)</f>
        <v>3140</v>
      </c>
      <c r="E114" s="63">
        <f t="shared" si="3"/>
        <v>10380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TRUNC(14626,-1)</f>
        <v>14620</v>
      </c>
      <c r="E116" s="63">
        <f t="shared" si="3"/>
        <v>48330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TRUNC(101337,-1)</f>
        <v>101330</v>
      </c>
      <c r="E117" s="63">
        <f t="shared" si="3"/>
        <v>334970</v>
      </c>
    </row>
    <row r="118" spans="1:7" ht="17.25" thickBot="1" x14ac:dyDescent="0.35">
      <c r="A118" s="2">
        <v>21</v>
      </c>
      <c r="C118" s="38" t="s">
        <v>47</v>
      </c>
      <c r="D118" s="43">
        <f>TRUNC(5322+2044,-1)</f>
        <v>7360</v>
      </c>
      <c r="E118" s="64">
        <f t="shared" si="3"/>
        <v>24330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234740</v>
      </c>
      <c r="E119" s="39">
        <f>SUM(E98:E118)</f>
        <v>775960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TRUNC(5482,-1)</f>
        <v>5480</v>
      </c>
      <c r="E122" s="62">
        <f t="shared" ref="E122:E132" si="4">TRUNC(+D122*3.3058,-1)</f>
        <v>18110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TRUNC(1352,-1)</f>
        <v>1350</v>
      </c>
      <c r="E124" s="63">
        <f t="shared" si="4"/>
        <v>4460</v>
      </c>
    </row>
    <row r="125" spans="1:7" x14ac:dyDescent="0.3">
      <c r="A125" s="2">
        <v>4</v>
      </c>
      <c r="C125" s="38" t="s">
        <v>138</v>
      </c>
      <c r="D125" s="42">
        <f>TRUNC(5492,-1)</f>
        <v>5490</v>
      </c>
      <c r="E125" s="63">
        <f t="shared" si="4"/>
        <v>18140</v>
      </c>
    </row>
    <row r="126" spans="1:7" x14ac:dyDescent="0.3">
      <c r="A126" s="2">
        <v>5</v>
      </c>
      <c r="C126" s="38" t="s">
        <v>53</v>
      </c>
      <c r="D126" s="42">
        <f>TRUNC(33234,-1)</f>
        <v>33230</v>
      </c>
      <c r="E126" s="63">
        <f t="shared" si="4"/>
        <v>109850</v>
      </c>
    </row>
    <row r="127" spans="1:7" x14ac:dyDescent="0.3">
      <c r="A127" s="2">
        <v>6</v>
      </c>
      <c r="C127" s="38" t="s">
        <v>56</v>
      </c>
      <c r="D127" s="42">
        <f>TRUNC(4896,-1)</f>
        <v>4890</v>
      </c>
      <c r="E127" s="63">
        <f t="shared" si="4"/>
        <v>16160</v>
      </c>
    </row>
    <row r="128" spans="1:7" x14ac:dyDescent="0.3">
      <c r="A128" s="2">
        <v>7</v>
      </c>
      <c r="C128" s="38" t="s">
        <v>46</v>
      </c>
      <c r="D128" s="42">
        <f>TRUNC(3917,-1)</f>
        <v>3910</v>
      </c>
      <c r="E128" s="63">
        <f t="shared" si="4"/>
        <v>12920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f>TRUNC(96042,-1)</f>
        <v>96040</v>
      </c>
      <c r="E131" s="63">
        <f t="shared" si="4"/>
        <v>317480</v>
      </c>
    </row>
    <row r="132" spans="1:7" ht="18" thickBot="1" x14ac:dyDescent="0.35">
      <c r="A132" s="2">
        <v>11</v>
      </c>
      <c r="C132" s="38" t="s">
        <v>47</v>
      </c>
      <c r="D132" s="43">
        <f>TRUNC(3590+7069,-1)</f>
        <v>10650</v>
      </c>
      <c r="E132" s="64">
        <f t="shared" si="4"/>
        <v>35200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161040</v>
      </c>
      <c r="E133" s="39">
        <f>SUM(E122:E132)</f>
        <v>532320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TRUNC(9816+381,-1)</f>
        <v>10190</v>
      </c>
      <c r="E137" s="63">
        <f t="shared" si="5"/>
        <v>33680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TRUNC(2309,-1)</f>
        <v>2300</v>
      </c>
      <c r="E139" s="63">
        <f t="shared" si="5"/>
        <v>7600</v>
      </c>
    </row>
    <row r="140" spans="1:7" x14ac:dyDescent="0.3">
      <c r="A140" s="2">
        <v>5</v>
      </c>
      <c r="C140" s="38" t="s">
        <v>57</v>
      </c>
      <c r="D140" s="42">
        <f>TRUNC(5478,-1)</f>
        <v>5470</v>
      </c>
      <c r="E140" s="63">
        <f t="shared" si="5"/>
        <v>18080</v>
      </c>
    </row>
    <row r="141" spans="1:7" x14ac:dyDescent="0.3">
      <c r="A141" s="2">
        <v>6</v>
      </c>
      <c r="C141" s="38" t="s">
        <v>59</v>
      </c>
      <c r="D141" s="42">
        <v>7250</v>
      </c>
      <c r="E141" s="63">
        <f t="shared" si="5"/>
        <v>23960</v>
      </c>
    </row>
    <row r="142" spans="1:7" x14ac:dyDescent="0.3">
      <c r="A142" s="2">
        <v>7</v>
      </c>
      <c r="C142" s="38" t="s">
        <v>58</v>
      </c>
      <c r="D142" s="42">
        <f>TRUNC(5965,-1)</f>
        <v>5960</v>
      </c>
      <c r="E142" s="63">
        <f t="shared" si="5"/>
        <v>19700</v>
      </c>
    </row>
    <row r="143" spans="1:7" x14ac:dyDescent="0.3">
      <c r="A143" s="2">
        <v>8</v>
      </c>
      <c r="C143" s="38" t="s">
        <v>62</v>
      </c>
      <c r="D143" s="42">
        <f>TRUNC(5217,-1)</f>
        <v>5210</v>
      </c>
      <c r="E143" s="63">
        <f t="shared" si="5"/>
        <v>17220</v>
      </c>
    </row>
    <row r="144" spans="1:7" x14ac:dyDescent="0.3">
      <c r="A144" s="2">
        <v>9</v>
      </c>
      <c r="C144" s="38" t="s">
        <v>63</v>
      </c>
      <c r="D144" s="42">
        <f>TRUNC(21747,-1)</f>
        <v>21740</v>
      </c>
      <c r="E144" s="63">
        <f t="shared" si="5"/>
        <v>71860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58120</v>
      </c>
      <c r="E146" s="39">
        <f>SUM(E136:E145)</f>
        <v>192100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TRUNC(7252+971,-1)</f>
        <v>8220</v>
      </c>
      <c r="E149" s="62">
        <f>TRUNC(+D149*3.3058,-1)</f>
        <v>27170</v>
      </c>
    </row>
    <row r="150" spans="1:7" x14ac:dyDescent="0.3">
      <c r="A150" s="2">
        <v>2</v>
      </c>
      <c r="C150" s="38" t="s">
        <v>49</v>
      </c>
      <c r="D150" s="42">
        <v>3230</v>
      </c>
      <c r="E150" s="63">
        <f>TRUNC(+D150*3.3058,-1)</f>
        <v>10670</v>
      </c>
    </row>
    <row r="151" spans="1:7" x14ac:dyDescent="0.3">
      <c r="A151" s="2">
        <v>3</v>
      </c>
      <c r="C151" s="38" t="s">
        <v>50</v>
      </c>
      <c r="D151" s="42">
        <f>TRUNC(789,-1)</f>
        <v>780</v>
      </c>
      <c r="E151" s="63">
        <f>TRUNC(+D151*3.3058,-1)</f>
        <v>2570</v>
      </c>
    </row>
    <row r="152" spans="1:7" x14ac:dyDescent="0.3">
      <c r="A152" s="2">
        <v>4</v>
      </c>
      <c r="C152" s="38" t="s">
        <v>47</v>
      </c>
      <c r="D152" s="42">
        <f>TRUNC(20567+304+5154,-1)</f>
        <v>26020</v>
      </c>
      <c r="E152" s="63">
        <f>TRUNC(+D152*3.3058,-1)</f>
        <v>86010</v>
      </c>
      <c r="F152" s="2" t="s">
        <v>256</v>
      </c>
    </row>
    <row r="153" spans="1:7" ht="17.25" thickBot="1" x14ac:dyDescent="0.35">
      <c r="A153" s="2">
        <v>5</v>
      </c>
      <c r="C153" s="38" t="s">
        <v>149</v>
      </c>
      <c r="D153" s="43">
        <f>TRUNC(762,-1)</f>
        <v>760</v>
      </c>
      <c r="E153" s="64">
        <f>TRUNC(+D153*3.3058,-1)</f>
        <v>2510</v>
      </c>
    </row>
    <row r="154" spans="1:7" x14ac:dyDescent="0.3">
      <c r="A154" s="2">
        <v>6</v>
      </c>
      <c r="C154" s="27" t="s">
        <v>112</v>
      </c>
      <c r="D154" s="39">
        <f>SUM(D149:D153)</f>
        <v>39010</v>
      </c>
      <c r="E154" s="39">
        <f>SUM(E149:E153)</f>
        <v>128930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TRUNC(7983,-1)</f>
        <v>7980</v>
      </c>
      <c r="E157" s="62">
        <f>TRUNC(+D157*3.3058,-1)</f>
        <v>26380</v>
      </c>
    </row>
    <row r="158" spans="1:7" x14ac:dyDescent="0.3">
      <c r="A158" s="2">
        <v>2</v>
      </c>
      <c r="C158" s="38" t="s">
        <v>52</v>
      </c>
      <c r="D158" s="42">
        <f>TRUNC(7402,-1)</f>
        <v>7400</v>
      </c>
      <c r="E158" s="63">
        <f>TRUNC(+D158*3.3058,-1)</f>
        <v>24460</v>
      </c>
    </row>
    <row r="159" spans="1:7" x14ac:dyDescent="0.3">
      <c r="A159" s="2">
        <v>3</v>
      </c>
      <c r="C159" s="38" t="s">
        <v>47</v>
      </c>
      <c r="D159" s="42">
        <f>TRUNC(3424,-1)</f>
        <v>3420</v>
      </c>
      <c r="E159" s="63">
        <f>TRUNC(+D159*3.3058,-1)</f>
        <v>11300</v>
      </c>
      <c r="F159" s="2" t="s">
        <v>257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18800</v>
      </c>
      <c r="E161" s="39">
        <f>SUM(E157:E160)</f>
        <v>62140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2020-12-08T04:51:05Z</dcterms:modified>
</cp:coreProperties>
</file>