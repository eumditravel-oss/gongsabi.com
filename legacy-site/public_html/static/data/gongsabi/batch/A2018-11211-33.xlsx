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58" i="4" l="1"/>
  <c r="D53" i="4"/>
  <c r="D52" i="4"/>
  <c r="D50" i="4"/>
  <c r="D49" i="4"/>
  <c r="D48" i="4"/>
  <c r="D46" i="4"/>
  <c r="D45" i="4"/>
  <c r="D44" i="4"/>
  <c r="D43" i="4"/>
  <c r="D42" i="4"/>
  <c r="D41" i="4"/>
  <c r="D40" i="4"/>
  <c r="D75" i="4"/>
  <c r="D92" i="4"/>
  <c r="D91" i="4"/>
  <c r="D90" i="4"/>
  <c r="D89" i="4"/>
  <c r="D73" i="4"/>
  <c r="D72" i="4"/>
  <c r="D71" i="4"/>
  <c r="D70" i="4"/>
  <c r="D69" i="4"/>
  <c r="D99" i="4"/>
  <c r="D98" i="4"/>
  <c r="D114" i="4"/>
  <c r="D116" i="4"/>
  <c r="D118" i="4"/>
  <c r="D105" i="4"/>
  <c r="D104" i="4"/>
  <c r="D103" i="4"/>
  <c r="D102" i="4"/>
  <c r="D100" i="4"/>
  <c r="D128" i="4"/>
  <c r="D127" i="4"/>
  <c r="D124" i="4"/>
  <c r="D125" i="4"/>
  <c r="D122" i="4"/>
  <c r="D130" i="4"/>
  <c r="D144" i="4"/>
  <c r="D143" i="4"/>
  <c r="D139" i="4"/>
  <c r="D137" i="4"/>
  <c r="D140" i="4"/>
  <c r="D142" i="4"/>
  <c r="D65" i="4"/>
  <c r="D63" i="4"/>
  <c r="D152" i="4"/>
  <c r="D151" i="4"/>
  <c r="D150" i="4"/>
  <c r="D149" i="4"/>
  <c r="D159" i="4"/>
  <c r="D158" i="4"/>
  <c r="D157" i="4"/>
  <c r="D131" i="4"/>
  <c r="D117" i="4"/>
  <c r="D93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60" i="4"/>
  <c r="E95" i="4"/>
  <c r="E119" i="4"/>
  <c r="E146" i="4"/>
  <c r="E66" i="4"/>
  <c r="E154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<sst xmlns="http://schemas.openxmlformats.org/spreadsheetml/2006/main" count="394" uniqueCount="269">
  <si>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</si>
  <si>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</si>
  <si>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</si>
  <si>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</si>
  <si>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</si>
  <si>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</si>
  <si>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</si>
  <si>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</si>
  <si>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</si>
  <si>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</si>
  <si>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</si>
  <si>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</si>
  <si>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</si>
  <si>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</si>
  <si>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</si>
  <si>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</si>
  <si>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</si>
  <si>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</si>
  <si>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</si>
  <si>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</si>
  <si>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</si>
  <si>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</si>
  <si>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</si>
  <si>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</si>
  <si>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</si>
  <si>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</si>
  <si>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</si>
  <si>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</si>
  <si>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</si>
  <si>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</si>
  <si>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</si>
  <si>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</si>
  <si>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</si>
  <si>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</si>
  <si>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</si>
  <si>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</si>
  <si>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</si>
  <si>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</si>
  <si>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</si>
  <si>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</si>
  <si>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</si>
  <si>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</si>
  <si>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</si>
  <si>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</si>
  <si>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</si>
  <si>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</si>
  <si>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</si>
  <si>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</si>
  <si>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</si>
  <si>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</si>
  <si>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</si>
  <si>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</si>
  <si>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</si>
  <si>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</si>
  <si>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</si>
  <si>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</si>
  <si>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</si>
  <si>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</si>
  <si>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</si>
  <si>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</si>
  <si>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</si>
  <si>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</si>
  <si>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</si>
  <si>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</si>
  <si>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</si>
  <si>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</si>
  <si>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</si>
  <si>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</si>
  <si>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</si>
  <si>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</si>
  <si>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</si>
  <si>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</si>
  <si>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</si>
  <si>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</si>
  <si>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</si>
  <si>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</si>
  <si>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</si>
  <si>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</si>
  <si>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</si>
  <si>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</si>
  <si>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</si>
  <si>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</si>
  <si>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</si>
  <si>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</si>
  <si>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</si>
  <si>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</si>
  <si>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</si>
  <si>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</si>
  <si>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</si>
  <si>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</si>
  <si>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</si>
  <si>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</si>
  <si>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</si>
  <si>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</si>
  <si>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</si>
  <si>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</si>
  <si>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</si>
  <si>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</si>
  <si>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</si>
  <si>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</si>
  <si>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</si>
  <si>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</si>
  <si>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</si>
  <si>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</si>
  <si>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</si>
  <si>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</si>
  <si>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</si>
  <si>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</si>
  <si>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</si>
  <si>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</si>
  <si>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</si>
  <si>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</si>
  <si>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</si>
  <si>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</si>
  <si>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</si>
  <si>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</si>
  <si>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</si>
  <si>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</si>
  <si>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</si>
  <si>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</si>
  <si>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</si>
  <si>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</si>
  <si>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</si>
  <si>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</si>
  <si>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</si>
  <si>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</si>
  <si>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</si>
  <si>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</si>
  <si>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</si>
  <si>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</si>
  <si>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</si>
  <si>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</si>
  <si>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</si>
  <si>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</si>
  <si>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</si>
  <si>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</si>
  <si>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</si>
  <si>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</si>
  <si>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</si>
  <si>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</si>
  <si>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</si>
  <si>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</si>
  <si>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</si>
  <si>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</si>
  <si>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</si>
  <si>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</si>
  <si>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</si>
  <si>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</si>
  <si>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</si>
  <si>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</si>
  <si>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</si>
  <si>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</si>
  <si>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</si>
  <si>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</si>
  <si>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</si>
  <si>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</si>
  <si>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</si>
  <si>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</si>
  <si>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</si>
  <si>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</si>
  <si>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</si>
  <si>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</si>
  <si>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</si>
  <si>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</si>
  <si>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</si>
  <si>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</si>
  <si>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</si>
  <si>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</si>
  <si>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</si>
  <si>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</si>
  <si>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</si>
  <si>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</si>
  <si>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</si>
  <si>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</si>
  <si>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</si>
  <si>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</si>
  <si>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</si>
  <si>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</si>
  <si>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</si>
  <si>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</si>
  <si>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</si>
  <si>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</si>
  <si>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</si>
  <si>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</si>
  <si>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</si>
  <si>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</si>
  <si>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</si>
  <si>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</si>
  <si>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</si>
  <si>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</si>
  <si>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</si>
  <si>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</si>
  <si>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</si>
  <si>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</si>
  <si>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</si>
  <si>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</si>
  <si>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</si>
  <si>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</si>
  <si>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</si>
  <si>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</si>
  <si>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</si>
  <si>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</si>
  <si>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</si>
  <si>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</si>
  <si>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</si>
  <si>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</si>
  <si>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</si>
  <si>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</si>
  <si>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</si>
  <si>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</si>
  <si>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</si>
  <si>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</si>
  <si>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</si>
  <si>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</si>
  <si>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</si>
  <si>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</si>
  <si>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</si>
  <si>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</si>
  <si>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</si>
  <si>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</si>
  <si>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</si>
  <si>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</si>
  <si>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</si>
  <si>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</si>
  <si>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</si>
  <si>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</si>
  <si>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</si>
  <si>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</si>
  <si>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</si>
  <si>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</si>
  <si>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</si>
  <si>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</si>
  <si>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</si>
  <si>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</si>
  <si>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</si>
  <si>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</si>
  <si>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</si>
  <si>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</si>
  <si>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</si>
  <si>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</si>
  <si>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</si>
  <si>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</si>
  <si>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</si>
  <si>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</si>
  <si>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</si>
  <si>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</si>
  <si>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</si>
  <si>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</si>
  <si>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청주교대 수영안전교사교육관 신축공사</t>
    <phoneticPr fontId="2" type="noConversion"/>
  </si>
  <si>
    <t>교육연구</t>
  </si>
  <si>
    <t>충청도</t>
  </si>
  <si>
    <t>기초공사,해체및철거공사,골재비및운반비,작업부산물,기타공사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</si>
  <si>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</si>
  <si>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</si>
  <si>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</si>
  <si>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</si>
  <si>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</si>
  <si>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</si>
  <si>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펌프실배관공사</t>
    <phoneticPr fontId="2" type="noConversion"/>
  </si>
  <si>
    <t>우수공사,오수공사</t>
    <phoneticPr fontId="2" type="noConversion"/>
  </si>
  <si>
    <t>상수도공사,운반비,기타공사</t>
    <phoneticPr fontId="2" type="noConversion"/>
  </si>
  <si>
    <t>포장공사</t>
    <phoneticPr fontId="2" type="noConversion"/>
  </si>
  <si>
    <t>조경시설물</t>
    <phoneticPr fontId="2" type="noConversion"/>
  </si>
  <si>
    <t>원/ m2</t>
  </si>
  <si>
    <t>원 /평</t>
  </si>
  <si>
    <t>바닥난방공사, 난방배관공사,기타공사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</si>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</sst>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6" sqref="G6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4428.5</v>
      </c>
      <c r="D7" s="36">
        <f>+C7/3.3058</f>
        <v>1339.6152217315023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1218580</v>
      </c>
      <c r="E25" s="59">
        <f t="shared" si="0"/>
        <v>4028380</v>
      </c>
    </row>
    <row r="26" spans="1:5" x14ac:dyDescent="0.3">
      <c r="B26" s="2">
        <v>3</v>
      </c>
      <c r="C26" s="35" t="s">
        <v>95</v>
      </c>
      <c r="D26" s="45">
        <f>+D66</f>
        <v>104190</v>
      </c>
      <c r="E26" s="59">
        <f t="shared" si="0"/>
        <v>344430</v>
      </c>
    </row>
    <row r="27" spans="1:5" x14ac:dyDescent="0.3">
      <c r="B27" s="2">
        <v>4</v>
      </c>
      <c r="C27" s="35" t="s">
        <v>96</v>
      </c>
      <c r="D27" s="45">
        <f>+D95</f>
        <v>328670</v>
      </c>
      <c r="E27" s="59">
        <f t="shared" si="0"/>
        <v>1086510</v>
      </c>
    </row>
    <row r="28" spans="1:5" x14ac:dyDescent="0.3">
      <c r="B28" s="2">
        <v>5</v>
      </c>
      <c r="C28" s="35" t="s">
        <v>97</v>
      </c>
      <c r="D28" s="45">
        <f>+D119</f>
        <v>221360</v>
      </c>
      <c r="E28" s="59">
        <f t="shared" si="0"/>
        <v>731770</v>
      </c>
    </row>
    <row r="29" spans="1:5" x14ac:dyDescent="0.3">
      <c r="B29" s="2">
        <v>6</v>
      </c>
      <c r="C29" s="35" t="s">
        <v>98</v>
      </c>
      <c r="D29" s="45">
        <f>+D133</f>
        <v>36910</v>
      </c>
      <c r="E29" s="59">
        <f t="shared" si="0"/>
        <v>122010</v>
      </c>
    </row>
    <row r="30" spans="1:5" x14ac:dyDescent="0.3">
      <c r="B30" s="2">
        <v>7</v>
      </c>
      <c r="C30" s="35" t="s">
        <v>99</v>
      </c>
      <c r="D30" s="45">
        <f>+D146</f>
        <v>45040</v>
      </c>
      <c r="E30" s="59">
        <f t="shared" si="0"/>
        <v>148890</v>
      </c>
    </row>
    <row r="31" spans="1:5" x14ac:dyDescent="0.3">
      <c r="B31" s="2">
        <v>8</v>
      </c>
      <c r="C31" s="35" t="s">
        <v>100</v>
      </c>
      <c r="D31" s="45">
        <f>+D154</f>
        <v>33750</v>
      </c>
      <c r="E31" s="59">
        <f t="shared" si="0"/>
        <v>111570</v>
      </c>
    </row>
    <row r="32" spans="1:5" x14ac:dyDescent="0.3">
      <c r="B32" s="2">
        <v>9</v>
      </c>
      <c r="C32" s="35" t="s">
        <v>101</v>
      </c>
      <c r="D32" s="45">
        <f>+D161</f>
        <v>29920</v>
      </c>
      <c r="E32" s="59">
        <f t="shared" si="0"/>
        <v>98900</v>
      </c>
    </row>
    <row r="33" spans="1:7" x14ac:dyDescent="0.3">
      <c r="B33" s="2">
        <v>10</v>
      </c>
      <c r="C33" s="35" t="s">
        <v>154</v>
      </c>
      <c r="D33" s="53">
        <f>TRUNC(SUM(D24:D32)*0.275,-1)</f>
        <v>555060</v>
      </c>
      <c r="E33" s="60">
        <f t="shared" si="0"/>
        <v>1834910</v>
      </c>
    </row>
    <row r="34" spans="1:7" x14ac:dyDescent="0.3">
      <c r="C34" s="35" t="s">
        <v>112</v>
      </c>
      <c r="D34" s="44">
        <f>SUM(D24:D33)</f>
        <v>2573480</v>
      </c>
      <c r="E34" s="44">
        <f>SUM(E24:E33)</f>
        <v>8507370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TRUNC(78934,-1)</f>
        <v>78930</v>
      </c>
      <c r="E40" s="62">
        <f t="shared" ref="E40:E59" si="1">TRUNC(+D40*3.3058,-1)</f>
        <v>260920</v>
      </c>
    </row>
    <row r="41" spans="1:7" x14ac:dyDescent="0.3">
      <c r="A41" s="2">
        <v>2</v>
      </c>
      <c r="C41" s="38" t="s">
        <v>13</v>
      </c>
      <c r="D41" s="42">
        <f>TRUNC(173735,-1)</f>
        <v>173730</v>
      </c>
      <c r="E41" s="63">
        <f t="shared" si="1"/>
        <v>574310</v>
      </c>
    </row>
    <row r="42" spans="1:7" x14ac:dyDescent="0.3">
      <c r="A42" s="2">
        <v>3</v>
      </c>
      <c r="C42" s="38" t="s">
        <v>14</v>
      </c>
      <c r="D42" s="42">
        <f>TRUNC(100468,-1)</f>
        <v>100460</v>
      </c>
      <c r="E42" s="63">
        <f t="shared" si="1"/>
        <v>332100</v>
      </c>
    </row>
    <row r="43" spans="1:7" x14ac:dyDescent="0.3">
      <c r="A43" s="2">
        <v>4</v>
      </c>
      <c r="C43" s="38" t="s">
        <v>16</v>
      </c>
      <c r="D43" s="42">
        <f>TRUNC(21520,-1)</f>
        <v>21520</v>
      </c>
      <c r="E43" s="63">
        <f t="shared" si="1"/>
        <v>71140</v>
      </c>
    </row>
    <row r="44" spans="1:7" x14ac:dyDescent="0.3">
      <c r="A44" s="2">
        <v>5</v>
      </c>
      <c r="C44" s="38" t="s">
        <v>17</v>
      </c>
      <c r="D44" s="42">
        <f>TRUNC(33187,-1)</f>
        <v>33180</v>
      </c>
      <c r="E44" s="63">
        <f t="shared" si="1"/>
        <v>109680</v>
      </c>
    </row>
    <row r="45" spans="1:7" x14ac:dyDescent="0.3">
      <c r="A45" s="2">
        <v>6</v>
      </c>
      <c r="C45" s="38" t="s">
        <v>18</v>
      </c>
      <c r="D45" s="42">
        <f>TRUNC(47852,-1)</f>
        <v>47850</v>
      </c>
      <c r="E45" s="63">
        <f t="shared" si="1"/>
        <v>158180</v>
      </c>
    </row>
    <row r="46" spans="1:7" x14ac:dyDescent="0.3">
      <c r="A46" s="2">
        <v>7</v>
      </c>
      <c r="C46" s="38" t="s">
        <v>19</v>
      </c>
      <c r="D46" s="42">
        <f>TRUNC(8206,-1)</f>
        <v>8200</v>
      </c>
      <c r="E46" s="63">
        <f t="shared" si="1"/>
        <v>27100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TRUNC(65408,-1)</f>
        <v>65400</v>
      </c>
      <c r="E48" s="63">
        <f t="shared" si="1"/>
        <v>216190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TRUNC(21182,-1)</f>
        <v>21180</v>
      </c>
      <c r="E49" s="63">
        <f t="shared" si="1"/>
        <v>70010</v>
      </c>
    </row>
    <row r="50" spans="1:7" x14ac:dyDescent="0.3">
      <c r="A50" s="2">
        <v>11</v>
      </c>
      <c r="C50" s="38" t="s">
        <v>155</v>
      </c>
      <c r="D50" s="42">
        <f>TRUNC(57132,-1)</f>
        <v>57130</v>
      </c>
      <c r="E50" s="63">
        <f t="shared" si="1"/>
        <v>188860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TRUNC(10218,-1)</f>
        <v>10210</v>
      </c>
      <c r="E52" s="63">
        <f t="shared" si="1"/>
        <v>33750</v>
      </c>
    </row>
    <row r="53" spans="1:7" x14ac:dyDescent="0.3">
      <c r="A53" s="2">
        <v>14</v>
      </c>
      <c r="C53" s="38" t="s">
        <v>25</v>
      </c>
      <c r="D53" s="42">
        <f>TRUNC(150775,-1)</f>
        <v>150770</v>
      </c>
      <c r="E53" s="63">
        <f t="shared" si="1"/>
        <v>498410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TRUNC(27284+9188+4322-3048+13955,-1)</f>
        <v>51700</v>
      </c>
      <c r="E58" s="63">
        <f t="shared" si="1"/>
        <v>170900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TRUNC(398324,-1)</f>
        <v>398320</v>
      </c>
      <c r="E59" s="64">
        <f t="shared" si="1"/>
        <v>1316760</v>
      </c>
    </row>
    <row r="60" spans="1:7" x14ac:dyDescent="0.3">
      <c r="A60" s="2">
        <v>21</v>
      </c>
      <c r="C60" s="27" t="s">
        <v>112</v>
      </c>
      <c r="D60" s="39">
        <f>SUM(D40:D59)</f>
        <v>1218580</v>
      </c>
      <c r="E60" s="39">
        <f>SUM(E40:E59)</f>
        <v>4028310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TRUNC(26314,-1)</f>
        <v>26310</v>
      </c>
      <c r="E63" s="62">
        <f>TRUNC(+D63*3.3058,-1)</f>
        <v>86970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TRUNC(77884,-1)</f>
        <v>77880</v>
      </c>
      <c r="E65" s="64">
        <f>TRUNC(+D65*3.3058,-1)</f>
        <v>257450</v>
      </c>
    </row>
    <row r="66" spans="1:7" x14ac:dyDescent="0.3">
      <c r="A66" s="2">
        <v>4</v>
      </c>
      <c r="C66" s="27" t="s">
        <v>112</v>
      </c>
      <c r="D66" s="39">
        <f>SUM(D63:D65)</f>
        <v>104190</v>
      </c>
      <c r="E66" s="65">
        <f>SUM(E63:E65)</f>
        <v>344420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TRUNC(30855,-1)</f>
        <v>30850</v>
      </c>
      <c r="E69" s="62">
        <f t="shared" ref="E69:E94" si="2">TRUNC(+D69*3.3058,-1)</f>
        <v>101980</v>
      </c>
    </row>
    <row r="70" spans="1:7" ht="16.5" customHeight="1" x14ac:dyDescent="0.3">
      <c r="A70" s="2">
        <v>2</v>
      </c>
      <c r="C70" s="38" t="s">
        <v>31</v>
      </c>
      <c r="D70" s="42">
        <f>TRUNC(184,-1)</f>
        <v>180</v>
      </c>
      <c r="E70" s="63">
        <f t="shared" si="2"/>
        <v>590</v>
      </c>
    </row>
    <row r="71" spans="1:7" x14ac:dyDescent="0.3">
      <c r="A71" s="2">
        <v>3</v>
      </c>
      <c r="C71" s="38" t="s">
        <v>32</v>
      </c>
      <c r="D71" s="42">
        <f>TRUNC(38309,-1)</f>
        <v>38300</v>
      </c>
      <c r="E71" s="63">
        <f t="shared" si="2"/>
        <v>126610</v>
      </c>
    </row>
    <row r="72" spans="1:7" x14ac:dyDescent="0.3">
      <c r="A72" s="2">
        <v>4</v>
      </c>
      <c r="C72" s="38" t="s">
        <v>33</v>
      </c>
      <c r="D72" s="42">
        <f>TRUNC(12546,-1)</f>
        <v>12540</v>
      </c>
      <c r="E72" s="63">
        <f t="shared" si="2"/>
        <v>41450</v>
      </c>
    </row>
    <row r="73" spans="1:7" x14ac:dyDescent="0.3">
      <c r="A73" s="2">
        <v>5</v>
      </c>
      <c r="C73" s="38" t="s">
        <v>34</v>
      </c>
      <c r="D73" s="42">
        <f>TRUNC(13813,-1)</f>
        <v>13810</v>
      </c>
      <c r="E73" s="63">
        <f t="shared" si="2"/>
        <v>45650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TRUNC(280,-1)</f>
        <v>280</v>
      </c>
      <c r="E75" s="63">
        <f t="shared" si="2"/>
        <v>920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TRUNC(10912,-1)</f>
        <v>10910</v>
      </c>
      <c r="E89" s="63">
        <f t="shared" si="2"/>
        <v>36060</v>
      </c>
    </row>
    <row r="90" spans="1:7" x14ac:dyDescent="0.3">
      <c r="A90" s="2">
        <v>22</v>
      </c>
      <c r="C90" s="38" t="s">
        <v>36</v>
      </c>
      <c r="D90" s="42">
        <f>TRUNC(9930,-1)</f>
        <v>9930</v>
      </c>
      <c r="E90" s="63">
        <f t="shared" si="2"/>
        <v>32820</v>
      </c>
    </row>
    <row r="91" spans="1:7" x14ac:dyDescent="0.3">
      <c r="A91" s="2">
        <v>23</v>
      </c>
      <c r="C91" s="38" t="s">
        <v>37</v>
      </c>
      <c r="D91" s="42">
        <f>TRUNC(15176,-1)</f>
        <v>15170</v>
      </c>
      <c r="E91" s="63">
        <f t="shared" si="2"/>
        <v>50140</v>
      </c>
    </row>
    <row r="92" spans="1:7" x14ac:dyDescent="0.3">
      <c r="A92" s="2">
        <v>24</v>
      </c>
      <c r="C92" s="38" t="s">
        <v>38</v>
      </c>
      <c r="D92" s="42">
        <f>TRUNC(11651,-1)</f>
        <v>11650</v>
      </c>
      <c r="E92" s="63">
        <f t="shared" si="2"/>
        <v>38510</v>
      </c>
    </row>
    <row r="93" spans="1:7" x14ac:dyDescent="0.3">
      <c r="A93" s="2">
        <v>25</v>
      </c>
      <c r="C93" s="38" t="s">
        <v>148</v>
      </c>
      <c r="D93" s="42">
        <f>TRUNC(173032,-1)</f>
        <v>173030</v>
      </c>
      <c r="E93" s="63">
        <f t="shared" si="2"/>
        <v>572000</v>
      </c>
    </row>
    <row r="94" spans="1:7" ht="17.25" thickBot="1" x14ac:dyDescent="0.35">
      <c r="A94" s="2">
        <v>26</v>
      </c>
      <c r="C94" s="38" t="s">
        <v>47</v>
      </c>
      <c r="D94" s="43">
        <f>TRUNC(2140+7368+2521,-1)</f>
        <v>12020</v>
      </c>
      <c r="E94" s="64">
        <f t="shared" si="2"/>
        <v>39730</v>
      </c>
      <c r="F94" s="2" t="s">
        <v>265</v>
      </c>
    </row>
    <row r="95" spans="1:7" x14ac:dyDescent="0.3">
      <c r="A95" s="2">
        <v>27</v>
      </c>
      <c r="C95" s="27" t="s">
        <v>112</v>
      </c>
      <c r="D95" s="39">
        <f>SUM(D69:D94)</f>
        <v>328670</v>
      </c>
      <c r="E95" s="39">
        <f>SUM(E69:E94)</f>
        <v>1086460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TRUNC(6690,-1)</f>
        <v>6690</v>
      </c>
      <c r="E98" s="62">
        <f t="shared" ref="E98:E118" si="3">TRUNC(+D98*3.3058,-1)</f>
        <v>22110</v>
      </c>
    </row>
    <row r="99" spans="1:7" x14ac:dyDescent="0.3">
      <c r="A99" s="2">
        <v>2</v>
      </c>
      <c r="C99" s="38" t="s">
        <v>40</v>
      </c>
      <c r="D99" s="42">
        <f>TRUNC(14556,-1)</f>
        <v>14550</v>
      </c>
      <c r="E99" s="63">
        <f t="shared" si="3"/>
        <v>48090</v>
      </c>
    </row>
    <row r="100" spans="1:7" x14ac:dyDescent="0.3">
      <c r="A100" s="2">
        <v>3</v>
      </c>
      <c r="C100" s="38" t="s">
        <v>41</v>
      </c>
      <c r="D100" s="42">
        <f>TRUNC(33399,-1)</f>
        <v>33390</v>
      </c>
      <c r="E100" s="63">
        <f t="shared" si="3"/>
        <v>110380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TRUNC(9834,-1)</f>
        <v>9830</v>
      </c>
      <c r="E102" s="63">
        <f t="shared" si="3"/>
        <v>32490</v>
      </c>
    </row>
    <row r="103" spans="1:7" x14ac:dyDescent="0.3">
      <c r="A103" s="2">
        <v>6</v>
      </c>
      <c r="C103" s="38" t="s">
        <v>44</v>
      </c>
      <c r="D103" s="42">
        <f>TRUNC(3585,-1)</f>
        <v>3580</v>
      </c>
      <c r="E103" s="63">
        <f t="shared" si="3"/>
        <v>11830</v>
      </c>
    </row>
    <row r="104" spans="1:7" x14ac:dyDescent="0.3">
      <c r="A104" s="2">
        <v>7</v>
      </c>
      <c r="C104" s="38" t="s">
        <v>45</v>
      </c>
      <c r="D104" s="42">
        <f>TRUNC(6065,-1)</f>
        <v>6060</v>
      </c>
      <c r="E104" s="63">
        <f t="shared" si="3"/>
        <v>20030</v>
      </c>
    </row>
    <row r="105" spans="1:7" x14ac:dyDescent="0.3">
      <c r="A105" s="2">
        <v>8</v>
      </c>
      <c r="C105" s="38" t="s">
        <v>46</v>
      </c>
      <c r="D105" s="42">
        <f>TRUNC(3588,-1)</f>
        <v>3580</v>
      </c>
      <c r="E105" s="63">
        <f t="shared" si="3"/>
        <v>11830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TRUNC(780,-1)</f>
        <v>780</v>
      </c>
      <c r="E114" s="63">
        <f t="shared" si="3"/>
        <v>2570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TRUNC(51593,-1)</f>
        <v>51590</v>
      </c>
      <c r="E116" s="63">
        <f t="shared" si="3"/>
        <v>170540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TRUNC(87551,-1)</f>
        <v>87550</v>
      </c>
      <c r="E117" s="63">
        <f t="shared" si="3"/>
        <v>289420</v>
      </c>
    </row>
    <row r="118" spans="1:7" ht="17.25" thickBot="1" x14ac:dyDescent="0.35">
      <c r="A118" s="2">
        <v>21</v>
      </c>
      <c r="C118" s="38" t="s">
        <v>47</v>
      </c>
      <c r="D118" s="43">
        <f>TRUNC(3764,-1)</f>
        <v>3760</v>
      </c>
      <c r="E118" s="64">
        <f t="shared" si="3"/>
        <v>12420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221360</v>
      </c>
      <c r="E119" s="39">
        <f>SUM(E98:E118)</f>
        <v>731710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TRUNC(2595,-1)</f>
        <v>2590</v>
      </c>
      <c r="E122" s="62">
        <f t="shared" ref="E122:E132" si="4">TRUNC(+D122*3.3058,-1)</f>
        <v>8560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TRUNC(2196,-1)</f>
        <v>2190</v>
      </c>
      <c r="E124" s="63">
        <f t="shared" si="4"/>
        <v>7230</v>
      </c>
    </row>
    <row r="125" spans="1:7" x14ac:dyDescent="0.3">
      <c r="A125" s="2">
        <v>4</v>
      </c>
      <c r="C125" s="38" t="s">
        <v>138</v>
      </c>
      <c r="D125" s="42">
        <f>TRUNC(6377,-1)</f>
        <v>6370</v>
      </c>
      <c r="E125" s="63">
        <f t="shared" si="4"/>
        <v>21050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TRUNC(626,-1)</f>
        <v>620</v>
      </c>
      <c r="E127" s="63">
        <f t="shared" si="4"/>
        <v>2040</v>
      </c>
    </row>
    <row r="128" spans="1:7" x14ac:dyDescent="0.3">
      <c r="A128" s="2">
        <v>7</v>
      </c>
      <c r="C128" s="38" t="s">
        <v>46</v>
      </c>
      <c r="D128" s="42">
        <f>TRUNC(3623,-1)</f>
        <v>3620</v>
      </c>
      <c r="E128" s="63">
        <f t="shared" si="4"/>
        <v>11960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TRUNC(12320,-1)</f>
        <v>12320</v>
      </c>
      <c r="E130" s="63">
        <f t="shared" si="4"/>
        <v>40720</v>
      </c>
    </row>
    <row r="131" spans="1:7" x14ac:dyDescent="0.3">
      <c r="A131" s="2">
        <v>10</v>
      </c>
      <c r="C131" s="38" t="s">
        <v>148</v>
      </c>
      <c r="D131" s="42">
        <f>TRUNC(9206,-1)</f>
        <v>9200</v>
      </c>
      <c r="E131" s="63">
        <f t="shared" si="4"/>
        <v>30410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36910</v>
      </c>
      <c r="E133" s="39">
        <f>SUM(E122:E132)</f>
        <v>121970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TRUNC(3583,-1)</f>
        <v>3580</v>
      </c>
      <c r="E137" s="63">
        <f t="shared" si="5"/>
        <v>11830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TRUNC(1329,-1)</f>
        <v>1320</v>
      </c>
      <c r="E139" s="63">
        <f t="shared" si="5"/>
        <v>4360</v>
      </c>
    </row>
    <row r="140" spans="1:7" x14ac:dyDescent="0.3">
      <c r="A140" s="2">
        <v>5</v>
      </c>
      <c r="C140" s="38" t="s">
        <v>57</v>
      </c>
      <c r="D140" s="42">
        <f>TRUNC(1467,-1)</f>
        <v>1460</v>
      </c>
      <c r="E140" s="63">
        <f t="shared" si="5"/>
        <v>4820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TRUNC(5182,-1)</f>
        <v>5180</v>
      </c>
      <c r="E142" s="63">
        <f t="shared" si="5"/>
        <v>17120</v>
      </c>
    </row>
    <row r="143" spans="1:7" x14ac:dyDescent="0.3">
      <c r="A143" s="2">
        <v>8</v>
      </c>
      <c r="C143" s="38" t="s">
        <v>62</v>
      </c>
      <c r="D143" s="42">
        <f>TRUNC(5070,-1)</f>
        <v>5070</v>
      </c>
      <c r="E143" s="63">
        <f t="shared" si="5"/>
        <v>16760</v>
      </c>
    </row>
    <row r="144" spans="1:7" x14ac:dyDescent="0.3">
      <c r="A144" s="2">
        <v>9</v>
      </c>
      <c r="C144" s="38" t="s">
        <v>63</v>
      </c>
      <c r="D144" s="42">
        <f>TRUNC(28434,-1)</f>
        <v>28430</v>
      </c>
      <c r="E144" s="63">
        <f t="shared" si="5"/>
        <v>93980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45040</v>
      </c>
      <c r="E146" s="39">
        <f>SUM(E136:E145)</f>
        <v>148870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TRUNC(6758+5260,-1)</f>
        <v>12010</v>
      </c>
      <c r="E149" s="62">
        <f>TRUNC(+D149*3.3058,-1)</f>
        <v>39700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f>TRUNC(12387,-1)</f>
        <v>12380</v>
      </c>
      <c r="E150" s="63">
        <f>TRUNC(+D150*3.3058,-1)</f>
        <v>40920</v>
      </c>
    </row>
    <row r="151" spans="1:7" x14ac:dyDescent="0.3">
      <c r="A151" s="2">
        <v>3</v>
      </c>
      <c r="C151" s="38" t="s">
        <v>50</v>
      </c>
      <c r="D151" s="42">
        <f>TRUNC(3714,-1)</f>
        <v>3710</v>
      </c>
      <c r="E151" s="63">
        <f>TRUNC(+D151*3.3058,-1)</f>
        <v>12260</v>
      </c>
    </row>
    <row r="152" spans="1:7" x14ac:dyDescent="0.3">
      <c r="A152" s="2">
        <v>4</v>
      </c>
      <c r="C152" s="38" t="s">
        <v>47</v>
      </c>
      <c r="D152" s="42">
        <f>TRUNC(1014+313+4326,-1)</f>
        <v>5650</v>
      </c>
      <c r="E152" s="63">
        <f>TRUNC(+D152*3.3058,-1)</f>
        <v>18670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33750</v>
      </c>
      <c r="E154" s="39">
        <f>SUM(E149:E153)</f>
        <v>111550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TRUNC(4090,-1)</f>
        <v>4090</v>
      </c>
      <c r="E157" s="62">
        <f>TRUNC(+D157*3.3058,-1)</f>
        <v>13520</v>
      </c>
    </row>
    <row r="158" spans="1:7" x14ac:dyDescent="0.3">
      <c r="A158" s="2">
        <v>2</v>
      </c>
      <c r="C158" s="38" t="s">
        <v>52</v>
      </c>
      <c r="D158" s="42">
        <f>TRUNC(21251,-1)</f>
        <v>21250</v>
      </c>
      <c r="E158" s="63">
        <f>TRUNC(+D158*3.3058,-1)</f>
        <v>70240</v>
      </c>
      <c r="F158" s="2" t="s">
        <v>262</v>
      </c>
    </row>
    <row r="159" spans="1:7" x14ac:dyDescent="0.3">
      <c r="A159" s="2">
        <v>3</v>
      </c>
      <c r="C159" s="38" t="s">
        <v>47</v>
      </c>
      <c r="D159" s="42">
        <f>TRUNC(4580,-1)</f>
        <v>4580</v>
      </c>
      <c r="E159" s="63">
        <f>TRUNC(+D159*3.3058,-1)</f>
        <v>15140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29920</v>
      </c>
      <c r="E161" s="39">
        <f>SUM(E157:E160)</f>
        <v>98900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2020-12-08T02:33:51Z</dcterms:modified>
</cp:coreProperties>
</file>