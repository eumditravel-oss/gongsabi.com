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8" i="4" l="1"/>
  <c r="D94" i="4"/>
  <c r="D131" i="4" l="1"/>
  <c r="D117" i="4"/>
  <c r="D93" i="4"/>
  <c r="D59" i="4"/>
  <c r="D74" i="4" l="1"/>
  <c r="E74" i="4" s="1"/>
  <c r="D75" i="4"/>
  <c r="E94" i="4"/>
  <c r="D64" i="4"/>
  <c r="E64" i="4" s="1"/>
  <c r="D63" i="4"/>
  <c r="D58" i="4"/>
  <c r="E58" i="4" s="1"/>
  <c r="E160" i="4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6" i="4"/>
  <c r="E117" i="4"/>
  <c r="E116" i="4"/>
  <c r="E113" i="4"/>
  <c r="E112" i="4"/>
  <c r="E111" i="4"/>
  <c r="E110" i="4"/>
  <c r="E109" i="4"/>
  <c r="E108" i="4"/>
  <c r="E107" i="4"/>
  <c r="E106" i="4"/>
  <c r="E103" i="4"/>
  <c r="E93" i="4"/>
  <c r="E92" i="4"/>
  <c r="E91" i="4"/>
  <c r="E89" i="4"/>
  <c r="E88" i="4"/>
  <c r="E87" i="4"/>
  <c r="E86" i="4"/>
  <c r="E84" i="4"/>
  <c r="E83" i="4"/>
  <c r="E82" i="4"/>
  <c r="E81" i="4"/>
  <c r="E80" i="4"/>
  <c r="E79" i="4"/>
  <c r="E76" i="4"/>
  <c r="E75" i="4"/>
  <c r="E73" i="4"/>
  <c r="E72" i="4"/>
  <c r="E65" i="4"/>
  <c r="E63" i="4"/>
  <c r="E59" i="4"/>
  <c r="E57" i="4"/>
  <c r="E56" i="4"/>
  <c r="E55" i="4"/>
  <c r="E54" i="4"/>
  <c r="E161" i="4" l="1"/>
  <c r="E146" i="4"/>
  <c r="E66" i="4"/>
  <c r="D132" i="4"/>
  <c r="E132" i="4" s="1"/>
  <c r="D122" i="4"/>
  <c r="E122" i="4" s="1"/>
  <c r="D128" i="4"/>
  <c r="E128" i="4" s="1"/>
  <c r="D127" i="4"/>
  <c r="E127" i="4" s="1"/>
  <c r="D124" i="4"/>
  <c r="E124" i="4" s="1"/>
  <c r="D125" i="4"/>
  <c r="E125" i="4" s="1"/>
  <c r="D130" i="4"/>
  <c r="E130" i="4" s="1"/>
  <c r="D123" i="4"/>
  <c r="E123" i="4" s="1"/>
  <c r="E133" i="4" s="1"/>
  <c r="D118" i="4"/>
  <c r="E118" i="4" s="1"/>
  <c r="D101" i="4"/>
  <c r="E101" i="4" s="1"/>
  <c r="D105" i="4"/>
  <c r="E105" i="4" s="1"/>
  <c r="D104" i="4"/>
  <c r="E104" i="4" s="1"/>
  <c r="D100" i="4"/>
  <c r="E100" i="4" s="1"/>
  <c r="D102" i="4"/>
  <c r="E102" i="4" s="1"/>
  <c r="D99" i="4"/>
  <c r="E99" i="4" s="1"/>
  <c r="D98" i="4"/>
  <c r="E98" i="4" s="1"/>
  <c r="E119" i="4" s="1"/>
  <c r="D115" i="4"/>
  <c r="E115" i="4" s="1"/>
  <c r="D114" i="4"/>
  <c r="E114" i="4" s="1"/>
  <c r="D77" i="4"/>
  <c r="E77" i="4" s="1"/>
  <c r="D85" i="4"/>
  <c r="E85" i="4" s="1"/>
  <c r="D90" i="4"/>
  <c r="E90" i="4" s="1"/>
  <c r="D71" i="4"/>
  <c r="E71" i="4" s="1"/>
  <c r="D70" i="4"/>
  <c r="E70" i="4" s="1"/>
  <c r="D78" i="4"/>
  <c r="E78" i="4" s="1"/>
  <c r="D69" i="4"/>
  <c r="E69" i="4" s="1"/>
  <c r="E95" i="4" s="1"/>
  <c r="D152" i="4"/>
  <c r="E152" i="4" s="1"/>
  <c r="E154" i="4" s="1"/>
  <c r="D52" i="4"/>
  <c r="E52" i="4" s="1"/>
  <c r="D48" i="4"/>
  <c r="E48" i="4" s="1"/>
  <c r="D53" i="4"/>
  <c r="E53" i="4" s="1"/>
  <c r="D50" i="4"/>
  <c r="E50" i="4" s="1"/>
  <c r="D51" i="4"/>
  <c r="E51" i="4" s="1"/>
  <c r="D49" i="4"/>
  <c r="E49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161" i="4"/>
  <c r="D32" i="4"/>
  <c r="E32" i="4" s="1"/>
  <c r="D7" i="4"/>
  <c r="O31" i="1"/>
  <c r="M31" i="1"/>
  <c r="D26" i="4"/>
  <c r="E26" i="4" s="1"/>
  <c r="D154" i="4"/>
  <c r="D31" i="4" s="1"/>
  <c r="E31" i="4" s="1"/>
  <c r="D146" i="4"/>
  <c r="D30" i="4" s="1"/>
  <c r="D119" i="4"/>
  <c r="D28" i="4" s="1"/>
  <c r="E28" i="4" s="1"/>
  <c r="D60" i="4" l="1"/>
  <c r="D25" i="4" s="1"/>
  <c r="D133" i="4"/>
  <c r="D29" i="4" s="1"/>
  <c r="D95" i="4"/>
  <c r="D27" i="4" s="1"/>
  <c r="E29" i="4"/>
  <c r="E30" i="4"/>
  <c r="E25" i="4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<sst xmlns="http://schemas.openxmlformats.org/spreadsheetml/2006/main" count="392" uniqueCount="327">
  <si>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</si>
  <si>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</si>
  <si>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</si>
  <si>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</si>
  <si>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</si>
  <si>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</si>
  <si>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</si>
  <si>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</si>
  <si>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</si>
  <si>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</si>
  <si>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</si>
  <si>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</si>
  <si>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</si>
  <si>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</si>
  <si>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</si>
  <si>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</si>
  <si>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</si>
  <si>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</si>
  <si>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</si>
  <si>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</si>
  <si>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</si>
  <si>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</si>
  <si>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</si>
  <si>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</si>
  <si>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</si>
  <si>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</si>
  <si>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</si>
  <si>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</si>
  <si>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</si>
  <si>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</si>
  <si>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</si>
  <si>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</si>
  <si>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</si>
  <si>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</si>
  <si>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</si>
  <si>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</si>
  <si>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</si>
  <si>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</si>
  <si>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</si>
  <si>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</si>
  <si>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</si>
  <si>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</si>
  <si>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</si>
  <si>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</si>
  <si>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</si>
  <si>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</si>
  <si>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</si>
  <si>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</si>
  <si>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</si>
  <si>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</si>
  <si>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</si>
  <si>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</si>
  <si>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</si>
  <si>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</si>
  <si>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</si>
  <si>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</si>
  <si>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</si>
  <si>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</si>
  <si>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</si>
  <si>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</si>
  <si>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</si>
  <si>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</si>
  <si>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</si>
  <si>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</si>
  <si>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</si>
  <si>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</si>
  <si>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</si>
  <si>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</si>
  <si>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</si>
  <si>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</si>
  <si>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</si>
  <si>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</si>
  <si>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</si>
  <si>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</si>
  <si>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</si>
  <si>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</si>
  <si>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</si>
  <si>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</si>
  <si>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</si>
  <si>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</si>
  <si>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</si>
  <si>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</si>
  <si>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</si>
  <si>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</si>
  <si>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</si>
  <si>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</si>
  <si>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</si>
  <si>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</si>
  <si>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</si>
  <si>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</si>
  <si>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</si>
  <si>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</si>
  <si>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</si>
  <si>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</si>
  <si>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</si>
  <si>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</si>
  <si>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</si>
  <si>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</si>
  <si>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</si>
  <si>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</si>
  <si>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</si>
  <si>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</si>
  <si>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</si>
  <si>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</si>
  <si>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</si>
  <si>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</si>
  <si>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</si>
  <si>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</si>
  <si>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</si>
  <si>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</si>
  <si>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</si>
  <si>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</si>
  <si>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</si>
  <si>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</si>
  <si>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</si>
  <si>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</si>
  <si>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</si>
  <si>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</si>
  <si>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</si>
  <si>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</si>
  <si>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</si>
  <si>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</si>
  <si>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</si>
  <si>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</si>
  <si>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</si>
  <si>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</si>
  <si>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</si>
  <si>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</si>
  <si>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</si>
  <si>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</si>
  <si>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</si>
  <si>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</si>
  <si>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</si>
  <si>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</si>
  <si>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</si>
  <si>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</si>
  <si>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</si>
  <si>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</si>
  <si>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</si>
  <si>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</si>
  <si>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</si>
  <si>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</si>
  <si>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</si>
  <si>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</si>
  <si>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</si>
  <si>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</si>
  <si>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</si>
  <si>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</si>
  <si>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</si>
  <si>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</si>
  <si>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</si>
  <si>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</si>
  <si>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</si>
  <si>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</si>
  <si>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</si>
  <si>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</si>
  <si>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</si>
  <si>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</si>
  <si>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</si>
  <si>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</si>
  <si>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</si>
  <si>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</si>
  <si>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</si>
  <si>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</si>
  <si>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</si>
  <si>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</si>
  <si>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</si>
  <si>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</si>
  <si>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</si>
  <si>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</si>
  <si>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</si>
  <si>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</si>
  <si>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</si>
  <si>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</si>
  <si>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</si>
  <si>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</si>
  <si>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</si>
  <si>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</si>
  <si>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</si>
  <si>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</si>
  <si>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</si>
  <si>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</si>
  <si>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</si>
  <si>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</si>
  <si>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</si>
  <si>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</si>
  <si>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</si>
  <si>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</si>
  <si>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</si>
  <si>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</si>
  <si>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</si>
  <si>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</si>
  <si>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</si>
  <si>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</si>
  <si>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</si>
  <si>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</si>
  <si>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</si>
  <si>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</si>
  <si>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</si>
  <si>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</si>
  <si>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</si>
  <si>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</si>
  <si>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</si>
  <si>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</si>
  <si>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</si>
  <si>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</si>
  <si>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</si>
  <si>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</si>
  <si>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</si>
  <si>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</si>
  <si>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</si>
  <si>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</si>
  <si>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</si>
  <si>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</si>
  <si>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</si>
  <si>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</si>
  <si>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</si>
  <si>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</si>
  <si>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</si>
  <si>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</si>
  <si>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</si>
  <si>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</si>
  <si>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</si>
  <si>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</si>
  <si>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</si>
  <si>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</si>
  <si>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</si>
  <si>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</si>
  <si>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</si>
  <si>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</si>
  <si>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</si>
  <si>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</si>
  <si>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</si>
  <si>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</si>
  <si>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</si>
  <si>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</si>
  <si>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</si>
  <si>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</si>
  <si>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</si>
  <si>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</si>
  <si>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</si>
  <si>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</si>
  <si>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</si>
  <si>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</si>
  <si>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</si>
  <si>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</si>
  <si>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</si>
  <si>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</si>
  <si>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</si>
  <si>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</si>
  <si>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</si>
  <si>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</si>
  <si>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</si>
  <si>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</si>
  <si>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</si>
  <si>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</si>
  <si>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</si>
  <si>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</si>
  <si>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</si>
  <si>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</si>
  <si>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</si>
  <si>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</si>
  <si>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</si>
  <si>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</si>
  <si>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</si>
  <si>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</si>
  <si>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</si>
  <si>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</si>
  <si>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</si>
  <si>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</si>
  <si>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</si>
  <si>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</si>
  <si>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</si>
  <si>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</si>
  <si>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</si>
  <si>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</si>
  <si>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</si>
  <si>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</si>
  <si>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</si>
  <si>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</si>
  <si>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</si>
  <si>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</si>
  <si>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</si>
  <si>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</si>
  <si>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</si>
  <si>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</si>
  <si>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</si>
  <si>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</si>
  <si>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</si>
  <si>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</si>
  <si>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</si>
  <si>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</si>
  <si>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</si>
  <si>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</si>
  <si>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</si>
  <si>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</si>
  <si>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</si>
  <si>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</si>
  <si>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</si>
  <si>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</si>
  <si>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</si>
  <si>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</si>
  <si>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</si>
  <si>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</si>
  <si>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</si>
  <si>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</si>
  <si>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</si>
  <si>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</si>
  <si>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00공사 신사옥 건립공사</t>
  </si>
  <si>
    <t>업무</t>
  </si>
  <si>
    <t>강원도</t>
  </si>
  <si>
    <t>창호공사,창호철물공사</t>
    <phoneticPr fontId="2" type="noConversion"/>
  </si>
  <si>
    <t>토공및지정공사</t>
  </si>
  <si>
    <t>부대토목공사,조경공사</t>
  </si>
  <si>
    <t>방음방진장치설치공사</t>
  </si>
  <si>
    <t>기계소화설비공사</t>
  </si>
  <si>
    <t>옥외보안등공사</t>
  </si>
  <si>
    <t>전력제어공사,조명제어공사</t>
    <phoneticPr fontId="2" type="noConversion"/>
  </si>
  <si>
    <t>통신인입공사,주차관제공사,빌딩안내공사,위급호출공사,CCTA설비공사,가설공사</t>
    <phoneticPr fontId="2" type="noConversion"/>
  </si>
  <si>
    <t>품질시험비,데크플레이트공사,건식칸막이공사,단열공사,기타공사,골재공사,운반공사,PS금액(정기안전점검비)</t>
    <phoneticPr fontId="2" type="noConversion"/>
  </si>
  <si>
    <t>공조배관공사,위생배관공사,VAV/CAV 유니트설치공사,초절전전기방열관공사,중수처리시설공사,우수처리시설공사</t>
    <phoneticPr fontId="2" type="noConversion"/>
  </si>
  <si>
    <t>옥외전력인입공사,옥외조경등공사,원격검침공사,누수감지설비공사,가설공사,자동화재탐지설비공사,유도등설비공사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</si>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</sst>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2" sqref="D22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324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31131</v>
      </c>
      <c r="D7" s="36">
        <f>+C7/3.3058</f>
        <v>9417.0851231169454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74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325</v>
      </c>
    </row>
    <row r="19" spans="1:5" x14ac:dyDescent="0.3">
      <c r="A19" s="2">
        <v>9</v>
      </c>
      <c r="B19" s="2" t="s">
        <v>326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10450</v>
      </c>
      <c r="E24" s="59">
        <f t="shared" ref="E24:E33" si="0">TRUNC(+D24*3.3058,-1)</f>
        <v>34540</v>
      </c>
    </row>
    <row r="25" spans="1:5" x14ac:dyDescent="0.3">
      <c r="B25" s="2">
        <v>2</v>
      </c>
      <c r="C25" s="35" t="s">
        <v>45</v>
      </c>
      <c r="D25" s="47">
        <f>+D60</f>
        <v>849040</v>
      </c>
      <c r="E25" s="60">
        <f t="shared" si="0"/>
        <v>2806750</v>
      </c>
    </row>
    <row r="26" spans="1:5" x14ac:dyDescent="0.3">
      <c r="B26" s="2">
        <v>3</v>
      </c>
      <c r="C26" s="35" t="s">
        <v>29</v>
      </c>
      <c r="D26" s="47">
        <f>+D66</f>
        <v>16750</v>
      </c>
      <c r="E26" s="60">
        <f t="shared" si="0"/>
        <v>55370</v>
      </c>
    </row>
    <row r="27" spans="1:5" x14ac:dyDescent="0.3">
      <c r="B27" s="2">
        <v>4</v>
      </c>
      <c r="C27" s="35" t="s">
        <v>30</v>
      </c>
      <c r="D27" s="47">
        <f>+D95</f>
        <v>312570</v>
      </c>
      <c r="E27" s="60">
        <f t="shared" si="0"/>
        <v>1033290</v>
      </c>
    </row>
    <row r="28" spans="1:5" x14ac:dyDescent="0.3">
      <c r="B28" s="2">
        <v>5</v>
      </c>
      <c r="C28" s="35" t="s">
        <v>31</v>
      </c>
      <c r="D28" s="47">
        <f>+D119</f>
        <v>135910</v>
      </c>
      <c r="E28" s="60">
        <f t="shared" si="0"/>
        <v>449290</v>
      </c>
    </row>
    <row r="29" spans="1:5" x14ac:dyDescent="0.3">
      <c r="B29" s="2">
        <v>6</v>
      </c>
      <c r="C29" s="35" t="s">
        <v>32</v>
      </c>
      <c r="D29" s="47">
        <f>+D133</f>
        <v>118860</v>
      </c>
      <c r="E29" s="60">
        <f t="shared" si="0"/>
        <v>392920</v>
      </c>
    </row>
    <row r="30" spans="1:5" x14ac:dyDescent="0.3">
      <c r="B30" s="2">
        <v>7</v>
      </c>
      <c r="C30" s="35" t="s">
        <v>33</v>
      </c>
      <c r="D30" s="47">
        <f>+D146</f>
        <v>48770</v>
      </c>
      <c r="E30" s="60">
        <f t="shared" si="0"/>
        <v>161220</v>
      </c>
    </row>
    <row r="31" spans="1:5" x14ac:dyDescent="0.3">
      <c r="B31" s="2">
        <v>8</v>
      </c>
      <c r="C31" s="35" t="s">
        <v>34</v>
      </c>
      <c r="D31" s="47">
        <f>+D154</f>
        <v>85710</v>
      </c>
      <c r="E31" s="60">
        <f t="shared" si="0"/>
        <v>283340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433960</v>
      </c>
      <c r="E33" s="61">
        <f t="shared" si="0"/>
        <v>1434580</v>
      </c>
    </row>
    <row r="34" spans="1:5" x14ac:dyDescent="0.3">
      <c r="C34" s="35" t="s">
        <v>46</v>
      </c>
      <c r="D34" s="46">
        <f>SUM(D24:D33)</f>
        <v>2012020</v>
      </c>
      <c r="E34" s="46">
        <f>SUM(E24:E33)</f>
        <v>6651300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TRUNC(10458,-1)</f>
        <v>10450</v>
      </c>
      <c r="E37" s="62">
        <f>TRUNC(+D37*3.3058,-1)</f>
        <v>34540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322</v>
      </c>
      <c r="E39" s="68" t="s">
        <v>323</v>
      </c>
    </row>
    <row r="40" spans="1:5" x14ac:dyDescent="0.3">
      <c r="A40" s="2">
        <v>1</v>
      </c>
      <c r="C40" s="39" t="s">
        <v>75</v>
      </c>
      <c r="D40" s="42">
        <f>TRUNC(40905,-1)</f>
        <v>40900</v>
      </c>
      <c r="E40" s="63">
        <f t="shared" ref="E40:E59" si="1">TRUNC(+D40*3.3058,-1)</f>
        <v>135200</v>
      </c>
    </row>
    <row r="41" spans="1:5" x14ac:dyDescent="0.3">
      <c r="A41" s="2">
        <v>2</v>
      </c>
      <c r="C41" s="39" t="s">
        <v>6</v>
      </c>
      <c r="D41" s="44">
        <f>TRUNC(76170,-1)</f>
        <v>76170</v>
      </c>
      <c r="E41" s="64">
        <f t="shared" si="1"/>
        <v>251800</v>
      </c>
    </row>
    <row r="42" spans="1:5" x14ac:dyDescent="0.3">
      <c r="A42" s="2">
        <v>3</v>
      </c>
      <c r="C42" s="39" t="s">
        <v>7</v>
      </c>
      <c r="D42" s="44">
        <f>TRUNC(94518,-1)</f>
        <v>94510</v>
      </c>
      <c r="E42" s="64">
        <f t="shared" si="1"/>
        <v>312430</v>
      </c>
    </row>
    <row r="43" spans="1:5" x14ac:dyDescent="0.3">
      <c r="A43" s="2">
        <v>4</v>
      </c>
      <c r="C43" s="39" t="s">
        <v>8</v>
      </c>
      <c r="D43" s="44">
        <f>TRUNC(11641,-1)</f>
        <v>11640</v>
      </c>
      <c r="E43" s="64">
        <f t="shared" si="1"/>
        <v>38470</v>
      </c>
    </row>
    <row r="44" spans="1:5" x14ac:dyDescent="0.3">
      <c r="A44" s="2">
        <v>5</v>
      </c>
      <c r="C44" s="39" t="s">
        <v>9</v>
      </c>
      <c r="D44" s="44">
        <f>TRUNC(21775,-1)</f>
        <v>21770</v>
      </c>
      <c r="E44" s="64">
        <f t="shared" si="1"/>
        <v>71960</v>
      </c>
    </row>
    <row r="45" spans="1:5" x14ac:dyDescent="0.3">
      <c r="A45" s="2">
        <v>6</v>
      </c>
      <c r="C45" s="39" t="s">
        <v>10</v>
      </c>
      <c r="D45" s="44">
        <f>TRUNC(3389,-1)</f>
        <v>3380</v>
      </c>
      <c r="E45" s="64">
        <f t="shared" si="1"/>
        <v>11170</v>
      </c>
    </row>
    <row r="46" spans="1:5" x14ac:dyDescent="0.3">
      <c r="A46" s="2">
        <v>7</v>
      </c>
      <c r="C46" s="39" t="s">
        <v>11</v>
      </c>
      <c r="D46" s="44">
        <f>TRUNC(21917,-1)</f>
        <v>21910</v>
      </c>
      <c r="E46" s="64">
        <f t="shared" si="1"/>
        <v>72430</v>
      </c>
    </row>
    <row r="47" spans="1:5" x14ac:dyDescent="0.3">
      <c r="A47" s="2">
        <v>8</v>
      </c>
      <c r="C47" s="39" t="s">
        <v>12</v>
      </c>
      <c r="D47" s="44">
        <f>TRUNC(11899,-1)</f>
        <v>11890</v>
      </c>
      <c r="E47" s="64">
        <f t="shared" si="1"/>
        <v>39300</v>
      </c>
    </row>
    <row r="48" spans="1:5" x14ac:dyDescent="0.3">
      <c r="A48" s="2">
        <v>9</v>
      </c>
      <c r="C48" s="39" t="s">
        <v>13</v>
      </c>
      <c r="D48" s="44">
        <f>TRUNC(98358,-1)</f>
        <v>98350</v>
      </c>
      <c r="E48" s="64">
        <f t="shared" si="1"/>
        <v>325120</v>
      </c>
    </row>
    <row r="49" spans="1:6" x14ac:dyDescent="0.3">
      <c r="A49" s="2">
        <v>10</v>
      </c>
      <c r="C49" s="39" t="s">
        <v>14</v>
      </c>
      <c r="D49" s="44">
        <f>TRUNC(11899,-1)</f>
        <v>11890</v>
      </c>
      <c r="E49" s="64">
        <f t="shared" si="1"/>
        <v>39300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TRUNC(36180+10106,-1)</f>
        <v>46280</v>
      </c>
      <c r="E50" s="64">
        <f t="shared" si="1"/>
        <v>152990</v>
      </c>
      <c r="F50" s="2" t="s">
        <v>311</v>
      </c>
    </row>
    <row r="51" spans="1:6" x14ac:dyDescent="0.3">
      <c r="A51" s="2">
        <v>12</v>
      </c>
      <c r="C51" s="39" t="s">
        <v>16</v>
      </c>
      <c r="D51" s="44">
        <f>TRUNC(39131,-1)</f>
        <v>39130</v>
      </c>
      <c r="E51" s="64">
        <f t="shared" si="1"/>
        <v>129350</v>
      </c>
    </row>
    <row r="52" spans="1:6" x14ac:dyDescent="0.3">
      <c r="A52" s="2">
        <v>13</v>
      </c>
      <c r="C52" s="39" t="s">
        <v>17</v>
      </c>
      <c r="D52" s="44">
        <f>TRUNC(9969,-1)</f>
        <v>9960</v>
      </c>
      <c r="E52" s="64">
        <f t="shared" si="1"/>
        <v>32920</v>
      </c>
    </row>
    <row r="53" spans="1:6" x14ac:dyDescent="0.3">
      <c r="A53" s="2">
        <v>14</v>
      </c>
      <c r="C53" s="39" t="s">
        <v>18</v>
      </c>
      <c r="D53" s="44">
        <f>TRUNC(13773,-1)</f>
        <v>13770</v>
      </c>
      <c r="E53" s="64">
        <f t="shared" si="1"/>
        <v>45520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v>0</v>
      </c>
      <c r="E55" s="64">
        <f t="shared" si="1"/>
        <v>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TRUNC(3648+5349+10688+36336+2290+1135+2027+3569,-1)</f>
        <v>65040</v>
      </c>
      <c r="E58" s="64">
        <f t="shared" si="1"/>
        <v>215000</v>
      </c>
      <c r="F58" s="2" t="s">
        <v>319</v>
      </c>
    </row>
    <row r="59" spans="1:6" ht="17.25" thickBot="1" x14ac:dyDescent="0.35">
      <c r="A59" s="2">
        <v>20</v>
      </c>
      <c r="C59" s="39" t="s">
        <v>56</v>
      </c>
      <c r="D59" s="45">
        <f>TRUNC(282455.873438052,-1)</f>
        <v>282450</v>
      </c>
      <c r="E59" s="65">
        <f t="shared" si="1"/>
        <v>933720</v>
      </c>
    </row>
    <row r="60" spans="1:6" x14ac:dyDescent="0.3">
      <c r="A60" s="2">
        <v>21</v>
      </c>
      <c r="C60" s="27" t="s">
        <v>46</v>
      </c>
      <c r="D60" s="40">
        <f>SUM(D40:D59)</f>
        <v>849040</v>
      </c>
      <c r="E60" s="40">
        <f>SUM(E40:E59)</f>
        <v>2806680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TRUNC(669,-1)</f>
        <v>660</v>
      </c>
      <c r="E63" s="63">
        <f>TRUNC(+D63*3.3058,-1)</f>
        <v>2180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f>TRUNC(16098,-1)</f>
        <v>16090</v>
      </c>
      <c r="E64" s="64">
        <f>TRUNC(+D64*3.3058,-1)</f>
        <v>53190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16750</v>
      </c>
      <c r="E66" s="66">
        <f>SUM(E63:E65)</f>
        <v>55370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TRUNC(12701,-1)</f>
        <v>12700</v>
      </c>
      <c r="E69" s="63">
        <f t="shared" ref="E69:E94" si="2">TRUNC(+D69*3.3058,-1)</f>
        <v>41980</v>
      </c>
    </row>
    <row r="70" spans="1:6" ht="16.5" customHeight="1" x14ac:dyDescent="0.3">
      <c r="A70" s="2">
        <v>2</v>
      </c>
      <c r="C70" s="39" t="s">
        <v>79</v>
      </c>
      <c r="D70" s="44">
        <f>TRUNC(16,-1)</f>
        <v>10</v>
      </c>
      <c r="E70" s="64">
        <f t="shared" si="2"/>
        <v>30</v>
      </c>
    </row>
    <row r="71" spans="1:6" x14ac:dyDescent="0.3">
      <c r="A71" s="2">
        <v>3</v>
      </c>
      <c r="C71" s="39" t="s">
        <v>80</v>
      </c>
      <c r="D71" s="44">
        <f>TRUNC(16826,-1)</f>
        <v>16820</v>
      </c>
      <c r="E71" s="64">
        <f t="shared" si="2"/>
        <v>55600</v>
      </c>
    </row>
    <row r="72" spans="1:6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f>TRUNC(2216,-1)</f>
        <v>2210</v>
      </c>
      <c r="E74" s="64">
        <f t="shared" si="2"/>
        <v>7300</v>
      </c>
    </row>
    <row r="75" spans="1:6" x14ac:dyDescent="0.3">
      <c r="A75" s="2">
        <v>7</v>
      </c>
      <c r="C75" s="39" t="s">
        <v>84</v>
      </c>
      <c r="D75" s="44">
        <f>TRUNC(2360,-1)</f>
        <v>2360</v>
      </c>
      <c r="E75" s="64">
        <f t="shared" si="2"/>
        <v>7800</v>
      </c>
      <c r="F75" s="2" t="s">
        <v>314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f>TRUNC(30349,-1)</f>
        <v>30340</v>
      </c>
      <c r="E77" s="64">
        <f t="shared" si="2"/>
        <v>100290</v>
      </c>
    </row>
    <row r="78" spans="1:6" x14ac:dyDescent="0.3">
      <c r="A78" s="2">
        <v>10</v>
      </c>
      <c r="C78" s="39" t="s">
        <v>87</v>
      </c>
      <c r="D78" s="44">
        <f>TRUNC(37420,-1)</f>
        <v>37420</v>
      </c>
      <c r="E78" s="64">
        <f t="shared" si="2"/>
        <v>123700</v>
      </c>
    </row>
    <row r="79" spans="1:6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f>TRUNC(3412,-1)</f>
        <v>3410</v>
      </c>
      <c r="E85" s="64">
        <f t="shared" si="2"/>
        <v>11270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f>TRUNC(4723,-1)</f>
        <v>4720</v>
      </c>
      <c r="E88" s="64">
        <f t="shared" si="2"/>
        <v>15600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TRUNC(2138,-1)</f>
        <v>2130</v>
      </c>
      <c r="E90" s="64">
        <f t="shared" si="2"/>
        <v>7040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TRUNC(115284,-1)</f>
        <v>115280</v>
      </c>
      <c r="E93" s="64">
        <f t="shared" si="2"/>
        <v>381090</v>
      </c>
    </row>
    <row r="94" spans="1:6" ht="17.25" thickBot="1" x14ac:dyDescent="0.35">
      <c r="A94" s="2">
        <v>26</v>
      </c>
      <c r="C94" s="39" t="s">
        <v>103</v>
      </c>
      <c r="D94" s="45">
        <f>TRUNC(39100+24521+10530+711+6808+3503,-1)</f>
        <v>85170</v>
      </c>
      <c r="E94" s="65">
        <f t="shared" si="2"/>
        <v>281550</v>
      </c>
      <c r="F94" s="2" t="s">
        <v>320</v>
      </c>
    </row>
    <row r="95" spans="1:6" x14ac:dyDescent="0.3">
      <c r="A95" s="2">
        <v>27</v>
      </c>
      <c r="C95" s="27" t="s">
        <v>104</v>
      </c>
      <c r="D95" s="40">
        <f>SUM(D69:D94)</f>
        <v>312570</v>
      </c>
      <c r="E95" s="40">
        <f>SUM(E69:E94)</f>
        <v>1033250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TRUNC(18188,-1)</f>
        <v>18180</v>
      </c>
      <c r="E98" s="63">
        <f t="shared" ref="E98:E118" si="3">TRUNC(+D98*3.3058,-1)</f>
        <v>60090</v>
      </c>
    </row>
    <row r="99" spans="1:6" x14ac:dyDescent="0.3">
      <c r="A99" s="2">
        <v>2</v>
      </c>
      <c r="C99" s="29" t="s">
        <v>107</v>
      </c>
      <c r="D99" s="44">
        <f>TRUNC(10085,-1)</f>
        <v>10080</v>
      </c>
      <c r="E99" s="64">
        <f t="shared" si="3"/>
        <v>33320</v>
      </c>
    </row>
    <row r="100" spans="1:6" x14ac:dyDescent="0.3">
      <c r="A100" s="2">
        <v>3</v>
      </c>
      <c r="C100" s="29" t="s">
        <v>108</v>
      </c>
      <c r="D100" s="44">
        <f>TRUNC(23153,-1)</f>
        <v>23150</v>
      </c>
      <c r="E100" s="64">
        <f t="shared" si="3"/>
        <v>76520</v>
      </c>
    </row>
    <row r="101" spans="1:6" x14ac:dyDescent="0.3">
      <c r="A101" s="2">
        <v>4</v>
      </c>
      <c r="C101" s="29" t="s">
        <v>109</v>
      </c>
      <c r="D101" s="44">
        <f>TRUNC(310+2820,-1)</f>
        <v>3130</v>
      </c>
      <c r="E101" s="64">
        <f t="shared" si="3"/>
        <v>10340</v>
      </c>
      <c r="F101" s="2" t="s">
        <v>317</v>
      </c>
    </row>
    <row r="102" spans="1:6" x14ac:dyDescent="0.3">
      <c r="A102" s="2">
        <v>5</v>
      </c>
      <c r="C102" s="29" t="s">
        <v>110</v>
      </c>
      <c r="D102" s="44">
        <f>TRUNC(8729,-1)</f>
        <v>8720</v>
      </c>
      <c r="E102" s="64">
        <f t="shared" si="3"/>
        <v>28820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TRUNC(4540,-1)</f>
        <v>4540</v>
      </c>
      <c r="E104" s="64">
        <f t="shared" si="3"/>
        <v>15000</v>
      </c>
    </row>
    <row r="105" spans="1:6" x14ac:dyDescent="0.3">
      <c r="A105" s="2">
        <v>8</v>
      </c>
      <c r="C105" s="29" t="s">
        <v>113</v>
      </c>
      <c r="D105" s="44">
        <f>TRUNC(4853,-1)</f>
        <v>4850</v>
      </c>
      <c r="E105" s="64">
        <f t="shared" si="3"/>
        <v>16030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TRUNC(2379,-1)</f>
        <v>2370</v>
      </c>
      <c r="E114" s="64">
        <f t="shared" si="3"/>
        <v>7830</v>
      </c>
      <c r="F114" s="2" t="s">
        <v>316</v>
      </c>
    </row>
    <row r="115" spans="1:6" x14ac:dyDescent="0.3">
      <c r="A115" s="2">
        <v>18</v>
      </c>
      <c r="C115" s="29" t="s">
        <v>123</v>
      </c>
      <c r="D115" s="44">
        <f>TRUNC(5737,-1)</f>
        <v>5730</v>
      </c>
      <c r="E115" s="64">
        <f t="shared" si="3"/>
        <v>18940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TRUNC(38875.9435932029,-1)</f>
        <v>38870</v>
      </c>
      <c r="E117" s="64">
        <f t="shared" si="3"/>
        <v>128490</v>
      </c>
    </row>
    <row r="118" spans="1:6" ht="17.25" thickBot="1" x14ac:dyDescent="0.35">
      <c r="A118" s="2">
        <v>21</v>
      </c>
      <c r="C118" s="29" t="s">
        <v>103</v>
      </c>
      <c r="D118" s="45">
        <f>TRUNC(450+1312+351+1444+100+10136+2499,-1)</f>
        <v>16290</v>
      </c>
      <c r="E118" s="65">
        <f t="shared" si="3"/>
        <v>53850</v>
      </c>
      <c r="F118" s="2" t="s">
        <v>321</v>
      </c>
    </row>
    <row r="119" spans="1:6" x14ac:dyDescent="0.3">
      <c r="A119" s="2">
        <v>22</v>
      </c>
      <c r="C119" s="27" t="s">
        <v>104</v>
      </c>
      <c r="D119" s="40">
        <f>SUM(D98:D118)</f>
        <v>135910</v>
      </c>
      <c r="E119" s="40">
        <f>SUM(E98:E118)</f>
        <v>449230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TRUNC(8947,-1)</f>
        <v>8940</v>
      </c>
      <c r="E122" s="63">
        <f t="shared" ref="E122:E132" si="4">TRUNC(+D122*3.3058,-1)</f>
        <v>29550</v>
      </c>
    </row>
    <row r="123" spans="1:6" x14ac:dyDescent="0.3">
      <c r="A123" s="2">
        <v>2</v>
      </c>
      <c r="C123" s="29" t="s">
        <v>127</v>
      </c>
      <c r="D123" s="44">
        <f>TRUNC(9878,-1)</f>
        <v>9870</v>
      </c>
      <c r="E123" s="64">
        <f t="shared" si="4"/>
        <v>32620</v>
      </c>
    </row>
    <row r="124" spans="1:6" x14ac:dyDescent="0.3">
      <c r="A124" s="2">
        <v>3</v>
      </c>
      <c r="C124" s="29" t="s">
        <v>128</v>
      </c>
      <c r="D124" s="44">
        <f>TRUNC(2714,-1)</f>
        <v>2710</v>
      </c>
      <c r="E124" s="64">
        <f t="shared" si="4"/>
        <v>8950</v>
      </c>
    </row>
    <row r="125" spans="1:6" x14ac:dyDescent="0.3">
      <c r="A125" s="2">
        <v>4</v>
      </c>
      <c r="C125" s="29" t="s">
        <v>129</v>
      </c>
      <c r="D125" s="44">
        <f>TRUNC(6346,-1)</f>
        <v>6340</v>
      </c>
      <c r="E125" s="64">
        <f t="shared" si="4"/>
        <v>20950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f>TRUNC(11064,-1)</f>
        <v>11060</v>
      </c>
      <c r="E127" s="64">
        <f t="shared" si="4"/>
        <v>36560</v>
      </c>
    </row>
    <row r="128" spans="1:6" x14ac:dyDescent="0.3">
      <c r="A128" s="2">
        <v>7</v>
      </c>
      <c r="C128" s="29" t="s">
        <v>113</v>
      </c>
      <c r="D128" s="44">
        <f>TRUNC(5216,-1)</f>
        <v>5210</v>
      </c>
      <c r="E128" s="64">
        <f t="shared" si="4"/>
        <v>17220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TRUNC(44963,-1)</f>
        <v>44960</v>
      </c>
      <c r="E130" s="64">
        <f t="shared" si="4"/>
        <v>148620</v>
      </c>
    </row>
    <row r="131" spans="1:6" x14ac:dyDescent="0.3">
      <c r="A131" s="2">
        <v>10</v>
      </c>
      <c r="C131" s="29" t="s">
        <v>102</v>
      </c>
      <c r="D131" s="44">
        <f>TRUNC(12111.7214352253,-1)</f>
        <v>12110</v>
      </c>
      <c r="E131" s="64">
        <f t="shared" si="4"/>
        <v>40030</v>
      </c>
    </row>
    <row r="132" spans="1:6" ht="17.25" thickBot="1" x14ac:dyDescent="0.35">
      <c r="A132" s="2">
        <v>11</v>
      </c>
      <c r="C132" s="29" t="s">
        <v>103</v>
      </c>
      <c r="D132" s="45">
        <f>TRUNC(1140+337+9018+2315+4793+62,-1)</f>
        <v>17660</v>
      </c>
      <c r="E132" s="65">
        <f t="shared" si="4"/>
        <v>58380</v>
      </c>
      <c r="F132" s="2" t="s">
        <v>318</v>
      </c>
    </row>
    <row r="133" spans="1:6" x14ac:dyDescent="0.3">
      <c r="A133" s="2">
        <v>12</v>
      </c>
      <c r="C133" s="41" t="s">
        <v>104</v>
      </c>
      <c r="D133" s="40">
        <f>SUM(D122:D132)</f>
        <v>118860</v>
      </c>
      <c r="E133" s="40">
        <f>SUM(E122:E132)</f>
        <v>392880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48770</v>
      </c>
      <c r="E136" s="63">
        <f t="shared" ref="E136:E145" si="5">TRUNC(+D136*3.3058,-1)</f>
        <v>161220</v>
      </c>
      <c r="F136" s="2" t="s">
        <v>315</v>
      </c>
    </row>
    <row r="137" spans="1:6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48770</v>
      </c>
      <c r="E146" s="40">
        <f>SUM(E136:E145)</f>
        <v>161220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TRUNC(28304+57409,-1)</f>
        <v>85710</v>
      </c>
      <c r="E152" s="64">
        <f>TRUNC(+D152*3.3058,-1)</f>
        <v>283340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85710</v>
      </c>
      <c r="E154" s="40">
        <f>SUM(E149:E153)</f>
        <v>283340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2020-12-07T09:34:16Z</dcterms:modified>
</cp:coreProperties>
</file>