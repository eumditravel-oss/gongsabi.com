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45" i="4" l="1"/>
  <c r="D131" i="4"/>
  <c r="D117" i="4"/>
  <c r="D93" i="4"/>
  <c r="D59" i="4"/>
  <c r="D50" i="4"/>
  <c r="D58" i="4"/>
  <c r="D53" i="4"/>
  <c r="D52" i="4"/>
  <c r="D49" i="4"/>
  <c r="D46" i="4"/>
  <c r="D48" i="4"/>
  <c r="D45" i="4"/>
  <c r="D44" i="4"/>
  <c r="D43" i="4"/>
  <c r="D42" i="4"/>
  <c r="D41" i="4"/>
  <c r="D40" i="4"/>
  <c r="D92" i="4"/>
  <c r="D94" i="4"/>
  <c r="D89" i="4"/>
  <c r="D72" i="4"/>
  <c r="D69" i="4"/>
  <c r="D105" i="4"/>
  <c r="D104" i="4"/>
  <c r="D103" i="4"/>
  <c r="D102" i="4"/>
  <c r="D101" i="4"/>
  <c r="D100" i="4"/>
  <c r="D98" i="4"/>
  <c r="D118" i="4"/>
  <c r="D132" i="4"/>
  <c r="D128" i="4"/>
  <c r="D127" i="4"/>
  <c r="D125" i="4"/>
  <c r="D130" i="4"/>
  <c r="D126" i="4"/>
  <c r="D144" i="4"/>
  <c r="D143" i="4"/>
  <c r="D139" i="4"/>
  <c r="D142" i="4"/>
  <c r="D137" i="4"/>
  <c r="D140" i="4"/>
  <c r="D65" i="4"/>
  <c r="D63" i="4"/>
  <c r="D152" i="4"/>
  <c r="D151" i="4"/>
  <c r="D150" i="4"/>
  <c r="D149" i="4"/>
  <c r="D159" i="4"/>
  <c r="D158" i="4"/>
  <c r="D157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60" i="4"/>
  <c r="E95" i="4"/>
  <c r="E119" i="4"/>
  <c r="E133" i="4"/>
  <c r="E146" i="4"/>
  <c r="E66" i="4"/>
  <c r="E154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<sst xmlns="http://schemas.openxmlformats.org/spreadsheetml/2006/main" count="393" uniqueCount="268">
  <si>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</si>
  <si>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</si>
  <si>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</si>
  <si>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</si>
  <si>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</si>
  <si>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</si>
  <si>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</si>
  <si>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</si>
  <si>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</si>
  <si>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</si>
  <si>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</si>
  <si>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</si>
  <si>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</si>
  <si>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</si>
  <si>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</si>
  <si>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</si>
  <si>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</si>
  <si>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</si>
  <si>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</si>
  <si>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</si>
  <si>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</si>
  <si>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</si>
  <si>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</si>
  <si>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</si>
  <si>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</si>
  <si>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</si>
  <si>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</si>
  <si>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</si>
  <si>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</si>
  <si>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</si>
  <si>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</si>
  <si>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</si>
  <si>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</si>
  <si>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</si>
  <si>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</si>
  <si>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</si>
  <si>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</si>
  <si>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</si>
  <si>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</si>
  <si>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</si>
  <si>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</si>
  <si>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</si>
  <si>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</si>
  <si>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</si>
  <si>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</si>
  <si>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</si>
  <si>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</si>
  <si>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</si>
  <si>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</si>
  <si>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</si>
  <si>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</si>
  <si>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</si>
  <si>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</si>
  <si>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</si>
  <si>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</si>
  <si>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</si>
  <si>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</si>
  <si>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</si>
  <si>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</si>
  <si>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</si>
  <si>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</si>
  <si>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</si>
  <si>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</si>
  <si>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</si>
  <si>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</si>
  <si>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</si>
  <si>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</si>
  <si>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</si>
  <si>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</si>
  <si>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</si>
  <si>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</si>
  <si>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</si>
  <si>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</si>
  <si>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</si>
  <si>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</si>
  <si>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</si>
  <si>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</si>
  <si>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</si>
  <si>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</si>
  <si>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</si>
  <si>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</si>
  <si>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</si>
  <si>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</si>
  <si>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</si>
  <si>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</si>
  <si>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</si>
  <si>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</si>
  <si>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</si>
  <si>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</si>
  <si>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</si>
  <si>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</si>
  <si>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</si>
  <si>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</si>
  <si>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</si>
  <si>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</si>
  <si>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</si>
  <si>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</si>
  <si>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</si>
  <si>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</si>
  <si>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</si>
  <si>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</si>
  <si>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</si>
  <si>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</si>
  <si>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</si>
  <si>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</si>
  <si>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</si>
  <si>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</si>
  <si>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</si>
  <si>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</si>
  <si>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</si>
  <si>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</si>
  <si>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</si>
  <si>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</si>
  <si>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</si>
  <si>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</si>
  <si>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</si>
  <si>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</si>
  <si>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</si>
  <si>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</si>
  <si>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</si>
  <si>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</si>
  <si>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</si>
  <si>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</si>
  <si>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</si>
  <si>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</si>
  <si>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</si>
  <si>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</si>
  <si>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</si>
  <si>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</si>
  <si>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</si>
  <si>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</si>
  <si>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</si>
  <si>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</si>
  <si>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</si>
  <si>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</si>
  <si>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</si>
  <si>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</si>
  <si>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</si>
  <si>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</si>
  <si>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</si>
  <si>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</si>
  <si>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</si>
  <si>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</si>
  <si>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</si>
  <si>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</si>
  <si>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</si>
  <si>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</si>
  <si>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</si>
  <si>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</si>
  <si>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</si>
  <si>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</si>
  <si>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</si>
  <si>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</si>
  <si>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</si>
  <si>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</si>
  <si>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</si>
  <si>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</si>
  <si>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</si>
  <si>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</si>
  <si>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</si>
  <si>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</si>
  <si>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</si>
  <si>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</si>
  <si>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</si>
  <si>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</si>
  <si>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</si>
  <si>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</si>
  <si>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</si>
  <si>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</si>
  <si>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</si>
  <si>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</si>
  <si>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</si>
  <si>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</si>
  <si>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</si>
  <si>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</si>
  <si>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</si>
  <si>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</si>
  <si>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</si>
  <si>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</si>
  <si>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</si>
  <si>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</si>
  <si>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</si>
  <si>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</si>
  <si>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</si>
  <si>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</si>
  <si>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</si>
  <si>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</si>
  <si>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</si>
  <si>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</si>
  <si>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</si>
  <si>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</si>
  <si>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</si>
  <si>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</si>
  <si>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</si>
  <si>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</si>
  <si>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</si>
  <si>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</si>
  <si>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</si>
  <si>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</si>
  <si>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</si>
  <si>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</si>
  <si>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</si>
  <si>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</si>
  <si>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</si>
  <si>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</si>
  <si>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</si>
  <si>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</si>
  <si>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</si>
  <si>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</si>
  <si>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</si>
  <si>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</si>
  <si>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</si>
  <si>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</si>
  <si>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</si>
  <si>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</si>
  <si>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</si>
  <si>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</si>
  <si>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</si>
  <si>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</si>
  <si>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</si>
  <si>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</si>
  <si>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</si>
  <si>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</si>
  <si>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</si>
  <si>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</si>
  <si>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</si>
  <si>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</si>
  <si>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</si>
  <si>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</si>
  <si>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</si>
  <si>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</si>
  <si>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</si>
  <si>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</si>
  <si>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</si>
  <si>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</si>
  <si>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</si>
  <si>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</si>
  <si>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</si>
  <si>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</si>
  <si>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</si>
  <si>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</si>
  <si>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</si>
  <si>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</si>
  <si>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</si>
  <si>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</si>
  <si>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</si>
  <si>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</si>
  <si>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</si>
  <si>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국제공학교육관 신축 공사</t>
    <phoneticPr fontId="2" type="noConversion"/>
  </si>
  <si>
    <t>교육연구</t>
  </si>
  <si>
    <t>경상도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</si>
  <si>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</si>
  <si>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</si>
  <si>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</si>
  <si>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골재비및운반비,작업부산물,기타공사</t>
    <phoneticPr fontId="2" type="noConversion"/>
  </si>
  <si>
    <t xml:space="preserve">기타공사 </t>
    <phoneticPr fontId="2" type="noConversion"/>
  </si>
  <si>
    <t>기타공사</t>
    <phoneticPr fontId="2" type="noConversion"/>
  </si>
  <si>
    <t>옥외소화배관공사</t>
    <phoneticPr fontId="2" type="noConversion"/>
  </si>
  <si>
    <t>우수공사,오수공사</t>
    <phoneticPr fontId="2" type="noConversion"/>
  </si>
  <si>
    <t>사급자재비,운반비,기타공사</t>
    <phoneticPr fontId="2" type="noConversion"/>
  </si>
  <si>
    <t>포장공사,기타공사</t>
    <phoneticPr fontId="2" type="noConversion"/>
  </si>
  <si>
    <t>조경시설물</t>
    <phoneticPr fontId="2" type="noConversion"/>
  </si>
  <si>
    <t>공조배관공사,난방배관공사,우수처리시설공사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</si>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</sst>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4982.88</v>
      </c>
      <c r="D7" s="36">
        <f>+C7/3.3058</f>
        <v>1507.3144170851231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1019230</v>
      </c>
      <c r="E25" s="59">
        <f t="shared" si="0"/>
        <v>3369370</v>
      </c>
    </row>
    <row r="26" spans="1:5" x14ac:dyDescent="0.3">
      <c r="B26" s="2">
        <v>3</v>
      </c>
      <c r="C26" s="35" t="s">
        <v>95</v>
      </c>
      <c r="D26" s="45">
        <f>+D66</f>
        <v>30420</v>
      </c>
      <c r="E26" s="59">
        <f t="shared" si="0"/>
        <v>100560</v>
      </c>
    </row>
    <row r="27" spans="1:5" x14ac:dyDescent="0.3">
      <c r="B27" s="2">
        <v>4</v>
      </c>
      <c r="C27" s="35" t="s">
        <v>96</v>
      </c>
      <c r="D27" s="45">
        <f>+D95</f>
        <v>141760</v>
      </c>
      <c r="E27" s="59">
        <f t="shared" si="0"/>
        <v>468630</v>
      </c>
    </row>
    <row r="28" spans="1:5" x14ac:dyDescent="0.3">
      <c r="B28" s="2">
        <v>5</v>
      </c>
      <c r="C28" s="35" t="s">
        <v>97</v>
      </c>
      <c r="D28" s="45">
        <f>+D119</f>
        <v>228220</v>
      </c>
      <c r="E28" s="59">
        <f t="shared" si="0"/>
        <v>754440</v>
      </c>
    </row>
    <row r="29" spans="1:5" x14ac:dyDescent="0.3">
      <c r="B29" s="2">
        <v>6</v>
      </c>
      <c r="C29" s="35" t="s">
        <v>98</v>
      </c>
      <c r="D29" s="45">
        <f>+D133</f>
        <v>66200</v>
      </c>
      <c r="E29" s="59">
        <f t="shared" si="0"/>
        <v>218840</v>
      </c>
    </row>
    <row r="30" spans="1:5" x14ac:dyDescent="0.3">
      <c r="B30" s="2">
        <v>7</v>
      </c>
      <c r="C30" s="35" t="s">
        <v>99</v>
      </c>
      <c r="D30" s="45">
        <f>+D146</f>
        <v>36580</v>
      </c>
      <c r="E30" s="59">
        <f t="shared" si="0"/>
        <v>120920</v>
      </c>
    </row>
    <row r="31" spans="1:5" x14ac:dyDescent="0.3">
      <c r="B31" s="2">
        <v>8</v>
      </c>
      <c r="C31" s="35" t="s">
        <v>100</v>
      </c>
      <c r="D31" s="45">
        <f>+D154</f>
        <v>28420</v>
      </c>
      <c r="E31" s="59">
        <f t="shared" si="0"/>
        <v>93950</v>
      </c>
    </row>
    <row r="32" spans="1:5" x14ac:dyDescent="0.3">
      <c r="B32" s="2">
        <v>9</v>
      </c>
      <c r="C32" s="35" t="s">
        <v>101</v>
      </c>
      <c r="D32" s="45">
        <f>+D161</f>
        <v>17820</v>
      </c>
      <c r="E32" s="59">
        <f t="shared" si="0"/>
        <v>58900</v>
      </c>
    </row>
    <row r="33" spans="1:7" x14ac:dyDescent="0.3">
      <c r="B33" s="2">
        <v>10</v>
      </c>
      <c r="C33" s="35" t="s">
        <v>154</v>
      </c>
      <c r="D33" s="53">
        <f>TRUNC(SUM(D24:D32)*0.275,-1)</f>
        <v>431370</v>
      </c>
      <c r="E33" s="60">
        <f t="shared" si="0"/>
        <v>1426020</v>
      </c>
    </row>
    <row r="34" spans="1:7" x14ac:dyDescent="0.3">
      <c r="C34" s="35" t="s">
        <v>112</v>
      </c>
      <c r="D34" s="44">
        <f>SUM(D24:D33)</f>
        <v>2000020</v>
      </c>
      <c r="E34" s="44">
        <f>SUM(E24:E33)</f>
        <v>6611630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263</v>
      </c>
      <c r="E39" s="67" t="s">
        <v>264</v>
      </c>
      <c r="G39" s="68"/>
    </row>
    <row r="40" spans="1:7" x14ac:dyDescent="0.3">
      <c r="A40" s="2">
        <v>1</v>
      </c>
      <c r="C40" s="38" t="s">
        <v>15</v>
      </c>
      <c r="D40" s="40">
        <f>TRUNC(60613,-1)</f>
        <v>60610</v>
      </c>
      <c r="E40" s="62">
        <f t="shared" ref="E40:E59" si="1">TRUNC(+D40*3.3058,-1)</f>
        <v>200360</v>
      </c>
    </row>
    <row r="41" spans="1:7" x14ac:dyDescent="0.3">
      <c r="A41" s="2">
        <v>2</v>
      </c>
      <c r="C41" s="38" t="s">
        <v>13</v>
      </c>
      <c r="D41" s="42">
        <f>TRUNC(169189,-1)</f>
        <v>169180</v>
      </c>
      <c r="E41" s="63">
        <f t="shared" si="1"/>
        <v>559270</v>
      </c>
    </row>
    <row r="42" spans="1:7" x14ac:dyDescent="0.3">
      <c r="A42" s="2">
        <v>3</v>
      </c>
      <c r="C42" s="38" t="s">
        <v>14</v>
      </c>
      <c r="D42" s="42">
        <f>TRUNC(3779,-1)</f>
        <v>3770</v>
      </c>
      <c r="E42" s="63">
        <f t="shared" si="1"/>
        <v>12460</v>
      </c>
    </row>
    <row r="43" spans="1:7" x14ac:dyDescent="0.3">
      <c r="A43" s="2">
        <v>4</v>
      </c>
      <c r="C43" s="38" t="s">
        <v>16</v>
      </c>
      <c r="D43" s="42">
        <f>TRUNC(50056,-1)</f>
        <v>50050</v>
      </c>
      <c r="E43" s="63">
        <f t="shared" si="1"/>
        <v>165450</v>
      </c>
    </row>
    <row r="44" spans="1:7" x14ac:dyDescent="0.3">
      <c r="A44" s="2">
        <v>5</v>
      </c>
      <c r="C44" s="38" t="s">
        <v>17</v>
      </c>
      <c r="D44" s="42">
        <f>TRUNC(20672,-1)</f>
        <v>20670</v>
      </c>
      <c r="E44" s="63">
        <f t="shared" si="1"/>
        <v>68330</v>
      </c>
    </row>
    <row r="45" spans="1:7" x14ac:dyDescent="0.3">
      <c r="A45" s="2">
        <v>6</v>
      </c>
      <c r="C45" s="38" t="s">
        <v>18</v>
      </c>
      <c r="D45" s="42">
        <f>TRUNC(18915,-1)</f>
        <v>18910</v>
      </c>
      <c r="E45" s="63">
        <f t="shared" si="1"/>
        <v>62510</v>
      </c>
    </row>
    <row r="46" spans="1:7" x14ac:dyDescent="0.3">
      <c r="A46" s="2">
        <v>7</v>
      </c>
      <c r="C46" s="38" t="s">
        <v>19</v>
      </c>
      <c r="D46" s="42">
        <f>TRUNC(71564,-1)</f>
        <v>71560</v>
      </c>
      <c r="E46" s="63">
        <f t="shared" si="1"/>
        <v>236560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TRUNC(53686,-1)</f>
        <v>53680</v>
      </c>
      <c r="E48" s="63">
        <f t="shared" si="1"/>
        <v>177450</v>
      </c>
      <c r="F48" s="2" t="s">
        <v>251</v>
      </c>
    </row>
    <row r="49" spans="1:7" x14ac:dyDescent="0.3">
      <c r="A49" s="2">
        <v>10</v>
      </c>
      <c r="C49" s="38" t="s">
        <v>22</v>
      </c>
      <c r="D49" s="42">
        <f>TRUNC(30957,-1)</f>
        <v>30950</v>
      </c>
      <c r="E49" s="63">
        <f t="shared" si="1"/>
        <v>102310</v>
      </c>
    </row>
    <row r="50" spans="1:7" x14ac:dyDescent="0.3">
      <c r="A50" s="2">
        <v>11</v>
      </c>
      <c r="C50" s="38" t="s">
        <v>155</v>
      </c>
      <c r="D50" s="42">
        <f>TRUNC(74580,-1)</f>
        <v>74580</v>
      </c>
      <c r="E50" s="63">
        <f t="shared" si="1"/>
        <v>246540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TRUNC(12440,-1)</f>
        <v>12440</v>
      </c>
      <c r="E52" s="63">
        <f t="shared" si="1"/>
        <v>41120</v>
      </c>
    </row>
    <row r="53" spans="1:7" x14ac:dyDescent="0.3">
      <c r="A53" s="2">
        <v>14</v>
      </c>
      <c r="C53" s="38" t="s">
        <v>25</v>
      </c>
      <c r="D53" s="42">
        <f>TRUNC(101557,-1)</f>
        <v>101550</v>
      </c>
      <c r="E53" s="63">
        <f t="shared" si="1"/>
        <v>335700</v>
      </c>
      <c r="F53" s="2" t="s">
        <v>253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TRUNC(8259-870+4705,-1)</f>
        <v>12090</v>
      </c>
      <c r="E58" s="63">
        <f t="shared" si="1"/>
        <v>39960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f>TRUNC(339196,-1)</f>
        <v>339190</v>
      </c>
      <c r="E59" s="64">
        <f t="shared" si="1"/>
        <v>1121290</v>
      </c>
    </row>
    <row r="60" spans="1:7" x14ac:dyDescent="0.3">
      <c r="A60" s="2">
        <v>21</v>
      </c>
      <c r="C60" s="27" t="s">
        <v>112</v>
      </c>
      <c r="D60" s="39">
        <f>SUM(D40:D59)</f>
        <v>1019230</v>
      </c>
      <c r="E60" s="39">
        <f>SUM(E40:E59)</f>
        <v>3369310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TRUNC(18221,-1)</f>
        <v>18220</v>
      </c>
      <c r="E63" s="62">
        <f>TRUNC(+D63*3.3058,-1)</f>
        <v>60230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TRUNC(12200,-1)</f>
        <v>12200</v>
      </c>
      <c r="E65" s="64">
        <f>TRUNC(+D65*3.3058,-1)</f>
        <v>40330</v>
      </c>
    </row>
    <row r="66" spans="1:7" x14ac:dyDescent="0.3">
      <c r="A66" s="2">
        <v>4</v>
      </c>
      <c r="C66" s="27" t="s">
        <v>112</v>
      </c>
      <c r="D66" s="39">
        <f>SUM(D63:D65)</f>
        <v>30420</v>
      </c>
      <c r="E66" s="65">
        <f>SUM(E63:E65)</f>
        <v>100560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TRUNC(5351,-1)</f>
        <v>5350</v>
      </c>
      <c r="E69" s="62">
        <f t="shared" ref="E69:E94" si="2">TRUNC(+D69*3.3058,-1)</f>
        <v>17680</v>
      </c>
    </row>
    <row r="70" spans="1:7" ht="16.5" customHeight="1" x14ac:dyDescent="0.3">
      <c r="A70" s="2">
        <v>2</v>
      </c>
      <c r="C70" s="38" t="s">
        <v>31</v>
      </c>
      <c r="D70" s="42">
        <v>0</v>
      </c>
      <c r="E70" s="63">
        <f t="shared" si="2"/>
        <v>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TRUNC(4006,-1)</f>
        <v>4000</v>
      </c>
      <c r="E72" s="63">
        <f t="shared" si="2"/>
        <v>13220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TRUNC(21899,-1)</f>
        <v>21890</v>
      </c>
      <c r="E89" s="63">
        <f t="shared" si="2"/>
        <v>72360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TRUNC(7767,-1)</f>
        <v>7760</v>
      </c>
      <c r="E92" s="63">
        <f t="shared" si="2"/>
        <v>25650</v>
      </c>
    </row>
    <row r="93" spans="1:7" x14ac:dyDescent="0.3">
      <c r="A93" s="2">
        <v>25</v>
      </c>
      <c r="C93" s="38" t="s">
        <v>148</v>
      </c>
      <c r="D93" s="42">
        <f>TRUNC(91161,-1)</f>
        <v>91160</v>
      </c>
      <c r="E93" s="63">
        <f t="shared" si="2"/>
        <v>301350</v>
      </c>
    </row>
    <row r="94" spans="1:7" ht="17.25" thickBot="1" x14ac:dyDescent="0.35">
      <c r="A94" s="2">
        <v>26</v>
      </c>
      <c r="C94" s="38" t="s">
        <v>47</v>
      </c>
      <c r="D94" s="43">
        <f>TRUNC(2768+2678+6158,-1)</f>
        <v>11600</v>
      </c>
      <c r="E94" s="64">
        <f t="shared" si="2"/>
        <v>38340</v>
      </c>
      <c r="F94" s="2" t="s">
        <v>262</v>
      </c>
    </row>
    <row r="95" spans="1:7" x14ac:dyDescent="0.3">
      <c r="A95" s="2">
        <v>27</v>
      </c>
      <c r="C95" s="27" t="s">
        <v>112</v>
      </c>
      <c r="D95" s="39">
        <f>SUM(D69:D94)</f>
        <v>141760</v>
      </c>
      <c r="E95" s="39">
        <f>SUM(E69:E94)</f>
        <v>468600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TRUNC(15700,-1)</f>
        <v>15700</v>
      </c>
      <c r="E98" s="62">
        <f t="shared" ref="E98:E118" si="3">TRUNC(+D98*3.3058,-1)</f>
        <v>51900</v>
      </c>
    </row>
    <row r="99" spans="1:7" x14ac:dyDescent="0.3">
      <c r="A99" s="2">
        <v>2</v>
      </c>
      <c r="C99" s="38" t="s">
        <v>40</v>
      </c>
      <c r="D99" s="42">
        <v>0</v>
      </c>
      <c r="E99" s="63">
        <f t="shared" si="3"/>
        <v>0</v>
      </c>
    </row>
    <row r="100" spans="1:7" x14ac:dyDescent="0.3">
      <c r="A100" s="2">
        <v>3</v>
      </c>
      <c r="C100" s="38" t="s">
        <v>41</v>
      </c>
      <c r="D100" s="42">
        <f>TRUNC(26030,-1)</f>
        <v>26030</v>
      </c>
      <c r="E100" s="63">
        <f t="shared" si="3"/>
        <v>86040</v>
      </c>
    </row>
    <row r="101" spans="1:7" x14ac:dyDescent="0.3">
      <c r="A101" s="2">
        <v>4</v>
      </c>
      <c r="C101" s="38" t="s">
        <v>42</v>
      </c>
      <c r="D101" s="42">
        <f>TRUNC(7408,-1)</f>
        <v>7400</v>
      </c>
      <c r="E101" s="63">
        <f t="shared" si="3"/>
        <v>24460</v>
      </c>
    </row>
    <row r="102" spans="1:7" x14ac:dyDescent="0.3">
      <c r="A102" s="2">
        <v>5</v>
      </c>
      <c r="C102" s="38" t="s">
        <v>43</v>
      </c>
      <c r="D102" s="42">
        <f>TRUNC(10936,-1)</f>
        <v>10930</v>
      </c>
      <c r="E102" s="63">
        <f t="shared" si="3"/>
        <v>36130</v>
      </c>
    </row>
    <row r="103" spans="1:7" x14ac:dyDescent="0.3">
      <c r="A103" s="2">
        <v>6</v>
      </c>
      <c r="C103" s="38" t="s">
        <v>44</v>
      </c>
      <c r="D103" s="42">
        <f>TRUNC(9929,-1)</f>
        <v>9920</v>
      </c>
      <c r="E103" s="63">
        <f t="shared" si="3"/>
        <v>32790</v>
      </c>
    </row>
    <row r="104" spans="1:7" x14ac:dyDescent="0.3">
      <c r="A104" s="2">
        <v>7</v>
      </c>
      <c r="C104" s="38" t="s">
        <v>45</v>
      </c>
      <c r="D104" s="42">
        <f>TRUNC(5701,-1)</f>
        <v>5700</v>
      </c>
      <c r="E104" s="63">
        <f t="shared" si="3"/>
        <v>18840</v>
      </c>
    </row>
    <row r="105" spans="1:7" x14ac:dyDescent="0.3">
      <c r="A105" s="2">
        <v>8</v>
      </c>
      <c r="C105" s="38" t="s">
        <v>46</v>
      </c>
      <c r="D105" s="42">
        <f>TRUNC(7308,-1)</f>
        <v>7300</v>
      </c>
      <c r="E105" s="63">
        <f t="shared" si="3"/>
        <v>24130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TRUNC(137508,-1)</f>
        <v>137500</v>
      </c>
      <c r="E117" s="63">
        <f t="shared" si="3"/>
        <v>454540</v>
      </c>
    </row>
    <row r="118" spans="1:7" ht="17.25" thickBot="1" x14ac:dyDescent="0.35">
      <c r="A118" s="2">
        <v>21</v>
      </c>
      <c r="C118" s="38" t="s">
        <v>47</v>
      </c>
      <c r="D118" s="43">
        <f>TRUNC(7740,-1)</f>
        <v>7740</v>
      </c>
      <c r="E118" s="64">
        <f t="shared" si="3"/>
        <v>25580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228220</v>
      </c>
      <c r="E119" s="39">
        <f>SUM(E98:E118)</f>
        <v>754410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TRUNC(9177,-1)</f>
        <v>9170</v>
      </c>
      <c r="E125" s="63">
        <f t="shared" si="4"/>
        <v>30310</v>
      </c>
    </row>
    <row r="126" spans="1:7" x14ac:dyDescent="0.3">
      <c r="A126" s="2">
        <v>5</v>
      </c>
      <c r="C126" s="38" t="s">
        <v>53</v>
      </c>
      <c r="D126" s="42">
        <f>TRUNC(6636,-1)</f>
        <v>6630</v>
      </c>
      <c r="E126" s="63">
        <f t="shared" si="4"/>
        <v>21910</v>
      </c>
    </row>
    <row r="127" spans="1:7" x14ac:dyDescent="0.3">
      <c r="A127" s="2">
        <v>6</v>
      </c>
      <c r="C127" s="38" t="s">
        <v>56</v>
      </c>
      <c r="D127" s="42">
        <f>TRUNC(1052,-1)</f>
        <v>1050</v>
      </c>
      <c r="E127" s="63">
        <f t="shared" si="4"/>
        <v>3470</v>
      </c>
    </row>
    <row r="128" spans="1:7" x14ac:dyDescent="0.3">
      <c r="A128" s="2">
        <v>7</v>
      </c>
      <c r="C128" s="38" t="s">
        <v>46</v>
      </c>
      <c r="D128" s="42">
        <f>TRUNC(5215,-1)</f>
        <v>5210</v>
      </c>
      <c r="E128" s="63">
        <f t="shared" si="4"/>
        <v>17220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TRUNC(22340,-1)</f>
        <v>22340</v>
      </c>
      <c r="E130" s="63">
        <f t="shared" si="4"/>
        <v>73850</v>
      </c>
    </row>
    <row r="131" spans="1:7" x14ac:dyDescent="0.3">
      <c r="A131" s="2">
        <v>10</v>
      </c>
      <c r="C131" s="38" t="s">
        <v>148</v>
      </c>
      <c r="D131" s="42">
        <f>TRUNC(21515,-1)</f>
        <v>21510</v>
      </c>
      <c r="E131" s="63">
        <f t="shared" si="4"/>
        <v>71100</v>
      </c>
    </row>
    <row r="132" spans="1:7" ht="18" thickBot="1" x14ac:dyDescent="0.35">
      <c r="A132" s="2">
        <v>11</v>
      </c>
      <c r="C132" s="38" t="s">
        <v>47</v>
      </c>
      <c r="D132" s="43">
        <f>TRUNC(292,-1)</f>
        <v>290</v>
      </c>
      <c r="E132" s="64">
        <f t="shared" si="4"/>
        <v>950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66200</v>
      </c>
      <c r="E133" s="39">
        <f>SUM(E122:E132)</f>
        <v>218810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TRUNC(6755,-1)</f>
        <v>6750</v>
      </c>
      <c r="E137" s="63">
        <f t="shared" si="5"/>
        <v>22310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TRUNC(2374,-1)</f>
        <v>2370</v>
      </c>
      <c r="E139" s="63">
        <f t="shared" si="5"/>
        <v>7830</v>
      </c>
    </row>
    <row r="140" spans="1:7" x14ac:dyDescent="0.3">
      <c r="A140" s="2">
        <v>5</v>
      </c>
      <c r="C140" s="38" t="s">
        <v>57</v>
      </c>
      <c r="D140" s="42">
        <f>TRUNC(3491,-1)</f>
        <v>3490</v>
      </c>
      <c r="E140" s="63">
        <f t="shared" si="5"/>
        <v>11530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TRUNC(10686,-1)</f>
        <v>10680</v>
      </c>
      <c r="E142" s="63">
        <f t="shared" si="5"/>
        <v>35300</v>
      </c>
    </row>
    <row r="143" spans="1:7" x14ac:dyDescent="0.3">
      <c r="A143" s="2">
        <v>8</v>
      </c>
      <c r="C143" s="38" t="s">
        <v>62</v>
      </c>
      <c r="D143" s="42">
        <f>TRUNC(3341,-1)</f>
        <v>3340</v>
      </c>
      <c r="E143" s="63">
        <f t="shared" si="5"/>
        <v>11040</v>
      </c>
    </row>
    <row r="144" spans="1:7" x14ac:dyDescent="0.3">
      <c r="A144" s="2">
        <v>9</v>
      </c>
      <c r="C144" s="38" t="s">
        <v>63</v>
      </c>
      <c r="D144" s="42">
        <f>TRUNC(8812,-1)</f>
        <v>8810</v>
      </c>
      <c r="E144" s="63">
        <f t="shared" si="5"/>
        <v>29120</v>
      </c>
    </row>
    <row r="145" spans="1:7" ht="17.25" thickBot="1" x14ac:dyDescent="0.35">
      <c r="A145" s="2">
        <v>10</v>
      </c>
      <c r="C145" s="38" t="s">
        <v>148</v>
      </c>
      <c r="D145" s="43">
        <f>TRUNC(1148,-1)</f>
        <v>1140</v>
      </c>
      <c r="E145" s="64">
        <f t="shared" si="5"/>
        <v>3760</v>
      </c>
    </row>
    <row r="146" spans="1:7" x14ac:dyDescent="0.3">
      <c r="A146" s="2">
        <v>11</v>
      </c>
      <c r="C146" s="27" t="s">
        <v>112</v>
      </c>
      <c r="D146" s="39">
        <f>SUM(D136:D145)</f>
        <v>36580</v>
      </c>
      <c r="E146" s="39">
        <f>SUM(E136:E145)</f>
        <v>120890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TRUNC(1636+552,-1)</f>
        <v>2180</v>
      </c>
      <c r="E149" s="62">
        <f>TRUNC(+D149*3.3058,-1)</f>
        <v>7200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TRUNC(5537,-1)</f>
        <v>5530</v>
      </c>
      <c r="E150" s="63">
        <f>TRUNC(+D150*3.3058,-1)</f>
        <v>18280</v>
      </c>
    </row>
    <row r="151" spans="1:7" x14ac:dyDescent="0.3">
      <c r="A151" s="2">
        <v>3</v>
      </c>
      <c r="C151" s="38" t="s">
        <v>50</v>
      </c>
      <c r="D151" s="42">
        <f>TRUNC(12878,-1)</f>
        <v>12870</v>
      </c>
      <c r="E151" s="63">
        <f>TRUNC(+D151*3.3058,-1)</f>
        <v>42540</v>
      </c>
    </row>
    <row r="152" spans="1:7" x14ac:dyDescent="0.3">
      <c r="A152" s="2">
        <v>4</v>
      </c>
      <c r="C152" s="38" t="s">
        <v>47</v>
      </c>
      <c r="D152" s="42">
        <f>TRUNC(7108+240+496,-1)</f>
        <v>7840</v>
      </c>
      <c r="E152" s="63">
        <f>TRUNC(+D152*3.3058,-1)</f>
        <v>25910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28420</v>
      </c>
      <c r="E154" s="39">
        <f>SUM(E149:E153)</f>
        <v>93930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TRUNC(5249,-1)</f>
        <v>5240</v>
      </c>
      <c r="E157" s="62">
        <f>TRUNC(+D157*3.3058,-1)</f>
        <v>17320</v>
      </c>
    </row>
    <row r="158" spans="1:7" x14ac:dyDescent="0.3">
      <c r="A158" s="2">
        <v>2</v>
      </c>
      <c r="C158" s="38" t="s">
        <v>52</v>
      </c>
      <c r="D158" s="42">
        <f>TRUNC(7336,-1)</f>
        <v>7330</v>
      </c>
      <c r="E158" s="63">
        <f>TRUNC(+D158*3.3058,-1)</f>
        <v>24230</v>
      </c>
      <c r="F158" s="2" t="s">
        <v>261</v>
      </c>
    </row>
    <row r="159" spans="1:7" x14ac:dyDescent="0.3">
      <c r="A159" s="2">
        <v>3</v>
      </c>
      <c r="C159" s="38" t="s">
        <v>47</v>
      </c>
      <c r="D159" s="42">
        <f>TRUNC(3668+1586,-1)</f>
        <v>5250</v>
      </c>
      <c r="E159" s="63">
        <f>TRUNC(+D159*3.3058,-1)</f>
        <v>17350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17820</v>
      </c>
      <c r="E161" s="39">
        <f>SUM(E157:E160)</f>
        <v>58900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2020-12-08T02:33:07Z</dcterms:modified>
</cp:coreProperties>
</file>