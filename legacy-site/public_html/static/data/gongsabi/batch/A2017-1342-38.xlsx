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8" i="4"/>
  <c r="D137" i="4"/>
  <c r="D132" i="4"/>
  <c r="D131" i="4"/>
  <c r="D130" i="4"/>
  <c r="D128" i="4"/>
  <c r="D127" i="4"/>
  <c r="D126" i="4"/>
  <c r="D125" i="4"/>
  <c r="D124" i="4"/>
  <c r="D118" i="4"/>
  <c r="D117" i="4"/>
  <c r="D116" i="4"/>
  <c r="D105" i="4"/>
  <c r="D104" i="4"/>
  <c r="D103" i="4"/>
  <c r="D100" i="4"/>
  <c r="D99" i="4"/>
  <c r="D98" i="4"/>
  <c r="D94" i="4"/>
  <c r="D93" i="4"/>
  <c r="D91" i="4"/>
  <c r="D90" i="4"/>
  <c r="D75" i="4"/>
  <c r="D73" i="4"/>
  <c r="D72" i="4"/>
  <c r="D71" i="4"/>
  <c r="D70" i="4"/>
  <c r="D65" i="4"/>
  <c r="D63" i="4"/>
  <c r="D59" i="4"/>
  <c r="D58" i="4"/>
  <c r="D53" i="4"/>
  <c r="D52" i="4"/>
  <c r="D50" i="4"/>
  <c r="D49" i="4"/>
  <c r="D48" i="4"/>
  <c r="D46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<sst xmlns="http://schemas.openxmlformats.org/spreadsheetml/2006/main" count="393" uniqueCount="270">
  <si>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</si>
  <si>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</si>
  <si>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</si>
  <si>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</si>
  <si>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</si>
  <si>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</si>
  <si>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</si>
  <si>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</si>
  <si>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</si>
  <si>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</si>
  <si>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</si>
  <si>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</si>
  <si>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</si>
  <si>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</si>
  <si>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</si>
  <si>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</si>
  <si>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</si>
  <si>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</si>
  <si>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</si>
  <si>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</si>
  <si>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</si>
  <si>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</si>
  <si>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</si>
  <si>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</si>
  <si>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</si>
  <si>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</si>
  <si>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</si>
  <si>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</si>
  <si>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</si>
  <si>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</si>
  <si>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</si>
  <si>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</si>
  <si>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</si>
  <si>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</si>
  <si>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</si>
  <si>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</si>
  <si>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</si>
  <si>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</si>
  <si>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</si>
  <si>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</si>
  <si>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</si>
  <si>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</si>
  <si>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</si>
  <si>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</si>
  <si>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</si>
  <si>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</si>
  <si>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</si>
  <si>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</si>
  <si>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</si>
  <si>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</si>
  <si>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</si>
  <si>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</si>
  <si>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</si>
  <si>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</si>
  <si>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</si>
  <si>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</si>
  <si>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</si>
  <si>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</si>
  <si>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</si>
  <si>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</si>
  <si>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</si>
  <si>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</si>
  <si>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</si>
  <si>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</si>
  <si>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</si>
  <si>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</si>
  <si>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</si>
  <si>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</si>
  <si>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</si>
  <si>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</si>
  <si>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</si>
  <si>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</si>
  <si>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</si>
  <si>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</si>
  <si>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</si>
  <si>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</si>
  <si>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</si>
  <si>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</si>
  <si>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</si>
  <si>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</si>
  <si>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</si>
  <si>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</si>
  <si>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</si>
  <si>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</si>
  <si>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</si>
  <si>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</si>
  <si>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</si>
  <si>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</si>
  <si>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</si>
  <si>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</si>
  <si>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</si>
  <si>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</si>
  <si>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</si>
  <si>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</si>
  <si>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</si>
  <si>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</si>
  <si>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</si>
  <si>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</si>
  <si>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</si>
  <si>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</si>
  <si>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</si>
  <si>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</si>
  <si>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</si>
  <si>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</si>
  <si>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</si>
  <si>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</si>
  <si>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</si>
  <si>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</si>
  <si>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</si>
  <si>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</si>
  <si>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</si>
  <si>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</si>
  <si>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</si>
  <si>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</si>
  <si>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</si>
  <si>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</si>
  <si>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</si>
  <si>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</si>
  <si>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</si>
  <si>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</si>
  <si>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</si>
  <si>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</si>
  <si>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</si>
  <si>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</si>
  <si>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</si>
  <si>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</si>
  <si>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</si>
  <si>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</si>
  <si>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</si>
  <si>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</si>
  <si>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</si>
  <si>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</si>
  <si>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</si>
  <si>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</si>
  <si>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</si>
  <si>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</si>
  <si>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</si>
  <si>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</si>
  <si>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</si>
  <si>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</si>
  <si>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</si>
  <si>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</si>
  <si>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</si>
  <si>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</si>
  <si>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</si>
  <si>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</si>
  <si>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</si>
  <si>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</si>
  <si>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</si>
  <si>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</si>
  <si>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</si>
  <si>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</si>
  <si>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</si>
  <si>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</si>
  <si>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</si>
  <si>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</si>
  <si>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</si>
  <si>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</si>
  <si>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</si>
  <si>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</si>
  <si>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</si>
  <si>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</si>
  <si>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</si>
  <si>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</si>
  <si>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</si>
  <si>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</si>
  <si>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</si>
  <si>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</si>
  <si>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</si>
  <si>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</si>
  <si>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</si>
  <si>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</si>
  <si>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</si>
  <si>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</si>
  <si>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</si>
  <si>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</si>
  <si>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</si>
  <si>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</si>
  <si>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</si>
  <si>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</si>
  <si>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</si>
  <si>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</si>
  <si>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</si>
  <si>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</si>
  <si>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</si>
  <si>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</si>
  <si>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</si>
  <si>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</si>
  <si>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</si>
  <si>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</si>
  <si>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</si>
  <si>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</si>
  <si>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</si>
  <si>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</si>
  <si>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</si>
  <si>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</si>
  <si>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</si>
  <si>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</si>
  <si>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</si>
  <si>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</si>
  <si>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</si>
  <si>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</si>
  <si>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</si>
  <si>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</si>
  <si>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</si>
  <si>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</si>
  <si>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</si>
  <si>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</si>
  <si>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</si>
  <si>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</si>
  <si>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</si>
  <si>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</si>
  <si>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</si>
  <si>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</si>
  <si>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</si>
  <si>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</si>
  <si>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</si>
  <si>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</si>
  <si>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</si>
  <si>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</si>
  <si>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</si>
  <si>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</si>
  <si>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</si>
  <si>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</si>
  <si>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</si>
  <si>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</si>
  <si>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</si>
  <si>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</si>
  <si>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</si>
  <si>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</si>
  <si>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</si>
  <si>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</si>
  <si>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</si>
  <si>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</si>
  <si>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</si>
  <si>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</si>
  <si>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</si>
  <si>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</si>
  <si>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</si>
  <si>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</si>
  <si>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</si>
  <si>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</si>
  <si>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</si>
  <si>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</si>
  <si>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</si>
  <si>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</si>
  <si>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</si>
  <si>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</si>
  <si>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</si>
  <si>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</si>
  <si>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</si>
  <si>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</si>
  <si>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</si>
  <si>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</si>
  <si>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</si>
  <si>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</si>
  <si>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</si>
  <si>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남양주경찰서 청사 신축공사</t>
    <phoneticPr fontId="2" type="noConversion"/>
  </si>
  <si>
    <t>경기도</t>
  </si>
  <si>
    <t>공조배관공사, 우수처리시설공사, 바닥난방공사, 기타공사</t>
    <phoneticPr fontId="2" type="noConversion"/>
  </si>
  <si>
    <t>CCTV설비공사, 주차관제설비공사, 기타공사</t>
    <phoneticPr fontId="2" type="noConversion"/>
  </si>
  <si>
    <t>상수도공사, 사급자재비, 운반비</t>
    <phoneticPr fontId="2" type="noConversion"/>
  </si>
  <si>
    <t>옥외소화배관공사, 펌프실배관공사, 무선통신보조설비공사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</si>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</sst>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15451</v>
      </c>
      <c r="D7" s="36">
        <f>+C7/3.3058</f>
        <v>4673.9064674208967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794610</v>
      </c>
      <c r="E25" s="59">
        <f t="shared" si="0"/>
        <v>2626820</v>
      </c>
    </row>
    <row r="26" spans="1:5" x14ac:dyDescent="0.3">
      <c r="B26" s="2">
        <v>3</v>
      </c>
      <c r="C26" s="35" t="s">
        <v>95</v>
      </c>
      <c r="D26" s="45">
        <f>+D66</f>
        <v>45830</v>
      </c>
      <c r="E26" s="59">
        <f t="shared" si="0"/>
        <v>151500</v>
      </c>
    </row>
    <row r="27" spans="1:5" x14ac:dyDescent="0.3">
      <c r="B27" s="2">
        <v>4</v>
      </c>
      <c r="C27" s="35" t="s">
        <v>96</v>
      </c>
      <c r="D27" s="45">
        <f>+D95</f>
        <v>291000</v>
      </c>
      <c r="E27" s="59">
        <f t="shared" si="0"/>
        <v>961980</v>
      </c>
    </row>
    <row r="28" spans="1:5" x14ac:dyDescent="0.3">
      <c r="B28" s="2">
        <v>5</v>
      </c>
      <c r="C28" s="35" t="s">
        <v>97</v>
      </c>
      <c r="D28" s="45">
        <f>+D119</f>
        <v>152310</v>
      </c>
      <c r="E28" s="59">
        <f t="shared" si="0"/>
        <v>503500</v>
      </c>
    </row>
    <row r="29" spans="1:5" x14ac:dyDescent="0.3">
      <c r="B29" s="2">
        <v>6</v>
      </c>
      <c r="C29" s="35" t="s">
        <v>98</v>
      </c>
      <c r="D29" s="45">
        <f>+D133</f>
        <v>171360</v>
      </c>
      <c r="E29" s="59">
        <f t="shared" si="0"/>
        <v>566480</v>
      </c>
    </row>
    <row r="30" spans="1:5" x14ac:dyDescent="0.3">
      <c r="B30" s="2">
        <v>7</v>
      </c>
      <c r="C30" s="35" t="s">
        <v>99</v>
      </c>
      <c r="D30" s="45">
        <f>+D146</f>
        <v>59140</v>
      </c>
      <c r="E30" s="59">
        <f t="shared" si="0"/>
        <v>195500</v>
      </c>
    </row>
    <row r="31" spans="1:5" x14ac:dyDescent="0.3">
      <c r="B31" s="2">
        <v>8</v>
      </c>
      <c r="C31" s="35" t="s">
        <v>100</v>
      </c>
      <c r="D31" s="45">
        <f>+D154</f>
        <v>33640</v>
      </c>
      <c r="E31" s="59">
        <f t="shared" si="0"/>
        <v>111200</v>
      </c>
    </row>
    <row r="32" spans="1:5" x14ac:dyDescent="0.3">
      <c r="B32" s="2">
        <v>9</v>
      </c>
      <c r="C32" s="35" t="s">
        <v>101</v>
      </c>
      <c r="D32" s="45">
        <f>+D161</f>
        <v>24590</v>
      </c>
      <c r="E32" s="59">
        <f t="shared" si="0"/>
        <v>81280</v>
      </c>
    </row>
    <row r="33" spans="1:7" x14ac:dyDescent="0.3">
      <c r="B33" s="2">
        <v>10</v>
      </c>
      <c r="C33" s="35" t="s">
        <v>154</v>
      </c>
      <c r="D33" s="53">
        <f>TRUNC(SUM(D24:D32)*0.275,-1)</f>
        <v>432430</v>
      </c>
      <c r="E33" s="60">
        <f t="shared" si="0"/>
        <v>1429520</v>
      </c>
    </row>
    <row r="34" spans="1:7" x14ac:dyDescent="0.3">
      <c r="C34" s="35" t="s">
        <v>112</v>
      </c>
      <c r="D34" s="44">
        <f>SUM(D24:D33)</f>
        <v>2004910</v>
      </c>
      <c r="E34" s="44">
        <f>SUM(E24:E33)</f>
        <v>6627780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TRUNC(43646,-1)</f>
        <v>43640</v>
      </c>
      <c r="E40" s="62">
        <f t="shared" ref="E40:E59" si="1">TRUNC(+D40*3.3058,-1)</f>
        <v>144260</v>
      </c>
    </row>
    <row r="41" spans="1:7" x14ac:dyDescent="0.3">
      <c r="A41" s="2">
        <v>2</v>
      </c>
      <c r="C41" s="38" t="s">
        <v>13</v>
      </c>
      <c r="D41" s="42">
        <f>TRUNC(100395,-1)</f>
        <v>100390</v>
      </c>
      <c r="E41" s="63">
        <f t="shared" si="1"/>
        <v>331860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TRUNC(10127,-1)</f>
        <v>10120</v>
      </c>
      <c r="E43" s="63">
        <f t="shared" si="1"/>
        <v>33450</v>
      </c>
    </row>
    <row r="44" spans="1:7" x14ac:dyDescent="0.3">
      <c r="A44" s="2">
        <v>5</v>
      </c>
      <c r="C44" s="38" t="s">
        <v>17</v>
      </c>
      <c r="D44" s="42">
        <f>TRUNC(28887,-1)</f>
        <v>28880</v>
      </c>
      <c r="E44" s="63">
        <f t="shared" si="1"/>
        <v>95470</v>
      </c>
    </row>
    <row r="45" spans="1:7" x14ac:dyDescent="0.3">
      <c r="A45" s="2">
        <v>6</v>
      </c>
      <c r="C45" s="38" t="s">
        <v>18</v>
      </c>
      <c r="D45" s="42">
        <v>8510</v>
      </c>
      <c r="E45" s="63">
        <f t="shared" si="1"/>
        <v>28130</v>
      </c>
    </row>
    <row r="46" spans="1:7" x14ac:dyDescent="0.3">
      <c r="A46" s="2">
        <v>7</v>
      </c>
      <c r="C46" s="38" t="s">
        <v>19</v>
      </c>
      <c r="D46" s="42">
        <f>TRUNC(36368,-1)</f>
        <v>36360</v>
      </c>
      <c r="E46" s="63">
        <f t="shared" si="1"/>
        <v>120190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TRUNC(49794,-1)</f>
        <v>49790</v>
      </c>
      <c r="E48" s="63">
        <f t="shared" si="1"/>
        <v>164590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TRUNC(21595,-1)</f>
        <v>21590</v>
      </c>
      <c r="E49" s="63">
        <f t="shared" si="1"/>
        <v>71370</v>
      </c>
    </row>
    <row r="50" spans="1:7" x14ac:dyDescent="0.3">
      <c r="A50" s="2">
        <v>11</v>
      </c>
      <c r="C50" s="38" t="s">
        <v>155</v>
      </c>
      <c r="D50" s="42">
        <f>TRUNC(55326,-1)</f>
        <v>55320</v>
      </c>
      <c r="E50" s="63">
        <f t="shared" si="1"/>
        <v>182870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TRUNC(17202,-1)</f>
        <v>17200</v>
      </c>
      <c r="E52" s="63">
        <f t="shared" si="1"/>
        <v>56850</v>
      </c>
    </row>
    <row r="53" spans="1:7" x14ac:dyDescent="0.3">
      <c r="A53" s="2">
        <v>14</v>
      </c>
      <c r="C53" s="38" t="s">
        <v>25</v>
      </c>
      <c r="D53" s="42">
        <f>TRUNC(81328,-1)</f>
        <v>81320</v>
      </c>
      <c r="E53" s="63">
        <f t="shared" si="1"/>
        <v>268820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TRUNC(15650+13016+5381-382+928+93162,-1)</f>
        <v>127750</v>
      </c>
      <c r="E58" s="63">
        <f t="shared" si="1"/>
        <v>422310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TRUNC(213746,-1)</f>
        <v>213740</v>
      </c>
      <c r="E59" s="64">
        <f t="shared" si="1"/>
        <v>706580</v>
      </c>
    </row>
    <row r="60" spans="1:7" x14ac:dyDescent="0.3">
      <c r="A60" s="2">
        <v>21</v>
      </c>
      <c r="C60" s="27" t="s">
        <v>112</v>
      </c>
      <c r="D60" s="39">
        <f>SUM(D40:D59)</f>
        <v>794610</v>
      </c>
      <c r="E60" s="39">
        <f>SUM(E40:E59)</f>
        <v>2626750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TRUNC(38308,-1)</f>
        <v>38300</v>
      </c>
      <c r="E63" s="62">
        <f>TRUNC(+D63*3.3058,-1)</f>
        <v>126610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TRUNC(7535,-1)</f>
        <v>7530</v>
      </c>
      <c r="E65" s="64">
        <f>TRUNC(+D65*3.3058,-1)</f>
        <v>24890</v>
      </c>
    </row>
    <row r="66" spans="1:7" x14ac:dyDescent="0.3">
      <c r="A66" s="2">
        <v>4</v>
      </c>
      <c r="C66" s="27" t="s">
        <v>112</v>
      </c>
      <c r="D66" s="39">
        <f>SUM(D63:D65)</f>
        <v>45830</v>
      </c>
      <c r="E66" s="65">
        <f>SUM(E63:E65)</f>
        <v>151500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5190</v>
      </c>
      <c r="E69" s="62">
        <f t="shared" ref="E69:E94" si="2">TRUNC(+D69*3.3058,-1)</f>
        <v>17150</v>
      </c>
    </row>
    <row r="70" spans="1:7" ht="16.5" customHeight="1" x14ac:dyDescent="0.3">
      <c r="A70" s="2">
        <v>2</v>
      </c>
      <c r="C70" s="38" t="s">
        <v>31</v>
      </c>
      <c r="D70" s="42">
        <f>TRUNC(1532,-1)</f>
        <v>1530</v>
      </c>
      <c r="E70" s="63">
        <f t="shared" si="2"/>
        <v>5050</v>
      </c>
    </row>
    <row r="71" spans="1:7" x14ac:dyDescent="0.3">
      <c r="A71" s="2">
        <v>3</v>
      </c>
      <c r="C71" s="38" t="s">
        <v>32</v>
      </c>
      <c r="D71" s="42">
        <f>TRUNC(9954,-1)</f>
        <v>9950</v>
      </c>
      <c r="E71" s="63">
        <f t="shared" si="2"/>
        <v>32890</v>
      </c>
    </row>
    <row r="72" spans="1:7" x14ac:dyDescent="0.3">
      <c r="A72" s="2">
        <v>4</v>
      </c>
      <c r="C72" s="38" t="s">
        <v>33</v>
      </c>
      <c r="D72" s="42">
        <f>TRUNC(2723,-1)</f>
        <v>2720</v>
      </c>
      <c r="E72" s="63">
        <f t="shared" si="2"/>
        <v>8990</v>
      </c>
    </row>
    <row r="73" spans="1:7" x14ac:dyDescent="0.3">
      <c r="A73" s="2">
        <v>5</v>
      </c>
      <c r="C73" s="38" t="s">
        <v>34</v>
      </c>
      <c r="D73" s="42">
        <f>TRUNC(28841,-1)</f>
        <v>28840</v>
      </c>
      <c r="E73" s="63">
        <f t="shared" si="2"/>
        <v>95330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TRUNC(525,-1)</f>
        <v>520</v>
      </c>
      <c r="E75" s="63">
        <f t="shared" si="2"/>
        <v>1710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TRUNC(2071,-1)</f>
        <v>2070</v>
      </c>
      <c r="E90" s="63">
        <f t="shared" si="2"/>
        <v>6840</v>
      </c>
    </row>
    <row r="91" spans="1:7" x14ac:dyDescent="0.3">
      <c r="A91" s="2">
        <v>23</v>
      </c>
      <c r="C91" s="38" t="s">
        <v>37</v>
      </c>
      <c r="D91" s="42">
        <f>TRUNC(21954,-1)</f>
        <v>21950</v>
      </c>
      <c r="E91" s="63">
        <f t="shared" si="2"/>
        <v>72560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TRUNC(182291,-1)</f>
        <v>182290</v>
      </c>
      <c r="E93" s="63">
        <f t="shared" si="2"/>
        <v>602610</v>
      </c>
    </row>
    <row r="94" spans="1:7" ht="17.25" thickBot="1" x14ac:dyDescent="0.35">
      <c r="A94" s="2">
        <v>26</v>
      </c>
      <c r="C94" s="38" t="s">
        <v>47</v>
      </c>
      <c r="D94" s="43">
        <f>TRUNC(22259+1179+194+12315,-1)</f>
        <v>35940</v>
      </c>
      <c r="E94" s="64">
        <f t="shared" si="2"/>
        <v>118810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291000</v>
      </c>
      <c r="E95" s="39">
        <f>SUM(E69:E94)</f>
        <v>961940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TRUNC(10736,-1)</f>
        <v>10730</v>
      </c>
      <c r="E98" s="62">
        <f t="shared" ref="E98:E118" si="3">TRUNC(+D98*3.3058,-1)</f>
        <v>35470</v>
      </c>
    </row>
    <row r="99" spans="1:7" x14ac:dyDescent="0.3">
      <c r="A99" s="2">
        <v>2</v>
      </c>
      <c r="C99" s="38" t="s">
        <v>40</v>
      </c>
      <c r="D99" s="42">
        <f>TRUNC(7409,-1)</f>
        <v>7400</v>
      </c>
      <c r="E99" s="63">
        <f t="shared" si="3"/>
        <v>24460</v>
      </c>
    </row>
    <row r="100" spans="1:7" x14ac:dyDescent="0.3">
      <c r="A100" s="2">
        <v>3</v>
      </c>
      <c r="C100" s="38" t="s">
        <v>41</v>
      </c>
      <c r="D100" s="42">
        <f>TRUNC(27982,-1)</f>
        <v>27980</v>
      </c>
      <c r="E100" s="63">
        <f t="shared" si="3"/>
        <v>92490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15210</v>
      </c>
      <c r="E102" s="63">
        <f t="shared" si="3"/>
        <v>50280</v>
      </c>
    </row>
    <row r="103" spans="1:7" x14ac:dyDescent="0.3">
      <c r="A103" s="2">
        <v>6</v>
      </c>
      <c r="C103" s="38" t="s">
        <v>44</v>
      </c>
      <c r="D103" s="42">
        <f>TRUNC(10085,-1)</f>
        <v>10080</v>
      </c>
      <c r="E103" s="63">
        <f t="shared" si="3"/>
        <v>33320</v>
      </c>
    </row>
    <row r="104" spans="1:7" x14ac:dyDescent="0.3">
      <c r="A104" s="2">
        <v>7</v>
      </c>
      <c r="C104" s="38" t="s">
        <v>45</v>
      </c>
      <c r="D104" s="42">
        <f>TRUNC(2685,-1)</f>
        <v>2680</v>
      </c>
      <c r="E104" s="63">
        <f t="shared" si="3"/>
        <v>8850</v>
      </c>
    </row>
    <row r="105" spans="1:7" x14ac:dyDescent="0.3">
      <c r="A105" s="2">
        <v>8</v>
      </c>
      <c r="C105" s="38" t="s">
        <v>46</v>
      </c>
      <c r="D105" s="42">
        <f>TRUNC(3638,-1)</f>
        <v>3630</v>
      </c>
      <c r="E105" s="63">
        <f t="shared" si="3"/>
        <v>12000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1060</v>
      </c>
      <c r="E114" s="63">
        <f t="shared" si="3"/>
        <v>3500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TRUNC(2734,-1)</f>
        <v>2730</v>
      </c>
      <c r="E116" s="63">
        <f t="shared" si="3"/>
        <v>9020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TRUNC(70402,-1)</f>
        <v>70400</v>
      </c>
      <c r="E117" s="63">
        <f t="shared" si="3"/>
        <v>232720</v>
      </c>
    </row>
    <row r="118" spans="1:7" ht="17.25" thickBot="1" x14ac:dyDescent="0.35">
      <c r="A118" s="2">
        <v>21</v>
      </c>
      <c r="C118" s="38" t="s">
        <v>47</v>
      </c>
      <c r="D118" s="43">
        <f>TRUNC(414,-1)</f>
        <v>410</v>
      </c>
      <c r="E118" s="64">
        <f t="shared" si="3"/>
        <v>1350</v>
      </c>
    </row>
    <row r="119" spans="1:7" x14ac:dyDescent="0.3">
      <c r="A119" s="2">
        <v>22</v>
      </c>
      <c r="C119" s="27" t="s">
        <v>112</v>
      </c>
      <c r="D119" s="39">
        <f>SUM(D98:D118)</f>
        <v>152310</v>
      </c>
      <c r="E119" s="39">
        <f>SUM(E98:E118)</f>
        <v>503460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4770</v>
      </c>
      <c r="E122" s="62">
        <f t="shared" ref="E122:E132" si="4">TRUNC(+D122*3.3058,-1)</f>
        <v>15760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TRUNC(709,-1)</f>
        <v>700</v>
      </c>
      <c r="E124" s="63">
        <f t="shared" si="4"/>
        <v>2310</v>
      </c>
    </row>
    <row r="125" spans="1:7" x14ac:dyDescent="0.3">
      <c r="A125" s="2">
        <v>4</v>
      </c>
      <c r="C125" s="38" t="s">
        <v>138</v>
      </c>
      <c r="D125" s="42">
        <f>TRUNC(7097,-1)</f>
        <v>7090</v>
      </c>
      <c r="E125" s="63">
        <f t="shared" si="4"/>
        <v>23430</v>
      </c>
    </row>
    <row r="126" spans="1:7" x14ac:dyDescent="0.3">
      <c r="A126" s="2">
        <v>5</v>
      </c>
      <c r="C126" s="38" t="s">
        <v>53</v>
      </c>
      <c r="D126" s="42">
        <f>TRUNC(5814,-1)</f>
        <v>5810</v>
      </c>
      <c r="E126" s="63">
        <f t="shared" si="4"/>
        <v>19200</v>
      </c>
    </row>
    <row r="127" spans="1:7" x14ac:dyDescent="0.3">
      <c r="A127" s="2">
        <v>6</v>
      </c>
      <c r="C127" s="38" t="s">
        <v>56</v>
      </c>
      <c r="D127" s="42">
        <f>TRUNC(2426,-1)</f>
        <v>2420</v>
      </c>
      <c r="E127" s="63">
        <f t="shared" si="4"/>
        <v>8000</v>
      </c>
    </row>
    <row r="128" spans="1:7" x14ac:dyDescent="0.3">
      <c r="A128" s="2">
        <v>7</v>
      </c>
      <c r="C128" s="38" t="s">
        <v>46</v>
      </c>
      <c r="D128" s="42">
        <f>TRUNC(5166,-1)</f>
        <v>5160</v>
      </c>
      <c r="E128" s="63">
        <f t="shared" si="4"/>
        <v>17050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TRUNC(32725,-1)</f>
        <v>32720</v>
      </c>
      <c r="E130" s="63">
        <f t="shared" si="4"/>
        <v>108160</v>
      </c>
    </row>
    <row r="131" spans="1:7" x14ac:dyDescent="0.3">
      <c r="A131" s="2">
        <v>10</v>
      </c>
      <c r="C131" s="38" t="s">
        <v>148</v>
      </c>
      <c r="D131" s="42">
        <f>TRUNC(104837,-1)</f>
        <v>104830</v>
      </c>
      <c r="E131" s="63">
        <f t="shared" si="4"/>
        <v>346540</v>
      </c>
    </row>
    <row r="132" spans="1:7" ht="18" thickBot="1" x14ac:dyDescent="0.35">
      <c r="A132" s="2">
        <v>11</v>
      </c>
      <c r="C132" s="38" t="s">
        <v>47</v>
      </c>
      <c r="D132" s="43">
        <f>TRUNC(6555+401+907,-1)</f>
        <v>7860</v>
      </c>
      <c r="E132" s="64">
        <f t="shared" si="4"/>
        <v>25980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171360</v>
      </c>
      <c r="E133" s="39">
        <f>SUM(E122:E132)</f>
        <v>566430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TRUNC(903+1837+2503,-1)</f>
        <v>5240</v>
      </c>
      <c r="E137" s="63">
        <f t="shared" si="5"/>
        <v>17320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f>TRUNC(1413,-1)</f>
        <v>1410</v>
      </c>
      <c r="E138" s="63">
        <f t="shared" si="5"/>
        <v>4660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TRUNC(1127,-1)</f>
        <v>1120</v>
      </c>
      <c r="E140" s="63">
        <f t="shared" si="5"/>
        <v>3700</v>
      </c>
    </row>
    <row r="141" spans="1:7" x14ac:dyDescent="0.3">
      <c r="A141" s="2">
        <v>6</v>
      </c>
      <c r="C141" s="38" t="s">
        <v>59</v>
      </c>
      <c r="D141" s="42">
        <f>TRUNC(28874,-1)</f>
        <v>28870</v>
      </c>
      <c r="E141" s="63">
        <f t="shared" si="5"/>
        <v>95430</v>
      </c>
    </row>
    <row r="142" spans="1:7" x14ac:dyDescent="0.3">
      <c r="A142" s="2">
        <v>7</v>
      </c>
      <c r="C142" s="38" t="s">
        <v>58</v>
      </c>
      <c r="D142" s="42">
        <f>TRUNC(3615,-1)</f>
        <v>3610</v>
      </c>
      <c r="E142" s="63">
        <f t="shared" si="5"/>
        <v>11930</v>
      </c>
    </row>
    <row r="143" spans="1:7" x14ac:dyDescent="0.3">
      <c r="A143" s="2">
        <v>8</v>
      </c>
      <c r="C143" s="38" t="s">
        <v>62</v>
      </c>
      <c r="D143" s="42">
        <f>TRUNC(4735,-1)</f>
        <v>4730</v>
      </c>
      <c r="E143" s="63">
        <f t="shared" si="5"/>
        <v>15630</v>
      </c>
    </row>
    <row r="144" spans="1:7" x14ac:dyDescent="0.3">
      <c r="A144" s="2">
        <v>9</v>
      </c>
      <c r="C144" s="38" t="s">
        <v>63</v>
      </c>
      <c r="D144" s="42">
        <f>TRUNC(14167,-1)</f>
        <v>14160</v>
      </c>
      <c r="E144" s="63">
        <f t="shared" si="5"/>
        <v>46810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59140</v>
      </c>
      <c r="E146" s="39">
        <f>SUM(E136:E145)</f>
        <v>195480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TRUNC(12925,-1)</f>
        <v>12920</v>
      </c>
      <c r="E149" s="62">
        <f>TRUNC(+D149*3.3058,-1)</f>
        <v>42710</v>
      </c>
    </row>
    <row r="150" spans="1:7" x14ac:dyDescent="0.3">
      <c r="A150" s="2">
        <v>2</v>
      </c>
      <c r="C150" s="38" t="s">
        <v>49</v>
      </c>
      <c r="D150" s="42">
        <f>TRUNC(1575,-1)</f>
        <v>1570</v>
      </c>
      <c r="E150" s="63">
        <f>TRUNC(+D150*3.3058,-1)</f>
        <v>5190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TRUNC(485+3411+300,-1)</f>
        <v>4190</v>
      </c>
      <c r="E152" s="63">
        <f>TRUNC(+D152*3.3058,-1)</f>
        <v>13850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TRUNC(14968,-1)</f>
        <v>14960</v>
      </c>
      <c r="E153" s="64">
        <f>TRUNC(+D153*3.3058,-1)</f>
        <v>49450</v>
      </c>
    </row>
    <row r="154" spans="1:7" x14ac:dyDescent="0.3">
      <c r="A154" s="2">
        <v>6</v>
      </c>
      <c r="C154" s="27" t="s">
        <v>112</v>
      </c>
      <c r="D154" s="39">
        <f>SUM(D149:D153)</f>
        <v>33640</v>
      </c>
      <c r="E154" s="39">
        <f>SUM(E149:E153)</f>
        <v>111200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TRUNC(12406,-1)</f>
        <v>12400</v>
      </c>
      <c r="E157" s="62">
        <f>TRUNC(+D157*3.3058,-1)</f>
        <v>40990</v>
      </c>
    </row>
    <row r="158" spans="1:7" x14ac:dyDescent="0.3">
      <c r="A158" s="2">
        <v>2</v>
      </c>
      <c r="C158" s="38" t="s">
        <v>52</v>
      </c>
      <c r="D158" s="42">
        <f>TRUNC(1901,-1)</f>
        <v>1900</v>
      </c>
      <c r="E158" s="63">
        <f>TRUNC(+D158*3.3058,-1)</f>
        <v>6280</v>
      </c>
    </row>
    <row r="159" spans="1:7" x14ac:dyDescent="0.3">
      <c r="A159" s="2">
        <v>3</v>
      </c>
      <c r="C159" s="38" t="s">
        <v>47</v>
      </c>
      <c r="D159" s="42">
        <f>TRUNC(9093+1199,-1)</f>
        <v>10290</v>
      </c>
      <c r="E159" s="63">
        <f>TRUNC(+D159*3.3058,-1)</f>
        <v>34010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24590</v>
      </c>
      <c r="E161" s="39">
        <f>SUM(E156:E160)</f>
        <v>81280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2020-12-08T01:43:11Z</dcterms:modified>
</cp:coreProperties>
</file>