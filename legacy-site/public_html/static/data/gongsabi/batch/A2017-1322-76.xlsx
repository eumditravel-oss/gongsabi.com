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0" i="4" l="1"/>
  <c r="D149" i="4"/>
  <c r="D144" i="4"/>
  <c r="D142" i="4"/>
  <c r="D140" i="4"/>
  <c r="D139" i="4"/>
  <c r="D137" i="4"/>
  <c r="D132" i="4"/>
  <c r="D131" i="4"/>
  <c r="D130" i="4"/>
  <c r="D128" i="4"/>
  <c r="D127" i="4"/>
  <c r="D125" i="4"/>
  <c r="D124" i="4"/>
  <c r="D122" i="4"/>
  <c r="D118" i="4"/>
  <c r="D117" i="4"/>
  <c r="D105" i="4"/>
  <c r="D104" i="4"/>
  <c r="D102" i="4"/>
  <c r="D100" i="4"/>
  <c r="D94" i="4"/>
  <c r="D92" i="4"/>
  <c r="D91" i="4"/>
  <c r="D76" i="4"/>
  <c r="D73" i="4"/>
  <c r="D71" i="4"/>
  <c r="D70" i="4"/>
  <c r="D69" i="4"/>
  <c r="D63" i="4"/>
  <c r="D59" i="4"/>
  <c r="D58" i="4"/>
  <c r="D53" i="4"/>
  <c r="D50" i="4"/>
  <c r="D48" i="4"/>
  <c r="D46" i="4"/>
  <c r="D45" i="4"/>
  <c r="D44" i="4"/>
  <c r="D43" i="4"/>
  <c r="D41" i="4"/>
  <c r="D40" i="4"/>
  <c r="D152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<sst xmlns="http://schemas.openxmlformats.org/spreadsheetml/2006/main" count="391" uniqueCount="267">
  <si>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</si>
  <si>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</si>
  <si>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</si>
  <si>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</si>
  <si>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</si>
  <si>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</si>
  <si>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</si>
  <si>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</si>
  <si>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</si>
  <si>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</si>
  <si>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</si>
  <si>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</si>
  <si>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</si>
  <si>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</si>
  <si>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</si>
  <si>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</si>
  <si>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</si>
  <si>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</si>
  <si>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</si>
  <si>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</si>
  <si>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</si>
  <si>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</si>
  <si>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</si>
  <si>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</si>
  <si>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</si>
  <si>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</si>
  <si>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</si>
  <si>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</si>
  <si>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</si>
  <si>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</si>
  <si>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</si>
  <si>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</si>
  <si>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</si>
  <si>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</si>
  <si>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</si>
  <si>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</si>
  <si>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</si>
  <si>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</si>
  <si>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</si>
  <si>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</si>
  <si>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</si>
  <si>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</si>
  <si>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</si>
  <si>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</si>
  <si>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</si>
  <si>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</si>
  <si>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</si>
  <si>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</si>
  <si>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</si>
  <si>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</si>
  <si>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</si>
  <si>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</si>
  <si>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</si>
  <si>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</si>
  <si>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</si>
  <si>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</si>
  <si>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</si>
  <si>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</si>
  <si>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</si>
  <si>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</si>
  <si>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</si>
  <si>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</si>
  <si>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</si>
  <si>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</si>
  <si>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</si>
  <si>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</si>
  <si>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</si>
  <si>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</si>
  <si>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</si>
  <si>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</si>
  <si>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</si>
  <si>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</si>
  <si>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</si>
  <si>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</si>
  <si>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</si>
  <si>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</si>
  <si>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</si>
  <si>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</si>
  <si>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</si>
  <si>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</si>
  <si>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</si>
  <si>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</si>
  <si>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</si>
  <si>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</si>
  <si>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</si>
  <si>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</si>
  <si>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</si>
  <si>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</si>
  <si>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</si>
  <si>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</si>
  <si>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</si>
  <si>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</si>
  <si>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</si>
  <si>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</si>
  <si>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</si>
  <si>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</si>
  <si>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</si>
  <si>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</si>
  <si>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</si>
  <si>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</si>
  <si>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</si>
  <si>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</si>
  <si>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</si>
  <si>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</si>
  <si>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</si>
  <si>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</si>
  <si>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</si>
  <si>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</si>
  <si>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</si>
  <si>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</si>
  <si>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</si>
  <si>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</si>
  <si>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</si>
  <si>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</si>
  <si>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</si>
  <si>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</si>
  <si>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</si>
  <si>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</si>
  <si>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</si>
  <si>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</si>
  <si>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</si>
  <si>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</si>
  <si>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</si>
  <si>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</si>
  <si>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</si>
  <si>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</si>
  <si>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</si>
  <si>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</si>
  <si>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</si>
  <si>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</si>
  <si>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</si>
  <si>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</si>
  <si>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</si>
  <si>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</si>
  <si>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</si>
  <si>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</si>
  <si>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</si>
  <si>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</si>
  <si>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</si>
  <si>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</si>
  <si>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</si>
  <si>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</si>
  <si>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</si>
  <si>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</si>
  <si>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</si>
  <si>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</si>
  <si>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</si>
  <si>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</si>
  <si>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</si>
  <si>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</si>
  <si>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</si>
  <si>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</si>
  <si>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</si>
  <si>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</si>
  <si>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</si>
  <si>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</si>
  <si>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</si>
  <si>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</si>
  <si>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</si>
  <si>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</si>
  <si>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</si>
  <si>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</si>
  <si>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</si>
  <si>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</si>
  <si>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</si>
  <si>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</si>
  <si>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</si>
  <si>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</si>
  <si>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</si>
  <si>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</si>
  <si>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</si>
  <si>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</si>
  <si>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</si>
  <si>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</si>
  <si>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</si>
  <si>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</si>
  <si>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</si>
  <si>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</si>
  <si>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</si>
  <si>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</si>
  <si>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</si>
  <si>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</si>
  <si>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</si>
  <si>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</si>
  <si>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</si>
  <si>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</si>
  <si>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</si>
  <si>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</si>
  <si>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</si>
  <si>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</si>
  <si>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</si>
  <si>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</si>
  <si>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</si>
  <si>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</si>
  <si>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</si>
  <si>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</si>
  <si>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</si>
  <si>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</si>
  <si>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</si>
  <si>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</si>
  <si>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</si>
  <si>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</si>
  <si>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</si>
  <si>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</si>
  <si>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</si>
  <si>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</si>
  <si>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</si>
  <si>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</si>
  <si>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</si>
  <si>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</si>
  <si>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</si>
  <si>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</si>
  <si>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</si>
  <si>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</si>
  <si>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</si>
  <si>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</si>
  <si>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</si>
  <si>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</si>
  <si>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</si>
  <si>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</si>
  <si>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</si>
  <si>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</si>
  <si>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</si>
  <si>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</si>
  <si>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</si>
  <si>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</si>
  <si>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</si>
  <si>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</si>
  <si>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</si>
  <si>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</si>
  <si>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</si>
  <si>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</si>
  <si>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</si>
  <si>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</si>
  <si>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</si>
  <si>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</si>
  <si>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</si>
  <si>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</si>
  <si>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</si>
  <si>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</si>
  <si>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</si>
  <si>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</si>
  <si>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</si>
  <si>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</si>
  <si>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</si>
  <si>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</si>
  <si>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</si>
  <si>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</si>
  <si>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</si>
  <si>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</si>
  <si>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</si>
  <si>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</si>
  <si>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CATV 및 TV 설비공사</t>
    <phoneticPr fontId="2" type="noConversion"/>
  </si>
  <si>
    <t>업무</t>
  </si>
  <si>
    <t>경기도</t>
  </si>
  <si>
    <t>기초공사, 폐기물처리비, 골재비및운반비, 작업부산물, 품질시험비, 기타공사</t>
    <phoneticPr fontId="2" type="noConversion"/>
  </si>
  <si>
    <t>난방배관공사</t>
    <phoneticPr fontId="2" type="noConversion"/>
  </si>
  <si>
    <t>CCTV설비공사, 기타공사</t>
    <phoneticPr fontId="2" type="noConversion"/>
  </si>
  <si>
    <t>펌프실배관공사, 기타공사</t>
    <phoneticPr fontId="2" type="noConversion"/>
  </si>
  <si>
    <t>상수도공사, 운반비, 기타공사</t>
    <phoneticPr fontId="2" type="noConversion"/>
  </si>
  <si>
    <t>파주등기소(시법원) 신축공사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</si>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</sst>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260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253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1892.24</v>
      </c>
      <c r="D7" s="36">
        <f>+C7/3.3058</f>
        <v>572.40002419989105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254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847320</v>
      </c>
      <c r="E25" s="59">
        <f t="shared" si="0"/>
        <v>2801070</v>
      </c>
    </row>
    <row r="26" spans="1:5" x14ac:dyDescent="0.3">
      <c r="B26" s="2">
        <v>3</v>
      </c>
      <c r="C26" s="35" t="s">
        <v>95</v>
      </c>
      <c r="D26" s="45">
        <f>+D66</f>
        <v>8120</v>
      </c>
      <c r="E26" s="59">
        <f t="shared" si="0"/>
        <v>26840</v>
      </c>
    </row>
    <row r="27" spans="1:5" x14ac:dyDescent="0.3">
      <c r="B27" s="2">
        <v>4</v>
      </c>
      <c r="C27" s="35" t="s">
        <v>96</v>
      </c>
      <c r="D27" s="45">
        <f>+D95</f>
        <v>126070</v>
      </c>
      <c r="E27" s="59">
        <f t="shared" si="0"/>
        <v>416760</v>
      </c>
    </row>
    <row r="28" spans="1:5" x14ac:dyDescent="0.3">
      <c r="B28" s="2">
        <v>5</v>
      </c>
      <c r="C28" s="35" t="s">
        <v>97</v>
      </c>
      <c r="D28" s="45">
        <f>+D119</f>
        <v>265480</v>
      </c>
      <c r="E28" s="59">
        <f t="shared" si="0"/>
        <v>877620</v>
      </c>
    </row>
    <row r="29" spans="1:5" x14ac:dyDescent="0.3">
      <c r="B29" s="2">
        <v>6</v>
      </c>
      <c r="C29" s="35" t="s">
        <v>98</v>
      </c>
      <c r="D29" s="45">
        <f>+D133</f>
        <v>123950</v>
      </c>
      <c r="E29" s="59">
        <f t="shared" si="0"/>
        <v>409750</v>
      </c>
    </row>
    <row r="30" spans="1:5" x14ac:dyDescent="0.3">
      <c r="B30" s="2">
        <v>7</v>
      </c>
      <c r="C30" s="35" t="s">
        <v>99</v>
      </c>
      <c r="D30" s="45">
        <f>+D146</f>
        <v>52740</v>
      </c>
      <c r="E30" s="59">
        <f t="shared" si="0"/>
        <v>174340</v>
      </c>
    </row>
    <row r="31" spans="1:5" x14ac:dyDescent="0.3">
      <c r="B31" s="2">
        <v>8</v>
      </c>
      <c r="C31" s="35" t="s">
        <v>100</v>
      </c>
      <c r="D31" s="45">
        <f>+D154</f>
        <v>37560</v>
      </c>
      <c r="E31" s="59">
        <f t="shared" si="0"/>
        <v>124160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401840</v>
      </c>
      <c r="E33" s="60">
        <f t="shared" si="0"/>
        <v>1328400</v>
      </c>
    </row>
    <row r="34" spans="1:7" x14ac:dyDescent="0.3">
      <c r="C34" s="35" t="s">
        <v>112</v>
      </c>
      <c r="D34" s="44">
        <f>SUM(D24:D33)</f>
        <v>1863080</v>
      </c>
      <c r="E34" s="44">
        <f>SUM(E24:E33)</f>
        <v>6158940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261</v>
      </c>
      <c r="D39" s="57" t="s">
        <v>262</v>
      </c>
      <c r="E39" s="57" t="s">
        <v>263</v>
      </c>
      <c r="G39" s="55"/>
    </row>
    <row r="40" spans="1:7" x14ac:dyDescent="0.3">
      <c r="A40" s="2">
        <v>1</v>
      </c>
      <c r="C40" s="38" t="s">
        <v>15</v>
      </c>
      <c r="D40" s="40">
        <f>TRUNC(50332,-1)</f>
        <v>50330</v>
      </c>
      <c r="E40" s="62">
        <f t="shared" ref="E40:E59" si="1">TRUNC(+D40*3.3058,-1)</f>
        <v>166380</v>
      </c>
    </row>
    <row r="41" spans="1:7" x14ac:dyDescent="0.3">
      <c r="A41" s="2">
        <v>2</v>
      </c>
      <c r="C41" s="38" t="s">
        <v>13</v>
      </c>
      <c r="D41" s="42">
        <f>TRUNC(183603,-1)</f>
        <v>183600</v>
      </c>
      <c r="E41" s="63">
        <f t="shared" si="1"/>
        <v>606940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TRUNC(15578,-1)</f>
        <v>15570</v>
      </c>
      <c r="E43" s="63">
        <f t="shared" si="1"/>
        <v>51470</v>
      </c>
    </row>
    <row r="44" spans="1:7" x14ac:dyDescent="0.3">
      <c r="A44" s="2">
        <v>5</v>
      </c>
      <c r="C44" s="38" t="s">
        <v>17</v>
      </c>
      <c r="D44" s="42">
        <f>TRUNC(35028,-1)</f>
        <v>35020</v>
      </c>
      <c r="E44" s="63">
        <f t="shared" si="1"/>
        <v>115760</v>
      </c>
    </row>
    <row r="45" spans="1:7" x14ac:dyDescent="0.3">
      <c r="A45" s="2">
        <v>6</v>
      </c>
      <c r="C45" s="38" t="s">
        <v>18</v>
      </c>
      <c r="D45" s="42">
        <f>TRUNC(12748,-1)</f>
        <v>12740</v>
      </c>
      <c r="E45" s="63">
        <f t="shared" si="1"/>
        <v>42110</v>
      </c>
    </row>
    <row r="46" spans="1:7" x14ac:dyDescent="0.3">
      <c r="A46" s="2">
        <v>7</v>
      </c>
      <c r="C46" s="38" t="s">
        <v>19</v>
      </c>
      <c r="D46" s="42">
        <f>TRUNC(69075,-1)</f>
        <v>69070</v>
      </c>
      <c r="E46" s="63">
        <f t="shared" si="1"/>
        <v>228330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TRUNC(19318,-1)</f>
        <v>19310</v>
      </c>
      <c r="E48" s="63">
        <f t="shared" si="1"/>
        <v>63830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v>32210</v>
      </c>
      <c r="E49" s="63">
        <f t="shared" si="1"/>
        <v>106470</v>
      </c>
    </row>
    <row r="50" spans="1:7" x14ac:dyDescent="0.3">
      <c r="A50" s="2">
        <v>11</v>
      </c>
      <c r="C50" s="38" t="s">
        <v>155</v>
      </c>
      <c r="D50" s="42">
        <f>TRUNC(56404,-1)</f>
        <v>56400</v>
      </c>
      <c r="E50" s="63">
        <f t="shared" si="1"/>
        <v>186440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f>TRUNC(55218,-1)</f>
        <v>55210</v>
      </c>
      <c r="E53" s="63">
        <f t="shared" si="1"/>
        <v>182510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TRUNC(9030+1491+6245-535+8212+2943,-1)</f>
        <v>27380</v>
      </c>
      <c r="E58" s="63">
        <f t="shared" si="1"/>
        <v>90510</v>
      </c>
      <c r="F58" s="2" t="s">
        <v>255</v>
      </c>
    </row>
    <row r="59" spans="1:7" ht="17.25" thickBot="1" x14ac:dyDescent="0.35">
      <c r="A59" s="2">
        <v>20</v>
      </c>
      <c r="C59" s="38" t="s">
        <v>148</v>
      </c>
      <c r="D59" s="43">
        <f>TRUNC(290489,-1)</f>
        <v>290480</v>
      </c>
      <c r="E59" s="64">
        <f t="shared" si="1"/>
        <v>960260</v>
      </c>
    </row>
    <row r="60" spans="1:7" x14ac:dyDescent="0.3">
      <c r="A60" s="2">
        <v>21</v>
      </c>
      <c r="C60" s="27" t="s">
        <v>112</v>
      </c>
      <c r="D60" s="39">
        <f>SUM(D40:D59)</f>
        <v>847320</v>
      </c>
      <c r="E60" s="39">
        <f>SUM(E40:E59)</f>
        <v>2801010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TRUNC(8127,-1)</f>
        <v>8120</v>
      </c>
      <c r="E63" s="62">
        <f>TRUNC(+D63*3.3058,-1)</f>
        <v>26840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8120</v>
      </c>
      <c r="E66" s="65">
        <f>SUM(E63:E65)</f>
        <v>26840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TRUNC(13783,-1)</f>
        <v>13780</v>
      </c>
      <c r="E69" s="62">
        <f t="shared" ref="E69:E94" si="2">TRUNC(+D69*3.3058,-1)</f>
        <v>45550</v>
      </c>
    </row>
    <row r="70" spans="1:7" ht="16.5" customHeight="1" x14ac:dyDescent="0.3">
      <c r="A70" s="2">
        <v>2</v>
      </c>
      <c r="C70" s="38" t="s">
        <v>31</v>
      </c>
      <c r="D70" s="42">
        <f>TRUNC(328,-1)</f>
        <v>320</v>
      </c>
      <c r="E70" s="63">
        <f t="shared" si="2"/>
        <v>1050</v>
      </c>
    </row>
    <row r="71" spans="1:7" x14ac:dyDescent="0.3">
      <c r="A71" s="2">
        <v>3</v>
      </c>
      <c r="C71" s="38" t="s">
        <v>32</v>
      </c>
      <c r="D71" s="42">
        <f>TRUNC(9138,-1)</f>
        <v>9130</v>
      </c>
      <c r="E71" s="63">
        <f t="shared" si="2"/>
        <v>30180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TRUNC(10339,-1)</f>
        <v>10330</v>
      </c>
      <c r="E73" s="63">
        <f t="shared" si="2"/>
        <v>34140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TRUNC(63648,-1)</f>
        <v>63640</v>
      </c>
      <c r="E76" s="63">
        <f t="shared" si="2"/>
        <v>210380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7690</v>
      </c>
      <c r="E89" s="63">
        <f t="shared" si="2"/>
        <v>25420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TRUNC(10529,-1)</f>
        <v>10520</v>
      </c>
      <c r="E91" s="63">
        <f t="shared" si="2"/>
        <v>34770</v>
      </c>
    </row>
    <row r="92" spans="1:7" x14ac:dyDescent="0.3">
      <c r="A92" s="2">
        <v>24</v>
      </c>
      <c r="C92" s="38" t="s">
        <v>38</v>
      </c>
      <c r="D92" s="42">
        <f>TRUNC(9236,-1)</f>
        <v>9230</v>
      </c>
      <c r="E92" s="63">
        <f t="shared" si="2"/>
        <v>30510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TRUNC(1431,-1)</f>
        <v>1430</v>
      </c>
      <c r="E94" s="64">
        <f t="shared" si="2"/>
        <v>4720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126070</v>
      </c>
      <c r="E95" s="39">
        <f>SUM(E69:E94)</f>
        <v>416720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19770</v>
      </c>
      <c r="E98" s="62">
        <f t="shared" ref="E98:E118" si="3">TRUNC(+D98*3.3058,-1)</f>
        <v>65350</v>
      </c>
    </row>
    <row r="99" spans="1:7" x14ac:dyDescent="0.3">
      <c r="A99" s="2">
        <v>2</v>
      </c>
      <c r="C99" s="38" t="s">
        <v>40</v>
      </c>
      <c r="D99" s="42">
        <v>15210</v>
      </c>
      <c r="E99" s="63">
        <f t="shared" si="3"/>
        <v>50280</v>
      </c>
    </row>
    <row r="100" spans="1:7" x14ac:dyDescent="0.3">
      <c r="A100" s="2">
        <v>3</v>
      </c>
      <c r="C100" s="38" t="s">
        <v>41</v>
      </c>
      <c r="D100" s="42">
        <f>TRUNC(46408,-1)</f>
        <v>46400</v>
      </c>
      <c r="E100" s="63">
        <f t="shared" si="3"/>
        <v>153380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TRUNC(25528,-1)</f>
        <v>25520</v>
      </c>
      <c r="E102" s="63">
        <f t="shared" si="3"/>
        <v>84360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TRUNC(10573,-1)</f>
        <v>10570</v>
      </c>
      <c r="E104" s="63">
        <f t="shared" si="3"/>
        <v>34940</v>
      </c>
    </row>
    <row r="105" spans="1:7" x14ac:dyDescent="0.3">
      <c r="A105" s="2">
        <v>8</v>
      </c>
      <c r="C105" s="38" t="s">
        <v>46</v>
      </c>
      <c r="D105" s="42">
        <f>TRUNC(1959,-1)</f>
        <v>1950</v>
      </c>
      <c r="E105" s="63">
        <f t="shared" si="3"/>
        <v>6440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4970</v>
      </c>
      <c r="E114" s="63">
        <f t="shared" si="3"/>
        <v>16420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TRUNC(137554,-1)</f>
        <v>137550</v>
      </c>
      <c r="E117" s="63">
        <f t="shared" si="3"/>
        <v>454710</v>
      </c>
    </row>
    <row r="118" spans="1:7" ht="17.25" thickBot="1" x14ac:dyDescent="0.35">
      <c r="A118" s="2">
        <v>21</v>
      </c>
      <c r="C118" s="38" t="s">
        <v>47</v>
      </c>
      <c r="D118" s="43">
        <f>TRUNC(3547,-1)</f>
        <v>3540</v>
      </c>
      <c r="E118" s="64">
        <f t="shared" si="3"/>
        <v>11700</v>
      </c>
    </row>
    <row r="119" spans="1:7" x14ac:dyDescent="0.3">
      <c r="A119" s="2">
        <v>22</v>
      </c>
      <c r="C119" s="27" t="s">
        <v>112</v>
      </c>
      <c r="D119" s="39">
        <f>SUM(D98:D118)</f>
        <v>265480</v>
      </c>
      <c r="E119" s="39">
        <f>SUM(E98:E118)</f>
        <v>877580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TRUNC(8302,-1)</f>
        <v>8300</v>
      </c>
      <c r="E122" s="62">
        <f t="shared" ref="E122:E132" si="4">TRUNC(+D122*3.3058,-1)</f>
        <v>27430</v>
      </c>
      <c r="F122" s="2" t="s">
        <v>252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TRUNC(873,-1)</f>
        <v>870</v>
      </c>
      <c r="E124" s="63">
        <f t="shared" si="4"/>
        <v>2870</v>
      </c>
    </row>
    <row r="125" spans="1:7" x14ac:dyDescent="0.3">
      <c r="A125" s="2">
        <v>4</v>
      </c>
      <c r="C125" s="38" t="s">
        <v>138</v>
      </c>
      <c r="D125" s="42">
        <f>TRUNC(10531,-1)</f>
        <v>10530</v>
      </c>
      <c r="E125" s="63">
        <f t="shared" si="4"/>
        <v>34810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TRUNC(16142,-1)</f>
        <v>16140</v>
      </c>
      <c r="E127" s="63">
        <f t="shared" si="4"/>
        <v>53350</v>
      </c>
    </row>
    <row r="128" spans="1:7" x14ac:dyDescent="0.3">
      <c r="A128" s="2">
        <v>7</v>
      </c>
      <c r="C128" s="38" t="s">
        <v>46</v>
      </c>
      <c r="D128" s="42">
        <f>TRUNC(2921,-1)</f>
        <v>2920</v>
      </c>
      <c r="E128" s="63">
        <f t="shared" si="4"/>
        <v>9650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TRUNC(29059,-1)</f>
        <v>29050</v>
      </c>
      <c r="E130" s="63">
        <f t="shared" si="4"/>
        <v>96030</v>
      </c>
    </row>
    <row r="131" spans="1:7" x14ac:dyDescent="0.3">
      <c r="A131" s="2">
        <v>10</v>
      </c>
      <c r="C131" s="38" t="s">
        <v>148</v>
      </c>
      <c r="D131" s="42">
        <f>TRUNC(42133,-1)</f>
        <v>42130</v>
      </c>
      <c r="E131" s="63">
        <f t="shared" si="4"/>
        <v>139270</v>
      </c>
    </row>
    <row r="132" spans="1:7" ht="18" thickBot="1" x14ac:dyDescent="0.35">
      <c r="A132" s="2">
        <v>11</v>
      </c>
      <c r="C132" s="38" t="s">
        <v>47</v>
      </c>
      <c r="D132" s="43">
        <f>TRUNC(3081+10937,-1)</f>
        <v>14010</v>
      </c>
      <c r="E132" s="64">
        <f t="shared" si="4"/>
        <v>46310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123950</v>
      </c>
      <c r="E133" s="39">
        <f>SUM(E122:E132)</f>
        <v>409720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TRUNC(5308,-1)</f>
        <v>5300</v>
      </c>
      <c r="E137" s="63">
        <f t="shared" si="5"/>
        <v>17520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TRUNC(1548,-1)</f>
        <v>1540</v>
      </c>
      <c r="E139" s="63">
        <f t="shared" si="5"/>
        <v>5090</v>
      </c>
    </row>
    <row r="140" spans="1:7" x14ac:dyDescent="0.3">
      <c r="A140" s="2">
        <v>5</v>
      </c>
      <c r="C140" s="38" t="s">
        <v>57</v>
      </c>
      <c r="D140" s="42">
        <f>TRUNC(2541,-1)</f>
        <v>2540</v>
      </c>
      <c r="E140" s="63">
        <f t="shared" si="5"/>
        <v>8390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TRUNC(17061,-1)</f>
        <v>17060</v>
      </c>
      <c r="E142" s="63">
        <f t="shared" si="5"/>
        <v>56390</v>
      </c>
    </row>
    <row r="143" spans="1:7" x14ac:dyDescent="0.3">
      <c r="A143" s="2">
        <v>8</v>
      </c>
      <c r="C143" s="38" t="s">
        <v>62</v>
      </c>
      <c r="D143" s="42">
        <v>5750</v>
      </c>
      <c r="E143" s="63">
        <f t="shared" si="5"/>
        <v>19000</v>
      </c>
    </row>
    <row r="144" spans="1:7" x14ac:dyDescent="0.3">
      <c r="A144" s="2">
        <v>9</v>
      </c>
      <c r="C144" s="38" t="s">
        <v>63</v>
      </c>
      <c r="D144" s="42">
        <f>TRUNC(20552,-1)</f>
        <v>20550</v>
      </c>
      <c r="E144" s="63">
        <f t="shared" si="5"/>
        <v>67930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52740</v>
      </c>
      <c r="E146" s="39">
        <f>SUM(E136:E145)</f>
        <v>174320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TRUNC(17839+1065,-1)</f>
        <v>18900</v>
      </c>
      <c r="E149" s="62">
        <f>TRUNC(+D149*3.3058,-1)</f>
        <v>62470</v>
      </c>
    </row>
    <row r="150" spans="1:7" x14ac:dyDescent="0.3">
      <c r="A150" s="2">
        <v>2</v>
      </c>
      <c r="C150" s="38" t="s">
        <v>49</v>
      </c>
      <c r="D150" s="42">
        <f>TRUNC(14261,-1)</f>
        <v>14260</v>
      </c>
      <c r="E150" s="63">
        <f>TRUNC(+D150*3.3058,-1)</f>
        <v>47140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469+147+3784</f>
        <v>4400</v>
      </c>
      <c r="E152" s="63">
        <f>TRUNC(+D152*3.3058,-1)</f>
        <v>14540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37560</v>
      </c>
      <c r="E154" s="39">
        <f>SUM(E149:E153)</f>
        <v>124150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2020-12-08T01:45:18Z</dcterms:modified>
</cp:coreProperties>
</file>