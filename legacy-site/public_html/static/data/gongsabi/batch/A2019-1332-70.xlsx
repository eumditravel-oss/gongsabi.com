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9" i="4"/>
  <c r="D143" i="4"/>
  <c r="D141" i="4"/>
  <c r="D140" i="4"/>
  <c r="D139" i="4"/>
  <c r="D137" i="4"/>
  <c r="D132" i="4"/>
  <c r="D131" i="4"/>
  <c r="D130" i="4"/>
  <c r="D127" i="4"/>
  <c r="D125" i="4"/>
  <c r="D122" i="4"/>
  <c r="D117" i="4"/>
  <c r="D116" i="4"/>
  <c r="D114" i="4"/>
  <c r="D105" i="4"/>
  <c r="D104" i="4"/>
  <c r="D102" i="4"/>
  <c r="D101" i="4"/>
  <c r="D100" i="4"/>
  <c r="D98" i="4"/>
  <c r="D94" i="4"/>
  <c r="D93" i="4"/>
  <c r="D92" i="4"/>
  <c r="D91" i="4"/>
  <c r="D90" i="4"/>
  <c r="D89" i="4"/>
  <c r="D75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<sst xmlns="http://schemas.openxmlformats.org/spreadsheetml/2006/main" count="393" uniqueCount="267">
  <si>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</si>
  <si>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</si>
  <si>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</si>
  <si>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</si>
  <si>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</si>
  <si>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</si>
  <si>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</si>
  <si>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</si>
  <si>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</si>
  <si>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</si>
  <si>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</si>
  <si>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</si>
  <si>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</si>
  <si>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</si>
  <si>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</si>
  <si>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</si>
  <si>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</si>
  <si>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</si>
  <si>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</si>
  <si>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</si>
  <si>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</si>
  <si>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</si>
  <si>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</si>
  <si>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</si>
  <si>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</si>
  <si>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</si>
  <si>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</si>
  <si>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</si>
  <si>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</si>
  <si>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</si>
  <si>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</si>
  <si>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</si>
  <si>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</si>
  <si>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</si>
  <si>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</si>
  <si>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</si>
  <si>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</si>
  <si>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</si>
  <si>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</si>
  <si>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</si>
  <si>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</si>
  <si>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</si>
  <si>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</si>
  <si>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</si>
  <si>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</si>
  <si>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</si>
  <si>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</si>
  <si>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</si>
  <si>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</si>
  <si>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</si>
  <si>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</si>
  <si>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</si>
  <si>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</si>
  <si>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</si>
  <si>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</si>
  <si>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</si>
  <si>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</si>
  <si>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</si>
  <si>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</si>
  <si>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</si>
  <si>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</si>
  <si>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</si>
  <si>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</si>
  <si>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</si>
  <si>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</si>
  <si>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</si>
  <si>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</si>
  <si>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</si>
  <si>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</si>
  <si>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</si>
  <si>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</si>
  <si>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</si>
  <si>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</si>
  <si>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</si>
  <si>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</si>
  <si>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</si>
  <si>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</si>
  <si>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</si>
  <si>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</si>
  <si>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</si>
  <si>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</si>
  <si>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</si>
  <si>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</si>
  <si>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</si>
  <si>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</si>
  <si>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</si>
  <si>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</si>
  <si>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</si>
  <si>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</si>
  <si>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</si>
  <si>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</si>
  <si>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</si>
  <si>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</si>
  <si>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</si>
  <si>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</si>
  <si>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</si>
  <si>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</si>
  <si>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</si>
  <si>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</si>
  <si>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</si>
  <si>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</si>
  <si>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</si>
  <si>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</si>
  <si>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</si>
  <si>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</si>
  <si>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</si>
  <si>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</si>
  <si>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</si>
  <si>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</si>
  <si>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</si>
  <si>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</si>
  <si>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</si>
  <si>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</si>
  <si>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</si>
  <si>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</si>
  <si>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</si>
  <si>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</si>
  <si>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</si>
  <si>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</si>
  <si>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</si>
  <si>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</si>
  <si>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</si>
  <si>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</si>
  <si>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</si>
  <si>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</si>
  <si>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</si>
  <si>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</si>
  <si>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</si>
  <si>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</si>
  <si>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</si>
  <si>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</si>
  <si>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</si>
  <si>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</si>
  <si>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</si>
  <si>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</si>
  <si>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</si>
  <si>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</si>
  <si>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</si>
  <si>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</si>
  <si>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</si>
  <si>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</si>
  <si>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</si>
  <si>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</si>
  <si>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</si>
  <si>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</si>
  <si>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</si>
  <si>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</si>
  <si>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</si>
  <si>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</si>
  <si>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</si>
  <si>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</si>
  <si>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</si>
  <si>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</si>
  <si>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</si>
  <si>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</si>
  <si>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</si>
  <si>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</si>
  <si>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</si>
  <si>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</si>
  <si>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</si>
  <si>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</si>
  <si>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</si>
  <si>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</si>
  <si>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</si>
  <si>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</si>
  <si>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</si>
  <si>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</si>
  <si>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</si>
  <si>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</si>
  <si>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</si>
  <si>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</si>
  <si>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</si>
  <si>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</si>
  <si>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</si>
  <si>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</si>
  <si>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</si>
  <si>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</si>
  <si>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</si>
  <si>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</si>
  <si>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</si>
  <si>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</si>
  <si>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</si>
  <si>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</si>
  <si>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</si>
  <si>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</si>
  <si>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</si>
  <si>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</si>
  <si>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</si>
  <si>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</si>
  <si>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</si>
  <si>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</si>
  <si>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</si>
  <si>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</si>
  <si>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</si>
  <si>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</si>
  <si>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</si>
  <si>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</si>
  <si>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</si>
  <si>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</si>
  <si>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</si>
  <si>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</si>
  <si>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</si>
  <si>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</si>
  <si>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</si>
  <si>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</si>
  <si>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</si>
  <si>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</si>
  <si>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</si>
  <si>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</si>
  <si>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</si>
  <si>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</si>
  <si>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</si>
  <si>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</si>
  <si>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</si>
  <si>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</si>
  <si>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</si>
  <si>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</si>
  <si>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</si>
  <si>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</si>
  <si>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</si>
  <si>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</si>
  <si>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</si>
  <si>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</si>
  <si>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</si>
  <si>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</si>
  <si>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</si>
  <si>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</si>
  <si>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</si>
  <si>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</si>
  <si>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</si>
  <si>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</si>
  <si>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</si>
  <si>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</si>
  <si>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</si>
  <si>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</si>
  <si>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</si>
  <si>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</si>
  <si>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</si>
  <si>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</si>
  <si>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</si>
  <si>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</si>
  <si>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</si>
  <si>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</si>
  <si>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</si>
  <si>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</si>
  <si>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</si>
  <si>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</si>
  <si>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</si>
  <si>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</si>
  <si>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</si>
  <si>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</si>
  <si>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</si>
  <si>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</si>
  <si>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</si>
  <si>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</si>
  <si>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주차관제설비공사</t>
    <phoneticPr fontId="2" type="noConversion"/>
  </si>
  <si>
    <t>포장공사, 기타공사</t>
    <phoneticPr fontId="2" type="noConversion"/>
  </si>
  <si>
    <t>업무</t>
  </si>
  <si>
    <t>남양주북부경찰서 신축사업 건축공사</t>
    <phoneticPr fontId="2" type="noConversion"/>
  </si>
  <si>
    <t>경기도</t>
  </si>
  <si>
    <t>기초공사, 골재비및운반비, 기타공사</t>
    <phoneticPr fontId="2" type="noConversion"/>
  </si>
  <si>
    <t>공조배관공사, 난방배관공사, 우수처리시설공사, 바닥난방공사, 기타공사</t>
    <phoneticPr fontId="2" type="noConversion"/>
  </si>
  <si>
    <t>옥외소화배관공사, 펌프실배관공사, 기타공사</t>
    <phoneticPr fontId="2" type="noConversion"/>
  </si>
  <si>
    <t>상수도공사, 사급자재비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</si>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</sst>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9858</v>
      </c>
      <c r="D7" s="36">
        <f>+C7/3.3058</f>
        <v>2982.0315808578862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842190</v>
      </c>
      <c r="E25" s="59">
        <f t="shared" si="0"/>
        <v>2784110</v>
      </c>
    </row>
    <row r="26" spans="1:5" x14ac:dyDescent="0.3">
      <c r="B26" s="2">
        <v>3</v>
      </c>
      <c r="C26" s="35" t="s">
        <v>95</v>
      </c>
      <c r="D26" s="45">
        <f>+D66</f>
        <v>34690</v>
      </c>
      <c r="E26" s="59">
        <f t="shared" si="0"/>
        <v>114670</v>
      </c>
    </row>
    <row r="27" spans="1:5" x14ac:dyDescent="0.3">
      <c r="B27" s="2">
        <v>4</v>
      </c>
      <c r="C27" s="35" t="s">
        <v>96</v>
      </c>
      <c r="D27" s="45">
        <f>+D95</f>
        <v>395600</v>
      </c>
      <c r="E27" s="59">
        <f t="shared" si="0"/>
        <v>1307770</v>
      </c>
    </row>
    <row r="28" spans="1:5" x14ac:dyDescent="0.3">
      <c r="B28" s="2">
        <v>5</v>
      </c>
      <c r="C28" s="35" t="s">
        <v>97</v>
      </c>
      <c r="D28" s="45">
        <f>+D119</f>
        <v>163260</v>
      </c>
      <c r="E28" s="59">
        <f t="shared" si="0"/>
        <v>539700</v>
      </c>
    </row>
    <row r="29" spans="1:5" x14ac:dyDescent="0.3">
      <c r="B29" s="2">
        <v>6</v>
      </c>
      <c r="C29" s="35" t="s">
        <v>98</v>
      </c>
      <c r="D29" s="45">
        <f>+D133</f>
        <v>157770</v>
      </c>
      <c r="E29" s="59">
        <f t="shared" si="0"/>
        <v>521550</v>
      </c>
    </row>
    <row r="30" spans="1:5" x14ac:dyDescent="0.3">
      <c r="B30" s="2">
        <v>7</v>
      </c>
      <c r="C30" s="35" t="s">
        <v>99</v>
      </c>
      <c r="D30" s="45">
        <f>+D146</f>
        <v>45110</v>
      </c>
      <c r="E30" s="59">
        <f t="shared" si="0"/>
        <v>149120</v>
      </c>
    </row>
    <row r="31" spans="1:5" x14ac:dyDescent="0.3">
      <c r="B31" s="2">
        <v>8</v>
      </c>
      <c r="C31" s="35" t="s">
        <v>100</v>
      </c>
      <c r="D31" s="45">
        <f>+D154</f>
        <v>87070</v>
      </c>
      <c r="E31" s="59">
        <f t="shared" si="0"/>
        <v>287830</v>
      </c>
    </row>
    <row r="32" spans="1:5" x14ac:dyDescent="0.3">
      <c r="B32" s="2">
        <v>9</v>
      </c>
      <c r="C32" s="35" t="s">
        <v>101</v>
      </c>
      <c r="D32" s="45">
        <f>+D161</f>
        <v>50540</v>
      </c>
      <c r="E32" s="59">
        <f t="shared" si="0"/>
        <v>167070</v>
      </c>
    </row>
    <row r="33" spans="1:7" x14ac:dyDescent="0.3">
      <c r="B33" s="2">
        <v>10</v>
      </c>
      <c r="C33" s="35" t="s">
        <v>155</v>
      </c>
      <c r="D33" s="53">
        <f>TRUNC(SUM(D24:D32)*0.275,-1)</f>
        <v>488460</v>
      </c>
      <c r="E33" s="60">
        <f t="shared" si="0"/>
        <v>1614750</v>
      </c>
    </row>
    <row r="34" spans="1:7" x14ac:dyDescent="0.3">
      <c r="C34" s="35" t="s">
        <v>112</v>
      </c>
      <c r="D34" s="44">
        <f>SUM(D24:D33)</f>
        <v>2264690</v>
      </c>
      <c r="E34" s="44">
        <f>SUM(E24:E33)</f>
        <v>7486570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TRUNC(44525,-1)</f>
        <v>44520</v>
      </c>
      <c r="E40" s="62">
        <f t="shared" ref="E40:E59" si="1">TRUNC(+D40*3.3058,-1)</f>
        <v>147170</v>
      </c>
    </row>
    <row r="41" spans="1:7" x14ac:dyDescent="0.3">
      <c r="A41" s="2">
        <v>2</v>
      </c>
      <c r="C41" s="38" t="s">
        <v>13</v>
      </c>
      <c r="D41" s="42">
        <f>TRUNC(139875,-1)</f>
        <v>139870</v>
      </c>
      <c r="E41" s="63">
        <f t="shared" si="1"/>
        <v>462380</v>
      </c>
    </row>
    <row r="42" spans="1:7" x14ac:dyDescent="0.3">
      <c r="A42" s="2">
        <v>3</v>
      </c>
      <c r="C42" s="38" t="s">
        <v>14</v>
      </c>
      <c r="D42" s="42">
        <v>5670</v>
      </c>
      <c r="E42" s="63">
        <f t="shared" si="1"/>
        <v>18740</v>
      </c>
    </row>
    <row r="43" spans="1:7" x14ac:dyDescent="0.3">
      <c r="A43" s="2">
        <v>4</v>
      </c>
      <c r="C43" s="38" t="s">
        <v>16</v>
      </c>
      <c r="D43" s="42">
        <f>TRUNC(17836,-1)</f>
        <v>17830</v>
      </c>
      <c r="E43" s="63">
        <f t="shared" si="1"/>
        <v>58940</v>
      </c>
    </row>
    <row r="44" spans="1:7" x14ac:dyDescent="0.3">
      <c r="A44" s="2">
        <v>5</v>
      </c>
      <c r="C44" s="38" t="s">
        <v>17</v>
      </c>
      <c r="D44" s="42">
        <f>TRUNC(20637,-1)</f>
        <v>20630</v>
      </c>
      <c r="E44" s="63">
        <f t="shared" si="1"/>
        <v>68190</v>
      </c>
    </row>
    <row r="45" spans="1:7" x14ac:dyDescent="0.3">
      <c r="A45" s="2">
        <v>6</v>
      </c>
      <c r="C45" s="38" t="s">
        <v>18</v>
      </c>
      <c r="D45" s="42">
        <f>TRUNC(11143,-1)</f>
        <v>11140</v>
      </c>
      <c r="E45" s="63">
        <f t="shared" si="1"/>
        <v>36820</v>
      </c>
    </row>
    <row r="46" spans="1:7" x14ac:dyDescent="0.3">
      <c r="A46" s="2">
        <v>7</v>
      </c>
      <c r="C46" s="38" t="s">
        <v>19</v>
      </c>
      <c r="D46" s="42">
        <f>TRUNC(6142,-1)</f>
        <v>6140</v>
      </c>
      <c r="E46" s="63">
        <f t="shared" si="1"/>
        <v>20290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TRUNC(124178,-1)</f>
        <v>124170</v>
      </c>
      <c r="E48" s="63">
        <f t="shared" si="1"/>
        <v>410480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TRUNC(11216,-1)</f>
        <v>11210</v>
      </c>
      <c r="E49" s="63">
        <f t="shared" si="1"/>
        <v>37050</v>
      </c>
    </row>
    <row r="50" spans="1:7" x14ac:dyDescent="0.3">
      <c r="A50" s="2">
        <v>11</v>
      </c>
      <c r="C50" s="38" t="s">
        <v>156</v>
      </c>
      <c r="D50" s="42">
        <f>TRUNC(58889,-1)</f>
        <v>58880</v>
      </c>
      <c r="E50" s="63">
        <f t="shared" si="1"/>
        <v>194640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TRUNC(17634,-1)</f>
        <v>17630</v>
      </c>
      <c r="E52" s="63">
        <f t="shared" si="1"/>
        <v>58280</v>
      </c>
    </row>
    <row r="53" spans="1:7" x14ac:dyDescent="0.3">
      <c r="A53" s="2">
        <v>14</v>
      </c>
      <c r="C53" s="38" t="s">
        <v>25</v>
      </c>
      <c r="D53" s="42">
        <f>TRUNC(99402,-1)</f>
        <v>99400</v>
      </c>
      <c r="E53" s="63">
        <f t="shared" si="1"/>
        <v>328590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TRUNC(4078+1554+13702,-1)</f>
        <v>19330</v>
      </c>
      <c r="E58" s="63">
        <f t="shared" si="1"/>
        <v>63900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f>TRUNC(265778,-1)</f>
        <v>265770</v>
      </c>
      <c r="E59" s="64">
        <f t="shared" si="1"/>
        <v>878580</v>
      </c>
    </row>
    <row r="60" spans="1:7" x14ac:dyDescent="0.3">
      <c r="A60" s="2">
        <v>21</v>
      </c>
      <c r="C60" s="27" t="s">
        <v>112</v>
      </c>
      <c r="D60" s="39">
        <f>SUM(D40:D59)</f>
        <v>842190</v>
      </c>
      <c r="E60" s="39">
        <f>SUM(E40:E59)</f>
        <v>2784050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TRUNC(14064,-1)</f>
        <v>14060</v>
      </c>
      <c r="E63" s="62">
        <f>TRUNC(+D63*3.3058,-1)</f>
        <v>46470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TRUNC(20631,-1)</f>
        <v>20630</v>
      </c>
      <c r="E65" s="64">
        <f>TRUNC(+D65*3.3058,-1)</f>
        <v>68190</v>
      </c>
    </row>
    <row r="66" spans="1:7" x14ac:dyDescent="0.3">
      <c r="A66" s="2">
        <v>4</v>
      </c>
      <c r="C66" s="27" t="s">
        <v>112</v>
      </c>
      <c r="D66" s="39">
        <f>SUM(D63:D65)</f>
        <v>34690</v>
      </c>
      <c r="E66" s="65">
        <f>SUM(E63:E65)</f>
        <v>114660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TRUNC(22049,-1)</f>
        <v>22040</v>
      </c>
      <c r="E69" s="62">
        <f t="shared" ref="E69:E94" si="2">TRUNC(+D69*3.3058,-1)</f>
        <v>72850</v>
      </c>
    </row>
    <row r="70" spans="1:7" ht="16.5" customHeight="1" x14ac:dyDescent="0.3">
      <c r="A70" s="2">
        <v>2</v>
      </c>
      <c r="C70" s="38" t="s">
        <v>31</v>
      </c>
      <c r="D70" s="42">
        <f>TRUNC(1463,-1)</f>
        <v>1460</v>
      </c>
      <c r="E70" s="63">
        <f t="shared" si="2"/>
        <v>4820</v>
      </c>
    </row>
    <row r="71" spans="1:7" x14ac:dyDescent="0.3">
      <c r="A71" s="2">
        <v>3</v>
      </c>
      <c r="C71" s="38" t="s">
        <v>32</v>
      </c>
      <c r="D71" s="42">
        <f>TRUNC(16775,-1)</f>
        <v>16770</v>
      </c>
      <c r="E71" s="63">
        <f t="shared" si="2"/>
        <v>55430</v>
      </c>
    </row>
    <row r="72" spans="1:7" x14ac:dyDescent="0.3">
      <c r="A72" s="2">
        <v>4</v>
      </c>
      <c r="C72" s="38" t="s">
        <v>33</v>
      </c>
      <c r="D72" s="42">
        <f>TRUNC(4892,-1)</f>
        <v>4890</v>
      </c>
      <c r="E72" s="63">
        <f t="shared" si="2"/>
        <v>16160</v>
      </c>
    </row>
    <row r="73" spans="1:7" x14ac:dyDescent="0.3">
      <c r="A73" s="2">
        <v>5</v>
      </c>
      <c r="C73" s="38" t="s">
        <v>34</v>
      </c>
      <c r="D73" s="42">
        <v>14360</v>
      </c>
      <c r="E73" s="63">
        <f t="shared" si="2"/>
        <v>47470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TRUNC(513,-1)</f>
        <v>510</v>
      </c>
      <c r="E75" s="63">
        <f t="shared" si="2"/>
        <v>1680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TRUNC(24459,-1)</f>
        <v>24450</v>
      </c>
      <c r="E89" s="63">
        <f t="shared" si="2"/>
        <v>80820</v>
      </c>
    </row>
    <row r="90" spans="1:7" x14ac:dyDescent="0.3">
      <c r="A90" s="2">
        <v>22</v>
      </c>
      <c r="C90" s="38" t="s">
        <v>36</v>
      </c>
      <c r="D90" s="42">
        <f>TRUNC(1654,-1)</f>
        <v>1650</v>
      </c>
      <c r="E90" s="63">
        <f t="shared" si="2"/>
        <v>5450</v>
      </c>
    </row>
    <row r="91" spans="1:7" x14ac:dyDescent="0.3">
      <c r="A91" s="2">
        <v>23</v>
      </c>
      <c r="C91" s="38" t="s">
        <v>37</v>
      </c>
      <c r="D91" s="42">
        <f>TRUNC(13714,-1)</f>
        <v>13710</v>
      </c>
      <c r="E91" s="63">
        <f t="shared" si="2"/>
        <v>45320</v>
      </c>
    </row>
    <row r="92" spans="1:7" x14ac:dyDescent="0.3">
      <c r="A92" s="2">
        <v>24</v>
      </c>
      <c r="C92" s="38" t="s">
        <v>38</v>
      </c>
      <c r="D92" s="42">
        <f>TRUNC(8426,-1)</f>
        <v>8420</v>
      </c>
      <c r="E92" s="63">
        <f t="shared" si="2"/>
        <v>27830</v>
      </c>
    </row>
    <row r="93" spans="1:7" x14ac:dyDescent="0.3">
      <c r="A93" s="2">
        <v>25</v>
      </c>
      <c r="C93" s="38" t="s">
        <v>149</v>
      </c>
      <c r="D93" s="42">
        <f>TRUNC(231608,-1)</f>
        <v>231600</v>
      </c>
      <c r="E93" s="63">
        <f t="shared" si="2"/>
        <v>765620</v>
      </c>
    </row>
    <row r="94" spans="1:7" ht="17.25" thickBot="1" x14ac:dyDescent="0.35">
      <c r="A94" s="2">
        <v>26</v>
      </c>
      <c r="C94" s="38" t="s">
        <v>47</v>
      </c>
      <c r="D94" s="43">
        <f>TRUNC(44204+1144+2646+1597+6150,-1)</f>
        <v>55740</v>
      </c>
      <c r="E94" s="64">
        <f t="shared" si="2"/>
        <v>184260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395600</v>
      </c>
      <c r="E95" s="39">
        <f>SUM(E69:E94)</f>
        <v>1307710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TRUNC(11995,-1)</f>
        <v>11990</v>
      </c>
      <c r="E98" s="62">
        <f t="shared" ref="E98:E118" si="3">TRUNC(+D98*3.3058,-1)</f>
        <v>39630</v>
      </c>
    </row>
    <row r="99" spans="1:7" x14ac:dyDescent="0.3">
      <c r="A99" s="2">
        <v>2</v>
      </c>
      <c r="C99" s="38" t="s">
        <v>40</v>
      </c>
      <c r="D99" s="42">
        <v>16570</v>
      </c>
      <c r="E99" s="63">
        <f t="shared" si="3"/>
        <v>54770</v>
      </c>
    </row>
    <row r="100" spans="1:7" x14ac:dyDescent="0.3">
      <c r="A100" s="2">
        <v>3</v>
      </c>
      <c r="C100" s="38" t="s">
        <v>41</v>
      </c>
      <c r="D100" s="42">
        <f>TRUNC(40377,-1)</f>
        <v>40370</v>
      </c>
      <c r="E100" s="63">
        <f t="shared" si="3"/>
        <v>133450</v>
      </c>
    </row>
    <row r="101" spans="1:7" x14ac:dyDescent="0.3">
      <c r="A101" s="2">
        <v>4</v>
      </c>
      <c r="C101" s="38" t="s">
        <v>42</v>
      </c>
      <c r="D101" s="42">
        <f>TRUNC(499,-1)</f>
        <v>490</v>
      </c>
      <c r="E101" s="63">
        <f t="shared" si="3"/>
        <v>1610</v>
      </c>
    </row>
    <row r="102" spans="1:7" x14ac:dyDescent="0.3">
      <c r="A102" s="2">
        <v>5</v>
      </c>
      <c r="C102" s="38" t="s">
        <v>43</v>
      </c>
      <c r="D102" s="42">
        <f>TRUNC(14783,-1)</f>
        <v>14780</v>
      </c>
      <c r="E102" s="63">
        <f t="shared" si="3"/>
        <v>48850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TRUNC(5269,-1)</f>
        <v>5260</v>
      </c>
      <c r="E104" s="63">
        <f t="shared" si="3"/>
        <v>17380</v>
      </c>
    </row>
    <row r="105" spans="1:7" x14ac:dyDescent="0.3">
      <c r="A105" s="2">
        <v>8</v>
      </c>
      <c r="C105" s="38" t="s">
        <v>46</v>
      </c>
      <c r="D105" s="42">
        <f>TRUNC(6771,-1)</f>
        <v>6770</v>
      </c>
      <c r="E105" s="63">
        <f t="shared" si="3"/>
        <v>22380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TRUNC(3935,-1)</f>
        <v>3930</v>
      </c>
      <c r="E114" s="63">
        <f t="shared" si="3"/>
        <v>12990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TRUNC(4537,-1)</f>
        <v>4530</v>
      </c>
      <c r="E116" s="63">
        <f t="shared" si="3"/>
        <v>14970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TRUNC(58576,-1)</f>
        <v>58570</v>
      </c>
      <c r="E117" s="63">
        <f t="shared" si="3"/>
        <v>193620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163260</v>
      </c>
      <c r="E119" s="39">
        <f>SUM(E98:E118)</f>
        <v>539650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TRUNC(6746,-1)</f>
        <v>6740</v>
      </c>
      <c r="E122" s="62">
        <f t="shared" ref="E122:E132" si="4">TRUNC(+D122*3.3058,-1)</f>
        <v>22280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TRUNC(8009,-1)</f>
        <v>8000</v>
      </c>
      <c r="E125" s="63">
        <f t="shared" si="4"/>
        <v>26440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TRUNC(6821,-1)</f>
        <v>6820</v>
      </c>
      <c r="E127" s="63">
        <f t="shared" si="4"/>
        <v>22540</v>
      </c>
    </row>
    <row r="128" spans="1:7" x14ac:dyDescent="0.3">
      <c r="A128" s="2">
        <v>7</v>
      </c>
      <c r="C128" s="38" t="s">
        <v>46</v>
      </c>
      <c r="D128" s="42">
        <v>8410</v>
      </c>
      <c r="E128" s="63">
        <f t="shared" si="4"/>
        <v>27800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TRUNC(44728,-1)</f>
        <v>44720</v>
      </c>
      <c r="E130" s="63">
        <f t="shared" si="4"/>
        <v>147830</v>
      </c>
    </row>
    <row r="131" spans="1:7" x14ac:dyDescent="0.3">
      <c r="A131" s="2">
        <v>10</v>
      </c>
      <c r="C131" s="38" t="s">
        <v>149</v>
      </c>
      <c r="D131" s="42">
        <f>TRUNC(73889,-1)</f>
        <v>73880</v>
      </c>
      <c r="E131" s="63">
        <f t="shared" si="4"/>
        <v>244230</v>
      </c>
    </row>
    <row r="132" spans="1:7" ht="18" thickBot="1" x14ac:dyDescent="0.35">
      <c r="A132" s="2">
        <v>11</v>
      </c>
      <c r="C132" s="38" t="s">
        <v>47</v>
      </c>
      <c r="D132" s="43">
        <f>TRUNC(5478+3724,-1)</f>
        <v>9200</v>
      </c>
      <c r="E132" s="64">
        <f t="shared" si="4"/>
        <v>30410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157770</v>
      </c>
      <c r="E133" s="39">
        <f>SUM(E122:E132)</f>
        <v>521530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TRUNC(151+2889+13717,-1)</f>
        <v>16750</v>
      </c>
      <c r="E137" s="63">
        <f t="shared" si="5"/>
        <v>55370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TRUNC(1522,-1)</f>
        <v>1520</v>
      </c>
      <c r="E139" s="63">
        <f t="shared" si="5"/>
        <v>5020</v>
      </c>
    </row>
    <row r="140" spans="1:7" x14ac:dyDescent="0.3">
      <c r="A140" s="2">
        <v>5</v>
      </c>
      <c r="C140" s="38" t="s">
        <v>57</v>
      </c>
      <c r="D140" s="42">
        <f>TRUNC(1324,-1)</f>
        <v>1320</v>
      </c>
      <c r="E140" s="63">
        <f t="shared" si="5"/>
        <v>4360</v>
      </c>
    </row>
    <row r="141" spans="1:7" x14ac:dyDescent="0.3">
      <c r="A141" s="2">
        <v>6</v>
      </c>
      <c r="C141" s="38" t="s">
        <v>59</v>
      </c>
      <c r="D141" s="42">
        <f>TRUNC(14923,-1)</f>
        <v>14920</v>
      </c>
      <c r="E141" s="63">
        <f t="shared" si="5"/>
        <v>49320</v>
      </c>
    </row>
    <row r="142" spans="1:7" x14ac:dyDescent="0.3">
      <c r="A142" s="2">
        <v>7</v>
      </c>
      <c r="C142" s="38" t="s">
        <v>58</v>
      </c>
      <c r="D142" s="42">
        <v>5340</v>
      </c>
      <c r="E142" s="63">
        <f t="shared" si="5"/>
        <v>17650</v>
      </c>
    </row>
    <row r="143" spans="1:7" x14ac:dyDescent="0.3">
      <c r="A143" s="2">
        <v>8</v>
      </c>
      <c r="C143" s="38" t="s">
        <v>62</v>
      </c>
      <c r="D143" s="42">
        <f>TRUNC(5263,-1)</f>
        <v>5260</v>
      </c>
      <c r="E143" s="63">
        <f t="shared" si="5"/>
        <v>17380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45110</v>
      </c>
      <c r="E146" s="39">
        <f>SUM(E136:E145)</f>
        <v>149100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TRUNC(26922+6420,-1)</f>
        <v>33340</v>
      </c>
      <c r="E149" s="62">
        <f>TRUNC(+D149*3.3058,-1)</f>
        <v>110210</v>
      </c>
    </row>
    <row r="150" spans="1:7" x14ac:dyDescent="0.3">
      <c r="A150" s="2">
        <v>2</v>
      </c>
      <c r="C150" s="38" t="s">
        <v>49</v>
      </c>
      <c r="D150" s="42">
        <f>TRUNC(6996,-1)</f>
        <v>6990</v>
      </c>
      <c r="E150" s="63">
        <f>TRUNC(+D150*3.3058,-1)</f>
        <v>23100</v>
      </c>
    </row>
    <row r="151" spans="1:7" x14ac:dyDescent="0.3">
      <c r="A151" s="2">
        <v>3</v>
      </c>
      <c r="C151" s="38" t="s">
        <v>50</v>
      </c>
      <c r="D151" s="42">
        <f>TRUNC(4068,-1)</f>
        <v>4060</v>
      </c>
      <c r="E151" s="63">
        <f>TRUNC(+D151*3.3058,-1)</f>
        <v>13420</v>
      </c>
    </row>
    <row r="152" spans="1:7" x14ac:dyDescent="0.3">
      <c r="A152" s="2">
        <v>4</v>
      </c>
      <c r="C152" s="38" t="s">
        <v>47</v>
      </c>
      <c r="D152" s="42">
        <f>TRUNC(347+455,-1)</f>
        <v>800</v>
      </c>
      <c r="E152" s="63">
        <f>TRUNC(+D152*3.3058,-1)</f>
        <v>2640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TRUNC(41889,-1)</f>
        <v>41880</v>
      </c>
      <c r="E153" s="64">
        <f>TRUNC(+D153*3.3058,-1)</f>
        <v>138440</v>
      </c>
    </row>
    <row r="154" spans="1:7" x14ac:dyDescent="0.3">
      <c r="A154" s="2">
        <v>6</v>
      </c>
      <c r="C154" s="27" t="s">
        <v>112</v>
      </c>
      <c r="D154" s="39">
        <f>SUM(D149:D153)</f>
        <v>87070</v>
      </c>
      <c r="E154" s="39">
        <f>SUM(E149:E153)</f>
        <v>287810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TRUNC(23065,-1)</f>
        <v>23060</v>
      </c>
      <c r="E157" s="62">
        <f>TRUNC(+D157*3.3058,-1)</f>
        <v>76230</v>
      </c>
    </row>
    <row r="158" spans="1:7" x14ac:dyDescent="0.3">
      <c r="A158" s="2">
        <v>2</v>
      </c>
      <c r="C158" s="38" t="s">
        <v>52</v>
      </c>
      <c r="D158" s="42">
        <f>TRUNC(3892,-1)</f>
        <v>3890</v>
      </c>
      <c r="E158" s="63">
        <f>TRUNC(+D158*3.3058,-1)</f>
        <v>12850</v>
      </c>
    </row>
    <row r="159" spans="1:7" x14ac:dyDescent="0.3">
      <c r="A159" s="2">
        <v>3</v>
      </c>
      <c r="C159" s="38" t="s">
        <v>47</v>
      </c>
      <c r="D159" s="42">
        <f>TRUNC(10178+213,-1)</f>
        <v>10390</v>
      </c>
      <c r="E159" s="63">
        <f>TRUNC(+D159*3.3058,-1)</f>
        <v>34340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f>TRUNC(13205,-1)</f>
        <v>13200</v>
      </c>
      <c r="E160" s="64">
        <f>TRUNC(+D160*3.3058,-1)</f>
        <v>43630</v>
      </c>
    </row>
    <row r="161" spans="1:5" x14ac:dyDescent="0.3">
      <c r="A161" s="2">
        <v>5</v>
      </c>
      <c r="C161" s="27" t="s">
        <v>112</v>
      </c>
      <c r="D161" s="39">
        <f>SUM(D157:D160)</f>
        <v>50540</v>
      </c>
      <c r="E161" s="39">
        <f>SUM(E157:E160)</f>
        <v>167050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2020-12-08T04:31:09Z</dcterms:modified>
</cp:coreProperties>
</file>