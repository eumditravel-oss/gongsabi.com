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1" i="4"/>
  <c r="E145" i="4"/>
  <c r="E141" i="4"/>
  <c r="E138" i="4"/>
  <c r="E136" i="4"/>
  <c r="E129" i="4"/>
  <c r="E127" i="4"/>
  <c r="E124" i="4"/>
  <c r="E123" i="4"/>
  <c r="E118" i="4"/>
  <c r="E116" i="4"/>
  <c r="E115" i="4"/>
  <c r="E113" i="4"/>
  <c r="E112" i="4"/>
  <c r="E111" i="4"/>
  <c r="E110" i="4"/>
  <c r="E109" i="4"/>
  <c r="E107" i="4"/>
  <c r="E106" i="4"/>
  <c r="E103" i="4"/>
  <c r="E101" i="4"/>
  <c r="E99" i="4"/>
  <c r="E90" i="4"/>
  <c r="E88" i="4"/>
  <c r="E87" i="4"/>
  <c r="E86" i="4"/>
  <c r="E85" i="4"/>
  <c r="E83" i="4"/>
  <c r="E82" i="4"/>
  <c r="E81" i="4"/>
  <c r="E80" i="4"/>
  <c r="E79" i="4"/>
  <c r="E78" i="4"/>
  <c r="E77" i="4"/>
  <c r="E76" i="4"/>
  <c r="E75" i="4"/>
  <c r="E74" i="4"/>
  <c r="E64" i="4"/>
  <c r="E57" i="4"/>
  <c r="E56" i="4"/>
  <c r="E55" i="4"/>
  <c r="E54" i="4"/>
  <c r="E51" i="4"/>
  <c r="E47" i="4"/>
  <c r="E37" i="4"/>
  <c r="D59" i="4" l="1"/>
  <c r="E59" i="4" s="1"/>
  <c r="D93" i="4"/>
  <c r="E93" i="4" s="1"/>
  <c r="D117" i="4"/>
  <c r="E117" i="4" s="1"/>
  <c r="D131" i="4"/>
  <c r="E131" i="4" s="1"/>
  <c r="D153" i="4"/>
  <c r="E153" i="4" s="1"/>
  <c r="D144" i="4"/>
  <c r="E144" i="4" s="1"/>
  <c r="D143" i="4"/>
  <c r="E143" i="4" s="1"/>
  <c r="D142" i="4"/>
  <c r="E142" i="4" s="1"/>
  <c r="E146" i="4" s="1"/>
  <c r="D140" i="4"/>
  <c r="E140" i="4" s="1"/>
  <c r="D139" i="4"/>
  <c r="E139" i="4" s="1"/>
  <c r="D137" i="4"/>
  <c r="E137" i="4" s="1"/>
  <c r="D159" i="4"/>
  <c r="E159" i="4" s="1"/>
  <c r="D158" i="4"/>
  <c r="E158" i="4" s="1"/>
  <c r="D157" i="4"/>
  <c r="E157" i="4" s="1"/>
  <c r="D152" i="4"/>
  <c r="E152" i="4" s="1"/>
  <c r="D150" i="4"/>
  <c r="E150" i="4" s="1"/>
  <c r="D149" i="4"/>
  <c r="E149" i="4" s="1"/>
  <c r="D132" i="4"/>
  <c r="E132" i="4" s="1"/>
  <c r="D130" i="4"/>
  <c r="E130" i="4" s="1"/>
  <c r="D128" i="4"/>
  <c r="E128" i="4" s="1"/>
  <c r="D126" i="4"/>
  <c r="E126" i="4" s="1"/>
  <c r="D125" i="4"/>
  <c r="E125" i="4" s="1"/>
  <c r="D122" i="4"/>
  <c r="E122" i="4" s="1"/>
  <c r="D114" i="4"/>
  <c r="E114" i="4" s="1"/>
  <c r="D108" i="4"/>
  <c r="E108" i="4" s="1"/>
  <c r="D105" i="4"/>
  <c r="E105" i="4" s="1"/>
  <c r="D104" i="4"/>
  <c r="E104" i="4" s="1"/>
  <c r="D102" i="4"/>
  <c r="E102" i="4" s="1"/>
  <c r="D100" i="4"/>
  <c r="E100" i="4" s="1"/>
  <c r="D98" i="4"/>
  <c r="E98" i="4" s="1"/>
  <c r="E119" i="4" s="1"/>
  <c r="D94" i="4"/>
  <c r="E94" i="4" s="1"/>
  <c r="D92" i="4"/>
  <c r="E92" i="4" s="1"/>
  <c r="D91" i="4"/>
  <c r="E91" i="4" s="1"/>
  <c r="D89" i="4"/>
  <c r="E89" i="4" s="1"/>
  <c r="D84" i="4"/>
  <c r="E84" i="4" s="1"/>
  <c r="D73" i="4"/>
  <c r="E73" i="4" s="1"/>
  <c r="D72" i="4"/>
  <c r="E72" i="4" s="1"/>
  <c r="D71" i="4"/>
  <c r="E71" i="4" s="1"/>
  <c r="D70" i="4"/>
  <c r="E70" i="4" s="1"/>
  <c r="D69" i="4"/>
  <c r="E69" i="4" s="1"/>
  <c r="E95" i="4" s="1"/>
  <c r="D65" i="4"/>
  <c r="E65" i="4" s="1"/>
  <c r="D63" i="4"/>
  <c r="E63" i="4" s="1"/>
  <c r="E66" i="4" s="1"/>
  <c r="D53" i="4"/>
  <c r="E53" i="4" s="1"/>
  <c r="D52" i="4"/>
  <c r="E52" i="4" s="1"/>
  <c r="D50" i="4"/>
  <c r="E50" i="4" s="1"/>
  <c r="D49" i="4"/>
  <c r="E49" i="4" s="1"/>
  <c r="D48" i="4"/>
  <c r="E48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E40" i="4" s="1"/>
  <c r="D58" i="4"/>
  <c r="E58" i="4" s="1"/>
  <c r="E60" i="4" l="1"/>
  <c r="E133" i="4"/>
  <c r="E161" i="4"/>
  <c r="E154" i="4"/>
  <c r="D161" i="4"/>
  <c r="D32" i="4" s="1"/>
  <c r="E32" i="4" s="1"/>
  <c r="D154" i="4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31" i="4"/>
  <c r="E31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E34" i="4" s="1"/>
  <c r="D34" i="4" l="1"/>
</calcChain>
</file>

<file path=xl/sharedStrings.xml><?xml version="1.0" encoding="utf-8"?>
<sst xmlns="http://schemas.openxmlformats.org/spreadsheetml/2006/main" count="390" uniqueCount="265">
  <si>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</si>
  <si>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</si>
  <si>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</si>
  <si>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</si>
  <si>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</si>
  <si>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</si>
  <si>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</si>
  <si>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</si>
  <si>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</si>
  <si>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</si>
  <si>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</si>
  <si>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</si>
  <si>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</si>
  <si>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</si>
  <si>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</si>
  <si>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</si>
  <si>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</si>
  <si>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</si>
  <si>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</si>
  <si>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</si>
  <si>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</si>
  <si>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</si>
  <si>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</si>
  <si>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</si>
  <si>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</si>
  <si>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</si>
  <si>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</si>
  <si>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</si>
  <si>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</si>
  <si>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</si>
  <si>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</si>
  <si>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</si>
  <si>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</si>
  <si>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</si>
  <si>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</si>
  <si>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</si>
  <si>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</si>
  <si>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</si>
  <si>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</si>
  <si>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</si>
  <si>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</si>
  <si>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</si>
  <si>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</si>
  <si>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</si>
  <si>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</si>
  <si>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</si>
  <si>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</si>
  <si>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</si>
  <si>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</si>
  <si>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</si>
  <si>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</si>
  <si>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</si>
  <si>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</si>
  <si>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</si>
  <si>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</si>
  <si>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</si>
  <si>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</si>
  <si>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</si>
  <si>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</si>
  <si>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</si>
  <si>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</si>
  <si>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</si>
  <si>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</si>
  <si>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</si>
  <si>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</si>
  <si>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</si>
  <si>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</si>
  <si>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</si>
  <si>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</si>
  <si>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</si>
  <si>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</si>
  <si>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</si>
  <si>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</si>
  <si>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</si>
  <si>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</si>
  <si>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</si>
  <si>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</si>
  <si>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</si>
  <si>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</si>
  <si>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</si>
  <si>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</si>
  <si>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</si>
  <si>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</si>
  <si>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</si>
  <si>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</si>
  <si>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</si>
  <si>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</si>
  <si>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</si>
  <si>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</si>
  <si>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</si>
  <si>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</si>
  <si>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</si>
  <si>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</si>
  <si>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</si>
  <si>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</si>
  <si>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</si>
  <si>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</si>
  <si>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</si>
  <si>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</si>
  <si>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</si>
  <si>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</si>
  <si>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</si>
  <si>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</si>
  <si>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</si>
  <si>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</si>
  <si>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</si>
  <si>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</si>
  <si>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</si>
  <si>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</si>
  <si>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</si>
  <si>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</si>
  <si>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</si>
  <si>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</si>
  <si>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</si>
  <si>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</si>
  <si>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</si>
  <si>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</si>
  <si>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</si>
  <si>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</si>
  <si>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</si>
  <si>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</si>
  <si>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</si>
  <si>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</si>
  <si>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</si>
  <si>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</si>
  <si>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</si>
  <si>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</si>
  <si>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</si>
  <si>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</si>
  <si>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</si>
  <si>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</si>
  <si>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</si>
  <si>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</si>
  <si>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</si>
  <si>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</si>
  <si>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</si>
  <si>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</si>
  <si>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</si>
  <si>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</si>
  <si>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</si>
  <si>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</si>
  <si>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</si>
  <si>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</si>
  <si>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</si>
  <si>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</si>
  <si>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</si>
  <si>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</si>
  <si>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</si>
  <si>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</si>
  <si>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</si>
  <si>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</si>
  <si>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</si>
  <si>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</si>
  <si>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</si>
  <si>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</si>
  <si>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</si>
  <si>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</si>
  <si>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</si>
  <si>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</si>
  <si>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</si>
  <si>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</si>
  <si>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</si>
  <si>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</si>
  <si>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</si>
  <si>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</si>
  <si>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</si>
  <si>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</si>
  <si>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</si>
  <si>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</si>
  <si>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</si>
  <si>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</si>
  <si>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</si>
  <si>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</si>
  <si>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</si>
  <si>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</si>
  <si>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</si>
  <si>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</si>
  <si>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</si>
  <si>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</si>
  <si>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</si>
  <si>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</si>
  <si>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</si>
  <si>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</si>
  <si>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</si>
  <si>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</si>
  <si>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</si>
  <si>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</si>
  <si>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</si>
  <si>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</si>
  <si>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</si>
  <si>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</si>
  <si>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</si>
  <si>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</si>
  <si>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</si>
  <si>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</si>
  <si>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</si>
  <si>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</si>
  <si>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</si>
  <si>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</si>
  <si>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</si>
  <si>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</si>
  <si>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</si>
  <si>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</si>
  <si>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</si>
  <si>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</si>
  <si>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</si>
  <si>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</si>
  <si>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</si>
  <si>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</si>
  <si>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</si>
  <si>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</si>
  <si>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</si>
  <si>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</si>
  <si>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</si>
  <si>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</si>
  <si>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</si>
  <si>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</si>
  <si>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</si>
  <si>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</si>
  <si>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</si>
  <si>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</si>
  <si>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</si>
  <si>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</si>
  <si>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</si>
  <si>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</si>
  <si>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</si>
  <si>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</si>
  <si>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</si>
  <si>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</si>
  <si>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</si>
  <si>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</si>
  <si>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</si>
  <si>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</si>
  <si>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</si>
  <si>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</si>
  <si>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</si>
  <si>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</si>
  <si>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</si>
  <si>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</si>
  <si>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</si>
  <si>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</si>
  <si>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</si>
  <si>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</si>
  <si>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</si>
  <si>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</si>
  <si>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</si>
  <si>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</si>
  <si>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업무</t>
  </si>
  <si>
    <t>지붕및홈통공사 포함</t>
    <phoneticPr fontId="2" type="noConversion"/>
  </si>
  <si>
    <t>목공사및수장공사(인테리어공사 포함)</t>
    <phoneticPr fontId="2" type="noConversion"/>
  </si>
  <si>
    <t>국민건강보험공단 오산지사 사옥 신축공사</t>
    <phoneticPr fontId="2" type="noConversion"/>
  </si>
  <si>
    <t>경기도</t>
  </si>
  <si>
    <t>기초공사,폐기물처리비,골재비및운반비,작업부산물,품질시험비,기타공사</t>
    <phoneticPr fontId="2" type="noConversion"/>
  </si>
  <si>
    <t>기타공사</t>
    <phoneticPr fontId="2" type="noConversion"/>
  </si>
  <si>
    <t>냉난방(환기)설비공사</t>
    <phoneticPr fontId="2" type="noConversion"/>
  </si>
  <si>
    <t>펌프실배관공사</t>
    <phoneticPr fontId="2" type="noConversion"/>
  </si>
  <si>
    <t>사급자재비,기타공사</t>
    <phoneticPr fontId="2" type="noConversion"/>
  </si>
  <si>
    <t>포장공사</t>
    <phoneticPr fontId="2" type="noConversion"/>
  </si>
  <si>
    <t>조경시설물</t>
    <phoneticPr fontId="2" type="noConversion"/>
  </si>
  <si>
    <t>원 /평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</si>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</sst>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155</v>
      </c>
      <c r="B2" s="75" t="s">
        <v>0</v>
      </c>
      <c r="C2" s="76"/>
      <c r="D2" s="75" t="s">
        <v>1</v>
      </c>
      <c r="E2" s="76"/>
      <c r="F2" s="75" t="s">
        <v>156</v>
      </c>
      <c r="G2" s="76"/>
      <c r="H2" s="75" t="s">
        <v>2</v>
      </c>
      <c r="I2" s="76"/>
      <c r="J2" s="75" t="s">
        <v>3</v>
      </c>
      <c r="K2" s="76"/>
      <c r="L2" s="75" t="s">
        <v>157</v>
      </c>
      <c r="M2" s="76"/>
      <c r="N2" s="75" t="s">
        <v>158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262</v>
      </c>
      <c r="H5" s="5">
        <v>1</v>
      </c>
      <c r="I5" s="1" t="s">
        <v>159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160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161</v>
      </c>
    </row>
    <row r="6" spans="1:33" x14ac:dyDescent="0.3">
      <c r="A6" s="4">
        <f>+A5+1</f>
        <v>2</v>
      </c>
      <c r="B6" s="5">
        <f>+B5+1</f>
        <v>2</v>
      </c>
      <c r="C6" s="17" t="s">
        <v>162</v>
      </c>
      <c r="D6" s="5">
        <v>2</v>
      </c>
      <c r="E6" s="1" t="s">
        <v>163</v>
      </c>
      <c r="F6" s="5">
        <v>2</v>
      </c>
      <c r="G6" s="17" t="s">
        <v>164</v>
      </c>
      <c r="H6" s="5">
        <v>2</v>
      </c>
      <c r="I6" s="1" t="s">
        <v>211</v>
      </c>
      <c r="J6" s="19">
        <v>2</v>
      </c>
      <c r="K6" s="1" t="s">
        <v>212</v>
      </c>
      <c r="L6" s="5">
        <v>2</v>
      </c>
      <c r="M6" s="6" t="s">
        <v>213</v>
      </c>
      <c r="N6" s="5">
        <v>2</v>
      </c>
      <c r="O6" s="6" t="s">
        <v>214</v>
      </c>
      <c r="P6" s="5">
        <v>2</v>
      </c>
      <c r="Q6" s="1" t="s">
        <v>215</v>
      </c>
      <c r="R6" s="28">
        <v>2</v>
      </c>
      <c r="S6" s="29" t="s">
        <v>216</v>
      </c>
      <c r="T6" s="28">
        <v>2</v>
      </c>
      <c r="U6" s="29" t="s">
        <v>217</v>
      </c>
      <c r="V6" s="28">
        <v>2</v>
      </c>
      <c r="W6" s="29" t="s">
        <v>218</v>
      </c>
      <c r="X6" s="28">
        <v>2</v>
      </c>
      <c r="Y6" s="29" t="s">
        <v>219</v>
      </c>
      <c r="Z6" s="28">
        <v>2</v>
      </c>
      <c r="AA6" s="29" t="s">
        <v>220</v>
      </c>
      <c r="AB6" s="28">
        <v>2</v>
      </c>
      <c r="AC6" s="29" t="s">
        <v>221</v>
      </c>
      <c r="AD6" s="28">
        <v>2</v>
      </c>
      <c r="AE6" s="29" t="s">
        <v>222</v>
      </c>
      <c r="AF6" s="28">
        <v>2</v>
      </c>
      <c r="AG6" s="38" t="s">
        <v>223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224</v>
      </c>
      <c r="D7" s="5">
        <v>3</v>
      </c>
      <c r="E7" s="1" t="s">
        <v>225</v>
      </c>
      <c r="F7" s="5">
        <v>3</v>
      </c>
      <c r="G7" s="17" t="s">
        <v>226</v>
      </c>
      <c r="H7" s="5">
        <v>3</v>
      </c>
      <c r="I7" s="1" t="s">
        <v>227</v>
      </c>
      <c r="J7" s="19">
        <v>3</v>
      </c>
      <c r="K7" s="1" t="s">
        <v>228</v>
      </c>
      <c r="L7" s="5">
        <v>3</v>
      </c>
      <c r="M7" s="6" t="s">
        <v>229</v>
      </c>
      <c r="N7" s="5">
        <v>3</v>
      </c>
      <c r="O7" s="6" t="s">
        <v>230</v>
      </c>
      <c r="P7" s="5">
        <v>3</v>
      </c>
      <c r="Q7" s="1" t="s">
        <v>231</v>
      </c>
      <c r="R7" s="28">
        <v>3</v>
      </c>
      <c r="S7" s="29" t="s">
        <v>232</v>
      </c>
      <c r="T7" s="28">
        <v>3</v>
      </c>
      <c r="U7" s="29" t="s">
        <v>233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165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166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167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168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169</v>
      </c>
      <c r="F9" s="5">
        <v>5</v>
      </c>
      <c r="G9" s="17" t="s">
        <v>170</v>
      </c>
      <c r="H9" s="5">
        <v>5</v>
      </c>
      <c r="I9" s="1" t="s">
        <v>79</v>
      </c>
      <c r="J9" s="19">
        <v>5</v>
      </c>
      <c r="K9" s="1" t="s">
        <v>171</v>
      </c>
      <c r="L9" s="5"/>
      <c r="M9" s="6"/>
      <c r="N9" s="5"/>
      <c r="O9" s="6"/>
      <c r="P9" s="5">
        <v>5</v>
      </c>
      <c r="Q9" s="1" t="s">
        <v>172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173</v>
      </c>
      <c r="J10" s="19">
        <v>6</v>
      </c>
      <c r="K10" s="1" t="s">
        <v>174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175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176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177</v>
      </c>
      <c r="F12" s="5">
        <v>8</v>
      </c>
      <c r="G12" s="17" t="s">
        <v>178</v>
      </c>
      <c r="H12" s="5">
        <v>8</v>
      </c>
      <c r="I12" s="1" t="s">
        <v>81</v>
      </c>
      <c r="J12" s="19">
        <v>8</v>
      </c>
      <c r="K12" s="1" t="s">
        <v>179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180</v>
      </c>
      <c r="X12" s="28">
        <v>8</v>
      </c>
      <c r="Y12" s="29" t="s">
        <v>46</v>
      </c>
      <c r="Z12" s="28">
        <v>8</v>
      </c>
      <c r="AA12" s="29" t="s">
        <v>181</v>
      </c>
      <c r="AB12" s="28">
        <v>8</v>
      </c>
      <c r="AC12" s="29" t="s">
        <v>182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183</v>
      </c>
      <c r="D13" s="5">
        <v>9</v>
      </c>
      <c r="E13" s="1" t="s">
        <v>184</v>
      </c>
      <c r="F13" s="5"/>
      <c r="G13" s="17"/>
      <c r="H13" s="5">
        <v>9</v>
      </c>
      <c r="I13" s="1" t="s">
        <v>82</v>
      </c>
      <c r="J13" s="19">
        <v>9</v>
      </c>
      <c r="K13" s="1" t="s">
        <v>185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186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187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188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189</v>
      </c>
      <c r="J15" s="19">
        <v>11</v>
      </c>
      <c r="K15" s="1" t="s">
        <v>190</v>
      </c>
      <c r="L15" s="5"/>
      <c r="M15" s="6"/>
      <c r="N15" s="5"/>
      <c r="O15" s="6"/>
      <c r="P15" s="5"/>
      <c r="Q15" s="1"/>
      <c r="R15" s="28">
        <v>11</v>
      </c>
      <c r="S15" s="29" t="s">
        <v>191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192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193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194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195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196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197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198</v>
      </c>
      <c r="L19" s="5"/>
      <c r="M19" s="6"/>
      <c r="N19" s="5"/>
      <c r="O19" s="6"/>
      <c r="P19" s="5"/>
      <c r="Q19" s="1"/>
      <c r="R19" s="28">
        <v>15</v>
      </c>
      <c r="S19" s="29" t="s">
        <v>199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200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201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202</v>
      </c>
      <c r="X21" s="28">
        <v>17</v>
      </c>
      <c r="Y21" s="29" t="s">
        <v>203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204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205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206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207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208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209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210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250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247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235</v>
      </c>
    </row>
    <row r="7" spans="1:4" ht="17.25" thickBot="1" x14ac:dyDescent="0.35">
      <c r="C7" s="37">
        <v>2445.98</v>
      </c>
      <c r="D7" s="36">
        <f>+C7/3.3058</f>
        <v>739.9056204247081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251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204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263</v>
      </c>
    </row>
    <row r="19" spans="1:5" x14ac:dyDescent="0.3">
      <c r="A19" s="2">
        <v>9</v>
      </c>
      <c r="B19" s="2" t="s">
        <v>264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236</v>
      </c>
      <c r="E23" s="35" t="s">
        <v>259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1052550</v>
      </c>
      <c r="E25" s="59">
        <f t="shared" si="0"/>
        <v>3479510</v>
      </c>
    </row>
    <row r="26" spans="1:5" x14ac:dyDescent="0.3">
      <c r="B26" s="2">
        <v>3</v>
      </c>
      <c r="C26" s="35" t="s">
        <v>95</v>
      </c>
      <c r="D26" s="45">
        <f>+D66</f>
        <v>71390</v>
      </c>
      <c r="E26" s="59">
        <f t="shared" si="0"/>
        <v>236000</v>
      </c>
    </row>
    <row r="27" spans="1:5" x14ac:dyDescent="0.3">
      <c r="B27" s="2">
        <v>4</v>
      </c>
      <c r="C27" s="35" t="s">
        <v>96</v>
      </c>
      <c r="D27" s="45">
        <f>+D95</f>
        <v>151900</v>
      </c>
      <c r="E27" s="59">
        <f t="shared" si="0"/>
        <v>502150</v>
      </c>
    </row>
    <row r="28" spans="1:5" x14ac:dyDescent="0.3">
      <c r="B28" s="2">
        <v>5</v>
      </c>
      <c r="C28" s="35" t="s">
        <v>97</v>
      </c>
      <c r="D28" s="45">
        <f>+D119</f>
        <v>201190</v>
      </c>
      <c r="E28" s="59">
        <f t="shared" si="0"/>
        <v>665090</v>
      </c>
    </row>
    <row r="29" spans="1:5" x14ac:dyDescent="0.3">
      <c r="B29" s="2">
        <v>6</v>
      </c>
      <c r="C29" s="35" t="s">
        <v>98</v>
      </c>
      <c r="D29" s="45">
        <f>+D133</f>
        <v>88340</v>
      </c>
      <c r="E29" s="59">
        <f t="shared" si="0"/>
        <v>292030</v>
      </c>
    </row>
    <row r="30" spans="1:5" x14ac:dyDescent="0.3">
      <c r="B30" s="2">
        <v>7</v>
      </c>
      <c r="C30" s="35" t="s">
        <v>99</v>
      </c>
      <c r="D30" s="45">
        <f>+D146</f>
        <v>56640</v>
      </c>
      <c r="E30" s="59">
        <f t="shared" si="0"/>
        <v>187240</v>
      </c>
    </row>
    <row r="31" spans="1:5" x14ac:dyDescent="0.3">
      <c r="B31" s="2">
        <v>8</v>
      </c>
      <c r="C31" s="35" t="s">
        <v>100</v>
      </c>
      <c r="D31" s="45">
        <f>+D154</f>
        <v>90050</v>
      </c>
      <c r="E31" s="59">
        <f t="shared" si="0"/>
        <v>297680</v>
      </c>
    </row>
    <row r="32" spans="1:5" x14ac:dyDescent="0.3">
      <c r="B32" s="2">
        <v>9</v>
      </c>
      <c r="C32" s="35" t="s">
        <v>101</v>
      </c>
      <c r="D32" s="45">
        <f>+D161</f>
        <v>35720</v>
      </c>
      <c r="E32" s="59">
        <f t="shared" si="0"/>
        <v>118080</v>
      </c>
    </row>
    <row r="33" spans="1:7" x14ac:dyDescent="0.3">
      <c r="B33" s="2">
        <v>10</v>
      </c>
      <c r="C33" s="35" t="s">
        <v>153</v>
      </c>
      <c r="D33" s="53">
        <f>TRUNC(SUM(D24:D32)*0.275,-1)</f>
        <v>480630</v>
      </c>
      <c r="E33" s="60">
        <f t="shared" si="0"/>
        <v>1588860</v>
      </c>
    </row>
    <row r="34" spans="1:7" x14ac:dyDescent="0.3">
      <c r="C34" s="35" t="s">
        <v>112</v>
      </c>
      <c r="D34" s="44">
        <f>SUM(D24:D33)</f>
        <v>2228410</v>
      </c>
      <c r="E34" s="44">
        <f>SUM(E24:E33)</f>
        <v>7366640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237</v>
      </c>
      <c r="D36" s="57" t="s">
        <v>234</v>
      </c>
      <c r="E36" s="57" t="s">
        <v>259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241</v>
      </c>
      <c r="D39" s="67" t="s">
        <v>260</v>
      </c>
      <c r="E39" s="67" t="s">
        <v>261</v>
      </c>
      <c r="G39" s="68"/>
    </row>
    <row r="40" spans="1:7" x14ac:dyDescent="0.3">
      <c r="A40" s="2">
        <v>1</v>
      </c>
      <c r="C40" s="38" t="s">
        <v>15</v>
      </c>
      <c r="D40" s="40">
        <f>TRUNC(67421,-1)</f>
        <v>67420</v>
      </c>
      <c r="E40" s="62">
        <f t="shared" ref="E40:E59" si="1">TRUNC(+D40*3.3058,-1)</f>
        <v>222870</v>
      </c>
    </row>
    <row r="41" spans="1:7" x14ac:dyDescent="0.3">
      <c r="A41" s="2">
        <v>2</v>
      </c>
      <c r="C41" s="38" t="s">
        <v>13</v>
      </c>
      <c r="D41" s="42">
        <f>TRUNC(149971,-1)</f>
        <v>149970</v>
      </c>
      <c r="E41" s="63">
        <f t="shared" si="1"/>
        <v>495770</v>
      </c>
    </row>
    <row r="42" spans="1:7" x14ac:dyDescent="0.3">
      <c r="A42" s="2">
        <v>3</v>
      </c>
      <c r="C42" s="38" t="s">
        <v>14</v>
      </c>
      <c r="D42" s="42">
        <f>TRUNC(6755,-1)</f>
        <v>6750</v>
      </c>
      <c r="E42" s="63">
        <f t="shared" si="1"/>
        <v>22310</v>
      </c>
    </row>
    <row r="43" spans="1:7" x14ac:dyDescent="0.3">
      <c r="A43" s="2">
        <v>4</v>
      </c>
      <c r="C43" s="38" t="s">
        <v>16</v>
      </c>
      <c r="D43" s="42">
        <f>TRUNC(27835,-1)</f>
        <v>27830</v>
      </c>
      <c r="E43" s="63">
        <f t="shared" si="1"/>
        <v>92000</v>
      </c>
    </row>
    <row r="44" spans="1:7" x14ac:dyDescent="0.3">
      <c r="A44" s="2">
        <v>5</v>
      </c>
      <c r="C44" s="38" t="s">
        <v>17</v>
      </c>
      <c r="D44" s="42">
        <f>TRUNC(51347,-1)</f>
        <v>51340</v>
      </c>
      <c r="E44" s="63">
        <f t="shared" si="1"/>
        <v>169710</v>
      </c>
    </row>
    <row r="45" spans="1:7" x14ac:dyDescent="0.3">
      <c r="A45" s="2">
        <v>6</v>
      </c>
      <c r="C45" s="38" t="s">
        <v>18</v>
      </c>
      <c r="D45" s="42">
        <f>TRUNC(13840,-1)</f>
        <v>13840</v>
      </c>
      <c r="E45" s="63">
        <f t="shared" si="1"/>
        <v>45750</v>
      </c>
    </row>
    <row r="46" spans="1:7" x14ac:dyDescent="0.3">
      <c r="A46" s="2">
        <v>7</v>
      </c>
      <c r="C46" s="38" t="s">
        <v>19</v>
      </c>
      <c r="D46" s="42">
        <f>TRUNC(81019,-1)</f>
        <v>81010</v>
      </c>
      <c r="E46" s="63">
        <f t="shared" si="1"/>
        <v>267800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TRUNC(53871,-1)</f>
        <v>53870</v>
      </c>
      <c r="E48" s="63">
        <f t="shared" si="1"/>
        <v>178080</v>
      </c>
      <c r="F48" s="2" t="s">
        <v>248</v>
      </c>
    </row>
    <row r="49" spans="1:7" x14ac:dyDescent="0.3">
      <c r="A49" s="2">
        <v>10</v>
      </c>
      <c r="C49" s="38" t="s">
        <v>22</v>
      </c>
      <c r="D49" s="42">
        <f>TRUNC(16758,-1)</f>
        <v>16750</v>
      </c>
      <c r="E49" s="63">
        <f t="shared" si="1"/>
        <v>55370</v>
      </c>
    </row>
    <row r="50" spans="1:7" x14ac:dyDescent="0.3">
      <c r="A50" s="2">
        <v>11</v>
      </c>
      <c r="C50" s="38" t="s">
        <v>154</v>
      </c>
      <c r="D50" s="42">
        <f>TRUNC(86079,-1)</f>
        <v>86070</v>
      </c>
      <c r="E50" s="63">
        <f t="shared" si="1"/>
        <v>284530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TRUNC(13615,-1)</f>
        <v>13610</v>
      </c>
      <c r="E52" s="63">
        <f t="shared" si="1"/>
        <v>44990</v>
      </c>
    </row>
    <row r="53" spans="1:7" x14ac:dyDescent="0.3">
      <c r="A53" s="2">
        <v>14</v>
      </c>
      <c r="C53" s="38" t="s">
        <v>25</v>
      </c>
      <c r="D53" s="42">
        <f>TRUNC(154419,-1)</f>
        <v>154410</v>
      </c>
      <c r="E53" s="63">
        <f t="shared" si="1"/>
        <v>510440</v>
      </c>
      <c r="F53" s="2" t="s">
        <v>249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TRUNC(2517+1849+10332-518+523+7239,-1)</f>
        <v>21940</v>
      </c>
      <c r="E58" s="63">
        <f t="shared" si="1"/>
        <v>72520</v>
      </c>
      <c r="F58" s="2" t="s">
        <v>252</v>
      </c>
    </row>
    <row r="59" spans="1:7" ht="17.25" thickBot="1" x14ac:dyDescent="0.35">
      <c r="A59" s="2">
        <v>20</v>
      </c>
      <c r="C59" s="38" t="s">
        <v>148</v>
      </c>
      <c r="D59" s="43">
        <f>TRUNC(307745,-1)</f>
        <v>307740</v>
      </c>
      <c r="E59" s="64">
        <f t="shared" si="1"/>
        <v>1017320</v>
      </c>
    </row>
    <row r="60" spans="1:7" x14ac:dyDescent="0.3">
      <c r="A60" s="2">
        <v>21</v>
      </c>
      <c r="C60" s="27" t="s">
        <v>112</v>
      </c>
      <c r="D60" s="39">
        <f>SUM(D40:D59)</f>
        <v>1052550</v>
      </c>
      <c r="E60" s="39">
        <f>SUM(E40:E59)</f>
        <v>3479460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238</v>
      </c>
      <c r="C62" s="56" t="s">
        <v>239</v>
      </c>
      <c r="D62" s="57" t="s">
        <v>236</v>
      </c>
      <c r="E62" s="57" t="s">
        <v>259</v>
      </c>
      <c r="G62" s="55"/>
    </row>
    <row r="63" spans="1:7" x14ac:dyDescent="0.3">
      <c r="A63" s="2">
        <v>1</v>
      </c>
      <c r="C63" s="38" t="s">
        <v>27</v>
      </c>
      <c r="D63" s="40">
        <f>TRUNC(390,-1)</f>
        <v>390</v>
      </c>
      <c r="E63" s="62">
        <f>TRUNC(+D63*3.3058,-1)</f>
        <v>1280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TRUNC(71000,-1)</f>
        <v>71000</v>
      </c>
      <c r="E65" s="64">
        <f>TRUNC(+D65*3.3058,-1)</f>
        <v>234710</v>
      </c>
    </row>
    <row r="66" spans="1:7" x14ac:dyDescent="0.3">
      <c r="A66" s="2">
        <v>4</v>
      </c>
      <c r="C66" s="27" t="s">
        <v>112</v>
      </c>
      <c r="D66" s="39">
        <f>SUM(D63:D65)</f>
        <v>71390</v>
      </c>
      <c r="E66" s="65">
        <f>SUM(E63:E65)</f>
        <v>235990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240</v>
      </c>
      <c r="C68" s="56" t="s">
        <v>241</v>
      </c>
      <c r="D68" s="57" t="s">
        <v>234</v>
      </c>
      <c r="E68" s="57" t="s">
        <v>259</v>
      </c>
      <c r="G68" s="55"/>
    </row>
    <row r="69" spans="1:7" x14ac:dyDescent="0.3">
      <c r="A69" s="2">
        <v>1</v>
      </c>
      <c r="C69" s="38" t="s">
        <v>30</v>
      </c>
      <c r="D69" s="40">
        <f>TRUNC(16343,-1)</f>
        <v>16340</v>
      </c>
      <c r="E69" s="62">
        <f t="shared" ref="E69:E94" si="2">TRUNC(+D69*3.3058,-1)</f>
        <v>54010</v>
      </c>
    </row>
    <row r="70" spans="1:7" ht="16.5" customHeight="1" x14ac:dyDescent="0.3">
      <c r="A70" s="2">
        <v>2</v>
      </c>
      <c r="C70" s="38" t="s">
        <v>31</v>
      </c>
      <c r="D70" s="42">
        <f>TRUNC(1996,-1)</f>
        <v>1990</v>
      </c>
      <c r="E70" s="63">
        <f t="shared" si="2"/>
        <v>6570</v>
      </c>
    </row>
    <row r="71" spans="1:7" x14ac:dyDescent="0.3">
      <c r="A71" s="2">
        <v>3</v>
      </c>
      <c r="C71" s="38" t="s">
        <v>32</v>
      </c>
      <c r="D71" s="42">
        <f>TRUNC(7646,-1)</f>
        <v>7640</v>
      </c>
      <c r="E71" s="63">
        <f t="shared" si="2"/>
        <v>25250</v>
      </c>
    </row>
    <row r="72" spans="1:7" x14ac:dyDescent="0.3">
      <c r="A72" s="2">
        <v>4</v>
      </c>
      <c r="C72" s="38" t="s">
        <v>33</v>
      </c>
      <c r="D72" s="42">
        <f>TRUNC(7172,-1)</f>
        <v>7170</v>
      </c>
      <c r="E72" s="63">
        <f t="shared" si="2"/>
        <v>23700</v>
      </c>
    </row>
    <row r="73" spans="1:7" x14ac:dyDescent="0.3">
      <c r="A73" s="2">
        <v>5</v>
      </c>
      <c r="C73" s="38" t="s">
        <v>34</v>
      </c>
      <c r="D73" s="42">
        <f>TRUNC(7899,-1)</f>
        <v>7890</v>
      </c>
      <c r="E73" s="63">
        <f t="shared" si="2"/>
        <v>26080</v>
      </c>
    </row>
    <row r="74" spans="1:7" x14ac:dyDescent="0.3">
      <c r="A74" s="2">
        <v>6</v>
      </c>
      <c r="C74" s="38" t="s">
        <v>175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f>TRUNC(529,-1)</f>
        <v>520</v>
      </c>
      <c r="E84" s="63">
        <f t="shared" si="2"/>
        <v>1710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TRUNC(4068,-1)</f>
        <v>4060</v>
      </c>
      <c r="E89" s="63">
        <f t="shared" si="2"/>
        <v>13420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TRUNC(7233,-1)</f>
        <v>7230</v>
      </c>
      <c r="E91" s="63">
        <f t="shared" si="2"/>
        <v>23900</v>
      </c>
    </row>
    <row r="92" spans="1:7" x14ac:dyDescent="0.3">
      <c r="A92" s="2">
        <v>24</v>
      </c>
      <c r="C92" s="38" t="s">
        <v>38</v>
      </c>
      <c r="D92" s="42">
        <f>TRUNC(5713,-1)</f>
        <v>5710</v>
      </c>
      <c r="E92" s="63">
        <f t="shared" si="2"/>
        <v>18870</v>
      </c>
    </row>
    <row r="93" spans="1:7" x14ac:dyDescent="0.3">
      <c r="A93" s="2">
        <v>25</v>
      </c>
      <c r="C93" s="38" t="s">
        <v>148</v>
      </c>
      <c r="D93" s="42">
        <f>TRUNC(78831,-1)</f>
        <v>78830</v>
      </c>
      <c r="E93" s="63">
        <f t="shared" si="2"/>
        <v>260590</v>
      </c>
    </row>
    <row r="94" spans="1:7" ht="17.25" thickBot="1" x14ac:dyDescent="0.35">
      <c r="A94" s="2">
        <v>26</v>
      </c>
      <c r="C94" s="38" t="s">
        <v>47</v>
      </c>
      <c r="D94" s="43">
        <f>TRUNC(14526,-1)</f>
        <v>14520</v>
      </c>
      <c r="E94" s="64">
        <f t="shared" si="2"/>
        <v>48000</v>
      </c>
      <c r="F94" s="2" t="s">
        <v>253</v>
      </c>
    </row>
    <row r="95" spans="1:7" x14ac:dyDescent="0.3">
      <c r="A95" s="2">
        <v>27</v>
      </c>
      <c r="C95" s="27" t="s">
        <v>112</v>
      </c>
      <c r="D95" s="39">
        <f>SUM(D69:D94)</f>
        <v>151900</v>
      </c>
      <c r="E95" s="39">
        <f>SUM(E69:E94)</f>
        <v>502100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242</v>
      </c>
      <c r="C97" s="56" t="s">
        <v>241</v>
      </c>
      <c r="D97" s="57" t="s">
        <v>234</v>
      </c>
      <c r="E97" s="57" t="s">
        <v>259</v>
      </c>
      <c r="G97" s="55"/>
    </row>
    <row r="98" spans="1:7" x14ac:dyDescent="0.3">
      <c r="A98" s="2">
        <v>1</v>
      </c>
      <c r="C98" s="38" t="s">
        <v>39</v>
      </c>
      <c r="D98" s="40">
        <f>TRUNC(19549,-1)</f>
        <v>19540</v>
      </c>
      <c r="E98" s="62">
        <f t="shared" ref="E98:E118" si="3">TRUNC(+D98*3.3058,-1)</f>
        <v>64590</v>
      </c>
    </row>
    <row r="99" spans="1:7" x14ac:dyDescent="0.3">
      <c r="A99" s="2">
        <v>2</v>
      </c>
      <c r="C99" s="38" t="s">
        <v>40</v>
      </c>
      <c r="D99" s="42">
        <v>0</v>
      </c>
      <c r="E99" s="63">
        <f t="shared" si="3"/>
        <v>0</v>
      </c>
    </row>
    <row r="100" spans="1:7" x14ac:dyDescent="0.3">
      <c r="A100" s="2">
        <v>3</v>
      </c>
      <c r="C100" s="38" t="s">
        <v>41</v>
      </c>
      <c r="D100" s="42">
        <f>TRUNC(39547,-1)</f>
        <v>39540</v>
      </c>
      <c r="E100" s="63">
        <f t="shared" si="3"/>
        <v>130710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TRUNC(11976,-1)</f>
        <v>11970</v>
      </c>
      <c r="E102" s="63">
        <f t="shared" si="3"/>
        <v>39570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TRUNC(12166,-1)</f>
        <v>12160</v>
      </c>
      <c r="E104" s="63">
        <f t="shared" si="3"/>
        <v>40190</v>
      </c>
    </row>
    <row r="105" spans="1:7" x14ac:dyDescent="0.3">
      <c r="A105" s="2">
        <v>8</v>
      </c>
      <c r="C105" s="38" t="s">
        <v>46</v>
      </c>
      <c r="D105" s="42">
        <f>TRUNC(2003,-1)</f>
        <v>2000</v>
      </c>
      <c r="E105" s="63">
        <f t="shared" si="3"/>
        <v>6610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f>TRUNC(6724,-1)</f>
        <v>6720</v>
      </c>
      <c r="E108" s="63">
        <f t="shared" si="3"/>
        <v>22210</v>
      </c>
      <c r="F108" s="2" t="s">
        <v>254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TRUNC(3214,-1)</f>
        <v>3210</v>
      </c>
      <c r="E114" s="63">
        <f t="shared" si="3"/>
        <v>10610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TRUNC(106050,-1)</f>
        <v>106050</v>
      </c>
      <c r="E117" s="63">
        <f t="shared" si="3"/>
        <v>350580</v>
      </c>
    </row>
    <row r="118" spans="1:7" ht="17.25" thickBot="1" x14ac:dyDescent="0.35">
      <c r="A118" s="2">
        <v>21</v>
      </c>
      <c r="C118" s="38" t="s">
        <v>47</v>
      </c>
      <c r="D118" s="43">
        <v>0</v>
      </c>
      <c r="E118" s="64">
        <f t="shared" si="3"/>
        <v>0</v>
      </c>
    </row>
    <row r="119" spans="1:7" x14ac:dyDescent="0.3">
      <c r="A119" s="2">
        <v>22</v>
      </c>
      <c r="C119" s="27" t="s">
        <v>112</v>
      </c>
      <c r="D119" s="39">
        <f>SUM(D98:D118)</f>
        <v>201190</v>
      </c>
      <c r="E119" s="39">
        <f>SUM(E98:E118)</f>
        <v>665070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243</v>
      </c>
      <c r="C121" s="56" t="s">
        <v>241</v>
      </c>
      <c r="D121" s="57" t="s">
        <v>234</v>
      </c>
      <c r="E121" s="57" t="s">
        <v>259</v>
      </c>
      <c r="G121" s="55"/>
    </row>
    <row r="122" spans="1:7" x14ac:dyDescent="0.3">
      <c r="A122" s="2">
        <v>1</v>
      </c>
      <c r="C122" s="38" t="s">
        <v>55</v>
      </c>
      <c r="D122" s="40">
        <f>TRUNC(4006,-1)</f>
        <v>4000</v>
      </c>
      <c r="E122" s="62">
        <f t="shared" ref="E122:E132" si="4">TRUNC(+D122*3.3058,-1)</f>
        <v>13220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TRUNC(10404,-1)</f>
        <v>10400</v>
      </c>
      <c r="E125" s="63">
        <f t="shared" si="4"/>
        <v>34380</v>
      </c>
    </row>
    <row r="126" spans="1:7" x14ac:dyDescent="0.3">
      <c r="A126" s="2">
        <v>5</v>
      </c>
      <c r="C126" s="38" t="s">
        <v>53</v>
      </c>
      <c r="D126" s="42">
        <f>TRUNC(3972,-1)</f>
        <v>3970</v>
      </c>
      <c r="E126" s="63">
        <f t="shared" si="4"/>
        <v>13120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TRUNC(1859,-1)</f>
        <v>1850</v>
      </c>
      <c r="E128" s="63">
        <f t="shared" si="4"/>
        <v>6110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TRUNC(22135,-1)</f>
        <v>22130</v>
      </c>
      <c r="E130" s="63">
        <f t="shared" si="4"/>
        <v>73150</v>
      </c>
    </row>
    <row r="131" spans="1:7" x14ac:dyDescent="0.3">
      <c r="A131" s="2">
        <v>10</v>
      </c>
      <c r="C131" s="38" t="s">
        <v>148</v>
      </c>
      <c r="D131" s="42">
        <f>TRUNC(44891,-1)</f>
        <v>44890</v>
      </c>
      <c r="E131" s="63">
        <f t="shared" si="4"/>
        <v>148390</v>
      </c>
    </row>
    <row r="132" spans="1:7" ht="18" thickBot="1" x14ac:dyDescent="0.35">
      <c r="A132" s="2">
        <v>11</v>
      </c>
      <c r="C132" s="38" t="s">
        <v>47</v>
      </c>
      <c r="D132" s="43">
        <f>TRUNC(1104,-1)</f>
        <v>1100</v>
      </c>
      <c r="E132" s="64">
        <f t="shared" si="4"/>
        <v>3630</v>
      </c>
      <c r="F132" s="54"/>
    </row>
    <row r="133" spans="1:7" x14ac:dyDescent="0.3">
      <c r="A133" s="2">
        <v>12</v>
      </c>
      <c r="C133" s="27" t="s">
        <v>112</v>
      </c>
      <c r="D133" s="39">
        <f>SUM(D122:D132)</f>
        <v>88340</v>
      </c>
      <c r="E133" s="39">
        <f>SUM(E122:E132)</f>
        <v>292000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244</v>
      </c>
      <c r="C135" s="56" t="s">
        <v>241</v>
      </c>
      <c r="D135" s="57" t="s">
        <v>234</v>
      </c>
      <c r="E135" s="57" t="s">
        <v>259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TRUNC(5578,-1)</f>
        <v>5570</v>
      </c>
      <c r="E137" s="63">
        <f t="shared" si="5"/>
        <v>18410</v>
      </c>
      <c r="F137" s="2" t="s">
        <v>255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TRUNC(3032,-1)</f>
        <v>3030</v>
      </c>
      <c r="E139" s="63">
        <f t="shared" si="5"/>
        <v>10010</v>
      </c>
    </row>
    <row r="140" spans="1:7" x14ac:dyDescent="0.3">
      <c r="A140" s="2">
        <v>5</v>
      </c>
      <c r="C140" s="38" t="s">
        <v>57</v>
      </c>
      <c r="D140" s="42">
        <f>TRUNC(7137,-1)</f>
        <v>7130</v>
      </c>
      <c r="E140" s="63">
        <f t="shared" si="5"/>
        <v>23570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TRUNC(12194,-1)</f>
        <v>12190</v>
      </c>
      <c r="E142" s="63">
        <f t="shared" si="5"/>
        <v>40290</v>
      </c>
    </row>
    <row r="143" spans="1:7" x14ac:dyDescent="0.3">
      <c r="A143" s="2">
        <v>8</v>
      </c>
      <c r="C143" s="38" t="s">
        <v>62</v>
      </c>
      <c r="D143" s="42">
        <f>TRUNC(6024,-1)</f>
        <v>6020</v>
      </c>
      <c r="E143" s="63">
        <f t="shared" si="5"/>
        <v>19900</v>
      </c>
    </row>
    <row r="144" spans="1:7" x14ac:dyDescent="0.3">
      <c r="A144" s="2">
        <v>9</v>
      </c>
      <c r="C144" s="38" t="s">
        <v>63</v>
      </c>
      <c r="D144" s="42">
        <f>TRUNC(22701,-1)</f>
        <v>22700</v>
      </c>
      <c r="E144" s="63">
        <f t="shared" si="5"/>
        <v>75040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56640</v>
      </c>
      <c r="E146" s="39">
        <f>SUM(E136:E145)</f>
        <v>187220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245</v>
      </c>
      <c r="C148" s="56" t="s">
        <v>241</v>
      </c>
      <c r="D148" s="57" t="s">
        <v>234</v>
      </c>
      <c r="E148" s="57" t="s">
        <v>259</v>
      </c>
      <c r="G148" s="55"/>
    </row>
    <row r="149" spans="1:7" x14ac:dyDescent="0.3">
      <c r="A149" s="2">
        <v>1</v>
      </c>
      <c r="C149" s="38" t="s">
        <v>48</v>
      </c>
      <c r="D149" s="40">
        <f>TRUNC(5912+414,-1)</f>
        <v>6320</v>
      </c>
      <c r="E149" s="62">
        <f>TRUNC(+D149*3.3058,-1)</f>
        <v>20890</v>
      </c>
    </row>
    <row r="150" spans="1:7" x14ac:dyDescent="0.3">
      <c r="A150" s="2">
        <v>2</v>
      </c>
      <c r="C150" s="38" t="s">
        <v>49</v>
      </c>
      <c r="D150" s="42">
        <f>TRUNC(3513,-1)</f>
        <v>3510</v>
      </c>
      <c r="E150" s="63">
        <f>TRUNC(+D150*3.3058,-1)</f>
        <v>11600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TRUNC(12985+63138,-1)</f>
        <v>76120</v>
      </c>
      <c r="E152" s="63">
        <f>TRUNC(+D152*3.3058,-1)</f>
        <v>251630</v>
      </c>
      <c r="F152" s="2" t="s">
        <v>256</v>
      </c>
    </row>
    <row r="153" spans="1:7" ht="17.25" thickBot="1" x14ac:dyDescent="0.35">
      <c r="A153" s="2">
        <v>5</v>
      </c>
      <c r="C153" s="38" t="s">
        <v>148</v>
      </c>
      <c r="D153" s="43">
        <f>TRUNC(4107,-1)</f>
        <v>4100</v>
      </c>
      <c r="E153" s="64">
        <f>TRUNC(+D153*3.3058,-1)</f>
        <v>13550</v>
      </c>
    </row>
    <row r="154" spans="1:7" x14ac:dyDescent="0.3">
      <c r="A154" s="2">
        <v>6</v>
      </c>
      <c r="C154" s="27" t="s">
        <v>112</v>
      </c>
      <c r="D154" s="39">
        <f>SUM(D149:D153)</f>
        <v>90050</v>
      </c>
      <c r="E154" s="39">
        <f>SUM(E149:E153)</f>
        <v>297670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246</v>
      </c>
      <c r="C156" s="56" t="s">
        <v>241</v>
      </c>
      <c r="D156" s="57" t="s">
        <v>234</v>
      </c>
      <c r="E156" s="57" t="s">
        <v>259</v>
      </c>
      <c r="G156" s="55"/>
    </row>
    <row r="157" spans="1:7" x14ac:dyDescent="0.3">
      <c r="A157" s="2">
        <v>1</v>
      </c>
      <c r="C157" s="38" t="s">
        <v>51</v>
      </c>
      <c r="D157" s="40">
        <f>TRUNC(16454,-1)</f>
        <v>16450</v>
      </c>
      <c r="E157" s="62">
        <f>TRUNC(+D157*3.3058,-1)</f>
        <v>54380</v>
      </c>
    </row>
    <row r="158" spans="1:7" x14ac:dyDescent="0.3">
      <c r="A158" s="2">
        <v>2</v>
      </c>
      <c r="C158" s="38" t="s">
        <v>52</v>
      </c>
      <c r="D158" s="42">
        <f>TRUNC(13363,-1)</f>
        <v>13360</v>
      </c>
      <c r="E158" s="63">
        <f>TRUNC(+D158*3.3058,-1)</f>
        <v>44160</v>
      </c>
      <c r="F158" s="2" t="s">
        <v>258</v>
      </c>
    </row>
    <row r="159" spans="1:7" x14ac:dyDescent="0.3">
      <c r="A159" s="2">
        <v>3</v>
      </c>
      <c r="C159" s="38" t="s">
        <v>47</v>
      </c>
      <c r="D159" s="42">
        <f>TRUNC(5911,-1)</f>
        <v>5910</v>
      </c>
      <c r="E159" s="63">
        <f>TRUNC(+D159*3.3058,-1)</f>
        <v>19530</v>
      </c>
      <c r="F159" s="2" t="s">
        <v>257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35720</v>
      </c>
      <c r="E161" s="39">
        <f>SUM(E157:E160)</f>
        <v>118070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2020-12-08T01:20:30Z</dcterms:modified>
</cp:coreProperties>
</file>