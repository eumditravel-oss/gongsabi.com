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5" i="4"/>
  <c r="E142" i="4"/>
  <c r="E141" i="4"/>
  <c r="E140" i="4"/>
  <c r="E139" i="4"/>
  <c r="E138" i="4"/>
  <c r="E137" i="4"/>
  <c r="E136" i="4"/>
  <c r="E130" i="4"/>
  <c r="E129" i="4"/>
  <c r="E127" i="4"/>
  <c r="E126" i="4"/>
  <c r="E124" i="4"/>
  <c r="E118" i="4"/>
  <c r="E116" i="4"/>
  <c r="E114" i="4"/>
  <c r="E113" i="4"/>
  <c r="E112" i="4"/>
  <c r="E110" i="4"/>
  <c r="E109" i="4"/>
  <c r="E107" i="4"/>
  <c r="E106" i="4"/>
  <c r="E104" i="4"/>
  <c r="E103" i="4"/>
  <c r="E101" i="4"/>
  <c r="E98" i="4"/>
  <c r="E93" i="4"/>
  <c r="E91" i="4"/>
  <c r="E88" i="4"/>
  <c r="E87" i="4"/>
  <c r="E85" i="4"/>
  <c r="E84" i="4"/>
  <c r="E83" i="4"/>
  <c r="E82" i="4"/>
  <c r="E81" i="4"/>
  <c r="E80" i="4"/>
  <c r="E79" i="4"/>
  <c r="E78" i="4"/>
  <c r="E77" i="4"/>
  <c r="E76" i="4"/>
  <c r="E75" i="4"/>
  <c r="E74" i="4"/>
  <c r="E70" i="4"/>
  <c r="E65" i="4"/>
  <c r="E64" i="4"/>
  <c r="E63" i="4"/>
  <c r="E57" i="4"/>
  <c r="E56" i="4"/>
  <c r="E54" i="4"/>
  <c r="E66" i="4" l="1"/>
  <c r="E161" i="4"/>
  <c r="D59" i="4"/>
  <c r="E59" i="4" s="1"/>
  <c r="D125" i="4" l="1"/>
  <c r="E125" i="4" s="1"/>
  <c r="D132" i="4"/>
  <c r="E132" i="4" s="1"/>
  <c r="D58" i="4" l="1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2" i="4"/>
  <c r="E152" i="4" s="1"/>
  <c r="D150" i="4"/>
  <c r="E150" i="4" s="1"/>
  <c r="D149" i="4"/>
  <c r="E149" i="4" s="1"/>
  <c r="D151" i="4"/>
  <c r="E151" i="4" s="1"/>
  <c r="D94" i="4"/>
  <c r="E94" i="4" s="1"/>
  <c r="D86" i="4"/>
  <c r="E86" i="4" s="1"/>
  <c r="D90" i="4"/>
  <c r="E90" i="4" s="1"/>
  <c r="D72" i="4"/>
  <c r="E72" i="4" s="1"/>
  <c r="D89" i="4"/>
  <c r="E89" i="4" s="1"/>
  <c r="D73" i="4"/>
  <c r="E73" i="4" s="1"/>
  <c r="D71" i="4"/>
  <c r="E71" i="4" s="1"/>
  <c r="D92" i="4"/>
  <c r="E92" i="4" s="1"/>
  <c r="D69" i="4"/>
  <c r="E69" i="4" s="1"/>
  <c r="E95" i="4" s="1"/>
  <c r="D144" i="4"/>
  <c r="E144" i="4" s="1"/>
  <c r="D143" i="4"/>
  <c r="E143" i="4" s="1"/>
  <c r="E146" i="4" s="1"/>
  <c r="D117" i="4"/>
  <c r="E117" i="4" s="1"/>
  <c r="D105" i="4"/>
  <c r="E105" i="4" s="1"/>
  <c r="D108" i="4"/>
  <c r="E108" i="4" s="1"/>
  <c r="D100" i="4"/>
  <c r="E100" i="4" s="1"/>
  <c r="D102" i="4"/>
  <c r="E102" i="4" s="1"/>
  <c r="D111" i="4"/>
  <c r="E111" i="4" s="1"/>
  <c r="D99" i="4"/>
  <c r="E99" i="4" s="1"/>
  <c r="D115" i="4"/>
  <c r="E115" i="4" s="1"/>
  <c r="D128" i="4"/>
  <c r="E128" i="4" s="1"/>
  <c r="D122" i="4"/>
  <c r="E122" i="4" s="1"/>
  <c r="E133" i="4" s="1"/>
  <c r="D123" i="4"/>
  <c r="E123" i="4" s="1"/>
  <c r="D131" i="4"/>
  <c r="E131" i="4" s="1"/>
  <c r="E154" i="4" l="1"/>
  <c r="E119" i="4"/>
  <c r="E60" i="4"/>
  <c r="D60" i="4"/>
  <c r="D25" i="4" s="1"/>
  <c r="E25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<sst xmlns="http://schemas.openxmlformats.org/spreadsheetml/2006/main" count="392" uniqueCount="329">
  <si>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</si>
  <si>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</si>
  <si>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</si>
  <si>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</si>
  <si>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</si>
  <si>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</si>
  <si>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</si>
  <si>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</si>
  <si>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</si>
  <si>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</si>
  <si>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</si>
  <si>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</si>
  <si>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</si>
  <si>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</si>
  <si>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</si>
  <si>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</si>
  <si>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</si>
  <si>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</si>
  <si>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</si>
  <si>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</si>
  <si>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</si>
  <si>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</si>
  <si>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</si>
  <si>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</si>
  <si>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</si>
  <si>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</si>
  <si>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</si>
  <si>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</si>
  <si>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</si>
  <si>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</si>
  <si>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</si>
  <si>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</si>
  <si>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</si>
  <si>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</si>
  <si>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</si>
  <si>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</si>
  <si>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</si>
  <si>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</si>
  <si>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</si>
  <si>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</si>
  <si>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</si>
  <si>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</si>
  <si>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</si>
  <si>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</si>
  <si>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</si>
  <si>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</si>
  <si>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</si>
  <si>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</si>
  <si>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</si>
  <si>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</si>
  <si>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</si>
  <si>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</si>
  <si>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</si>
  <si>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</si>
  <si>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</si>
  <si>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</si>
  <si>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</si>
  <si>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</si>
  <si>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</si>
  <si>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</si>
  <si>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</si>
  <si>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</si>
  <si>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</si>
  <si>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</si>
  <si>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</si>
  <si>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</si>
  <si>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</si>
  <si>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</si>
  <si>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</si>
  <si>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</si>
  <si>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</si>
  <si>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</si>
  <si>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</si>
  <si>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</si>
  <si>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</si>
  <si>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</si>
  <si>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</si>
  <si>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</si>
  <si>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</si>
  <si>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</si>
  <si>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</si>
  <si>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</si>
  <si>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</si>
  <si>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</si>
  <si>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</si>
  <si>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</si>
  <si>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</si>
  <si>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</si>
  <si>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</si>
  <si>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</si>
  <si>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</si>
  <si>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</si>
  <si>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</si>
  <si>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</si>
  <si>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</si>
  <si>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</si>
  <si>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</si>
  <si>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</si>
  <si>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</si>
  <si>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</si>
  <si>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</si>
  <si>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</si>
  <si>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</si>
  <si>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</si>
  <si>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</si>
  <si>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</si>
  <si>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</si>
  <si>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</si>
  <si>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</si>
  <si>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</si>
  <si>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</si>
  <si>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</si>
  <si>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</si>
  <si>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</si>
  <si>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</si>
  <si>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</si>
  <si>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</si>
  <si>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</si>
  <si>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</si>
  <si>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</si>
  <si>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</si>
  <si>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</si>
  <si>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</si>
  <si>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</si>
  <si>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</si>
  <si>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</si>
  <si>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</si>
  <si>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</si>
  <si>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</si>
  <si>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</si>
  <si>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</si>
  <si>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</si>
  <si>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</si>
  <si>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</si>
  <si>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</si>
  <si>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</si>
  <si>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</si>
  <si>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</si>
  <si>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</si>
  <si>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</si>
  <si>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</si>
  <si>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</si>
  <si>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</si>
  <si>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</si>
  <si>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</si>
  <si>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</si>
  <si>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</si>
  <si>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</si>
  <si>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</si>
  <si>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</si>
  <si>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</si>
  <si>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</si>
  <si>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</si>
  <si>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</si>
  <si>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</si>
  <si>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</si>
  <si>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</si>
  <si>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</si>
  <si>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</si>
  <si>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</si>
  <si>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</si>
  <si>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</si>
  <si>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</si>
  <si>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</si>
  <si>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</si>
  <si>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</si>
  <si>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</si>
  <si>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</si>
  <si>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</si>
  <si>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</si>
  <si>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</si>
  <si>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</si>
  <si>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</si>
  <si>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</si>
  <si>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</si>
  <si>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</si>
  <si>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</si>
  <si>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</si>
  <si>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</si>
  <si>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</si>
  <si>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</si>
  <si>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</si>
  <si>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</si>
  <si>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</si>
  <si>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</si>
  <si>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</si>
  <si>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</si>
  <si>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</si>
  <si>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</si>
  <si>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</si>
  <si>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</si>
  <si>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</si>
  <si>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</si>
  <si>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</si>
  <si>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</si>
  <si>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</si>
  <si>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</si>
  <si>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</si>
  <si>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</si>
  <si>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</si>
  <si>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</si>
  <si>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</si>
  <si>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</si>
  <si>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</si>
  <si>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</si>
  <si>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</si>
  <si>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</si>
  <si>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</si>
  <si>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</si>
  <si>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</si>
  <si>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</si>
  <si>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</si>
  <si>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</si>
  <si>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</si>
  <si>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</si>
  <si>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</si>
  <si>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</si>
  <si>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</si>
  <si>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</si>
  <si>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</si>
  <si>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</si>
  <si>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</si>
  <si>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</si>
  <si>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</si>
  <si>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</si>
  <si>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</si>
  <si>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</si>
  <si>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</si>
  <si>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</si>
  <si>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</si>
  <si>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</si>
  <si>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</si>
  <si>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</si>
  <si>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</si>
  <si>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</si>
  <si>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</si>
  <si>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</si>
  <si>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</si>
  <si>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</si>
  <si>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</si>
  <si>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</si>
  <si>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</si>
  <si>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</si>
  <si>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</si>
  <si>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</si>
  <si>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</si>
  <si>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</si>
  <si>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</si>
  <si>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</si>
  <si>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</si>
  <si>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</si>
  <si>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</si>
  <si>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</si>
  <si>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</si>
  <si>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</si>
  <si>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</si>
  <si>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</si>
  <si>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</si>
  <si>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</si>
  <si>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</si>
  <si>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</si>
  <si>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</si>
  <si>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</si>
  <si>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</si>
  <si>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</si>
  <si>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</si>
  <si>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</si>
  <si>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</si>
  <si>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</si>
  <si>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</si>
  <si>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</si>
  <si>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</si>
  <si>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</si>
  <si>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</si>
  <si>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</si>
  <si>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</si>
  <si>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</si>
  <si>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</si>
  <si>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</si>
  <si>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</si>
  <si>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</si>
  <si>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</si>
  <si>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</si>
  <si>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</si>
  <si>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</si>
  <si>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</si>
  <si>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</si>
  <si>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</si>
  <si>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</si>
  <si>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</si>
  <si>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</si>
  <si>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</si>
  <si>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</si>
  <si>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</si>
  <si>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</si>
  <si>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</si>
  <si>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</si>
  <si>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</si>
  <si>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</si>
  <si>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</si>
  <si>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</si>
  <si>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</si>
  <si>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</si>
  <si>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</si>
  <si>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</si>
  <si>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</si>
  <si>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</si>
  <si>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</si>
  <si>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00초등학교 신축공사</t>
  </si>
  <si>
    <t>교육연구</t>
  </si>
  <si>
    <t>충청도</t>
  </si>
  <si>
    <t>전화설비공사,LAN 설비공사</t>
    <phoneticPr fontId="2" type="noConversion"/>
  </si>
  <si>
    <t>전력및동력설비공사</t>
  </si>
  <si>
    <t>전열설비공사(교육용),(상시용)</t>
    <phoneticPr fontId="2" type="noConversion"/>
  </si>
  <si>
    <t>전등설비공사(교육용),(상시용)</t>
    <phoneticPr fontId="2" type="noConversion"/>
  </si>
  <si>
    <t>유도등 및 비상조명등 설비공사</t>
  </si>
  <si>
    <t>기계 소방설비공사</t>
    <phoneticPr fontId="2" type="noConversion"/>
  </si>
  <si>
    <t>옥외위생배관공사,배기닥트공사</t>
    <phoneticPr fontId="2" type="noConversion"/>
  </si>
  <si>
    <t>연못공사,운반비,지하수개발공사,부산물공제</t>
    <phoneticPr fontId="2" type="noConversion"/>
  </si>
  <si>
    <t>잡공사,부대시설공사,골재및운반비,작업부산물</t>
    <phoneticPr fontId="2" type="noConversion"/>
  </si>
  <si>
    <t>도난경보설비공사</t>
    <phoneticPr fontId="2" type="noConversion"/>
  </si>
  <si>
    <t>방송설비, 전관방송및영상설비공사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</si>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</sst>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154</v>
      </c>
      <c r="B2" s="73" t="s">
        <v>0</v>
      </c>
      <c r="C2" s="74"/>
      <c r="D2" s="73" t="s">
        <v>1</v>
      </c>
      <c r="E2" s="74"/>
      <c r="F2" s="73" t="s">
        <v>155</v>
      </c>
      <c r="G2" s="74"/>
      <c r="H2" s="73" t="s">
        <v>2</v>
      </c>
      <c r="I2" s="74"/>
      <c r="J2" s="73" t="s">
        <v>3</v>
      </c>
      <c r="K2" s="74"/>
      <c r="L2" s="73" t="s">
        <v>156</v>
      </c>
      <c r="M2" s="74"/>
      <c r="N2" s="73" t="s">
        <v>157</v>
      </c>
      <c r="O2" s="74"/>
      <c r="P2" s="73" t="s">
        <v>158</v>
      </c>
      <c r="Q2" s="74"/>
      <c r="R2" s="67" t="s">
        <v>159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9357</v>
      </c>
      <c r="D7" s="36">
        <f>+C7/3.3058</f>
        <v>2830.479762841067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1730</v>
      </c>
      <c r="E24" s="59">
        <f t="shared" ref="E24:E33" si="0">TRUNC(+D24*3.3058,-1)</f>
        <v>5710</v>
      </c>
    </row>
    <row r="25" spans="1:5" x14ac:dyDescent="0.3">
      <c r="B25" s="2">
        <v>2</v>
      </c>
      <c r="C25" s="35" t="s">
        <v>45</v>
      </c>
      <c r="D25" s="47">
        <f>+D60</f>
        <v>487490</v>
      </c>
      <c r="E25" s="60">
        <f t="shared" si="0"/>
        <v>1611540</v>
      </c>
    </row>
    <row r="26" spans="1:5" x14ac:dyDescent="0.3">
      <c r="B26" s="2">
        <v>3</v>
      </c>
      <c r="C26" s="35" t="s">
        <v>29</v>
      </c>
      <c r="D26" s="47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30</v>
      </c>
      <c r="D27" s="47">
        <f>+D95</f>
        <v>35720</v>
      </c>
      <c r="E27" s="60">
        <f t="shared" si="0"/>
        <v>118080</v>
      </c>
    </row>
    <row r="28" spans="1:5" x14ac:dyDescent="0.3">
      <c r="B28" s="2">
        <v>5</v>
      </c>
      <c r="C28" s="35" t="s">
        <v>31</v>
      </c>
      <c r="D28" s="47">
        <f>+D119</f>
        <v>55020</v>
      </c>
      <c r="E28" s="60">
        <f t="shared" si="0"/>
        <v>181880</v>
      </c>
    </row>
    <row r="29" spans="1:5" x14ac:dyDescent="0.3">
      <c r="B29" s="2">
        <v>6</v>
      </c>
      <c r="C29" s="35" t="s">
        <v>32</v>
      </c>
      <c r="D29" s="47">
        <f>+D133</f>
        <v>20200</v>
      </c>
      <c r="E29" s="60">
        <f t="shared" si="0"/>
        <v>66770</v>
      </c>
    </row>
    <row r="30" spans="1:5" x14ac:dyDescent="0.3">
      <c r="B30" s="2">
        <v>7</v>
      </c>
      <c r="C30" s="35" t="s">
        <v>33</v>
      </c>
      <c r="D30" s="47">
        <f>+D146</f>
        <v>21100</v>
      </c>
      <c r="E30" s="60">
        <f t="shared" si="0"/>
        <v>69750</v>
      </c>
    </row>
    <row r="31" spans="1:5" x14ac:dyDescent="0.3">
      <c r="B31" s="2">
        <v>8</v>
      </c>
      <c r="C31" s="35" t="s">
        <v>34</v>
      </c>
      <c r="D31" s="47">
        <f>+D154</f>
        <v>47350</v>
      </c>
      <c r="E31" s="60">
        <f t="shared" si="0"/>
        <v>156520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183860</v>
      </c>
      <c r="E33" s="61">
        <f t="shared" si="0"/>
        <v>607800</v>
      </c>
    </row>
    <row r="34" spans="1:5" x14ac:dyDescent="0.3">
      <c r="C34" s="35" t="s">
        <v>46</v>
      </c>
      <c r="D34" s="46">
        <f>SUM(D24:D33)</f>
        <v>852470</v>
      </c>
      <c r="E34" s="46">
        <f>SUM(E24:E33)</f>
        <v>2818050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TRUNC(1732.59281821097,-1)</f>
        <v>1730</v>
      </c>
      <c r="E37" s="62">
        <f>TRUNC(+D37*3.3058,-1)</f>
        <v>5710</v>
      </c>
    </row>
    <row r="38" spans="1:5" s="48" customFormat="1" x14ac:dyDescent="0.3">
      <c r="C38" s="49"/>
      <c r="D38" s="49"/>
      <c r="E38" s="49"/>
    </row>
    <row r="39" spans="1:5" s="48" customFormat="1" ht="17.25" thickBot="1" x14ac:dyDescent="0.35">
      <c r="B39" s="48" t="s">
        <v>322</v>
      </c>
      <c r="C39" s="48" t="s">
        <v>323</v>
      </c>
      <c r="D39" s="49" t="s">
        <v>324</v>
      </c>
      <c r="E39" s="49" t="s">
        <v>325</v>
      </c>
    </row>
    <row r="40" spans="1:5" x14ac:dyDescent="0.3">
      <c r="A40" s="2">
        <v>1</v>
      </c>
      <c r="C40" s="39" t="s">
        <v>75</v>
      </c>
      <c r="D40" s="42">
        <f>TRUNC(20345.2176979801,-1)</f>
        <v>20340</v>
      </c>
      <c r="E40" s="63">
        <f t="shared" ref="E40:E59" si="1">TRUNC(+D40*3.3058,-1)</f>
        <v>67230</v>
      </c>
    </row>
    <row r="41" spans="1:5" x14ac:dyDescent="0.3">
      <c r="A41" s="2">
        <v>2</v>
      </c>
      <c r="C41" s="39" t="s">
        <v>6</v>
      </c>
      <c r="D41" s="44">
        <f>TRUNC(96826.8368066688,-1)</f>
        <v>96820</v>
      </c>
      <c r="E41" s="64">
        <f t="shared" si="1"/>
        <v>320060</v>
      </c>
    </row>
    <row r="42" spans="1:5" x14ac:dyDescent="0.3">
      <c r="A42" s="2">
        <v>3</v>
      </c>
      <c r="C42" s="39" t="s">
        <v>7</v>
      </c>
      <c r="D42" s="44">
        <f>TRUNC(14152.1513305547,-1)</f>
        <v>14150</v>
      </c>
      <c r="E42" s="64">
        <f t="shared" si="1"/>
        <v>46770</v>
      </c>
    </row>
    <row r="43" spans="1:5" x14ac:dyDescent="0.3">
      <c r="A43" s="2">
        <v>4</v>
      </c>
      <c r="C43" s="39" t="s">
        <v>8</v>
      </c>
      <c r="D43" s="44">
        <f>TRUNC(27311.2342631185,-1)</f>
        <v>27310</v>
      </c>
      <c r="E43" s="64">
        <f t="shared" si="1"/>
        <v>90280</v>
      </c>
    </row>
    <row r="44" spans="1:5" x14ac:dyDescent="0.3">
      <c r="A44" s="2">
        <v>5</v>
      </c>
      <c r="C44" s="39" t="s">
        <v>9</v>
      </c>
      <c r="D44" s="44">
        <f>TRUNC(8189.73249973282,-1)</f>
        <v>8180</v>
      </c>
      <c r="E44" s="64">
        <f t="shared" si="1"/>
        <v>27040</v>
      </c>
    </row>
    <row r="45" spans="1:5" x14ac:dyDescent="0.3">
      <c r="A45" s="2">
        <v>6</v>
      </c>
      <c r="C45" s="39" t="s">
        <v>10</v>
      </c>
      <c r="D45" s="44">
        <f>TRUNC(6510.40589932671,-1)</f>
        <v>6510</v>
      </c>
      <c r="E45" s="64">
        <f t="shared" si="1"/>
        <v>21520</v>
      </c>
    </row>
    <row r="46" spans="1:5" x14ac:dyDescent="0.3">
      <c r="A46" s="2">
        <v>7</v>
      </c>
      <c r="C46" s="39" t="s">
        <v>11</v>
      </c>
      <c r="D46" s="44">
        <f>TRUNC(13928.7065298707,-1)</f>
        <v>13920</v>
      </c>
      <c r="E46" s="64">
        <f t="shared" si="1"/>
        <v>46010</v>
      </c>
    </row>
    <row r="47" spans="1:5" x14ac:dyDescent="0.3">
      <c r="A47" s="2">
        <v>8</v>
      </c>
      <c r="C47" s="39" t="s">
        <v>12</v>
      </c>
      <c r="D47" s="44">
        <f>TRUNC(30157.9088383029,-1)</f>
        <v>30150</v>
      </c>
      <c r="E47" s="64">
        <f t="shared" si="1"/>
        <v>99660</v>
      </c>
    </row>
    <row r="48" spans="1:5" x14ac:dyDescent="0.3">
      <c r="A48" s="2">
        <v>9</v>
      </c>
      <c r="C48" s="39" t="s">
        <v>13</v>
      </c>
      <c r="D48" s="44">
        <f>TRUNC(42166.2383242492,-1)</f>
        <v>42160</v>
      </c>
      <c r="E48" s="64">
        <f t="shared" si="1"/>
        <v>139370</v>
      </c>
    </row>
    <row r="49" spans="1:6" x14ac:dyDescent="0.3">
      <c r="A49" s="2">
        <v>10</v>
      </c>
      <c r="C49" s="39" t="s">
        <v>14</v>
      </c>
      <c r="D49" s="44">
        <f>TRUNC(17978.099711446,-1)</f>
        <v>17970</v>
      </c>
      <c r="E49" s="64">
        <f t="shared" si="1"/>
        <v>59400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TRUNC(44345.6838730362,-1)</f>
        <v>44340</v>
      </c>
      <c r="E50" s="64">
        <f t="shared" si="1"/>
        <v>146570</v>
      </c>
      <c r="F50" s="2"/>
    </row>
    <row r="51" spans="1:6" x14ac:dyDescent="0.3">
      <c r="A51" s="2">
        <v>12</v>
      </c>
      <c r="C51" s="39" t="s">
        <v>16</v>
      </c>
      <c r="D51" s="44">
        <f>TRUNC(9129.78572191942,-1)</f>
        <v>9120</v>
      </c>
      <c r="E51" s="64">
        <f t="shared" si="1"/>
        <v>30140</v>
      </c>
    </row>
    <row r="52" spans="1:6" x14ac:dyDescent="0.3">
      <c r="A52" s="2">
        <v>13</v>
      </c>
      <c r="C52" s="39" t="s">
        <v>17</v>
      </c>
      <c r="D52" s="44">
        <f>TRUNC(5066.9131131773,-1)</f>
        <v>5060</v>
      </c>
      <c r="E52" s="64">
        <f t="shared" si="1"/>
        <v>16720</v>
      </c>
    </row>
    <row r="53" spans="1:6" x14ac:dyDescent="0.3">
      <c r="A53" s="2">
        <v>14</v>
      </c>
      <c r="C53" s="39" t="s">
        <v>18</v>
      </c>
      <c r="D53" s="44">
        <f>TRUNC(32235.5824516405,-1)</f>
        <v>32230</v>
      </c>
      <c r="E53" s="64">
        <f t="shared" si="1"/>
        <v>106540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TRUNC(4262.51405364967,-1)</f>
        <v>4260</v>
      </c>
      <c r="E55" s="64">
        <f t="shared" si="1"/>
        <v>14080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TRUNC(5297.1175590467+6392.17281179865+2396.33290584589-610.815432296676,-1)</f>
        <v>13470</v>
      </c>
      <c r="E58" s="64">
        <f t="shared" si="1"/>
        <v>44520</v>
      </c>
      <c r="F58" s="2" t="s">
        <v>319</v>
      </c>
    </row>
    <row r="59" spans="1:6" ht="17.25" thickBot="1" x14ac:dyDescent="0.35">
      <c r="A59" s="2">
        <v>20</v>
      </c>
      <c r="C59" s="39" t="s">
        <v>56</v>
      </c>
      <c r="D59" s="45">
        <f>TRUNC(89092.3372875922+12407.7161483381,-1)</f>
        <v>101500</v>
      </c>
      <c r="E59" s="65">
        <f t="shared" si="1"/>
        <v>335530</v>
      </c>
    </row>
    <row r="60" spans="1:6" x14ac:dyDescent="0.3">
      <c r="A60" s="2">
        <v>21</v>
      </c>
      <c r="C60" s="27" t="s">
        <v>46</v>
      </c>
      <c r="D60" s="40">
        <f>SUM(D40:D59)</f>
        <v>487490</v>
      </c>
      <c r="E60" s="40">
        <f>SUM(E40:E59)</f>
        <v>1611440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v>0</v>
      </c>
      <c r="E63" s="63">
        <f>TRUNC(+D63*3.3058,-1)</f>
        <v>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0</v>
      </c>
      <c r="E66" s="66">
        <f>SUM(E63:E65)</f>
        <v>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TRUNC(5198.22133162338,-1)</f>
        <v>5190</v>
      </c>
      <c r="E69" s="63">
        <f t="shared" ref="E69:E94" si="2">TRUNC(+D69*3.3058,-1)</f>
        <v>17150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f>TRUNC(5187.37618894945,-1)</f>
        <v>5180</v>
      </c>
      <c r="E71" s="64">
        <f t="shared" si="2"/>
        <v>17120</v>
      </c>
    </row>
    <row r="72" spans="1:5" x14ac:dyDescent="0.3">
      <c r="A72" s="2">
        <v>4</v>
      </c>
      <c r="C72" s="39" t="s">
        <v>81</v>
      </c>
      <c r="D72" s="44">
        <f>TRUNC(2803.55680239393,-1)</f>
        <v>2800</v>
      </c>
      <c r="E72" s="64">
        <f t="shared" si="2"/>
        <v>9250</v>
      </c>
    </row>
    <row r="73" spans="1:5" x14ac:dyDescent="0.3">
      <c r="A73" s="2">
        <v>5</v>
      </c>
      <c r="C73" s="39" t="s">
        <v>82</v>
      </c>
      <c r="D73" s="44">
        <f>TRUNC(11467.2278508068,-1)</f>
        <v>11460</v>
      </c>
      <c r="E73" s="64">
        <f t="shared" si="2"/>
        <v>37880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f>TRUNC(730.553916853692,-1)</f>
        <v>730</v>
      </c>
      <c r="E86" s="64">
        <f t="shared" si="2"/>
        <v>2410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f>TRUNC(3191.06294752592,-1)</f>
        <v>3190</v>
      </c>
      <c r="E89" s="64">
        <f t="shared" si="2"/>
        <v>10540</v>
      </c>
    </row>
    <row r="90" spans="1:6" x14ac:dyDescent="0.3">
      <c r="A90" s="2">
        <v>22</v>
      </c>
      <c r="C90" s="39" t="s">
        <v>99</v>
      </c>
      <c r="D90" s="44">
        <f>TRUNC(336.53339745645,-1)</f>
        <v>330</v>
      </c>
      <c r="E90" s="64">
        <f t="shared" si="2"/>
        <v>1090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TRUNC(6069.09308539062,-1)</f>
        <v>6060</v>
      </c>
      <c r="E92" s="64">
        <f t="shared" si="2"/>
        <v>20030</v>
      </c>
    </row>
    <row r="93" spans="1:6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6" ht="17.25" thickBot="1" x14ac:dyDescent="0.35">
      <c r="A94" s="2">
        <v>26</v>
      </c>
      <c r="C94" s="39" t="s">
        <v>103</v>
      </c>
      <c r="D94" s="45">
        <f>TRUNC(611.288767767447+172.620818638453,-1)</f>
        <v>780</v>
      </c>
      <c r="E94" s="65">
        <f t="shared" si="2"/>
        <v>2570</v>
      </c>
      <c r="F94" s="2" t="s">
        <v>317</v>
      </c>
    </row>
    <row r="95" spans="1:6" x14ac:dyDescent="0.3">
      <c r="A95" s="2">
        <v>27</v>
      </c>
      <c r="C95" s="27" t="s">
        <v>104</v>
      </c>
      <c r="D95" s="40">
        <f>SUM(D69:D94)</f>
        <v>35720</v>
      </c>
      <c r="E95" s="40">
        <f>SUM(E69:E94)</f>
        <v>118040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6" x14ac:dyDescent="0.3">
      <c r="A99" s="2">
        <v>2</v>
      </c>
      <c r="C99" s="29" t="s">
        <v>107</v>
      </c>
      <c r="D99" s="44">
        <f>TRUNC(7806.78689750989,-1)</f>
        <v>7800</v>
      </c>
      <c r="E99" s="64">
        <f t="shared" si="3"/>
        <v>25780</v>
      </c>
      <c r="F99" s="2" t="s">
        <v>312</v>
      </c>
    </row>
    <row r="100" spans="1:6" x14ac:dyDescent="0.3">
      <c r="A100" s="2">
        <v>3</v>
      </c>
      <c r="C100" s="29" t="s">
        <v>108</v>
      </c>
      <c r="D100" s="44">
        <f>TRUNC(10718.7232018809+5968.98022870578,-1)</f>
        <v>16680</v>
      </c>
      <c r="E100" s="64">
        <f t="shared" si="3"/>
        <v>55140</v>
      </c>
      <c r="F100" s="2" t="s">
        <v>314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TRUNC(3111.54333653949+2682.46777813402,-1)</f>
        <v>5790</v>
      </c>
      <c r="E102" s="64">
        <f t="shared" si="3"/>
        <v>19140</v>
      </c>
      <c r="F102" s="2" t="s">
        <v>313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6" x14ac:dyDescent="0.3">
      <c r="A105" s="2">
        <v>8</v>
      </c>
      <c r="C105" s="29" t="s">
        <v>113</v>
      </c>
      <c r="D105" s="44">
        <f>TRUNC(1724.60254355028,-1)</f>
        <v>1720</v>
      </c>
      <c r="E105" s="64">
        <f t="shared" si="3"/>
        <v>5680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f>TRUNC(775.262904777172,-1)</f>
        <v>770</v>
      </c>
      <c r="E108" s="64">
        <f t="shared" si="3"/>
        <v>2540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f>TRUNC(2173.56300096185,-1)</f>
        <v>2170</v>
      </c>
      <c r="E111" s="64">
        <f t="shared" si="3"/>
        <v>7170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f>TRUNC(4453.91696056428,-1)</f>
        <v>4450</v>
      </c>
      <c r="E115" s="64">
        <f t="shared" si="3"/>
        <v>14710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TRUNC(12719.8461045207+2924.69808699369,-1)</f>
        <v>15640</v>
      </c>
      <c r="E117" s="64">
        <f t="shared" si="3"/>
        <v>51700</v>
      </c>
    </row>
    <row r="118" spans="1:6" ht="17.25" thickBot="1" x14ac:dyDescent="0.35">
      <c r="A118" s="2">
        <v>21</v>
      </c>
      <c r="C118" s="29" t="s">
        <v>103</v>
      </c>
      <c r="D118" s="45">
        <v>0</v>
      </c>
      <c r="E118" s="65">
        <f t="shared" si="3"/>
        <v>0</v>
      </c>
    </row>
    <row r="119" spans="1:6" x14ac:dyDescent="0.3">
      <c r="A119" s="2">
        <v>22</v>
      </c>
      <c r="C119" s="27" t="s">
        <v>104</v>
      </c>
      <c r="D119" s="40">
        <f>SUM(D98:D118)</f>
        <v>55020</v>
      </c>
      <c r="E119" s="40">
        <f>SUM(E98:E118)</f>
        <v>181860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TRUNC(1484.66292615154,-1)</f>
        <v>1480</v>
      </c>
      <c r="E122" s="63">
        <f t="shared" ref="E122:E132" si="4">TRUNC(+D122*3.3058,-1)</f>
        <v>4890</v>
      </c>
    </row>
    <row r="123" spans="1:6" x14ac:dyDescent="0.3">
      <c r="A123" s="2">
        <v>2</v>
      </c>
      <c r="C123" s="29" t="s">
        <v>127</v>
      </c>
      <c r="D123" s="44">
        <f>TRUNC(3143.0442449503+3107.96462541413,-1)</f>
        <v>6250</v>
      </c>
      <c r="E123" s="64">
        <f t="shared" si="4"/>
        <v>20660</v>
      </c>
      <c r="F123" s="2" t="s">
        <v>311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f>TRUNC(3454.74393502191+572.417014000214,-1)</f>
        <v>4020</v>
      </c>
      <c r="E125" s="64">
        <f t="shared" si="4"/>
        <v>13280</v>
      </c>
      <c r="F125" s="2" t="s">
        <v>321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TRUNC(556.997969434648,-1)</f>
        <v>550</v>
      </c>
      <c r="E128" s="64">
        <f t="shared" si="4"/>
        <v>1810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f>TRUNC(7263.97349577856,-1)</f>
        <v>7260</v>
      </c>
      <c r="E131" s="64">
        <f t="shared" si="4"/>
        <v>24000</v>
      </c>
    </row>
    <row r="132" spans="1:6" ht="17.25" thickBot="1" x14ac:dyDescent="0.35">
      <c r="A132" s="2">
        <v>11</v>
      </c>
      <c r="C132" s="29" t="s">
        <v>103</v>
      </c>
      <c r="D132" s="45">
        <f>TRUNC(645.230095115955,-1)</f>
        <v>640</v>
      </c>
      <c r="E132" s="65">
        <f t="shared" si="4"/>
        <v>2110</v>
      </c>
      <c r="F132" s="2" t="s">
        <v>320</v>
      </c>
    </row>
    <row r="133" spans="1:6" x14ac:dyDescent="0.3">
      <c r="A133" s="2">
        <v>12</v>
      </c>
      <c r="C133" s="41" t="s">
        <v>104</v>
      </c>
      <c r="D133" s="40">
        <f>SUM(D122:D132)</f>
        <v>20200</v>
      </c>
      <c r="E133" s="40">
        <f>SUM(E122:E132)</f>
        <v>66750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11430</v>
      </c>
      <c r="E136" s="63">
        <f t="shared" ref="E136:E145" si="5">TRUNC(+D136*3.3058,-1)</f>
        <v>37780</v>
      </c>
      <c r="F136" s="2" t="s">
        <v>316</v>
      </c>
    </row>
    <row r="137" spans="1:6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f>TRUNC(3167.44138078444,-1)</f>
        <v>3160</v>
      </c>
      <c r="E143" s="64">
        <f t="shared" si="5"/>
        <v>10440</v>
      </c>
      <c r="F143" s="2" t="s">
        <v>315</v>
      </c>
    </row>
    <row r="144" spans="1:6" x14ac:dyDescent="0.3">
      <c r="A144" s="2">
        <v>9</v>
      </c>
      <c r="C144" s="39" t="s">
        <v>142</v>
      </c>
      <c r="D144" s="44">
        <f>TRUNC(6512.54953510741,-1)</f>
        <v>6510</v>
      </c>
      <c r="E144" s="64">
        <f t="shared" si="5"/>
        <v>21520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21100</v>
      </c>
      <c r="E146" s="40">
        <f>SUM(E136:E145)</f>
        <v>69740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f>TRUNC(10556.026076734+3261.81479106551,-1)</f>
        <v>13810</v>
      </c>
      <c r="E149" s="63">
        <f>TRUNC(+D149*3.3058,-1)</f>
        <v>45650</v>
      </c>
    </row>
    <row r="150" spans="1:6" x14ac:dyDescent="0.3">
      <c r="A150" s="2">
        <v>2</v>
      </c>
      <c r="C150" s="39" t="s">
        <v>145</v>
      </c>
      <c r="D150" s="44">
        <f>TRUNC(15581.4711980336,-1)</f>
        <v>15580</v>
      </c>
      <c r="E150" s="64">
        <f>TRUNC(+D150*3.3058,-1)</f>
        <v>51500</v>
      </c>
    </row>
    <row r="151" spans="1:6" x14ac:dyDescent="0.3">
      <c r="A151" s="2">
        <v>3</v>
      </c>
      <c r="C151" s="39" t="s">
        <v>146</v>
      </c>
      <c r="D151" s="44">
        <f>TRUNC(11459.3547077055,-1)</f>
        <v>11450</v>
      </c>
      <c r="E151" s="64">
        <f>TRUNC(+D151*3.3058,-1)</f>
        <v>37850</v>
      </c>
    </row>
    <row r="152" spans="1:6" x14ac:dyDescent="0.3">
      <c r="A152" s="2">
        <v>4</v>
      </c>
      <c r="C152" s="39" t="s">
        <v>103</v>
      </c>
      <c r="D152" s="44">
        <f>TRUNC(2718.01945067864+1420.01271775142+2388.29881372235-8.41295286950946,-1)</f>
        <v>6510</v>
      </c>
      <c r="E152" s="64">
        <f>TRUNC(+D152*3.3058,-1)</f>
        <v>21520</v>
      </c>
      <c r="F152" s="37" t="s">
        <v>318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47350</v>
      </c>
      <c r="E154" s="40">
        <f>SUM(E149:E153)</f>
        <v>156520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2020-12-07T09:22:10Z</dcterms:modified>
</cp:coreProperties>
</file>