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1" i="4"/>
  <c r="D140" i="4"/>
  <c r="D137" i="4"/>
  <c r="D132" i="4"/>
  <c r="D130" i="4"/>
  <c r="D128" i="4"/>
  <c r="D127" i="4"/>
  <c r="D126" i="4"/>
  <c r="D125" i="4"/>
  <c r="D124" i="4"/>
  <c r="D122" i="4"/>
  <c r="D118" i="4"/>
  <c r="D105" i="4"/>
  <c r="D104" i="4"/>
  <c r="D103" i="4"/>
  <c r="D102" i="4"/>
  <c r="D100" i="4"/>
  <c r="D99" i="4"/>
  <c r="D98" i="4"/>
  <c r="D92" i="4"/>
  <c r="D91" i="4"/>
  <c r="D90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<sst xmlns="http://schemas.openxmlformats.org/spreadsheetml/2006/main" count="389" uniqueCount="263">
  <si>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</si>
  <si>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</si>
  <si>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</si>
  <si>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</si>
  <si>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</si>
  <si>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</si>
  <si>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</si>
  <si>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</si>
  <si>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</si>
  <si>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</si>
  <si>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</si>
  <si>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</si>
  <si>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</si>
  <si>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</si>
  <si>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</si>
  <si>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</si>
  <si>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</si>
  <si>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</si>
  <si>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</si>
  <si>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</si>
  <si>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</si>
  <si>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</si>
  <si>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</si>
  <si>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</si>
  <si>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</si>
  <si>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</si>
  <si>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</si>
  <si>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</si>
  <si>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</si>
  <si>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</si>
  <si>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</si>
  <si>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</si>
  <si>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</si>
  <si>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</si>
  <si>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</si>
  <si>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</si>
  <si>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</si>
  <si>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</si>
  <si>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</si>
  <si>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</si>
  <si>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</si>
  <si>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</si>
  <si>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</si>
  <si>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</si>
  <si>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</si>
  <si>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</si>
  <si>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</si>
  <si>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</si>
  <si>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</si>
  <si>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</si>
  <si>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</si>
  <si>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</si>
  <si>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</si>
  <si>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</si>
  <si>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</si>
  <si>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</si>
  <si>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</si>
  <si>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</si>
  <si>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</si>
  <si>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</si>
  <si>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</si>
  <si>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</si>
  <si>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</si>
  <si>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</si>
  <si>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</si>
  <si>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</si>
  <si>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</si>
  <si>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</si>
  <si>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</si>
  <si>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</si>
  <si>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</si>
  <si>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</si>
  <si>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</si>
  <si>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</si>
  <si>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</si>
  <si>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</si>
  <si>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</si>
  <si>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</si>
  <si>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</si>
  <si>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</si>
  <si>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</si>
  <si>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</si>
  <si>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</si>
  <si>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</si>
  <si>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</si>
  <si>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</si>
  <si>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</si>
  <si>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</si>
  <si>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</si>
  <si>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</si>
  <si>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</si>
  <si>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</si>
  <si>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</si>
  <si>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</si>
  <si>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</si>
  <si>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</si>
  <si>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</si>
  <si>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</si>
  <si>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</si>
  <si>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</si>
  <si>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</si>
  <si>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</si>
  <si>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</si>
  <si>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</si>
  <si>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</si>
  <si>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</si>
  <si>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</si>
  <si>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</si>
  <si>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</si>
  <si>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</si>
  <si>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</si>
  <si>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</si>
  <si>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</si>
  <si>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</si>
  <si>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</si>
  <si>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</si>
  <si>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</si>
  <si>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</si>
  <si>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</si>
  <si>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</si>
  <si>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</si>
  <si>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</si>
  <si>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</si>
  <si>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</si>
  <si>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</si>
  <si>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</si>
  <si>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</si>
  <si>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</si>
  <si>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</si>
  <si>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</si>
  <si>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</si>
  <si>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</si>
  <si>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</si>
  <si>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</si>
  <si>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</si>
  <si>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</si>
  <si>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</si>
  <si>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</si>
  <si>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</si>
  <si>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</si>
  <si>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</si>
  <si>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</si>
  <si>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</si>
  <si>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</si>
  <si>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</si>
  <si>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</si>
  <si>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</si>
  <si>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</si>
  <si>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</si>
  <si>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</si>
  <si>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</si>
  <si>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</si>
  <si>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</si>
  <si>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</si>
  <si>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</si>
  <si>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</si>
  <si>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</si>
  <si>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</si>
  <si>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</si>
  <si>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</si>
  <si>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</si>
  <si>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</si>
  <si>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</si>
  <si>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</si>
  <si>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</si>
  <si>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</si>
  <si>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</si>
  <si>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</si>
  <si>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</si>
  <si>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</si>
  <si>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</si>
  <si>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</si>
  <si>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</si>
  <si>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</si>
  <si>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</si>
  <si>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</si>
  <si>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</si>
  <si>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</si>
  <si>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</si>
  <si>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</si>
  <si>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</si>
  <si>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</si>
  <si>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</si>
  <si>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</si>
  <si>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</si>
  <si>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</si>
  <si>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</si>
  <si>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</si>
  <si>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</si>
  <si>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</si>
  <si>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</si>
  <si>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</si>
  <si>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</si>
  <si>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</si>
  <si>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</si>
  <si>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</si>
  <si>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</si>
  <si>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</si>
  <si>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</si>
  <si>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</si>
  <si>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</si>
  <si>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</si>
  <si>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</si>
  <si>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</si>
  <si>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</si>
  <si>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</si>
  <si>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</si>
  <si>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</si>
  <si>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</si>
  <si>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</si>
  <si>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</si>
  <si>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</si>
  <si>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</si>
  <si>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</si>
  <si>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</si>
  <si>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</si>
  <si>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</si>
  <si>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</si>
  <si>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</si>
  <si>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</si>
  <si>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</si>
  <si>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</si>
  <si>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</si>
  <si>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</si>
  <si>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</si>
  <si>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</si>
  <si>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</si>
  <si>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</si>
  <si>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</si>
  <si>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</si>
  <si>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</si>
  <si>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</si>
  <si>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</si>
  <si>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</si>
  <si>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</si>
  <si>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</si>
  <si>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</si>
  <si>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</si>
  <si>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</si>
  <si>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</si>
  <si>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</si>
  <si>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</si>
  <si>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</si>
  <si>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</si>
  <si>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</si>
  <si>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</si>
  <si>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</si>
  <si>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</si>
  <si>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</si>
  <si>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</si>
  <si>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(가칭)일광중학교 교사신축공사(계속비공사)</t>
    <phoneticPr fontId="2" type="noConversion"/>
  </si>
  <si>
    <t>부산시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</si>
  <si>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</si>
  <si>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</si>
  <si>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</t>
    <phoneticPr fontId="2" type="noConversion"/>
  </si>
  <si>
    <t>기초공사, 품질시험비, 기타공사</t>
    <phoneticPr fontId="2" type="noConversion"/>
  </si>
  <si>
    <t>난방배관공사, 바닥난방공사, 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</si>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</sst>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11818.7</v>
      </c>
      <c r="D7" s="36">
        <f>+C7/3.3058</f>
        <v>3575.1406618670217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613230</v>
      </c>
      <c r="E25" s="59">
        <f t="shared" si="0"/>
        <v>2027210</v>
      </c>
    </row>
    <row r="26" spans="1:5" x14ac:dyDescent="0.3">
      <c r="B26" s="2">
        <v>3</v>
      </c>
      <c r="C26" s="35" t="s">
        <v>95</v>
      </c>
      <c r="D26" s="45">
        <f>+D66</f>
        <v>39000</v>
      </c>
      <c r="E26" s="59">
        <f t="shared" si="0"/>
        <v>128920</v>
      </c>
    </row>
    <row r="27" spans="1:5" x14ac:dyDescent="0.3">
      <c r="B27" s="2">
        <v>4</v>
      </c>
      <c r="C27" s="35" t="s">
        <v>96</v>
      </c>
      <c r="D27" s="45">
        <f>+D95</f>
        <v>73340</v>
      </c>
      <c r="E27" s="59">
        <f t="shared" si="0"/>
        <v>242440</v>
      </c>
    </row>
    <row r="28" spans="1:5" x14ac:dyDescent="0.3">
      <c r="B28" s="2">
        <v>5</v>
      </c>
      <c r="C28" s="35" t="s">
        <v>97</v>
      </c>
      <c r="D28" s="45">
        <f>+D119</f>
        <v>97890</v>
      </c>
      <c r="E28" s="59">
        <f t="shared" si="0"/>
        <v>323600</v>
      </c>
    </row>
    <row r="29" spans="1:5" x14ac:dyDescent="0.3">
      <c r="B29" s="2">
        <v>6</v>
      </c>
      <c r="C29" s="35" t="s">
        <v>98</v>
      </c>
      <c r="D29" s="45">
        <f>+D133</f>
        <v>36820</v>
      </c>
      <c r="E29" s="59">
        <f t="shared" si="0"/>
        <v>121710</v>
      </c>
    </row>
    <row r="30" spans="1:5" x14ac:dyDescent="0.3">
      <c r="B30" s="2">
        <v>7</v>
      </c>
      <c r="C30" s="35" t="s">
        <v>99</v>
      </c>
      <c r="D30" s="45">
        <f>+D146</f>
        <v>43850</v>
      </c>
      <c r="E30" s="59">
        <f t="shared" si="0"/>
        <v>144950</v>
      </c>
    </row>
    <row r="31" spans="1:5" x14ac:dyDescent="0.3">
      <c r="B31" s="2">
        <v>8</v>
      </c>
      <c r="C31" s="35" t="s">
        <v>100</v>
      </c>
      <c r="D31" s="45">
        <f>+D154</f>
        <v>54330</v>
      </c>
      <c r="E31" s="59">
        <f t="shared" si="0"/>
        <v>179600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263570</v>
      </c>
      <c r="E33" s="60">
        <f t="shared" si="0"/>
        <v>871300</v>
      </c>
    </row>
    <row r="34" spans="1:7" x14ac:dyDescent="0.3">
      <c r="C34" s="35" t="s">
        <v>112</v>
      </c>
      <c r="D34" s="44">
        <f>SUM(D24:D33)</f>
        <v>1222030</v>
      </c>
      <c r="E34" s="44">
        <f>SUM(E24:E33)</f>
        <v>4039730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TRUNC(50835,-1)</f>
        <v>50830</v>
      </c>
      <c r="E40" s="62">
        <f t="shared" ref="E40:E59" si="1">TRUNC(+D40*3.3058,-1)</f>
        <v>168030</v>
      </c>
    </row>
    <row r="41" spans="1:7" x14ac:dyDescent="0.3">
      <c r="A41" s="2">
        <v>2</v>
      </c>
      <c r="C41" s="38" t="s">
        <v>13</v>
      </c>
      <c r="D41" s="42">
        <f>TRUNC(189465,-1)</f>
        <v>189460</v>
      </c>
      <c r="E41" s="63">
        <f t="shared" si="1"/>
        <v>626310</v>
      </c>
    </row>
    <row r="42" spans="1:7" x14ac:dyDescent="0.3">
      <c r="A42" s="2">
        <v>3</v>
      </c>
      <c r="C42" s="38" t="s">
        <v>14</v>
      </c>
      <c r="D42" s="42">
        <f>TRUNC(13446,-1)</f>
        <v>13440</v>
      </c>
      <c r="E42" s="63">
        <f t="shared" si="1"/>
        <v>44420</v>
      </c>
    </row>
    <row r="43" spans="1:7" x14ac:dyDescent="0.3">
      <c r="A43" s="2">
        <v>4</v>
      </c>
      <c r="C43" s="38" t="s">
        <v>16</v>
      </c>
      <c r="D43" s="42">
        <f>TRUNC(21056,-1)</f>
        <v>21050</v>
      </c>
      <c r="E43" s="63">
        <f t="shared" si="1"/>
        <v>69580</v>
      </c>
    </row>
    <row r="44" spans="1:7" x14ac:dyDescent="0.3">
      <c r="A44" s="2">
        <v>5</v>
      </c>
      <c r="C44" s="38" t="s">
        <v>17</v>
      </c>
      <c r="D44" s="42">
        <f>TRUNC(26246,-1)</f>
        <v>26240</v>
      </c>
      <c r="E44" s="63">
        <f t="shared" si="1"/>
        <v>86740</v>
      </c>
    </row>
    <row r="45" spans="1:7" x14ac:dyDescent="0.3">
      <c r="A45" s="2">
        <v>6</v>
      </c>
      <c r="C45" s="38" t="s">
        <v>18</v>
      </c>
      <c r="D45" s="42">
        <f>TRUNC(7368,-1)</f>
        <v>7360</v>
      </c>
      <c r="E45" s="63">
        <f t="shared" si="1"/>
        <v>24330</v>
      </c>
    </row>
    <row r="46" spans="1:7" x14ac:dyDescent="0.3">
      <c r="A46" s="2">
        <v>7</v>
      </c>
      <c r="C46" s="38" t="s">
        <v>19</v>
      </c>
      <c r="D46" s="42">
        <f>TRUNC(32117,-1)</f>
        <v>32110</v>
      </c>
      <c r="E46" s="63">
        <f t="shared" si="1"/>
        <v>106140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TRUNC(33484,-1)</f>
        <v>33480</v>
      </c>
      <c r="E48" s="63">
        <f t="shared" si="1"/>
        <v>110670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TRUNC(21045,-1)</f>
        <v>21040</v>
      </c>
      <c r="E49" s="63">
        <f t="shared" si="1"/>
        <v>69550</v>
      </c>
    </row>
    <row r="50" spans="1:7" x14ac:dyDescent="0.3">
      <c r="A50" s="2">
        <v>11</v>
      </c>
      <c r="C50" s="38" t="s">
        <v>156</v>
      </c>
      <c r="D50" s="42">
        <f>TRUNC(59572,-1)</f>
        <v>59570</v>
      </c>
      <c r="E50" s="63">
        <f t="shared" si="1"/>
        <v>196920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TRUNC(10743,-1)</f>
        <v>10740</v>
      </c>
      <c r="E52" s="63">
        <f t="shared" si="1"/>
        <v>35500</v>
      </c>
    </row>
    <row r="53" spans="1:7" x14ac:dyDescent="0.3">
      <c r="A53" s="2">
        <v>14</v>
      </c>
      <c r="C53" s="38" t="s">
        <v>25</v>
      </c>
      <c r="D53" s="42">
        <f>TRUNC(85152,-1)</f>
        <v>85150</v>
      </c>
      <c r="E53" s="63">
        <f t="shared" si="1"/>
        <v>281480</v>
      </c>
      <c r="F53" s="2" t="s">
        <v>254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TRUNC(35945+887+25934,-1)</f>
        <v>62760</v>
      </c>
      <c r="E58" s="63">
        <f t="shared" si="1"/>
        <v>207470</v>
      </c>
      <c r="F58" s="2" t="s">
        <v>255</v>
      </c>
    </row>
    <row r="59" spans="1:7" ht="17.25" thickBot="1" x14ac:dyDescent="0.35">
      <c r="A59" s="2">
        <v>20</v>
      </c>
      <c r="C59" s="38" t="s">
        <v>149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613230</v>
      </c>
      <c r="E60" s="39">
        <f>SUM(E40:E59)</f>
        <v>2027140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TRUNC(4273,-1)</f>
        <v>4270</v>
      </c>
      <c r="E63" s="62">
        <f>TRUNC(+D63*3.3058,-1)</f>
        <v>14110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TRUNC(34731,-1)</f>
        <v>34730</v>
      </c>
      <c r="E65" s="64">
        <f>TRUNC(+D65*3.3058,-1)</f>
        <v>114810</v>
      </c>
    </row>
    <row r="66" spans="1:7" x14ac:dyDescent="0.3">
      <c r="A66" s="2">
        <v>4</v>
      </c>
      <c r="C66" s="27" t="s">
        <v>112</v>
      </c>
      <c r="D66" s="39">
        <f>SUM(D63:D65)</f>
        <v>39000</v>
      </c>
      <c r="E66" s="65">
        <f>SUM(E63:E65)</f>
        <v>128920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TRUNC(12267,-1)</f>
        <v>12260</v>
      </c>
      <c r="E69" s="62">
        <f t="shared" ref="E69:E94" si="2">TRUNC(+D69*3.3058,-1)</f>
        <v>40520</v>
      </c>
    </row>
    <row r="70" spans="1:7" ht="16.5" customHeight="1" x14ac:dyDescent="0.3">
      <c r="A70" s="2">
        <v>2</v>
      </c>
      <c r="C70" s="38" t="s">
        <v>31</v>
      </c>
      <c r="D70" s="42">
        <f>TRUNC(2876,-1)</f>
        <v>2870</v>
      </c>
      <c r="E70" s="63">
        <f t="shared" si="2"/>
        <v>9480</v>
      </c>
    </row>
    <row r="71" spans="1:7" x14ac:dyDescent="0.3">
      <c r="A71" s="2">
        <v>3</v>
      </c>
      <c r="C71" s="38" t="s">
        <v>32</v>
      </c>
      <c r="D71" s="42">
        <f>TRUNC(3014,-1)</f>
        <v>3010</v>
      </c>
      <c r="E71" s="63">
        <f t="shared" si="2"/>
        <v>9950</v>
      </c>
    </row>
    <row r="72" spans="1:7" x14ac:dyDescent="0.3">
      <c r="A72" s="2">
        <v>4</v>
      </c>
      <c r="C72" s="38" t="s">
        <v>33</v>
      </c>
      <c r="D72" s="42">
        <f>TRUNC(6845,-1)</f>
        <v>6840</v>
      </c>
      <c r="E72" s="63">
        <f t="shared" si="2"/>
        <v>22610</v>
      </c>
    </row>
    <row r="73" spans="1:7" x14ac:dyDescent="0.3">
      <c r="A73" s="2">
        <v>5</v>
      </c>
      <c r="C73" s="38" t="s">
        <v>34</v>
      </c>
      <c r="D73" s="42">
        <f>TRUNC(12118,-1)</f>
        <v>12110</v>
      </c>
      <c r="E73" s="63">
        <f t="shared" si="2"/>
        <v>40030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TRUNC(5017,-1)</f>
        <v>5010</v>
      </c>
      <c r="E89" s="63">
        <f t="shared" si="2"/>
        <v>16560</v>
      </c>
    </row>
    <row r="90" spans="1:7" x14ac:dyDescent="0.3">
      <c r="A90" s="2">
        <v>22</v>
      </c>
      <c r="C90" s="38" t="s">
        <v>36</v>
      </c>
      <c r="D90" s="42">
        <f>TRUNC(377,-1)</f>
        <v>370</v>
      </c>
      <c r="E90" s="63">
        <f t="shared" si="2"/>
        <v>1220</v>
      </c>
    </row>
    <row r="91" spans="1:7" x14ac:dyDescent="0.3">
      <c r="A91" s="2">
        <v>23</v>
      </c>
      <c r="C91" s="38" t="s">
        <v>37</v>
      </c>
      <c r="D91" s="42">
        <f>TRUNC(4625,-1)</f>
        <v>4620</v>
      </c>
      <c r="E91" s="63">
        <f t="shared" si="2"/>
        <v>15270</v>
      </c>
    </row>
    <row r="92" spans="1:7" x14ac:dyDescent="0.3">
      <c r="A92" s="2">
        <v>24</v>
      </c>
      <c r="C92" s="38" t="s">
        <v>38</v>
      </c>
      <c r="D92" s="42">
        <f>TRUNC(12838,-1)</f>
        <v>12830</v>
      </c>
      <c r="E92" s="63">
        <f t="shared" si="2"/>
        <v>42410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1537+341+11542</f>
        <v>13420</v>
      </c>
      <c r="E94" s="64">
        <f t="shared" si="2"/>
        <v>44360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73340</v>
      </c>
      <c r="E95" s="39">
        <f>SUM(E69:E94)</f>
        <v>242410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TRUNC(22365,-1)</f>
        <v>22360</v>
      </c>
      <c r="E98" s="62">
        <f t="shared" ref="E98:E118" si="3">TRUNC(+D98*3.3058,-1)</f>
        <v>73910</v>
      </c>
    </row>
    <row r="99" spans="1:7" x14ac:dyDescent="0.3">
      <c r="A99" s="2">
        <v>2</v>
      </c>
      <c r="C99" s="38" t="s">
        <v>40</v>
      </c>
      <c r="D99" s="42">
        <f>TRUNC(3663,-1)</f>
        <v>3660</v>
      </c>
      <c r="E99" s="63">
        <f t="shared" si="3"/>
        <v>12090</v>
      </c>
    </row>
    <row r="100" spans="1:7" x14ac:dyDescent="0.3">
      <c r="A100" s="2">
        <v>3</v>
      </c>
      <c r="C100" s="38" t="s">
        <v>41</v>
      </c>
      <c r="D100" s="42">
        <f>TRUNC(34599,-1)</f>
        <v>34590</v>
      </c>
      <c r="E100" s="63">
        <f t="shared" si="3"/>
        <v>114340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TRUNC(22692,-1)</f>
        <v>22690</v>
      </c>
      <c r="E102" s="63">
        <f t="shared" si="3"/>
        <v>75000</v>
      </c>
    </row>
    <row r="103" spans="1:7" x14ac:dyDescent="0.3">
      <c r="A103" s="2">
        <v>6</v>
      </c>
      <c r="C103" s="38" t="s">
        <v>44</v>
      </c>
      <c r="D103" s="42">
        <f>TRUNC(7992,-1)</f>
        <v>7990</v>
      </c>
      <c r="E103" s="63">
        <f t="shared" si="3"/>
        <v>26410</v>
      </c>
    </row>
    <row r="104" spans="1:7" x14ac:dyDescent="0.3">
      <c r="A104" s="2">
        <v>7</v>
      </c>
      <c r="C104" s="38" t="s">
        <v>45</v>
      </c>
      <c r="D104" s="42">
        <f>TRUNC(1221,-1)</f>
        <v>1220</v>
      </c>
      <c r="E104" s="63">
        <f t="shared" si="3"/>
        <v>4030</v>
      </c>
    </row>
    <row r="105" spans="1:7" x14ac:dyDescent="0.3">
      <c r="A105" s="2">
        <v>8</v>
      </c>
      <c r="C105" s="38" t="s">
        <v>46</v>
      </c>
      <c r="D105" s="42">
        <f>TRUNC(4903,-1)</f>
        <v>4900</v>
      </c>
      <c r="E105" s="63">
        <f t="shared" si="3"/>
        <v>16190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TRUNC(482,-1)</f>
        <v>480</v>
      </c>
      <c r="E118" s="64">
        <f t="shared" si="3"/>
        <v>1580</v>
      </c>
    </row>
    <row r="119" spans="1:7" x14ac:dyDescent="0.3">
      <c r="A119" s="2">
        <v>22</v>
      </c>
      <c r="C119" s="27" t="s">
        <v>112</v>
      </c>
      <c r="D119" s="39">
        <f>SUM(D98:D118)</f>
        <v>97890</v>
      </c>
      <c r="E119" s="39">
        <f>SUM(E98:E118)</f>
        <v>323550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TRUNC(3603,-1)</f>
        <v>3600</v>
      </c>
      <c r="E122" s="62">
        <f t="shared" ref="E122:E132" si="4">TRUNC(+D122*3.3058,-1)</f>
        <v>11900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TRUNC(1018,-1)</f>
        <v>1010</v>
      </c>
      <c r="E124" s="63">
        <f t="shared" si="4"/>
        <v>3330</v>
      </c>
    </row>
    <row r="125" spans="1:7" x14ac:dyDescent="0.3">
      <c r="A125" s="2">
        <v>4</v>
      </c>
      <c r="C125" s="38" t="s">
        <v>138</v>
      </c>
      <c r="D125" s="42">
        <f>TRUNC(6163,-1)</f>
        <v>6160</v>
      </c>
      <c r="E125" s="63">
        <f t="shared" si="4"/>
        <v>20360</v>
      </c>
    </row>
    <row r="126" spans="1:7" x14ac:dyDescent="0.3">
      <c r="A126" s="2">
        <v>5</v>
      </c>
      <c r="C126" s="38" t="s">
        <v>53</v>
      </c>
      <c r="D126" s="42">
        <f>TRUNC(2108,-1)</f>
        <v>2100</v>
      </c>
      <c r="E126" s="63">
        <f t="shared" si="4"/>
        <v>6940</v>
      </c>
    </row>
    <row r="127" spans="1:7" x14ac:dyDescent="0.3">
      <c r="A127" s="2">
        <v>6</v>
      </c>
      <c r="C127" s="38" t="s">
        <v>56</v>
      </c>
      <c r="D127" s="42">
        <f>TRUNC(4285,-1)</f>
        <v>4280</v>
      </c>
      <c r="E127" s="63">
        <f t="shared" si="4"/>
        <v>14140</v>
      </c>
    </row>
    <row r="128" spans="1:7" x14ac:dyDescent="0.3">
      <c r="A128" s="2">
        <v>7</v>
      </c>
      <c r="C128" s="38" t="s">
        <v>46</v>
      </c>
      <c r="D128" s="42">
        <f>TRUNC(4829,-1)</f>
        <v>4820</v>
      </c>
      <c r="E128" s="63">
        <f t="shared" si="4"/>
        <v>15930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TRUNC(11461,-1)</f>
        <v>11460</v>
      </c>
      <c r="E130" s="63">
        <f t="shared" si="4"/>
        <v>37880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TRUNC(3391,-1)</f>
        <v>3390</v>
      </c>
      <c r="E132" s="64">
        <f t="shared" si="4"/>
        <v>11200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36820</v>
      </c>
      <c r="E133" s="39">
        <f>SUM(E122:E132)</f>
        <v>121680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TRUNC(8889,-1)</f>
        <v>8880</v>
      </c>
      <c r="E137" s="63">
        <f t="shared" si="5"/>
        <v>29350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1720</v>
      </c>
      <c r="E139" s="63">
        <f t="shared" si="5"/>
        <v>5680</v>
      </c>
    </row>
    <row r="140" spans="1:7" x14ac:dyDescent="0.3">
      <c r="A140" s="2">
        <v>5</v>
      </c>
      <c r="C140" s="38" t="s">
        <v>57</v>
      </c>
      <c r="D140" s="42">
        <f>TRUNC(1016,-1)</f>
        <v>1010</v>
      </c>
      <c r="E140" s="63">
        <f t="shared" si="5"/>
        <v>3330</v>
      </c>
    </row>
    <row r="141" spans="1:7" x14ac:dyDescent="0.3">
      <c r="A141" s="2">
        <v>6</v>
      </c>
      <c r="C141" s="38" t="s">
        <v>59</v>
      </c>
      <c r="D141" s="42">
        <f>TRUNC(7597,-1)</f>
        <v>7590</v>
      </c>
      <c r="E141" s="63">
        <f t="shared" si="5"/>
        <v>25090</v>
      </c>
    </row>
    <row r="142" spans="1:7" x14ac:dyDescent="0.3">
      <c r="A142" s="2">
        <v>7</v>
      </c>
      <c r="C142" s="38" t="s">
        <v>58</v>
      </c>
      <c r="D142" s="42">
        <v>12350</v>
      </c>
      <c r="E142" s="63">
        <f t="shared" si="5"/>
        <v>40820</v>
      </c>
    </row>
    <row r="143" spans="1:7" x14ac:dyDescent="0.3">
      <c r="A143" s="2">
        <v>8</v>
      </c>
      <c r="C143" s="38" t="s">
        <v>62</v>
      </c>
      <c r="D143" s="42">
        <f>TRUNC(7198,-1)</f>
        <v>7190</v>
      </c>
      <c r="E143" s="63">
        <f t="shared" si="5"/>
        <v>23760</v>
      </c>
    </row>
    <row r="144" spans="1:7" x14ac:dyDescent="0.3">
      <c r="A144" s="2">
        <v>9</v>
      </c>
      <c r="C144" s="38" t="s">
        <v>63</v>
      </c>
      <c r="D144" s="42">
        <f>TRUNC(5114,-1)</f>
        <v>5110</v>
      </c>
      <c r="E144" s="63">
        <f t="shared" si="5"/>
        <v>16890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43850</v>
      </c>
      <c r="E146" s="39">
        <f>SUM(E136:E145)</f>
        <v>144920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TRUNC(9502+4405,-1)</f>
        <v>13900</v>
      </c>
      <c r="E149" s="62">
        <f>TRUNC(+D149*3.3058,-1)</f>
        <v>45950</v>
      </c>
    </row>
    <row r="150" spans="1:7" x14ac:dyDescent="0.3">
      <c r="A150" s="2">
        <v>2</v>
      </c>
      <c r="C150" s="38" t="s">
        <v>49</v>
      </c>
      <c r="D150" s="42">
        <f>TRUNC(14648,-1)</f>
        <v>14640</v>
      </c>
      <c r="E150" s="63">
        <f>TRUNC(+D150*3.3058,-1)</f>
        <v>48390</v>
      </c>
    </row>
    <row r="151" spans="1:7" x14ac:dyDescent="0.3">
      <c r="A151" s="2">
        <v>3</v>
      </c>
      <c r="C151" s="38" t="s">
        <v>50</v>
      </c>
      <c r="D151" s="42">
        <f>TRUNC(15698,-1)</f>
        <v>15690</v>
      </c>
      <c r="E151" s="63">
        <f>TRUNC(+D151*3.3058,-1)</f>
        <v>51860</v>
      </c>
    </row>
    <row r="152" spans="1:7" x14ac:dyDescent="0.3">
      <c r="A152" s="2">
        <v>4</v>
      </c>
      <c r="C152" s="38" t="s">
        <v>47</v>
      </c>
      <c r="D152" s="42">
        <f>TRUNC(332+9771,-1)</f>
        <v>10100</v>
      </c>
      <c r="E152" s="63">
        <f>TRUNC(+D152*3.3058,-1)</f>
        <v>33380</v>
      </c>
      <c r="F152" s="2" t="s">
        <v>259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54330</v>
      </c>
      <c r="E154" s="39">
        <f>SUM(E149:E153)</f>
        <v>179580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2020-12-08T04:21:16Z</dcterms:modified>
</cp:coreProperties>
</file>