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150" i="4"/>
  <c r="D149" i="4"/>
  <c r="D143" i="4"/>
  <c r="D142" i="4"/>
  <c r="D141" i="4"/>
  <c r="D140" i="4"/>
  <c r="D139" i="4"/>
  <c r="D138" i="4"/>
  <c r="D137" i="4"/>
  <c r="D132" i="4"/>
  <c r="D130" i="4"/>
  <c r="D127" i="4"/>
  <c r="D128" i="4"/>
  <c r="D125" i="4"/>
  <c r="D124" i="4"/>
  <c r="D118" i="4"/>
  <c r="D116" i="4"/>
  <c r="D114" i="4"/>
  <c r="D104" i="4"/>
  <c r="D102" i="4"/>
  <c r="D101" i="4"/>
  <c r="D100" i="4"/>
  <c r="D98" i="4"/>
  <c r="D94" i="4"/>
  <c r="D92" i="4"/>
  <c r="D89" i="4"/>
  <c r="D75" i="4"/>
  <c r="D73" i="4"/>
  <c r="D72" i="4"/>
  <c r="D71" i="4"/>
  <c r="D70" i="4"/>
  <c r="D69" i="4"/>
  <c r="D65" i="4"/>
  <c r="D63" i="4"/>
  <c r="D58" i="4"/>
  <c r="D53" i="4"/>
  <c r="D52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<sst xmlns="http://schemas.openxmlformats.org/spreadsheetml/2006/main" count="392" uniqueCount="269">
  <si>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</si>
  <si>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</si>
  <si>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</si>
  <si>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</si>
  <si>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</si>
  <si>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</si>
  <si>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</si>
  <si>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</si>
  <si>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</si>
  <si>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</si>
  <si>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</si>
  <si>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</si>
  <si>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</si>
  <si>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</si>
  <si>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</si>
  <si>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</si>
  <si>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</si>
  <si>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</si>
  <si>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</si>
  <si>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</si>
  <si>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</si>
  <si>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</si>
  <si>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</si>
  <si>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</si>
  <si>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</si>
  <si>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</si>
  <si>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</si>
  <si>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</si>
  <si>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</si>
  <si>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</si>
  <si>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</si>
  <si>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</si>
  <si>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</si>
  <si>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</si>
  <si>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</si>
  <si>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</si>
  <si>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</si>
  <si>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</si>
  <si>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</si>
  <si>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</si>
  <si>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</si>
  <si>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</si>
  <si>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</si>
  <si>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</si>
  <si>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</si>
  <si>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</si>
  <si>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</si>
  <si>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</si>
  <si>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</si>
  <si>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</si>
  <si>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</si>
  <si>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</si>
  <si>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</si>
  <si>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</si>
  <si>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</si>
  <si>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</si>
  <si>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</si>
  <si>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</si>
  <si>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</si>
  <si>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</si>
  <si>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</si>
  <si>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</si>
  <si>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</si>
  <si>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</si>
  <si>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</si>
  <si>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</si>
  <si>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</si>
  <si>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</si>
  <si>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</si>
  <si>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</si>
  <si>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</si>
  <si>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</si>
  <si>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</si>
  <si>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</si>
  <si>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</si>
  <si>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</si>
  <si>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</si>
  <si>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</si>
  <si>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</si>
  <si>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</si>
  <si>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</si>
  <si>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</si>
  <si>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</si>
  <si>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</si>
  <si>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</si>
  <si>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</si>
  <si>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</si>
  <si>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</si>
  <si>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</si>
  <si>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</si>
  <si>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</si>
  <si>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</si>
  <si>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</si>
  <si>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</si>
  <si>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</si>
  <si>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</si>
  <si>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</si>
  <si>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</si>
  <si>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</si>
  <si>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</si>
  <si>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</si>
  <si>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</si>
  <si>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</si>
  <si>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</si>
  <si>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</si>
  <si>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</si>
  <si>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</si>
  <si>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</si>
  <si>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</si>
  <si>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</si>
  <si>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</si>
  <si>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</si>
  <si>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</si>
  <si>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</si>
  <si>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</si>
  <si>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</si>
  <si>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</si>
  <si>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</si>
  <si>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</si>
  <si>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</si>
  <si>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</si>
  <si>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</si>
  <si>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</si>
  <si>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</si>
  <si>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</si>
  <si>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</si>
  <si>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</si>
  <si>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</si>
  <si>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</si>
  <si>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</si>
  <si>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</si>
  <si>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</si>
  <si>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</si>
  <si>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</si>
  <si>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</si>
  <si>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</si>
  <si>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</si>
  <si>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</si>
  <si>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</si>
  <si>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</si>
  <si>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</si>
  <si>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</si>
  <si>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</si>
  <si>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</si>
  <si>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</si>
  <si>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</si>
  <si>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</si>
  <si>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</si>
  <si>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</si>
  <si>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</si>
  <si>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</si>
  <si>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</si>
  <si>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</si>
  <si>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</si>
  <si>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</si>
  <si>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</si>
  <si>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</si>
  <si>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</si>
  <si>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</si>
  <si>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</si>
  <si>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</si>
  <si>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</si>
  <si>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</si>
  <si>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</si>
  <si>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</si>
  <si>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</si>
  <si>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</si>
  <si>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</si>
  <si>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</si>
  <si>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</si>
  <si>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</si>
  <si>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</si>
  <si>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</si>
  <si>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</si>
  <si>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</si>
  <si>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</si>
  <si>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</si>
  <si>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</si>
  <si>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</si>
  <si>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</si>
  <si>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</si>
  <si>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</si>
  <si>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</si>
  <si>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</si>
  <si>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</si>
  <si>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</si>
  <si>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</si>
  <si>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</si>
  <si>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</si>
  <si>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</si>
  <si>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</si>
  <si>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</si>
  <si>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</si>
  <si>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</si>
  <si>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</si>
  <si>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</si>
  <si>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</si>
  <si>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</si>
  <si>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</si>
  <si>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</si>
  <si>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</si>
  <si>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</si>
  <si>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</si>
  <si>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</si>
  <si>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</si>
  <si>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</si>
  <si>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</si>
  <si>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</si>
  <si>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</si>
  <si>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</si>
  <si>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</si>
  <si>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</si>
  <si>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</si>
  <si>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</si>
  <si>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</si>
  <si>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</si>
  <si>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</si>
  <si>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</si>
  <si>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</si>
  <si>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</si>
  <si>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</si>
  <si>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</si>
  <si>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</si>
  <si>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</si>
  <si>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</si>
  <si>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</si>
  <si>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</si>
  <si>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</si>
  <si>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</si>
  <si>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</si>
  <si>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</si>
  <si>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</si>
  <si>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</si>
  <si>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</si>
  <si>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</si>
  <si>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</si>
  <si>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</si>
  <si>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</si>
  <si>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</si>
  <si>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</si>
  <si>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</si>
  <si>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</si>
  <si>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</si>
  <si>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</si>
  <si>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</si>
  <si>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</si>
  <si>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</si>
  <si>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</si>
  <si>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</si>
  <si>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</si>
  <si>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</si>
  <si>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</si>
  <si>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</si>
  <si>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</si>
  <si>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업무</t>
  </si>
  <si>
    <t>서울북부광역등기소 청사 신축 공사</t>
    <phoneticPr fontId="2" type="noConversion"/>
  </si>
  <si>
    <t>서울</t>
  </si>
  <si>
    <t>기초공사, 골재비및운반비, 작업부산물, 품질시험비, 기타공사</t>
    <phoneticPr fontId="2" type="noConversion"/>
  </si>
  <si>
    <t>공조배관공사, 기타공사</t>
    <phoneticPr fontId="2" type="noConversion"/>
  </si>
  <si>
    <t>CCTV설비공사</t>
    <phoneticPr fontId="2" type="noConversion"/>
  </si>
  <si>
    <t>펌프실배관공사, 기타공사</t>
    <phoneticPr fontId="2" type="noConversion"/>
  </si>
  <si>
    <t>상수도공사, 사급자재비, 기타공사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</si>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</sst>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4507.3900000000003</v>
      </c>
      <c r="D7" s="36">
        <f>+C7/3.3058</f>
        <v>1363.4793393429729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566120</v>
      </c>
      <c r="E25" s="59">
        <f t="shared" si="0"/>
        <v>1871470</v>
      </c>
    </row>
    <row r="26" spans="1:5" x14ac:dyDescent="0.3">
      <c r="B26" s="2">
        <v>3</v>
      </c>
      <c r="C26" s="35" t="s">
        <v>95</v>
      </c>
      <c r="D26" s="45">
        <f>+D66</f>
        <v>190860</v>
      </c>
      <c r="E26" s="59">
        <f t="shared" si="0"/>
        <v>630940</v>
      </c>
    </row>
    <row r="27" spans="1:5" x14ac:dyDescent="0.3">
      <c r="B27" s="2">
        <v>4</v>
      </c>
      <c r="C27" s="35" t="s">
        <v>96</v>
      </c>
      <c r="D27" s="45">
        <f>+D95</f>
        <v>106760</v>
      </c>
      <c r="E27" s="59">
        <f t="shared" si="0"/>
        <v>352920</v>
      </c>
    </row>
    <row r="28" spans="1:5" x14ac:dyDescent="0.3">
      <c r="B28" s="2">
        <v>5</v>
      </c>
      <c r="C28" s="35" t="s">
        <v>97</v>
      </c>
      <c r="D28" s="45">
        <f>+D119</f>
        <v>96460</v>
      </c>
      <c r="E28" s="59">
        <f t="shared" si="0"/>
        <v>318870</v>
      </c>
    </row>
    <row r="29" spans="1:5" x14ac:dyDescent="0.3">
      <c r="B29" s="2">
        <v>6</v>
      </c>
      <c r="C29" s="35" t="s">
        <v>98</v>
      </c>
      <c r="D29" s="45">
        <f>+D133</f>
        <v>57280</v>
      </c>
      <c r="E29" s="59">
        <f t="shared" si="0"/>
        <v>189350</v>
      </c>
    </row>
    <row r="30" spans="1:5" x14ac:dyDescent="0.3">
      <c r="B30" s="2">
        <v>7</v>
      </c>
      <c r="C30" s="35" t="s">
        <v>99</v>
      </c>
      <c r="D30" s="45">
        <f>+D146</f>
        <v>64980</v>
      </c>
      <c r="E30" s="59">
        <f t="shared" si="0"/>
        <v>214810</v>
      </c>
    </row>
    <row r="31" spans="1:5" x14ac:dyDescent="0.3">
      <c r="B31" s="2">
        <v>8</v>
      </c>
      <c r="C31" s="35" t="s">
        <v>100</v>
      </c>
      <c r="D31" s="45">
        <f>+D154</f>
        <v>8940</v>
      </c>
      <c r="E31" s="59">
        <f t="shared" si="0"/>
        <v>29550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300130</v>
      </c>
      <c r="E33" s="60">
        <f t="shared" si="0"/>
        <v>992160</v>
      </c>
    </row>
    <row r="34" spans="1:7" x14ac:dyDescent="0.3">
      <c r="C34" s="35" t="s">
        <v>112</v>
      </c>
      <c r="D34" s="44">
        <f>SUM(D24:D33)</f>
        <v>1391530</v>
      </c>
      <c r="E34" s="44">
        <f>SUM(E24:E33)</f>
        <v>4600070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262</v>
      </c>
      <c r="C39" s="56" t="s">
        <v>263</v>
      </c>
      <c r="D39" s="57" t="s">
        <v>264</v>
      </c>
      <c r="E39" s="57" t="s">
        <v>265</v>
      </c>
      <c r="G39" s="55"/>
    </row>
    <row r="40" spans="1:7" x14ac:dyDescent="0.3">
      <c r="A40" s="2">
        <v>1</v>
      </c>
      <c r="C40" s="38" t="s">
        <v>15</v>
      </c>
      <c r="D40" s="40">
        <f>TRUNC(62964,-1)</f>
        <v>62960</v>
      </c>
      <c r="E40" s="62">
        <f t="shared" ref="E40:E59" si="1">TRUNC(+D40*3.3058,-1)</f>
        <v>208130</v>
      </c>
    </row>
    <row r="41" spans="1:7" x14ac:dyDescent="0.3">
      <c r="A41" s="2">
        <v>2</v>
      </c>
      <c r="C41" s="38" t="s">
        <v>13</v>
      </c>
      <c r="D41" s="42">
        <f>TRUNC(181337,-1)</f>
        <v>181330</v>
      </c>
      <c r="E41" s="63">
        <f t="shared" si="1"/>
        <v>599440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TRUNC(24007,-1)</f>
        <v>24000</v>
      </c>
      <c r="E43" s="63">
        <f t="shared" si="1"/>
        <v>79330</v>
      </c>
    </row>
    <row r="44" spans="1:7" x14ac:dyDescent="0.3">
      <c r="A44" s="2">
        <v>5</v>
      </c>
      <c r="C44" s="38" t="s">
        <v>17</v>
      </c>
      <c r="D44" s="42">
        <f>TRUNC(27556,-1)</f>
        <v>27550</v>
      </c>
      <c r="E44" s="63">
        <f t="shared" si="1"/>
        <v>91070</v>
      </c>
    </row>
    <row r="45" spans="1:7" x14ac:dyDescent="0.3">
      <c r="A45" s="2">
        <v>6</v>
      </c>
      <c r="C45" s="38" t="s">
        <v>18</v>
      </c>
      <c r="D45" s="42">
        <f>TRUNC(9728,-1)</f>
        <v>9720</v>
      </c>
      <c r="E45" s="63">
        <f t="shared" si="1"/>
        <v>32130</v>
      </c>
    </row>
    <row r="46" spans="1:7" x14ac:dyDescent="0.3">
      <c r="A46" s="2">
        <v>7</v>
      </c>
      <c r="C46" s="38" t="s">
        <v>19</v>
      </c>
      <c r="D46" s="42">
        <f>TRUNC(53625,-1)</f>
        <v>53620</v>
      </c>
      <c r="E46" s="63">
        <f t="shared" si="1"/>
        <v>177250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TRUNC(39657,-1)</f>
        <v>39650</v>
      </c>
      <c r="E48" s="63">
        <f t="shared" si="1"/>
        <v>131070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TRUNC(15804,-1)</f>
        <v>15800</v>
      </c>
      <c r="E49" s="63">
        <f t="shared" si="1"/>
        <v>52230</v>
      </c>
    </row>
    <row r="50" spans="1:7" x14ac:dyDescent="0.3">
      <c r="A50" s="2">
        <v>11</v>
      </c>
      <c r="C50" s="38" t="s">
        <v>155</v>
      </c>
      <c r="D50" s="42">
        <f>TRUNC(39483,-1)</f>
        <v>39480</v>
      </c>
      <c r="E50" s="63">
        <f t="shared" si="1"/>
        <v>130510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TRUNC(11237,-1)</f>
        <v>11230</v>
      </c>
      <c r="E52" s="63">
        <f t="shared" si="1"/>
        <v>37120</v>
      </c>
    </row>
    <row r="53" spans="1:7" x14ac:dyDescent="0.3">
      <c r="A53" s="2">
        <v>14</v>
      </c>
      <c r="C53" s="38" t="s">
        <v>25</v>
      </c>
      <c r="D53" s="42">
        <f>TRUNC(73416,-1)</f>
        <v>73410</v>
      </c>
      <c r="E53" s="63">
        <f t="shared" si="1"/>
        <v>242670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TRUNC(13168+6077-582+878+7836,-1)</f>
        <v>27370</v>
      </c>
      <c r="E58" s="63">
        <f t="shared" si="1"/>
        <v>90470</v>
      </c>
      <c r="F58" s="2" t="s">
        <v>257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566120</v>
      </c>
      <c r="E60" s="39">
        <f>SUM(E40:E59)</f>
        <v>1871420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TRUNC(1086,-1)</f>
        <v>1080</v>
      </c>
      <c r="E63" s="62">
        <f>TRUNC(+D63*3.3058,-1)</f>
        <v>3570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TRUNC(189788,-1)</f>
        <v>189780</v>
      </c>
      <c r="E65" s="64">
        <f>TRUNC(+D65*3.3058,-1)</f>
        <v>627370</v>
      </c>
    </row>
    <row r="66" spans="1:7" x14ac:dyDescent="0.3">
      <c r="A66" s="2">
        <v>4</v>
      </c>
      <c r="C66" s="27" t="s">
        <v>112</v>
      </c>
      <c r="D66" s="39">
        <f>SUM(D63:D65)</f>
        <v>190860</v>
      </c>
      <c r="E66" s="65">
        <f>SUM(E63:E65)</f>
        <v>630940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TRUNC(49022,-1)</f>
        <v>49020</v>
      </c>
      <c r="E69" s="62">
        <f t="shared" ref="E69:E94" si="2">TRUNC(+D69*3.3058,-1)</f>
        <v>162050</v>
      </c>
    </row>
    <row r="70" spans="1:7" ht="16.5" customHeight="1" x14ac:dyDescent="0.3">
      <c r="A70" s="2">
        <v>2</v>
      </c>
      <c r="C70" s="38" t="s">
        <v>31</v>
      </c>
      <c r="D70" s="42">
        <f>TRUNC(155,-1)</f>
        <v>150</v>
      </c>
      <c r="E70" s="63">
        <f t="shared" si="2"/>
        <v>490</v>
      </c>
    </row>
    <row r="71" spans="1:7" x14ac:dyDescent="0.3">
      <c r="A71" s="2">
        <v>3</v>
      </c>
      <c r="C71" s="38" t="s">
        <v>32</v>
      </c>
      <c r="D71" s="42">
        <f>TRUNC(4387,-1)</f>
        <v>4380</v>
      </c>
      <c r="E71" s="63">
        <f t="shared" si="2"/>
        <v>14470</v>
      </c>
    </row>
    <row r="72" spans="1:7" x14ac:dyDescent="0.3">
      <c r="A72" s="2">
        <v>4</v>
      </c>
      <c r="C72" s="38" t="s">
        <v>33</v>
      </c>
      <c r="D72" s="42">
        <f>TRUNC(3516,-1)</f>
        <v>3510</v>
      </c>
      <c r="E72" s="63">
        <f t="shared" si="2"/>
        <v>11600</v>
      </c>
    </row>
    <row r="73" spans="1:7" x14ac:dyDescent="0.3">
      <c r="A73" s="2">
        <v>5</v>
      </c>
      <c r="C73" s="38" t="s">
        <v>34</v>
      </c>
      <c r="D73" s="42">
        <f>TRUNC(9479,-1)</f>
        <v>9470</v>
      </c>
      <c r="E73" s="63">
        <f t="shared" si="2"/>
        <v>31300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TRUNC(196,-1)</f>
        <v>190</v>
      </c>
      <c r="E75" s="63">
        <f t="shared" si="2"/>
        <v>620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TRUNC(18513,-1)</f>
        <v>18510</v>
      </c>
      <c r="E89" s="63">
        <f t="shared" si="2"/>
        <v>61190</v>
      </c>
    </row>
    <row r="90" spans="1:7" x14ac:dyDescent="0.3">
      <c r="A90" s="2">
        <v>22</v>
      </c>
      <c r="C90" s="38" t="s">
        <v>36</v>
      </c>
      <c r="D90" s="42">
        <v>5430</v>
      </c>
      <c r="E90" s="63">
        <f t="shared" si="2"/>
        <v>17950</v>
      </c>
    </row>
    <row r="91" spans="1:7" x14ac:dyDescent="0.3">
      <c r="A91" s="2">
        <v>23</v>
      </c>
      <c r="C91" s="38" t="s">
        <v>37</v>
      </c>
      <c r="D91" s="42">
        <v>9540</v>
      </c>
      <c r="E91" s="63">
        <f t="shared" si="2"/>
        <v>31530</v>
      </c>
    </row>
    <row r="92" spans="1:7" x14ac:dyDescent="0.3">
      <c r="A92" s="2">
        <v>24</v>
      </c>
      <c r="C92" s="38" t="s">
        <v>38</v>
      </c>
      <c r="D92" s="42">
        <f>TRUNC(5952,-1)</f>
        <v>5950</v>
      </c>
      <c r="E92" s="63">
        <f t="shared" si="2"/>
        <v>19660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TRUNC(144+475,-1)</f>
        <v>610</v>
      </c>
      <c r="E94" s="64">
        <f t="shared" si="2"/>
        <v>2010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106760</v>
      </c>
      <c r="E95" s="39">
        <f>SUM(E69:E94)</f>
        <v>352870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TRUNC(7881,-1)</f>
        <v>7880</v>
      </c>
      <c r="E98" s="62">
        <f t="shared" ref="E98:E118" si="3">TRUNC(+D98*3.3058,-1)</f>
        <v>26040</v>
      </c>
    </row>
    <row r="99" spans="1:7" x14ac:dyDescent="0.3">
      <c r="A99" s="2">
        <v>2</v>
      </c>
      <c r="C99" s="38" t="s">
        <v>40</v>
      </c>
      <c r="D99" s="42">
        <v>17730</v>
      </c>
      <c r="E99" s="63">
        <f t="shared" si="3"/>
        <v>58610</v>
      </c>
    </row>
    <row r="100" spans="1:7" x14ac:dyDescent="0.3">
      <c r="A100" s="2">
        <v>3</v>
      </c>
      <c r="C100" s="38" t="s">
        <v>41</v>
      </c>
      <c r="D100" s="42">
        <f>TRUNC(29961,-1)</f>
        <v>29960</v>
      </c>
      <c r="E100" s="63">
        <f t="shared" si="3"/>
        <v>99040</v>
      </c>
    </row>
    <row r="101" spans="1:7" x14ac:dyDescent="0.3">
      <c r="A101" s="2">
        <v>4</v>
      </c>
      <c r="C101" s="38" t="s">
        <v>42</v>
      </c>
      <c r="D101" s="42">
        <f>TRUNC(1147,-1)</f>
        <v>1140</v>
      </c>
      <c r="E101" s="63">
        <f t="shared" si="3"/>
        <v>3760</v>
      </c>
    </row>
    <row r="102" spans="1:7" x14ac:dyDescent="0.3">
      <c r="A102" s="2">
        <v>5</v>
      </c>
      <c r="C102" s="38" t="s">
        <v>43</v>
      </c>
      <c r="D102" s="42">
        <f>TRUNC(16125,-1)</f>
        <v>16120</v>
      </c>
      <c r="E102" s="63">
        <f t="shared" si="3"/>
        <v>53280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TRUNC(6107,-1)</f>
        <v>6100</v>
      </c>
      <c r="E104" s="63">
        <f t="shared" si="3"/>
        <v>20160</v>
      </c>
    </row>
    <row r="105" spans="1:7" x14ac:dyDescent="0.3">
      <c r="A105" s="2">
        <v>8</v>
      </c>
      <c r="C105" s="38" t="s">
        <v>46</v>
      </c>
      <c r="D105" s="42">
        <v>5990</v>
      </c>
      <c r="E105" s="63">
        <f t="shared" si="3"/>
        <v>19800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TRUNC(2176,-1)</f>
        <v>2170</v>
      </c>
      <c r="E114" s="63">
        <f t="shared" si="3"/>
        <v>7170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TRUNC(7932,-1)</f>
        <v>7930</v>
      </c>
      <c r="E116" s="63">
        <f t="shared" si="3"/>
        <v>26210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TRUNC(1442,-1)</f>
        <v>1440</v>
      </c>
      <c r="E118" s="64">
        <f t="shared" si="3"/>
        <v>4760</v>
      </c>
    </row>
    <row r="119" spans="1:7" x14ac:dyDescent="0.3">
      <c r="A119" s="2">
        <v>22</v>
      </c>
      <c r="C119" s="27" t="s">
        <v>112</v>
      </c>
      <c r="D119" s="39">
        <f>SUM(D98:D118)</f>
        <v>96460</v>
      </c>
      <c r="E119" s="39">
        <f>SUM(E98:E118)</f>
        <v>318830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5440</v>
      </c>
      <c r="E122" s="62">
        <f t="shared" ref="E122:E132" si="4">TRUNC(+D122*3.3058,-1)</f>
        <v>17980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TRUNC(931,-1)</f>
        <v>930</v>
      </c>
      <c r="E124" s="63">
        <f t="shared" si="4"/>
        <v>3070</v>
      </c>
    </row>
    <row r="125" spans="1:7" x14ac:dyDescent="0.3">
      <c r="A125" s="2">
        <v>4</v>
      </c>
      <c r="C125" s="38" t="s">
        <v>138</v>
      </c>
      <c r="D125" s="42">
        <f>TRUNC(7214,-1)</f>
        <v>7210</v>
      </c>
      <c r="E125" s="63">
        <f t="shared" si="4"/>
        <v>23830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TRUNC(4308,-1)</f>
        <v>4300</v>
      </c>
      <c r="E127" s="63">
        <f t="shared" si="4"/>
        <v>14210</v>
      </c>
    </row>
    <row r="128" spans="1:7" x14ac:dyDescent="0.3">
      <c r="A128" s="2">
        <v>7</v>
      </c>
      <c r="C128" s="38" t="s">
        <v>46</v>
      </c>
      <c r="D128" s="42">
        <f>TRUNC(8989,-1)</f>
        <v>8980</v>
      </c>
      <c r="E128" s="63">
        <f t="shared" si="4"/>
        <v>29680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TRUNC(29048,-1)</f>
        <v>29040</v>
      </c>
      <c r="E130" s="63">
        <f t="shared" si="4"/>
        <v>96000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TRUNC(1384,-1)</f>
        <v>1380</v>
      </c>
      <c r="E132" s="64">
        <f t="shared" si="4"/>
        <v>4560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57280</v>
      </c>
      <c r="E133" s="39">
        <f>SUM(E122:E132)</f>
        <v>189330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TRUNC(2223,-1)</f>
        <v>2220</v>
      </c>
      <c r="E137" s="63">
        <f t="shared" si="5"/>
        <v>7330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f>TRUNC(6973,-1)</f>
        <v>6970</v>
      </c>
      <c r="E138" s="63">
        <f t="shared" si="5"/>
        <v>23040</v>
      </c>
    </row>
    <row r="139" spans="1:7" x14ac:dyDescent="0.3">
      <c r="A139" s="2">
        <v>4</v>
      </c>
      <c r="C139" s="38" t="s">
        <v>61</v>
      </c>
      <c r="D139" s="42">
        <f>TRUNC(2997,-1)</f>
        <v>2990</v>
      </c>
      <c r="E139" s="63">
        <f t="shared" si="5"/>
        <v>9880</v>
      </c>
    </row>
    <row r="140" spans="1:7" x14ac:dyDescent="0.3">
      <c r="A140" s="2">
        <v>5</v>
      </c>
      <c r="C140" s="38" t="s">
        <v>57</v>
      </c>
      <c r="D140" s="42">
        <f>TRUNC(1212,-1)</f>
        <v>1210</v>
      </c>
      <c r="E140" s="63">
        <f t="shared" si="5"/>
        <v>4000</v>
      </c>
    </row>
    <row r="141" spans="1:7" x14ac:dyDescent="0.3">
      <c r="A141" s="2">
        <v>6</v>
      </c>
      <c r="C141" s="38" t="s">
        <v>59</v>
      </c>
      <c r="D141" s="42">
        <f>TRUNC(22667,-1)</f>
        <v>22660</v>
      </c>
      <c r="E141" s="63">
        <f t="shared" si="5"/>
        <v>74900</v>
      </c>
    </row>
    <row r="142" spans="1:7" x14ac:dyDescent="0.3">
      <c r="A142" s="2">
        <v>7</v>
      </c>
      <c r="C142" s="38" t="s">
        <v>58</v>
      </c>
      <c r="D142" s="42">
        <f>TRUNC(4372,-1)</f>
        <v>4370</v>
      </c>
      <c r="E142" s="63">
        <f t="shared" si="5"/>
        <v>14440</v>
      </c>
    </row>
    <row r="143" spans="1:7" x14ac:dyDescent="0.3">
      <c r="A143" s="2">
        <v>8</v>
      </c>
      <c r="C143" s="38" t="s">
        <v>62</v>
      </c>
      <c r="D143" s="42">
        <f>TRUNC(4487,-1)</f>
        <v>4480</v>
      </c>
      <c r="E143" s="63">
        <f t="shared" si="5"/>
        <v>14800</v>
      </c>
    </row>
    <row r="144" spans="1:7" x14ac:dyDescent="0.3">
      <c r="A144" s="2">
        <v>9</v>
      </c>
      <c r="C144" s="38" t="s">
        <v>63</v>
      </c>
      <c r="D144" s="42">
        <v>20080</v>
      </c>
      <c r="E144" s="63">
        <f t="shared" si="5"/>
        <v>66380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64980</v>
      </c>
      <c r="E146" s="39">
        <f>SUM(E136:E145)</f>
        <v>214770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TRUNC(1659+1124,-1)</f>
        <v>2780</v>
      </c>
      <c r="E149" s="62">
        <f>TRUNC(+D149*3.3058,-1)</f>
        <v>9190</v>
      </c>
    </row>
    <row r="150" spans="1:7" x14ac:dyDescent="0.3">
      <c r="A150" s="2">
        <v>2</v>
      </c>
      <c r="C150" s="38" t="s">
        <v>49</v>
      </c>
      <c r="D150" s="42">
        <f>TRUNC(1256,-1)</f>
        <v>1250</v>
      </c>
      <c r="E150" s="63">
        <f>TRUNC(+D150*3.3058,-1)</f>
        <v>4130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TRUNC(126+3575+1215,-1)</f>
        <v>4910</v>
      </c>
      <c r="E152" s="63">
        <f>TRUNC(+D152*3.3058,-1)</f>
        <v>16230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8940</v>
      </c>
      <c r="E154" s="39">
        <f>SUM(E149:E153)</f>
        <v>29550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2020-12-08T01:45:34Z</dcterms:modified>
</cp:coreProperties>
</file>