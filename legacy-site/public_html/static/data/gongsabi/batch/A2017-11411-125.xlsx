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24" i="4"/>
  <c r="D122" i="4"/>
  <c r="D118" i="4"/>
  <c r="D117" i="4"/>
  <c r="D116" i="4"/>
  <c r="D114" i="4"/>
  <c r="D105" i="4"/>
  <c r="D103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D149" i="4" l="1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<sst xmlns="http://schemas.openxmlformats.org/spreadsheetml/2006/main" count="390" uniqueCount="263">
  <si>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</si>
  <si>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</si>
  <si>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</si>
  <si>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</si>
  <si>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</si>
  <si>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</si>
  <si>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</si>
  <si>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</si>
  <si>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</si>
  <si>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</si>
  <si>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</si>
  <si>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</si>
  <si>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</si>
  <si>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</si>
  <si>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</si>
  <si>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</si>
  <si>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</si>
  <si>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</si>
  <si>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</si>
  <si>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</si>
  <si>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</si>
  <si>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</si>
  <si>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</si>
  <si>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</si>
  <si>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</si>
  <si>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</si>
  <si>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</si>
  <si>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</si>
  <si>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</si>
  <si>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</si>
  <si>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</si>
  <si>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</si>
  <si>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</si>
  <si>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</si>
  <si>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</si>
  <si>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</si>
  <si>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</si>
  <si>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</si>
  <si>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</si>
  <si>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</si>
  <si>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</si>
  <si>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</si>
  <si>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</si>
  <si>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</si>
  <si>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</si>
  <si>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</si>
  <si>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</si>
  <si>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</si>
  <si>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</si>
  <si>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</si>
  <si>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</si>
  <si>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</si>
  <si>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</si>
  <si>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</si>
  <si>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</si>
  <si>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</si>
  <si>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</si>
  <si>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</si>
  <si>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</si>
  <si>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</si>
  <si>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</si>
  <si>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</si>
  <si>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</si>
  <si>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</si>
  <si>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</si>
  <si>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</si>
  <si>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</si>
  <si>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</si>
  <si>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</si>
  <si>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</si>
  <si>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</si>
  <si>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</si>
  <si>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</si>
  <si>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</si>
  <si>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</si>
  <si>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</si>
  <si>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</si>
  <si>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</si>
  <si>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</si>
  <si>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</si>
  <si>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</si>
  <si>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</si>
  <si>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</si>
  <si>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</si>
  <si>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</si>
  <si>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</si>
  <si>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</si>
  <si>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</si>
  <si>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</si>
  <si>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</si>
  <si>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</si>
  <si>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</si>
  <si>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</si>
  <si>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</si>
  <si>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</si>
  <si>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</si>
  <si>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</si>
  <si>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</si>
  <si>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</si>
  <si>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</si>
  <si>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</si>
  <si>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</si>
  <si>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</si>
  <si>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</si>
  <si>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</si>
  <si>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</si>
  <si>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</si>
  <si>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</si>
  <si>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</si>
  <si>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</si>
  <si>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</si>
  <si>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</si>
  <si>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</si>
  <si>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</si>
  <si>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</si>
  <si>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</si>
  <si>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</si>
  <si>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</si>
  <si>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</si>
  <si>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</si>
  <si>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</si>
  <si>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</si>
  <si>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</si>
  <si>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</si>
  <si>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</si>
  <si>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</si>
  <si>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</si>
  <si>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</si>
  <si>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</si>
  <si>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</si>
  <si>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</si>
  <si>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</si>
  <si>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</si>
  <si>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</si>
  <si>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</si>
  <si>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</si>
  <si>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</si>
  <si>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</si>
  <si>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</si>
  <si>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</si>
  <si>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</si>
  <si>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</si>
  <si>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</si>
  <si>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</si>
  <si>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</si>
  <si>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</si>
  <si>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</si>
  <si>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</si>
  <si>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</si>
  <si>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</si>
  <si>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</si>
  <si>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</si>
  <si>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</si>
  <si>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</si>
  <si>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</si>
  <si>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</si>
  <si>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</si>
  <si>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</si>
  <si>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</si>
  <si>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</si>
  <si>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</si>
  <si>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</si>
  <si>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</si>
  <si>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</si>
  <si>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</si>
  <si>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</si>
  <si>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</si>
  <si>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</si>
  <si>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</si>
  <si>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</si>
  <si>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</si>
  <si>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</si>
  <si>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</si>
  <si>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</si>
  <si>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</si>
  <si>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</si>
  <si>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</si>
  <si>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</si>
  <si>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</si>
  <si>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</si>
  <si>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</si>
  <si>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</si>
  <si>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</si>
  <si>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</si>
  <si>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</si>
  <si>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</si>
  <si>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</si>
  <si>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</si>
  <si>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</si>
  <si>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</si>
  <si>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</si>
  <si>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</si>
  <si>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</si>
  <si>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</si>
  <si>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</si>
  <si>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</si>
  <si>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</si>
  <si>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</si>
  <si>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</si>
  <si>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</si>
  <si>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</si>
  <si>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</si>
  <si>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</si>
  <si>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</si>
  <si>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</si>
  <si>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</si>
  <si>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</si>
  <si>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</si>
  <si>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</si>
  <si>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</si>
  <si>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</si>
  <si>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</si>
  <si>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</si>
  <si>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</si>
  <si>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</si>
  <si>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</si>
  <si>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</si>
  <si>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</si>
  <si>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</si>
  <si>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</si>
  <si>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</si>
  <si>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</si>
  <si>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</si>
  <si>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</si>
  <si>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</si>
  <si>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</si>
  <si>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</si>
  <si>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</si>
  <si>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</si>
  <si>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</si>
  <si>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</si>
  <si>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</si>
  <si>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</si>
  <si>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</si>
  <si>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</si>
  <si>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</si>
  <si>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</si>
  <si>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</si>
  <si>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</si>
  <si>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</si>
  <si>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</si>
  <si>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</si>
  <si>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</si>
  <si>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</si>
  <si>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</si>
  <si>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</si>
  <si>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</si>
  <si>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</si>
  <si>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</si>
  <si>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</si>
  <si>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</si>
  <si>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</si>
  <si>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</si>
  <si>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</si>
  <si>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</si>
  <si>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(가칭)내곡2초등학교 신축공사</t>
    <phoneticPr fontId="2" type="noConversion"/>
  </si>
  <si>
    <t>기초공사, 골재비및운반비, 작업부산물, 품질시험비, 기타공사</t>
    <phoneticPr fontId="2" type="noConversion"/>
  </si>
  <si>
    <t>CCTV설비공사, 기타공사</t>
    <phoneticPr fontId="2" type="noConversion"/>
  </si>
  <si>
    <t>상수도공사, 사급자재비, 운반비, 기타공사</t>
    <phoneticPr fontId="2" type="noConversion"/>
  </si>
  <si>
    <t>충청도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</si>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</sst>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11653.84</v>
      </c>
      <c r="D7" s="36">
        <f>+C7/3.3058</f>
        <v>3525.2707362816868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814440</v>
      </c>
      <c r="E25" s="59">
        <f t="shared" si="0"/>
        <v>2692370</v>
      </c>
    </row>
    <row r="26" spans="1:5" x14ac:dyDescent="0.3">
      <c r="B26" s="2">
        <v>3</v>
      </c>
      <c r="C26" s="35" t="s">
        <v>95</v>
      </c>
      <c r="D26" s="45">
        <f>+D66</f>
        <v>2480</v>
      </c>
      <c r="E26" s="59">
        <f t="shared" si="0"/>
        <v>8190</v>
      </c>
    </row>
    <row r="27" spans="1:5" x14ac:dyDescent="0.3">
      <c r="B27" s="2">
        <v>4</v>
      </c>
      <c r="C27" s="35" t="s">
        <v>96</v>
      </c>
      <c r="D27" s="45">
        <f>+D95</f>
        <v>141690</v>
      </c>
      <c r="E27" s="59">
        <f t="shared" si="0"/>
        <v>468390</v>
      </c>
    </row>
    <row r="28" spans="1:5" x14ac:dyDescent="0.3">
      <c r="B28" s="2">
        <v>5</v>
      </c>
      <c r="C28" s="35" t="s">
        <v>97</v>
      </c>
      <c r="D28" s="45">
        <f>+D119</f>
        <v>179570</v>
      </c>
      <c r="E28" s="59">
        <f t="shared" si="0"/>
        <v>593620</v>
      </c>
    </row>
    <row r="29" spans="1:5" x14ac:dyDescent="0.3">
      <c r="B29" s="2">
        <v>6</v>
      </c>
      <c r="C29" s="35" t="s">
        <v>98</v>
      </c>
      <c r="D29" s="45">
        <f>+D133</f>
        <v>57360</v>
      </c>
      <c r="E29" s="59">
        <f t="shared" si="0"/>
        <v>189620</v>
      </c>
    </row>
    <row r="30" spans="1:5" x14ac:dyDescent="0.3">
      <c r="B30" s="2">
        <v>7</v>
      </c>
      <c r="C30" s="35" t="s">
        <v>99</v>
      </c>
      <c r="D30" s="45">
        <f>+D146</f>
        <v>38220</v>
      </c>
      <c r="E30" s="59">
        <f t="shared" si="0"/>
        <v>126340</v>
      </c>
    </row>
    <row r="31" spans="1:5" x14ac:dyDescent="0.3">
      <c r="B31" s="2">
        <v>8</v>
      </c>
      <c r="C31" s="35" t="s">
        <v>100</v>
      </c>
      <c r="D31" s="45">
        <f>+D154</f>
        <v>48140</v>
      </c>
      <c r="E31" s="59">
        <f t="shared" si="0"/>
        <v>159140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352520</v>
      </c>
      <c r="E33" s="60">
        <f t="shared" si="0"/>
        <v>1165360</v>
      </c>
    </row>
    <row r="34" spans="1:7" x14ac:dyDescent="0.3">
      <c r="C34" s="35" t="s">
        <v>112</v>
      </c>
      <c r="D34" s="44">
        <f>SUM(D24:D33)</f>
        <v>1634420</v>
      </c>
      <c r="E34" s="44">
        <f>SUM(E24:E33)</f>
        <v>5403030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TRUNC(52912,-1)</f>
        <v>52910</v>
      </c>
      <c r="E40" s="62">
        <f t="shared" ref="E40:E59" si="1">TRUNC(+D40*3.3058,-1)</f>
        <v>174900</v>
      </c>
    </row>
    <row r="41" spans="1:7" x14ac:dyDescent="0.3">
      <c r="A41" s="2">
        <v>2</v>
      </c>
      <c r="C41" s="38" t="s">
        <v>13</v>
      </c>
      <c r="D41" s="42">
        <f>TRUNC(151311,-1)</f>
        <v>151310</v>
      </c>
      <c r="E41" s="63">
        <f t="shared" si="1"/>
        <v>500200</v>
      </c>
    </row>
    <row r="42" spans="1:7" x14ac:dyDescent="0.3">
      <c r="A42" s="2">
        <v>3</v>
      </c>
      <c r="C42" s="38" t="s">
        <v>14</v>
      </c>
      <c r="D42" s="42">
        <f>TRUNC(5826,-1)</f>
        <v>5820</v>
      </c>
      <c r="E42" s="63">
        <f t="shared" si="1"/>
        <v>19230</v>
      </c>
    </row>
    <row r="43" spans="1:7" x14ac:dyDescent="0.3">
      <c r="A43" s="2">
        <v>4</v>
      </c>
      <c r="C43" s="38" t="s">
        <v>16</v>
      </c>
      <c r="D43" s="42">
        <f>TRUNC(30597,-1)</f>
        <v>30590</v>
      </c>
      <c r="E43" s="63">
        <f t="shared" si="1"/>
        <v>101120</v>
      </c>
    </row>
    <row r="44" spans="1:7" x14ac:dyDescent="0.3">
      <c r="A44" s="2">
        <v>5</v>
      </c>
      <c r="C44" s="38" t="s">
        <v>17</v>
      </c>
      <c r="D44" s="42">
        <f>TRUNC(17574,-1)</f>
        <v>17570</v>
      </c>
      <c r="E44" s="63">
        <f t="shared" si="1"/>
        <v>58080</v>
      </c>
    </row>
    <row r="45" spans="1:7" x14ac:dyDescent="0.3">
      <c r="A45" s="2">
        <v>6</v>
      </c>
      <c r="C45" s="38" t="s">
        <v>18</v>
      </c>
      <c r="D45" s="42">
        <f>TRUNC(10691,-1)</f>
        <v>10690</v>
      </c>
      <c r="E45" s="63">
        <f t="shared" si="1"/>
        <v>35330</v>
      </c>
    </row>
    <row r="46" spans="1:7" x14ac:dyDescent="0.3">
      <c r="A46" s="2">
        <v>7</v>
      </c>
      <c r="C46" s="38" t="s">
        <v>19</v>
      </c>
      <c r="D46" s="42">
        <v>22090</v>
      </c>
      <c r="E46" s="63">
        <f t="shared" si="1"/>
        <v>73020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TRUNC(38883,-1)</f>
        <v>38880</v>
      </c>
      <c r="E48" s="63">
        <f t="shared" si="1"/>
        <v>128520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TRUNC(17521,-1)</f>
        <v>17520</v>
      </c>
      <c r="E49" s="63">
        <f t="shared" si="1"/>
        <v>57910</v>
      </c>
    </row>
    <row r="50" spans="1:7" x14ac:dyDescent="0.3">
      <c r="A50" s="2">
        <v>11</v>
      </c>
      <c r="C50" s="38" t="s">
        <v>155</v>
      </c>
      <c r="D50" s="42">
        <f>TRUNC(57944,-1)</f>
        <v>57940</v>
      </c>
      <c r="E50" s="63">
        <f t="shared" si="1"/>
        <v>191530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TRUNC(7603,-1)</f>
        <v>7600</v>
      </c>
      <c r="E52" s="63">
        <f t="shared" si="1"/>
        <v>25120</v>
      </c>
    </row>
    <row r="53" spans="1:7" x14ac:dyDescent="0.3">
      <c r="A53" s="2">
        <v>14</v>
      </c>
      <c r="C53" s="38" t="s">
        <v>25</v>
      </c>
      <c r="D53" s="42">
        <f>TRUNC(97599,-1)</f>
        <v>97590</v>
      </c>
      <c r="E53" s="63">
        <f t="shared" si="1"/>
        <v>322610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TRUNC(13240+2387-546+1207+9640,-1)</f>
        <v>25920</v>
      </c>
      <c r="E58" s="63">
        <f t="shared" si="1"/>
        <v>85680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TRUNC(278013,-1)</f>
        <v>278010</v>
      </c>
      <c r="E59" s="64">
        <f t="shared" si="1"/>
        <v>919040</v>
      </c>
    </row>
    <row r="60" spans="1:7" x14ac:dyDescent="0.3">
      <c r="A60" s="2">
        <v>21</v>
      </c>
      <c r="C60" s="27" t="s">
        <v>112</v>
      </c>
      <c r="D60" s="39">
        <f>SUM(D40:D59)</f>
        <v>814440</v>
      </c>
      <c r="E60" s="39">
        <f>SUM(E40:E59)</f>
        <v>2692290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TRUNC(2488,-1)</f>
        <v>2480</v>
      </c>
      <c r="E63" s="62">
        <f>TRUNC(+D63*3.3058,-1)</f>
        <v>8190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2480</v>
      </c>
      <c r="E66" s="65">
        <f>SUM(E63:E65)</f>
        <v>8190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TRUNC(8695,-1)</f>
        <v>8690</v>
      </c>
      <c r="E69" s="62">
        <f t="shared" ref="E69:E94" si="2">TRUNC(+D69*3.3058,-1)</f>
        <v>28720</v>
      </c>
    </row>
    <row r="70" spans="1:7" ht="16.5" customHeight="1" x14ac:dyDescent="0.3">
      <c r="A70" s="2">
        <v>2</v>
      </c>
      <c r="C70" s="38" t="s">
        <v>31</v>
      </c>
      <c r="D70" s="42">
        <f>TRUNC(1063,-1)</f>
        <v>1060</v>
      </c>
      <c r="E70" s="63">
        <f t="shared" si="2"/>
        <v>3500</v>
      </c>
    </row>
    <row r="71" spans="1:7" x14ac:dyDescent="0.3">
      <c r="A71" s="2">
        <v>3</v>
      </c>
      <c r="C71" s="38" t="s">
        <v>32</v>
      </c>
      <c r="D71" s="42">
        <f>TRUNC(5072,-1)</f>
        <v>5070</v>
      </c>
      <c r="E71" s="63">
        <f t="shared" si="2"/>
        <v>16760</v>
      </c>
    </row>
    <row r="72" spans="1:7" x14ac:dyDescent="0.3">
      <c r="A72" s="2">
        <v>4</v>
      </c>
      <c r="C72" s="38" t="s">
        <v>33</v>
      </c>
      <c r="D72" s="42">
        <f>TRUNC(4468,-1)</f>
        <v>4460</v>
      </c>
      <c r="E72" s="63">
        <f t="shared" si="2"/>
        <v>14740</v>
      </c>
    </row>
    <row r="73" spans="1:7" x14ac:dyDescent="0.3">
      <c r="A73" s="2">
        <v>5</v>
      </c>
      <c r="C73" s="38" t="s">
        <v>34</v>
      </c>
      <c r="D73" s="42">
        <f>TRUNC(15573,-1)</f>
        <v>15570</v>
      </c>
      <c r="E73" s="63">
        <f t="shared" si="2"/>
        <v>51470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TRUNC(7256,-1)</f>
        <v>7250</v>
      </c>
      <c r="E89" s="63">
        <f t="shared" si="2"/>
        <v>23960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TRUNC(3232,-1)</f>
        <v>3230</v>
      </c>
      <c r="E91" s="63">
        <f t="shared" si="2"/>
        <v>10670</v>
      </c>
    </row>
    <row r="92" spans="1:7" x14ac:dyDescent="0.3">
      <c r="A92" s="2">
        <v>24</v>
      </c>
      <c r="C92" s="38" t="s">
        <v>38</v>
      </c>
      <c r="D92" s="42">
        <f>TRUNC(7621,-1)</f>
        <v>7620</v>
      </c>
      <c r="E92" s="63">
        <f t="shared" si="2"/>
        <v>25190</v>
      </c>
    </row>
    <row r="93" spans="1:7" x14ac:dyDescent="0.3">
      <c r="A93" s="2">
        <v>25</v>
      </c>
      <c r="C93" s="38" t="s">
        <v>148</v>
      </c>
      <c r="D93" s="42">
        <f>TRUNC(85413,-1)</f>
        <v>85410</v>
      </c>
      <c r="E93" s="63">
        <f t="shared" si="2"/>
        <v>282340</v>
      </c>
    </row>
    <row r="94" spans="1:7" ht="17.25" thickBot="1" x14ac:dyDescent="0.35">
      <c r="A94" s="2">
        <v>26</v>
      </c>
      <c r="C94" s="38" t="s">
        <v>47</v>
      </c>
      <c r="D94" s="43">
        <f>TRUNC(3333,-1)</f>
        <v>3330</v>
      </c>
      <c r="E94" s="64">
        <f t="shared" si="2"/>
        <v>11000</v>
      </c>
    </row>
    <row r="95" spans="1:7" x14ac:dyDescent="0.3">
      <c r="A95" s="2">
        <v>27</v>
      </c>
      <c r="C95" s="27" t="s">
        <v>112</v>
      </c>
      <c r="D95" s="39">
        <f>SUM(D69:D94)</f>
        <v>141690</v>
      </c>
      <c r="E95" s="39">
        <f>SUM(E69:E94)</f>
        <v>468350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TRUNC(11489,-1)</f>
        <v>11480</v>
      </c>
      <c r="E98" s="62">
        <f t="shared" ref="E98:E118" si="3">TRUNC(+D98*3.3058,-1)</f>
        <v>37950</v>
      </c>
    </row>
    <row r="99" spans="1:7" x14ac:dyDescent="0.3">
      <c r="A99" s="2">
        <v>2</v>
      </c>
      <c r="C99" s="38" t="s">
        <v>40</v>
      </c>
      <c r="D99" s="42">
        <f>TRUNC(901,-1)</f>
        <v>900</v>
      </c>
      <c r="E99" s="63">
        <f t="shared" si="3"/>
        <v>2970</v>
      </c>
    </row>
    <row r="100" spans="1:7" x14ac:dyDescent="0.3">
      <c r="A100" s="2">
        <v>3</v>
      </c>
      <c r="C100" s="38" t="s">
        <v>41</v>
      </c>
      <c r="D100" s="42">
        <f>TRUNC(27083,-1)</f>
        <v>27080</v>
      </c>
      <c r="E100" s="63">
        <f t="shared" si="3"/>
        <v>89520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13190</v>
      </c>
      <c r="E102" s="63">
        <f t="shared" si="3"/>
        <v>43600</v>
      </c>
    </row>
    <row r="103" spans="1:7" x14ac:dyDescent="0.3">
      <c r="A103" s="2">
        <v>6</v>
      </c>
      <c r="C103" s="38" t="s">
        <v>44</v>
      </c>
      <c r="D103" s="42">
        <f>TRUNC(5826,-1)</f>
        <v>5820</v>
      </c>
      <c r="E103" s="63">
        <f t="shared" si="3"/>
        <v>19230</v>
      </c>
    </row>
    <row r="104" spans="1:7" x14ac:dyDescent="0.3">
      <c r="A104" s="2">
        <v>7</v>
      </c>
      <c r="C104" s="38" t="s">
        <v>45</v>
      </c>
      <c r="D104" s="42">
        <v>1800</v>
      </c>
      <c r="E104" s="63">
        <f t="shared" si="3"/>
        <v>5950</v>
      </c>
    </row>
    <row r="105" spans="1:7" x14ac:dyDescent="0.3">
      <c r="A105" s="2">
        <v>8</v>
      </c>
      <c r="C105" s="38" t="s">
        <v>46</v>
      </c>
      <c r="D105" s="42">
        <f>TRUNC(6922,-1)</f>
        <v>6920</v>
      </c>
      <c r="E105" s="63">
        <f t="shared" si="3"/>
        <v>22870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TRUNC(7979,-1)</f>
        <v>7970</v>
      </c>
      <c r="E114" s="63">
        <f t="shared" si="3"/>
        <v>26340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TRUNC(1273,-1)</f>
        <v>1270</v>
      </c>
      <c r="E116" s="63">
        <f t="shared" si="3"/>
        <v>4190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TRUNC(99092,-1)</f>
        <v>99090</v>
      </c>
      <c r="E117" s="63">
        <f t="shared" si="3"/>
        <v>327570</v>
      </c>
    </row>
    <row r="118" spans="1:7" ht="17.25" thickBot="1" x14ac:dyDescent="0.35">
      <c r="A118" s="2">
        <v>21</v>
      </c>
      <c r="C118" s="38" t="s">
        <v>47</v>
      </c>
      <c r="D118" s="43">
        <f>TRUNC(4054,-1)</f>
        <v>4050</v>
      </c>
      <c r="E118" s="64">
        <f t="shared" si="3"/>
        <v>13380</v>
      </c>
    </row>
    <row r="119" spans="1:7" x14ac:dyDescent="0.3">
      <c r="A119" s="2">
        <v>22</v>
      </c>
      <c r="C119" s="27" t="s">
        <v>112</v>
      </c>
      <c r="D119" s="39">
        <f>SUM(D98:D118)</f>
        <v>179570</v>
      </c>
      <c r="E119" s="39">
        <f>SUM(E98:E118)</f>
        <v>593570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TRUNC(1831,-1)</f>
        <v>1830</v>
      </c>
      <c r="E122" s="62">
        <f t="shared" ref="E122:E132" si="4">TRUNC(+D122*3.3058,-1)</f>
        <v>6040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TRUNC(1567,-1)</f>
        <v>1560</v>
      </c>
      <c r="E124" s="63">
        <f t="shared" si="4"/>
        <v>5150</v>
      </c>
    </row>
    <row r="125" spans="1:7" x14ac:dyDescent="0.3">
      <c r="A125" s="2">
        <v>4</v>
      </c>
      <c r="C125" s="38" t="s">
        <v>138</v>
      </c>
      <c r="D125" s="42">
        <f>TRUNC(5505,-1)</f>
        <v>5500</v>
      </c>
      <c r="E125" s="63">
        <f t="shared" si="4"/>
        <v>18180</v>
      </c>
    </row>
    <row r="126" spans="1:7" x14ac:dyDescent="0.3">
      <c r="A126" s="2">
        <v>5</v>
      </c>
      <c r="C126" s="38" t="s">
        <v>53</v>
      </c>
      <c r="D126" s="42">
        <f>TRUNC(14009,-1)</f>
        <v>14000</v>
      </c>
      <c r="E126" s="63">
        <f t="shared" si="4"/>
        <v>46280</v>
      </c>
    </row>
    <row r="127" spans="1:7" x14ac:dyDescent="0.3">
      <c r="A127" s="2">
        <v>6</v>
      </c>
      <c r="C127" s="38" t="s">
        <v>56</v>
      </c>
      <c r="D127" s="42">
        <f>TRUNC(4145,-1)</f>
        <v>4140</v>
      </c>
      <c r="E127" s="63">
        <f t="shared" si="4"/>
        <v>13680</v>
      </c>
    </row>
    <row r="128" spans="1:7" x14ac:dyDescent="0.3">
      <c r="A128" s="2">
        <v>7</v>
      </c>
      <c r="C128" s="38" t="s">
        <v>46</v>
      </c>
      <c r="D128" s="42">
        <f>TRUNC(5864,-1)</f>
        <v>5860</v>
      </c>
      <c r="E128" s="63">
        <f t="shared" si="4"/>
        <v>19370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TRUNC(4415,-1)</f>
        <v>4410</v>
      </c>
      <c r="E130" s="63">
        <f t="shared" si="4"/>
        <v>14570</v>
      </c>
    </row>
    <row r="131" spans="1:7" x14ac:dyDescent="0.3">
      <c r="A131" s="2">
        <v>10</v>
      </c>
      <c r="C131" s="38" t="s">
        <v>148</v>
      </c>
      <c r="D131" s="42">
        <f>TRUNC(15923,-1)</f>
        <v>15920</v>
      </c>
      <c r="E131" s="63">
        <f t="shared" si="4"/>
        <v>52620</v>
      </c>
    </row>
    <row r="132" spans="1:7" ht="18" thickBot="1" x14ac:dyDescent="0.35">
      <c r="A132" s="2">
        <v>11</v>
      </c>
      <c r="C132" s="38" t="s">
        <v>47</v>
      </c>
      <c r="D132" s="43">
        <f>TRUNC(3134+1014,-1)</f>
        <v>4140</v>
      </c>
      <c r="E132" s="64">
        <f t="shared" si="4"/>
        <v>13680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57360</v>
      </c>
      <c r="E133" s="39">
        <f>SUM(E122:E132)</f>
        <v>189570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TRUNC(9456,-1)</f>
        <v>9450</v>
      </c>
      <c r="E137" s="63">
        <f t="shared" si="5"/>
        <v>31230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TRUNC(2057,-1)</f>
        <v>2050</v>
      </c>
      <c r="E139" s="63">
        <f t="shared" si="5"/>
        <v>6770</v>
      </c>
    </row>
    <row r="140" spans="1:7" x14ac:dyDescent="0.3">
      <c r="A140" s="2">
        <v>5</v>
      </c>
      <c r="C140" s="38" t="s">
        <v>57</v>
      </c>
      <c r="D140" s="42">
        <f>TRUNC(5904,-1)</f>
        <v>5900</v>
      </c>
      <c r="E140" s="63">
        <f t="shared" si="5"/>
        <v>19500</v>
      </c>
    </row>
    <row r="141" spans="1:7" x14ac:dyDescent="0.3">
      <c r="A141" s="2">
        <v>6</v>
      </c>
      <c r="C141" s="38" t="s">
        <v>59</v>
      </c>
      <c r="D141" s="42">
        <f>TRUNC(2378,-1)</f>
        <v>2370</v>
      </c>
      <c r="E141" s="63">
        <f t="shared" si="5"/>
        <v>7830</v>
      </c>
    </row>
    <row r="142" spans="1:7" x14ac:dyDescent="0.3">
      <c r="A142" s="2">
        <v>7</v>
      </c>
      <c r="C142" s="38" t="s">
        <v>58</v>
      </c>
      <c r="D142" s="42">
        <f>TRUNC(4704,-1)</f>
        <v>4700</v>
      </c>
      <c r="E142" s="63">
        <f t="shared" si="5"/>
        <v>15530</v>
      </c>
    </row>
    <row r="143" spans="1:7" x14ac:dyDescent="0.3">
      <c r="A143" s="2">
        <v>8</v>
      </c>
      <c r="C143" s="38" t="s">
        <v>62</v>
      </c>
      <c r="D143" s="42">
        <f>TRUNC(4533,-1)</f>
        <v>4530</v>
      </c>
      <c r="E143" s="63">
        <f t="shared" si="5"/>
        <v>14970</v>
      </c>
    </row>
    <row r="144" spans="1:7" x14ac:dyDescent="0.3">
      <c r="A144" s="2">
        <v>9</v>
      </c>
      <c r="C144" s="38" t="s">
        <v>63</v>
      </c>
      <c r="D144" s="42">
        <v>9220</v>
      </c>
      <c r="E144" s="63">
        <f t="shared" si="5"/>
        <v>30470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38220</v>
      </c>
      <c r="E146" s="39">
        <f>SUM(E136:E145)</f>
        <v>126300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7159+2361</f>
        <v>9520</v>
      </c>
      <c r="E149" s="62">
        <f>TRUNC(+D149*3.3058,-1)</f>
        <v>31470</v>
      </c>
    </row>
    <row r="150" spans="1:7" x14ac:dyDescent="0.3">
      <c r="A150" s="2">
        <v>2</v>
      </c>
      <c r="C150" s="38" t="s">
        <v>49</v>
      </c>
      <c r="D150" s="42">
        <f>TRUNC(5451,-1)</f>
        <v>5450</v>
      </c>
      <c r="E150" s="63">
        <f>TRUNC(+D150*3.3058,-1)</f>
        <v>18010</v>
      </c>
    </row>
    <row r="151" spans="1:7" x14ac:dyDescent="0.3">
      <c r="A151" s="2">
        <v>3</v>
      </c>
      <c r="C151" s="38" t="s">
        <v>50</v>
      </c>
      <c r="D151" s="42">
        <f>TRUNC(2959,-1)</f>
        <v>2950</v>
      </c>
      <c r="E151" s="63">
        <f>TRUNC(+D151*3.3058,-1)</f>
        <v>9750</v>
      </c>
    </row>
    <row r="152" spans="1:7" x14ac:dyDescent="0.3">
      <c r="A152" s="2">
        <v>4</v>
      </c>
      <c r="C152" s="38" t="s">
        <v>47</v>
      </c>
      <c r="D152" s="42">
        <f>TRUNC(3023+70+50+401,-1)</f>
        <v>3540</v>
      </c>
      <c r="E152" s="63">
        <f>TRUNC(+D152*3.3058,-1)</f>
        <v>11700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TRUNC(26683,-1)</f>
        <v>26680</v>
      </c>
      <c r="E153" s="64">
        <f>TRUNC(+D153*3.3058,-1)</f>
        <v>88190</v>
      </c>
    </row>
    <row r="154" spans="1:7" x14ac:dyDescent="0.3">
      <c r="A154" s="2">
        <v>6</v>
      </c>
      <c r="C154" s="27" t="s">
        <v>112</v>
      </c>
      <c r="D154" s="39">
        <f>SUM(D149:D153)</f>
        <v>48140</v>
      </c>
      <c r="E154" s="39">
        <f>SUM(E149:E153)</f>
        <v>159120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2020-12-08T01:59:01Z</dcterms:modified>
</cp:coreProperties>
</file>