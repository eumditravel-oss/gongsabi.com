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1" i="4" l="1"/>
  <c r="E145" i="4"/>
  <c r="E142" i="4"/>
  <c r="E141" i="4"/>
  <c r="E140" i="4"/>
  <c r="E138" i="4"/>
  <c r="E136" i="4"/>
  <c r="E129" i="4"/>
  <c r="E123" i="4"/>
  <c r="E115" i="4"/>
  <c r="E113" i="4"/>
  <c r="E112" i="4"/>
  <c r="E111" i="4"/>
  <c r="E110" i="4"/>
  <c r="E109" i="4"/>
  <c r="E108" i="4"/>
  <c r="E107" i="4"/>
  <c r="E106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65" i="4"/>
  <c r="E64" i="4"/>
  <c r="E57" i="4"/>
  <c r="E56" i="4"/>
  <c r="E55" i="4"/>
  <c r="E54" i="4"/>
  <c r="E50" i="4"/>
  <c r="E47" i="4"/>
  <c r="E37" i="4"/>
  <c r="D160" i="4" l="1"/>
  <c r="E160" i="4" s="1"/>
  <c r="D159" i="4"/>
  <c r="E159" i="4" s="1"/>
  <c r="D158" i="4"/>
  <c r="E158" i="4" s="1"/>
  <c r="D157" i="4"/>
  <c r="D153" i="4"/>
  <c r="E153" i="4" s="1"/>
  <c r="D152" i="4"/>
  <c r="E152" i="4" s="1"/>
  <c r="D150" i="4"/>
  <c r="E150" i="4" s="1"/>
  <c r="D149" i="4"/>
  <c r="D144" i="4"/>
  <c r="E144" i="4" s="1"/>
  <c r="D143" i="4"/>
  <c r="E143" i="4" s="1"/>
  <c r="D139" i="4"/>
  <c r="E139" i="4" s="1"/>
  <c r="D137" i="4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89" i="4"/>
  <c r="E89" i="4" s="1"/>
  <c r="D73" i="4"/>
  <c r="E73" i="4" s="1"/>
  <c r="D72" i="4"/>
  <c r="E72" i="4" s="1"/>
  <c r="D71" i="4"/>
  <c r="D70" i="4"/>
  <c r="E70" i="4" s="1"/>
  <c r="D69" i="4"/>
  <c r="E69" i="4" s="1"/>
  <c r="D63" i="4"/>
  <c r="D59" i="4"/>
  <c r="E59" i="4" s="1"/>
  <c r="D58" i="4"/>
  <c r="E58" i="4" s="1"/>
  <c r="D53" i="4"/>
  <c r="E53" i="4" s="1"/>
  <c r="D52" i="4"/>
  <c r="E52" i="4" s="1"/>
  <c r="D51" i="4"/>
  <c r="E51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D7" i="4"/>
  <c r="D154" i="4" l="1"/>
  <c r="D31" i="4" s="1"/>
  <c r="E31" i="4" s="1"/>
  <c r="E149" i="4"/>
  <c r="E154" i="4" s="1"/>
  <c r="E24" i="4"/>
  <c r="D60" i="4"/>
  <c r="D25" i="4" s="1"/>
  <c r="E25" i="4" s="1"/>
  <c r="E40" i="4"/>
  <c r="E60" i="4" s="1"/>
  <c r="D66" i="4"/>
  <c r="D26" i="4" s="1"/>
  <c r="E26" i="4" s="1"/>
  <c r="E63" i="4"/>
  <c r="E66" i="4" s="1"/>
  <c r="D146" i="4"/>
  <c r="D30" i="4" s="1"/>
  <c r="E30" i="4" s="1"/>
  <c r="E137" i="4"/>
  <c r="E146" i="4" s="1"/>
  <c r="D161" i="4"/>
  <c r="D32" i="4" s="1"/>
  <c r="E32" i="4" s="1"/>
  <c r="E157" i="4"/>
  <c r="E161" i="4" s="1"/>
  <c r="D95" i="4"/>
  <c r="D27" i="4" s="1"/>
  <c r="E27" i="4" s="1"/>
  <c r="E71" i="4"/>
  <c r="E95" i="4" s="1"/>
  <c r="D119" i="4"/>
  <c r="D28" i="4" s="1"/>
  <c r="E28" i="4" s="1"/>
  <c r="E98" i="4"/>
  <c r="E119" i="4" s="1"/>
  <c r="D133" i="4"/>
  <c r="D29" i="4" s="1"/>
  <c r="E29" i="4" s="1"/>
  <c r="E122" i="4"/>
  <c r="E1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<sst xmlns="http://schemas.openxmlformats.org/spreadsheetml/2006/main" count="387" uniqueCount="258">
  <si>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</si>
  <si>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</si>
  <si>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</si>
  <si>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</si>
  <si>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</si>
  <si>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</si>
  <si>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</si>
  <si>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</si>
  <si>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</si>
  <si>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</si>
  <si>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</si>
  <si>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</si>
  <si>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</si>
  <si>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</si>
  <si>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</si>
  <si>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</si>
  <si>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</si>
  <si>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</si>
  <si>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</si>
  <si>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</si>
  <si>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</si>
  <si>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</si>
  <si>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</si>
  <si>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</si>
  <si>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</si>
  <si>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</si>
  <si>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</si>
  <si>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</si>
  <si>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</si>
  <si>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</si>
  <si>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</si>
  <si>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</si>
  <si>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</si>
  <si>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</si>
  <si>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</si>
  <si>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</si>
  <si>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</si>
  <si>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</si>
  <si>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</si>
  <si>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</si>
  <si>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</si>
  <si>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</si>
  <si>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</si>
  <si>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</si>
  <si>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</si>
  <si>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</si>
  <si>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</si>
  <si>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</si>
  <si>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</si>
  <si>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</si>
  <si>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</si>
  <si>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</si>
  <si>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</si>
  <si>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</si>
  <si>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</si>
  <si>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</si>
  <si>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</si>
  <si>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</si>
  <si>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</si>
  <si>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</si>
  <si>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</si>
  <si>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</si>
  <si>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</si>
  <si>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</si>
  <si>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</si>
  <si>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</si>
  <si>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</si>
  <si>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</si>
  <si>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</si>
  <si>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</si>
  <si>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</si>
  <si>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</si>
  <si>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</si>
  <si>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</si>
  <si>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</si>
  <si>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</si>
  <si>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</si>
  <si>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</si>
  <si>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</si>
  <si>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</si>
  <si>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</si>
  <si>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</si>
  <si>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</si>
  <si>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</si>
  <si>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</si>
  <si>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</si>
  <si>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</si>
  <si>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</si>
  <si>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</si>
  <si>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</si>
  <si>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</si>
  <si>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</si>
  <si>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</si>
  <si>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</si>
  <si>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</si>
  <si>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</si>
  <si>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</si>
  <si>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</si>
  <si>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</si>
  <si>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</si>
  <si>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</si>
  <si>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</si>
  <si>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</si>
  <si>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</si>
  <si>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</si>
  <si>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</si>
  <si>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</si>
  <si>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</si>
  <si>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</si>
  <si>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</si>
  <si>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</si>
  <si>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</si>
  <si>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</si>
  <si>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</si>
  <si>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</si>
  <si>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</si>
  <si>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</si>
  <si>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</si>
  <si>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</si>
  <si>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</si>
  <si>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</si>
  <si>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</si>
  <si>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</si>
  <si>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</si>
  <si>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</si>
  <si>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</si>
  <si>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</si>
  <si>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</si>
  <si>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</si>
  <si>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</si>
  <si>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</si>
  <si>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</si>
  <si>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</si>
  <si>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</si>
  <si>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</si>
  <si>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</si>
  <si>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</si>
  <si>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</si>
  <si>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</si>
  <si>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</si>
  <si>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</si>
  <si>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</si>
  <si>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</si>
  <si>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</si>
  <si>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</si>
  <si>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</si>
  <si>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</si>
  <si>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</si>
  <si>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</si>
  <si>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</si>
  <si>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</si>
  <si>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</si>
  <si>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</si>
  <si>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</si>
  <si>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</si>
  <si>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</si>
  <si>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</si>
  <si>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</si>
  <si>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</si>
  <si>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</si>
  <si>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</si>
  <si>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</si>
  <si>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</si>
  <si>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</si>
  <si>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</si>
  <si>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</si>
  <si>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</si>
  <si>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</si>
  <si>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</si>
  <si>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</si>
  <si>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</si>
  <si>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</si>
  <si>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</si>
  <si>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</si>
  <si>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</si>
  <si>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</si>
  <si>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</si>
  <si>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</si>
  <si>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</si>
  <si>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</si>
  <si>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</si>
  <si>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</si>
  <si>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</si>
  <si>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</si>
  <si>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</si>
  <si>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</si>
  <si>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</si>
  <si>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</si>
  <si>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</si>
  <si>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</si>
  <si>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</si>
  <si>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</si>
  <si>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</si>
  <si>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</si>
  <si>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</si>
  <si>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</si>
  <si>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</si>
  <si>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</si>
  <si>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</si>
  <si>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</si>
  <si>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</si>
  <si>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</si>
  <si>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</si>
  <si>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</si>
  <si>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</si>
  <si>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</si>
  <si>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</si>
  <si>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</si>
  <si>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</si>
  <si>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</si>
  <si>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</si>
  <si>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</si>
  <si>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</si>
  <si>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</si>
  <si>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</si>
  <si>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</si>
  <si>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</si>
  <si>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</si>
  <si>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</si>
  <si>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</si>
  <si>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</si>
  <si>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</si>
  <si>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</si>
  <si>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</si>
  <si>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</si>
  <si>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</si>
  <si>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</si>
  <si>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</si>
  <si>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</si>
  <si>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</si>
  <si>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</si>
  <si>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</si>
  <si>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</si>
  <si>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</si>
  <si>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</si>
  <si>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</si>
  <si>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</si>
  <si>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</si>
  <si>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</si>
  <si>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</si>
  <si>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</si>
  <si>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</si>
  <si>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</si>
  <si>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</si>
  <si>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</si>
  <si>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</si>
  <si>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</si>
  <si>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부안해양경찰서 청사신축(건축)</t>
    <phoneticPr fontId="2" type="noConversion"/>
  </si>
  <si>
    <t>전라도</t>
  </si>
  <si>
    <t>평</t>
    <phoneticPr fontId="2" type="noConversion"/>
  </si>
  <si>
    <t>기초공사, 골재비 및 운반비,기타공사,작업부산물, 품질시험비</t>
    <phoneticPr fontId="2" type="noConversion"/>
  </si>
  <si>
    <t>우수처리시설공사, 기타공사</t>
    <phoneticPr fontId="2" type="noConversion"/>
  </si>
  <si>
    <t>원격검침 설비공사, 기타공사</t>
    <phoneticPr fontId="2" type="noConversion"/>
  </si>
  <si>
    <t>CCTV 설비공사,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</si>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</sst>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8" t="s">
        <v>156</v>
      </c>
      <c r="B2" s="71" t="s">
        <v>0</v>
      </c>
      <c r="C2" s="72"/>
      <c r="D2" s="71" t="s">
        <v>1</v>
      </c>
      <c r="E2" s="72"/>
      <c r="F2" s="71" t="s">
        <v>157</v>
      </c>
      <c r="G2" s="72"/>
      <c r="H2" s="71" t="s">
        <v>2</v>
      </c>
      <c r="I2" s="72"/>
      <c r="J2" s="71" t="s">
        <v>3</v>
      </c>
      <c r="K2" s="72"/>
      <c r="L2" s="71" t="s">
        <v>158</v>
      </c>
      <c r="M2" s="72"/>
      <c r="N2" s="71" t="s">
        <v>159</v>
      </c>
      <c r="O2" s="72"/>
      <c r="P2" s="71" t="s">
        <v>5</v>
      </c>
      <c r="Q2" s="72"/>
      <c r="R2" s="65" t="s">
        <v>94</v>
      </c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7"/>
    </row>
    <row r="3" spans="1:33" x14ac:dyDescent="0.3">
      <c r="A3" s="69"/>
      <c r="B3" s="73"/>
      <c r="C3" s="74"/>
      <c r="D3" s="73"/>
      <c r="E3" s="74"/>
      <c r="F3" s="73"/>
      <c r="G3" s="74"/>
      <c r="H3" s="73"/>
      <c r="I3" s="74"/>
      <c r="J3" s="73"/>
      <c r="K3" s="74"/>
      <c r="L3" s="73"/>
      <c r="M3" s="74"/>
      <c r="N3" s="73"/>
      <c r="O3" s="74"/>
      <c r="P3" s="73"/>
      <c r="Q3" s="74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0"/>
      <c r="B4" s="75"/>
      <c r="C4" s="76"/>
      <c r="D4" s="75"/>
      <c r="E4" s="76"/>
      <c r="F4" s="75"/>
      <c r="G4" s="76"/>
      <c r="H4" s="75"/>
      <c r="I4" s="76"/>
      <c r="J4" s="75"/>
      <c r="K4" s="76"/>
      <c r="L4" s="75"/>
      <c r="M4" s="76"/>
      <c r="N4" s="75"/>
      <c r="O4" s="76"/>
      <c r="P4" s="75"/>
      <c r="Q4" s="76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6674.27</v>
      </c>
      <c r="D7" s="36">
        <f>+C7/3.3058</f>
        <v>2018.9575896908466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256</v>
      </c>
    </row>
    <row r="19" spans="1:5" x14ac:dyDescent="0.3">
      <c r="A19" s="2">
        <v>9</v>
      </c>
      <c r="B19" s="2" t="s">
        <v>257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927760</v>
      </c>
      <c r="E25" s="59">
        <f t="shared" si="0"/>
        <v>3066980</v>
      </c>
    </row>
    <row r="26" spans="1:5" x14ac:dyDescent="0.3">
      <c r="B26" s="2">
        <v>3</v>
      </c>
      <c r="C26" s="35" t="s">
        <v>95</v>
      </c>
      <c r="D26" s="45">
        <f>+D66</f>
        <v>40510</v>
      </c>
      <c r="E26" s="59">
        <f t="shared" si="0"/>
        <v>133910</v>
      </c>
    </row>
    <row r="27" spans="1:5" x14ac:dyDescent="0.3">
      <c r="B27" s="2">
        <v>4</v>
      </c>
      <c r="C27" s="35" t="s">
        <v>96</v>
      </c>
      <c r="D27" s="45">
        <f>+D95</f>
        <v>186260</v>
      </c>
      <c r="E27" s="59">
        <f t="shared" si="0"/>
        <v>615730</v>
      </c>
    </row>
    <row r="28" spans="1:5" x14ac:dyDescent="0.3">
      <c r="B28" s="2">
        <v>5</v>
      </c>
      <c r="C28" s="35" t="s">
        <v>97</v>
      </c>
      <c r="D28" s="45">
        <f>+D119</f>
        <v>225230</v>
      </c>
      <c r="E28" s="59">
        <f t="shared" si="0"/>
        <v>744560</v>
      </c>
    </row>
    <row r="29" spans="1:5" x14ac:dyDescent="0.3">
      <c r="B29" s="2">
        <v>6</v>
      </c>
      <c r="C29" s="35" t="s">
        <v>98</v>
      </c>
      <c r="D29" s="45">
        <f>+D133</f>
        <v>151570</v>
      </c>
      <c r="E29" s="59">
        <f t="shared" si="0"/>
        <v>501060</v>
      </c>
    </row>
    <row r="30" spans="1:5" x14ac:dyDescent="0.3">
      <c r="B30" s="2">
        <v>7</v>
      </c>
      <c r="C30" s="35" t="s">
        <v>99</v>
      </c>
      <c r="D30" s="45">
        <f>+D146</f>
        <v>49320</v>
      </c>
      <c r="E30" s="59">
        <f t="shared" si="0"/>
        <v>163040</v>
      </c>
    </row>
    <row r="31" spans="1:5" x14ac:dyDescent="0.3">
      <c r="B31" s="2">
        <v>8</v>
      </c>
      <c r="C31" s="35" t="s">
        <v>100</v>
      </c>
      <c r="D31" s="45">
        <f>+D154</f>
        <v>57290</v>
      </c>
      <c r="E31" s="59">
        <f t="shared" si="0"/>
        <v>189380</v>
      </c>
    </row>
    <row r="32" spans="1:5" x14ac:dyDescent="0.3">
      <c r="B32" s="2">
        <v>9</v>
      </c>
      <c r="C32" s="35" t="s">
        <v>101</v>
      </c>
      <c r="D32" s="45">
        <f>+D161</f>
        <v>44690</v>
      </c>
      <c r="E32" s="59">
        <f t="shared" si="0"/>
        <v>147730</v>
      </c>
    </row>
    <row r="33" spans="1:7" x14ac:dyDescent="0.3">
      <c r="B33" s="2">
        <v>10</v>
      </c>
      <c r="C33" s="35" t="s">
        <v>154</v>
      </c>
      <c r="D33" s="53">
        <f>TRUNC(SUM(D24:D32)*0.275,-1)</f>
        <v>462720</v>
      </c>
      <c r="E33" s="60">
        <f t="shared" si="0"/>
        <v>1529650</v>
      </c>
    </row>
    <row r="34" spans="1:7" x14ac:dyDescent="0.3">
      <c r="C34" s="35" t="s">
        <v>112</v>
      </c>
      <c r="D34" s="44">
        <f>SUM(D24:D33)</f>
        <v>2145350</v>
      </c>
      <c r="E34" s="44">
        <f>SUM(E24:E33)</f>
        <v>7092040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5" customFormat="1" x14ac:dyDescent="0.3">
      <c r="C38" s="56"/>
      <c r="D38" s="56"/>
      <c r="E38" s="56"/>
      <c r="G38" s="54"/>
    </row>
    <row r="39" spans="1:7" s="55" customFormat="1" ht="17.25" thickBot="1" x14ac:dyDescent="0.35">
      <c r="B39" s="55" t="s">
        <v>6</v>
      </c>
      <c r="C39" s="55" t="s">
        <v>236</v>
      </c>
      <c r="D39" s="56" t="s">
        <v>235</v>
      </c>
      <c r="E39" s="56" t="s">
        <v>153</v>
      </c>
      <c r="G39" s="54"/>
    </row>
    <row r="40" spans="1:7" x14ac:dyDescent="0.3">
      <c r="A40" s="2">
        <v>1</v>
      </c>
      <c r="C40" s="38" t="s">
        <v>15</v>
      </c>
      <c r="D40" s="40">
        <f>TRUNC(67965,-1)</f>
        <v>67960</v>
      </c>
      <c r="E40" s="62">
        <f t="shared" ref="E40:E59" si="1">TRUNC(+D40*3.3058,-1)</f>
        <v>224660</v>
      </c>
    </row>
    <row r="41" spans="1:7" x14ac:dyDescent="0.3">
      <c r="A41" s="2">
        <v>2</v>
      </c>
      <c r="C41" s="38" t="s">
        <v>13</v>
      </c>
      <c r="D41" s="42">
        <f>TRUNC(159583,-1)</f>
        <v>159580</v>
      </c>
      <c r="E41" s="63">
        <f t="shared" si="1"/>
        <v>527530</v>
      </c>
    </row>
    <row r="42" spans="1:7" x14ac:dyDescent="0.3">
      <c r="A42" s="2">
        <v>3</v>
      </c>
      <c r="C42" s="38" t="s">
        <v>14</v>
      </c>
      <c r="D42" s="42">
        <f>TRUNC(22792,-1)</f>
        <v>22790</v>
      </c>
      <c r="E42" s="63">
        <f t="shared" si="1"/>
        <v>75330</v>
      </c>
    </row>
    <row r="43" spans="1:7" x14ac:dyDescent="0.3">
      <c r="A43" s="2">
        <v>4</v>
      </c>
      <c r="C43" s="38" t="s">
        <v>16</v>
      </c>
      <c r="D43" s="42">
        <f>TRUNC(20401,-1)</f>
        <v>20400</v>
      </c>
      <c r="E43" s="63">
        <f t="shared" si="1"/>
        <v>67430</v>
      </c>
    </row>
    <row r="44" spans="1:7" x14ac:dyDescent="0.3">
      <c r="A44" s="2">
        <v>5</v>
      </c>
      <c r="C44" s="38" t="s">
        <v>17</v>
      </c>
      <c r="D44" s="42">
        <f>TRUNC(16684,-1)</f>
        <v>16680</v>
      </c>
      <c r="E44" s="63">
        <f t="shared" si="1"/>
        <v>55140</v>
      </c>
    </row>
    <row r="45" spans="1:7" x14ac:dyDescent="0.3">
      <c r="A45" s="2">
        <v>6</v>
      </c>
      <c r="C45" s="38" t="s">
        <v>18</v>
      </c>
      <c r="D45" s="42">
        <f>TRUNC(14065,-1)</f>
        <v>14060</v>
      </c>
      <c r="E45" s="63">
        <f t="shared" si="1"/>
        <v>46470</v>
      </c>
    </row>
    <row r="46" spans="1:7" x14ac:dyDescent="0.3">
      <c r="A46" s="2">
        <v>7</v>
      </c>
      <c r="C46" s="38" t="s">
        <v>19</v>
      </c>
      <c r="D46" s="42">
        <f>TRUNC(8503,-1)</f>
        <v>8500</v>
      </c>
      <c r="E46" s="63">
        <f t="shared" si="1"/>
        <v>28090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TRUNC(42126,-1)</f>
        <v>42120</v>
      </c>
      <c r="E48" s="63">
        <f t="shared" si="1"/>
        <v>139240</v>
      </c>
    </row>
    <row r="49" spans="1:7" x14ac:dyDescent="0.3">
      <c r="A49" s="2">
        <v>10</v>
      </c>
      <c r="C49" s="38" t="s">
        <v>22</v>
      </c>
      <c r="D49" s="42">
        <f>TRUNC(13027,-1)</f>
        <v>13020</v>
      </c>
      <c r="E49" s="63">
        <f t="shared" si="1"/>
        <v>43040</v>
      </c>
    </row>
    <row r="50" spans="1:7" x14ac:dyDescent="0.3">
      <c r="A50" s="2">
        <v>11</v>
      </c>
      <c r="C50" s="38" t="s">
        <v>155</v>
      </c>
      <c r="D50" s="42"/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f>TRUNC(51545,-1)</f>
        <v>51540</v>
      </c>
      <c r="E51" s="63">
        <f t="shared" si="1"/>
        <v>170380</v>
      </c>
    </row>
    <row r="52" spans="1:7" x14ac:dyDescent="0.3">
      <c r="A52" s="2">
        <v>13</v>
      </c>
      <c r="C52" s="38" t="s">
        <v>24</v>
      </c>
      <c r="D52" s="42">
        <f>TRUNC(9223,-1)</f>
        <v>9220</v>
      </c>
      <c r="E52" s="63">
        <f t="shared" si="1"/>
        <v>30470</v>
      </c>
    </row>
    <row r="53" spans="1:7" x14ac:dyDescent="0.3">
      <c r="A53" s="2">
        <v>14</v>
      </c>
      <c r="C53" s="38" t="s">
        <v>25</v>
      </c>
      <c r="D53" s="42">
        <f>TRUNC(69883,-1)</f>
        <v>69880</v>
      </c>
      <c r="E53" s="63">
        <f t="shared" si="1"/>
        <v>231000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TRUNC(24846+6036+61187-765+3536,-1)</f>
        <v>94840</v>
      </c>
      <c r="E58" s="63">
        <f t="shared" si="1"/>
        <v>313520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TRUNC(337179,-1)</f>
        <v>337170</v>
      </c>
      <c r="E59" s="64">
        <f t="shared" si="1"/>
        <v>1114610</v>
      </c>
    </row>
    <row r="60" spans="1:7" x14ac:dyDescent="0.3">
      <c r="A60" s="2">
        <v>21</v>
      </c>
      <c r="C60" s="27" t="s">
        <v>112</v>
      </c>
      <c r="D60" s="39">
        <f>SUM(D40:D59)</f>
        <v>927760</v>
      </c>
      <c r="E60" s="39">
        <f>SUM(E40:E59)</f>
        <v>3066910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TRUNC(40515,-1)</f>
        <v>40510</v>
      </c>
      <c r="E63" s="62">
        <f>TRUNC(+D63*3.3058,-1)</f>
        <v>133910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40510</v>
      </c>
      <c r="E66" s="57">
        <f>SUM(E63:E65)</f>
        <v>133910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TRUNC(6210,-1)</f>
        <v>6210</v>
      </c>
      <c r="E69" s="62">
        <f t="shared" ref="E69:E94" si="2">TRUNC(+D69*3.3058,-1)</f>
        <v>20520</v>
      </c>
    </row>
    <row r="70" spans="1:7" ht="16.5" customHeight="1" x14ac:dyDescent="0.3">
      <c r="A70" s="2">
        <v>2</v>
      </c>
      <c r="C70" s="38" t="s">
        <v>31</v>
      </c>
      <c r="D70" s="42">
        <f>TRUNC(1489,-1)</f>
        <v>1480</v>
      </c>
      <c r="E70" s="63">
        <f t="shared" si="2"/>
        <v>4890</v>
      </c>
    </row>
    <row r="71" spans="1:7" x14ac:dyDescent="0.3">
      <c r="A71" s="2">
        <v>3</v>
      </c>
      <c r="C71" s="38" t="s">
        <v>32</v>
      </c>
      <c r="D71" s="42">
        <f>TRUNC(10510,-1)</f>
        <v>10510</v>
      </c>
      <c r="E71" s="63">
        <f t="shared" si="2"/>
        <v>34740</v>
      </c>
    </row>
    <row r="72" spans="1:7" x14ac:dyDescent="0.3">
      <c r="A72" s="2">
        <v>4</v>
      </c>
      <c r="C72" s="38" t="s">
        <v>33</v>
      </c>
      <c r="D72" s="42">
        <f>TRUNC(4866,-1)</f>
        <v>4860</v>
      </c>
      <c r="E72" s="63">
        <f t="shared" si="2"/>
        <v>16060</v>
      </c>
    </row>
    <row r="73" spans="1:7" x14ac:dyDescent="0.3">
      <c r="A73" s="2">
        <v>5</v>
      </c>
      <c r="C73" s="38" t="s">
        <v>34</v>
      </c>
      <c r="D73" s="42">
        <f>TRUNC(13924,-1)</f>
        <v>13920</v>
      </c>
      <c r="E73" s="63">
        <f t="shared" si="2"/>
        <v>46010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TRUNC(7301,-1)</f>
        <v>7300</v>
      </c>
      <c r="E89" s="63">
        <f t="shared" si="2"/>
        <v>24130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TRUNC(4222,-1)</f>
        <v>4220</v>
      </c>
      <c r="E91" s="63">
        <f t="shared" si="2"/>
        <v>13950</v>
      </c>
    </row>
    <row r="92" spans="1:7" x14ac:dyDescent="0.3">
      <c r="A92" s="2">
        <v>24</v>
      </c>
      <c r="C92" s="38" t="s">
        <v>38</v>
      </c>
      <c r="D92" s="42">
        <f>TRUNC(8101,-1)</f>
        <v>8100</v>
      </c>
      <c r="E92" s="63">
        <f t="shared" si="2"/>
        <v>26770</v>
      </c>
    </row>
    <row r="93" spans="1:7" x14ac:dyDescent="0.3">
      <c r="A93" s="2">
        <v>25</v>
      </c>
      <c r="C93" s="38" t="s">
        <v>148</v>
      </c>
      <c r="D93" s="42">
        <f>TRUNC(113551,-1)</f>
        <v>113550</v>
      </c>
      <c r="E93" s="63">
        <f t="shared" si="2"/>
        <v>375370</v>
      </c>
    </row>
    <row r="94" spans="1:7" ht="17.25" thickBot="1" x14ac:dyDescent="0.35">
      <c r="A94" s="2">
        <v>26</v>
      </c>
      <c r="C94" s="38" t="s">
        <v>47</v>
      </c>
      <c r="D94" s="43">
        <f>TRUNC(15375+740,-1)</f>
        <v>16110</v>
      </c>
      <c r="E94" s="64">
        <f t="shared" si="2"/>
        <v>53250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186260</v>
      </c>
      <c r="E95" s="39">
        <f>SUM(E69:E94)</f>
        <v>615690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TRUNC(15853,-1)</f>
        <v>15850</v>
      </c>
      <c r="E98" s="62">
        <f t="shared" ref="E98:E118" si="3">TRUNC(+D98*3.3058,-1)</f>
        <v>52390</v>
      </c>
    </row>
    <row r="99" spans="1:7" x14ac:dyDescent="0.3">
      <c r="A99" s="2">
        <v>2</v>
      </c>
      <c r="C99" s="38" t="s">
        <v>40</v>
      </c>
      <c r="D99" s="42">
        <f>TRUNC(3827,-1)</f>
        <v>3820</v>
      </c>
      <c r="E99" s="63">
        <f t="shared" si="3"/>
        <v>12620</v>
      </c>
    </row>
    <row r="100" spans="1:7" x14ac:dyDescent="0.3">
      <c r="A100" s="2">
        <v>3</v>
      </c>
      <c r="C100" s="38" t="s">
        <v>41</v>
      </c>
      <c r="D100" s="42">
        <f>TRUNC(29133,-1)</f>
        <v>29130</v>
      </c>
      <c r="E100" s="63">
        <f t="shared" si="3"/>
        <v>96290</v>
      </c>
    </row>
    <row r="101" spans="1:7" x14ac:dyDescent="0.3">
      <c r="A101" s="2">
        <v>4</v>
      </c>
      <c r="C101" s="38" t="s">
        <v>42</v>
      </c>
      <c r="D101" s="42">
        <f>TRUNC(5387,-1)</f>
        <v>5380</v>
      </c>
      <c r="E101" s="63">
        <f t="shared" si="3"/>
        <v>17780</v>
      </c>
    </row>
    <row r="102" spans="1:7" x14ac:dyDescent="0.3">
      <c r="A102" s="2">
        <v>5</v>
      </c>
      <c r="C102" s="38" t="s">
        <v>43</v>
      </c>
      <c r="D102" s="42">
        <f>TRUNC(15735,-1)</f>
        <v>15730</v>
      </c>
      <c r="E102" s="63">
        <f t="shared" si="3"/>
        <v>52000</v>
      </c>
    </row>
    <row r="103" spans="1:7" x14ac:dyDescent="0.3">
      <c r="A103" s="2">
        <v>6</v>
      </c>
      <c r="C103" s="38" t="s">
        <v>44</v>
      </c>
      <c r="D103" s="42">
        <f>TRUNC(8760,-1)</f>
        <v>8760</v>
      </c>
      <c r="E103" s="63">
        <f t="shared" si="3"/>
        <v>28950</v>
      </c>
    </row>
    <row r="104" spans="1:7" x14ac:dyDescent="0.3">
      <c r="A104" s="2">
        <v>7</v>
      </c>
      <c r="C104" s="38" t="s">
        <v>45</v>
      </c>
      <c r="D104" s="42">
        <f>TRUNC(4201,-1)</f>
        <v>4200</v>
      </c>
      <c r="E104" s="63">
        <f t="shared" si="3"/>
        <v>13880</v>
      </c>
    </row>
    <row r="105" spans="1:7" x14ac:dyDescent="0.3">
      <c r="A105" s="2">
        <v>8</v>
      </c>
      <c r="C105" s="38" t="s">
        <v>46</v>
      </c>
      <c r="D105" s="42">
        <f>TRUNC(4063,-1)</f>
        <v>4060</v>
      </c>
      <c r="E105" s="63">
        <f t="shared" si="3"/>
        <v>13420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TRUNC(3312,-1)</f>
        <v>3310</v>
      </c>
      <c r="E114" s="63">
        <f t="shared" si="3"/>
        <v>10940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TRUNC(6296,-1)</f>
        <v>6290</v>
      </c>
      <c r="E116" s="63">
        <f t="shared" si="3"/>
        <v>20790</v>
      </c>
    </row>
    <row r="117" spans="1:7" x14ac:dyDescent="0.3">
      <c r="A117" s="2">
        <v>20</v>
      </c>
      <c r="C117" s="38" t="s">
        <v>148</v>
      </c>
      <c r="D117" s="42">
        <f>TRUNC(121362,-1)</f>
        <v>121360</v>
      </c>
      <c r="E117" s="63">
        <f t="shared" si="3"/>
        <v>401190</v>
      </c>
    </row>
    <row r="118" spans="1:7" ht="17.25" thickBot="1" x14ac:dyDescent="0.35">
      <c r="A118" s="2">
        <v>21</v>
      </c>
      <c r="C118" s="38" t="s">
        <v>47</v>
      </c>
      <c r="D118" s="43">
        <f>TRUNC(2238+5109,-1)</f>
        <v>7340</v>
      </c>
      <c r="E118" s="64">
        <f t="shared" si="3"/>
        <v>24260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225230</v>
      </c>
      <c r="E119" s="39">
        <f>SUM(E98:E118)</f>
        <v>744510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TRUNC(4580,-1)</f>
        <v>4580</v>
      </c>
      <c r="E122" s="62">
        <f t="shared" ref="E122:E132" si="4">TRUNC(+D122*3.3058,-1)</f>
        <v>15140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TRUNC(5643,-1)</f>
        <v>5640</v>
      </c>
      <c r="E124" s="63">
        <f t="shared" si="4"/>
        <v>18640</v>
      </c>
    </row>
    <row r="125" spans="1:7" x14ac:dyDescent="0.3">
      <c r="A125" s="2">
        <v>4</v>
      </c>
      <c r="C125" s="38" t="s">
        <v>138</v>
      </c>
      <c r="D125" s="42">
        <f>TRUNC(9947,-1)</f>
        <v>9940</v>
      </c>
      <c r="E125" s="63">
        <f t="shared" si="4"/>
        <v>32850</v>
      </c>
    </row>
    <row r="126" spans="1:7" x14ac:dyDescent="0.3">
      <c r="A126" s="2">
        <v>5</v>
      </c>
      <c r="C126" s="38" t="s">
        <v>53</v>
      </c>
      <c r="D126" s="42">
        <f>TRUNC(7836,-1)</f>
        <v>7830</v>
      </c>
      <c r="E126" s="63">
        <f t="shared" si="4"/>
        <v>25880</v>
      </c>
    </row>
    <row r="127" spans="1:7" x14ac:dyDescent="0.3">
      <c r="A127" s="2">
        <v>6</v>
      </c>
      <c r="C127" s="38" t="s">
        <v>56</v>
      </c>
      <c r="D127" s="42">
        <f>TRUNC(2432,-1)</f>
        <v>2430</v>
      </c>
      <c r="E127" s="63">
        <f t="shared" si="4"/>
        <v>8030</v>
      </c>
    </row>
    <row r="128" spans="1:7" x14ac:dyDescent="0.3">
      <c r="A128" s="2">
        <v>7</v>
      </c>
      <c r="C128" s="38" t="s">
        <v>46</v>
      </c>
      <c r="D128" s="42">
        <f>TRUNC(7782,-1)</f>
        <v>7780</v>
      </c>
      <c r="E128" s="63">
        <f t="shared" si="4"/>
        <v>25710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TRUNC(41464,-1)</f>
        <v>41460</v>
      </c>
      <c r="E130" s="63">
        <f t="shared" si="4"/>
        <v>137050</v>
      </c>
    </row>
    <row r="131" spans="1:7" x14ac:dyDescent="0.3">
      <c r="A131" s="2">
        <v>10</v>
      </c>
      <c r="C131" s="38" t="s">
        <v>148</v>
      </c>
      <c r="D131" s="42">
        <f>TRUNC(67919,-1)</f>
        <v>67910</v>
      </c>
      <c r="E131" s="63">
        <f t="shared" si="4"/>
        <v>224490</v>
      </c>
    </row>
    <row r="132" spans="1:7" ht="17.25" thickBot="1" x14ac:dyDescent="0.35">
      <c r="A132" s="2">
        <v>11</v>
      </c>
      <c r="C132" s="38" t="s">
        <v>47</v>
      </c>
      <c r="D132" s="43">
        <f>TRUNC(1303+2705,-1)</f>
        <v>4000</v>
      </c>
      <c r="E132" s="64">
        <f t="shared" si="4"/>
        <v>13220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151570</v>
      </c>
      <c r="E133" s="39">
        <f>SUM(E122:E132)</f>
        <v>501010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TRUNC(21869,-1)</f>
        <v>21860</v>
      </c>
      <c r="E137" s="63">
        <f t="shared" si="5"/>
        <v>72260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TRUNC(1768,-1)</f>
        <v>1760</v>
      </c>
      <c r="E139" s="63">
        <f t="shared" si="5"/>
        <v>5810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TRUNC(6421,-1)</f>
        <v>6420</v>
      </c>
      <c r="E143" s="63">
        <f t="shared" si="5"/>
        <v>21220</v>
      </c>
    </row>
    <row r="144" spans="1:7" x14ac:dyDescent="0.3">
      <c r="A144" s="2">
        <v>9</v>
      </c>
      <c r="C144" s="38" t="s">
        <v>63</v>
      </c>
      <c r="D144" s="42">
        <f>TRUNC(19286,-1)</f>
        <v>19280</v>
      </c>
      <c r="E144" s="63">
        <f t="shared" si="5"/>
        <v>63730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49320</v>
      </c>
      <c r="E146" s="39">
        <f>SUM(E136:E145)</f>
        <v>163020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TRUNC(12567+3009,-1)</f>
        <v>15570</v>
      </c>
      <c r="E149" s="62">
        <f>TRUNC(+D149*3.3058,-1)</f>
        <v>51470</v>
      </c>
    </row>
    <row r="150" spans="1:7" x14ac:dyDescent="0.3">
      <c r="A150" s="2">
        <v>2</v>
      </c>
      <c r="C150" s="38" t="s">
        <v>49</v>
      </c>
      <c r="D150" s="42">
        <f>TRUNC(11542,-1)</f>
        <v>11540</v>
      </c>
      <c r="E150" s="63">
        <f>TRUNC(+D150*3.3058,-1)</f>
        <v>38140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TRUNC(81 +7330,-1)</f>
        <v>7410</v>
      </c>
      <c r="E152" s="63">
        <f>TRUNC(+D152*3.3058,-1)</f>
        <v>24490</v>
      </c>
    </row>
    <row r="153" spans="1:7" ht="17.25" thickBot="1" x14ac:dyDescent="0.35">
      <c r="A153" s="2">
        <v>5</v>
      </c>
      <c r="C153" s="38" t="s">
        <v>148</v>
      </c>
      <c r="D153" s="43">
        <f>TRUNC(22778,-1)</f>
        <v>22770</v>
      </c>
      <c r="E153" s="64">
        <f>TRUNC(+D153*3.3058,-1)</f>
        <v>75270</v>
      </c>
    </row>
    <row r="154" spans="1:7" x14ac:dyDescent="0.3">
      <c r="A154" s="2">
        <v>6</v>
      </c>
      <c r="C154" s="27" t="s">
        <v>112</v>
      </c>
      <c r="D154" s="39">
        <f>SUM(D149:D153)</f>
        <v>57290</v>
      </c>
      <c r="E154" s="39">
        <f>SUM(E149:E153)</f>
        <v>189370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TRUNC(14411,-1)</f>
        <v>14410</v>
      </c>
      <c r="E157" s="62">
        <f>TRUNC(+D157*3.3058,-1)</f>
        <v>47630</v>
      </c>
    </row>
    <row r="158" spans="1:7" x14ac:dyDescent="0.3">
      <c r="A158" s="2">
        <v>2</v>
      </c>
      <c r="C158" s="38" t="s">
        <v>52</v>
      </c>
      <c r="D158" s="42">
        <f>TRUNC(4854,-1)</f>
        <v>4850</v>
      </c>
      <c r="E158" s="63">
        <f>TRUNC(+D158*3.3058,-1)</f>
        <v>16030</v>
      </c>
    </row>
    <row r="159" spans="1:7" x14ac:dyDescent="0.3">
      <c r="A159" s="2">
        <v>3</v>
      </c>
      <c r="C159" s="38" t="s">
        <v>47</v>
      </c>
      <c r="D159" s="42">
        <f>TRUNC(14211+3,-1)</f>
        <v>14210</v>
      </c>
      <c r="E159" s="63">
        <f>TRUNC(+D159*3.3058,-1)</f>
        <v>46970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f>TRUNC(11224,-1)</f>
        <v>11220</v>
      </c>
      <c r="E160" s="64">
        <f>TRUNC(+D160*3.3058,-1)</f>
        <v>37090</v>
      </c>
    </row>
    <row r="161" spans="1:5" x14ac:dyDescent="0.3">
      <c r="A161" s="2">
        <v>5</v>
      </c>
      <c r="C161" s="27" t="s">
        <v>112</v>
      </c>
      <c r="D161" s="39">
        <f>SUM(D157:D160)</f>
        <v>44690</v>
      </c>
      <c r="E161" s="39">
        <f>SUM(E157:E160)</f>
        <v>147720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2020-12-08T04:49:43Z</dcterms:modified>
</cp:coreProperties>
</file>