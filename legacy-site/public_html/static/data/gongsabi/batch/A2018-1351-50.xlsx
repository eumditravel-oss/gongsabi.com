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D145" i="4" l="1"/>
  <c r="D131" i="4"/>
  <c r="D117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75" i="4"/>
  <c r="D92" i="4"/>
  <c r="D91" i="4"/>
  <c r="D90" i="4"/>
  <c r="D89" i="4"/>
  <c r="D73" i="4"/>
  <c r="D72" i="4"/>
  <c r="D71" i="4"/>
  <c r="D70" i="4"/>
  <c r="D69" i="4"/>
  <c r="D103" i="4"/>
  <c r="D102" i="4"/>
  <c r="D101" i="4"/>
  <c r="D100" i="4"/>
  <c r="D99" i="4"/>
  <c r="D98" i="4"/>
  <c r="D114" i="4"/>
  <c r="D116" i="4"/>
  <c r="D105" i="4"/>
  <c r="D104" i="4"/>
  <c r="D118" i="4"/>
  <c r="D128" i="4"/>
  <c r="D127" i="4"/>
  <c r="D132" i="4"/>
  <c r="D124" i="4"/>
  <c r="D125" i="4"/>
  <c r="D122" i="4"/>
  <c r="D130" i="4"/>
  <c r="D144" i="4"/>
  <c r="D143" i="4"/>
  <c r="D139" i="4"/>
  <c r="D141" i="4"/>
  <c r="D142" i="4"/>
  <c r="D137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19" i="4"/>
  <c r="E133" i="4"/>
  <c r="E146" i="4"/>
  <c r="E66" i="4"/>
  <c r="E154" i="4"/>
  <c r="D161" i="4"/>
  <c r="D32" i="4" s="1"/>
  <c r="E32" i="4" s="1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<sst xmlns="http://schemas.openxmlformats.org/spreadsheetml/2006/main" count="395" uniqueCount="270">
  <si>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</si>
  <si>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</si>
  <si>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</si>
  <si>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</si>
  <si>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</si>
  <si>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</si>
  <si>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</si>
  <si>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</si>
  <si>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</si>
  <si>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</si>
  <si>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</si>
  <si>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</si>
  <si>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</si>
  <si>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</si>
  <si>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</si>
  <si>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</si>
  <si>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</si>
  <si>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</si>
  <si>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</si>
  <si>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</si>
  <si>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</si>
  <si>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</si>
  <si>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</si>
  <si>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</si>
  <si>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</si>
  <si>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</si>
  <si>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</si>
  <si>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</si>
  <si>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</si>
  <si>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</si>
  <si>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</si>
  <si>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</si>
  <si>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</si>
  <si>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</si>
  <si>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</si>
  <si>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</si>
  <si>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</si>
  <si>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</si>
  <si>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</si>
  <si>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</si>
  <si>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</si>
  <si>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</si>
  <si>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</si>
  <si>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</si>
  <si>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</si>
  <si>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</si>
  <si>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</si>
  <si>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</si>
  <si>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</si>
  <si>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</si>
  <si>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</si>
  <si>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</si>
  <si>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</si>
  <si>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</si>
  <si>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</si>
  <si>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</si>
  <si>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</si>
  <si>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</si>
  <si>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</si>
  <si>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</si>
  <si>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</si>
  <si>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</si>
  <si>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</si>
  <si>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</si>
  <si>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</si>
  <si>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</si>
  <si>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</si>
  <si>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</si>
  <si>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</si>
  <si>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</si>
  <si>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</si>
  <si>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</si>
  <si>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</si>
  <si>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</si>
  <si>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</si>
  <si>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</si>
  <si>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</si>
  <si>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</si>
  <si>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</si>
  <si>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</si>
  <si>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</si>
  <si>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</si>
  <si>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</si>
  <si>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</si>
  <si>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</si>
  <si>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</si>
  <si>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</si>
  <si>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</si>
  <si>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</si>
  <si>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</si>
  <si>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</si>
  <si>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</si>
  <si>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</si>
  <si>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</si>
  <si>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</si>
  <si>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</si>
  <si>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</si>
  <si>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</si>
  <si>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</si>
  <si>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</si>
  <si>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</si>
  <si>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</si>
  <si>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</si>
  <si>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</si>
  <si>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</si>
  <si>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</si>
  <si>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</si>
  <si>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</si>
  <si>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</si>
  <si>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</si>
  <si>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</si>
  <si>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</si>
  <si>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</si>
  <si>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</si>
  <si>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</si>
  <si>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</si>
  <si>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</si>
  <si>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</si>
  <si>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</si>
  <si>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</si>
  <si>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</si>
  <si>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</si>
  <si>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</si>
  <si>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</si>
  <si>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</si>
  <si>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</si>
  <si>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</si>
  <si>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</si>
  <si>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</si>
  <si>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</si>
  <si>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</si>
  <si>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</si>
  <si>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</si>
  <si>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</si>
  <si>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</si>
  <si>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</si>
  <si>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</si>
  <si>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</si>
  <si>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</si>
  <si>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</si>
  <si>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</si>
  <si>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</si>
  <si>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</si>
  <si>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</si>
  <si>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</si>
  <si>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</si>
  <si>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</si>
  <si>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</si>
  <si>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</si>
  <si>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</si>
  <si>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</si>
  <si>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</si>
  <si>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</si>
  <si>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</si>
  <si>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</si>
  <si>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</si>
  <si>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</si>
  <si>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</si>
  <si>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</si>
  <si>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</si>
  <si>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</si>
  <si>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</si>
  <si>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</si>
  <si>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</si>
  <si>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</si>
  <si>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</si>
  <si>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</si>
  <si>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</si>
  <si>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</si>
  <si>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</si>
  <si>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</si>
  <si>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</si>
  <si>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</si>
  <si>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</si>
  <si>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</si>
  <si>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</si>
  <si>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</si>
  <si>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</si>
  <si>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</si>
  <si>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</si>
  <si>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</si>
  <si>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</si>
  <si>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</si>
  <si>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</si>
  <si>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</si>
  <si>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</si>
  <si>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</si>
  <si>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</si>
  <si>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</si>
  <si>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</si>
  <si>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</si>
  <si>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</si>
  <si>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</si>
  <si>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</si>
  <si>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</si>
  <si>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</si>
  <si>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</si>
  <si>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</si>
  <si>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</si>
  <si>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</si>
  <si>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</si>
  <si>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</si>
  <si>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</si>
  <si>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</si>
  <si>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</si>
  <si>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</si>
  <si>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</si>
  <si>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</si>
  <si>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</si>
  <si>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</si>
  <si>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</si>
  <si>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</si>
  <si>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</si>
  <si>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</si>
  <si>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</si>
  <si>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</si>
  <si>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</si>
  <si>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</si>
  <si>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</si>
  <si>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</si>
  <si>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</si>
  <si>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</si>
  <si>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</si>
  <si>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</si>
  <si>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</si>
  <si>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</si>
  <si>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</si>
  <si>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</si>
  <si>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</si>
  <si>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</si>
  <si>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</si>
  <si>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</si>
  <si>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</si>
  <si>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</si>
  <si>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</si>
  <si>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</si>
  <si>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</si>
  <si>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</si>
  <si>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</si>
  <si>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</si>
  <si>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</si>
  <si>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</si>
  <si>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</si>
  <si>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</si>
  <si>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</si>
  <si>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</si>
  <si>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</si>
  <si>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</si>
  <si>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강서경찰서 청사 신축공사</t>
    <phoneticPr fontId="2" type="noConversion"/>
  </si>
  <si>
    <t>업무</t>
  </si>
  <si>
    <t>서울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</si>
  <si>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</si>
  <si>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</si>
  <si>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</si>
  <si>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 xml:space="preserve">목공사및수장공사(인테리어공사 포함)  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</si>
  <si>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</si>
  <si>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</si>
  <si>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</si>
  <si>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</si>
  <si>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옥외소화배관공사,펌프실배관공사,제연덕트설치공사,무선통신보조설비공사,기타공사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</si>
  <si>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</si>
  <si>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</si>
  <si>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</si>
  <si>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</si>
  <si>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원/ m2</t>
  </si>
  <si>
    <t>원 /평</t>
  </si>
  <si>
    <t>공조배관공사,바닥난방공사, 난방배관공사,우수처리시설공사,기타공사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</si>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</sst>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20183.39</v>
      </c>
      <c r="D7" s="36">
        <f>+C7/3.3058</f>
        <v>6105.4480004839979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935650</v>
      </c>
      <c r="E25" s="59">
        <f t="shared" si="0"/>
        <v>3093070</v>
      </c>
    </row>
    <row r="26" spans="1:5" x14ac:dyDescent="0.3">
      <c r="B26" s="2">
        <v>3</v>
      </c>
      <c r="C26" s="35" t="s">
        <v>95</v>
      </c>
      <c r="D26" s="45">
        <f>+D66</f>
        <v>112300</v>
      </c>
      <c r="E26" s="59">
        <f t="shared" si="0"/>
        <v>371240</v>
      </c>
    </row>
    <row r="27" spans="1:5" x14ac:dyDescent="0.3">
      <c r="B27" s="2">
        <v>4</v>
      </c>
      <c r="C27" s="35" t="s">
        <v>96</v>
      </c>
      <c r="D27" s="45">
        <f>+D95</f>
        <v>110320</v>
      </c>
      <c r="E27" s="59">
        <f t="shared" si="0"/>
        <v>364690</v>
      </c>
    </row>
    <row r="28" spans="1:5" x14ac:dyDescent="0.3">
      <c r="B28" s="2">
        <v>5</v>
      </c>
      <c r="C28" s="35" t="s">
        <v>97</v>
      </c>
      <c r="D28" s="45">
        <f>+D119</f>
        <v>164130</v>
      </c>
      <c r="E28" s="59">
        <f t="shared" si="0"/>
        <v>542580</v>
      </c>
    </row>
    <row r="29" spans="1:5" x14ac:dyDescent="0.3">
      <c r="B29" s="2">
        <v>6</v>
      </c>
      <c r="C29" s="35" t="s">
        <v>98</v>
      </c>
      <c r="D29" s="45">
        <f>+D133</f>
        <v>153090</v>
      </c>
      <c r="E29" s="59">
        <f t="shared" si="0"/>
        <v>506080</v>
      </c>
    </row>
    <row r="30" spans="1:5" x14ac:dyDescent="0.3">
      <c r="B30" s="2">
        <v>7</v>
      </c>
      <c r="C30" s="35" t="s">
        <v>99</v>
      </c>
      <c r="D30" s="45">
        <f>+D146</f>
        <v>63450</v>
      </c>
      <c r="E30" s="59">
        <f t="shared" si="0"/>
        <v>209750</v>
      </c>
    </row>
    <row r="31" spans="1:5" x14ac:dyDescent="0.3">
      <c r="B31" s="2">
        <v>8</v>
      </c>
      <c r="C31" s="35" t="s">
        <v>100</v>
      </c>
      <c r="D31" s="45">
        <f>+D154</f>
        <v>13620</v>
      </c>
      <c r="E31" s="59">
        <f t="shared" si="0"/>
        <v>45020</v>
      </c>
    </row>
    <row r="32" spans="1:5" x14ac:dyDescent="0.3">
      <c r="B32" s="2">
        <v>9</v>
      </c>
      <c r="C32" s="35" t="s">
        <v>101</v>
      </c>
      <c r="D32" s="45">
        <f>+D161</f>
        <v>25610</v>
      </c>
      <c r="E32" s="59">
        <f t="shared" si="0"/>
        <v>84660</v>
      </c>
    </row>
    <row r="33" spans="1:7" x14ac:dyDescent="0.3">
      <c r="B33" s="2">
        <v>10</v>
      </c>
      <c r="C33" s="35" t="s">
        <v>154</v>
      </c>
      <c r="D33" s="53">
        <f>TRUNC(SUM(D24:D32)*0.275,-1)</f>
        <v>433990</v>
      </c>
      <c r="E33" s="60">
        <f t="shared" si="0"/>
        <v>1434680</v>
      </c>
    </row>
    <row r="34" spans="1:7" x14ac:dyDescent="0.3">
      <c r="C34" s="35" t="s">
        <v>112</v>
      </c>
      <c r="D34" s="44">
        <f>SUM(D24:D33)</f>
        <v>2012160</v>
      </c>
      <c r="E34" s="44">
        <f>SUM(E24:E33)</f>
        <v>6651770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TRUNC(49134,-1)</f>
        <v>49130</v>
      </c>
      <c r="E40" s="62">
        <f t="shared" ref="E40:E59" si="1">TRUNC(+D40*3.3058,-1)</f>
        <v>162410</v>
      </c>
    </row>
    <row r="41" spans="1:7" x14ac:dyDescent="0.3">
      <c r="A41" s="2">
        <v>2</v>
      </c>
      <c r="C41" s="38" t="s">
        <v>13</v>
      </c>
      <c r="D41" s="42">
        <f>TRUNC(122906,-1)</f>
        <v>122900</v>
      </c>
      <c r="E41" s="63">
        <f t="shared" si="1"/>
        <v>406280</v>
      </c>
    </row>
    <row r="42" spans="1:7" x14ac:dyDescent="0.3">
      <c r="A42" s="2">
        <v>3</v>
      </c>
      <c r="C42" s="38" t="s">
        <v>14</v>
      </c>
      <c r="D42" s="42">
        <f>TRUNC(12865,-1)</f>
        <v>12860</v>
      </c>
      <c r="E42" s="63">
        <f t="shared" si="1"/>
        <v>42510</v>
      </c>
    </row>
    <row r="43" spans="1:7" x14ac:dyDescent="0.3">
      <c r="A43" s="2">
        <v>4</v>
      </c>
      <c r="C43" s="38" t="s">
        <v>16</v>
      </c>
      <c r="D43" s="42">
        <f>TRUNC(17730,-1)</f>
        <v>17730</v>
      </c>
      <c r="E43" s="63">
        <f t="shared" si="1"/>
        <v>58610</v>
      </c>
    </row>
    <row r="44" spans="1:7" x14ac:dyDescent="0.3">
      <c r="A44" s="2">
        <v>5</v>
      </c>
      <c r="C44" s="38" t="s">
        <v>17</v>
      </c>
      <c r="D44" s="42">
        <f>TRUNC(20279,-1)</f>
        <v>20270</v>
      </c>
      <c r="E44" s="63">
        <f t="shared" si="1"/>
        <v>67000</v>
      </c>
    </row>
    <row r="45" spans="1:7" x14ac:dyDescent="0.3">
      <c r="A45" s="2">
        <v>6</v>
      </c>
      <c r="C45" s="38" t="s">
        <v>18</v>
      </c>
      <c r="D45" s="42">
        <f>TRUNC(8641,-1)</f>
        <v>8640</v>
      </c>
      <c r="E45" s="63">
        <f t="shared" si="1"/>
        <v>28560</v>
      </c>
    </row>
    <row r="46" spans="1:7" x14ac:dyDescent="0.3">
      <c r="A46" s="2">
        <v>7</v>
      </c>
      <c r="C46" s="38" t="s">
        <v>19</v>
      </c>
      <c r="D46" s="42">
        <f>TRUNC(39892,-1)</f>
        <v>39890</v>
      </c>
      <c r="E46" s="63">
        <f t="shared" si="1"/>
        <v>131860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TRUNC(27844,-1)</f>
        <v>27840</v>
      </c>
      <c r="E48" s="63">
        <f t="shared" si="1"/>
        <v>92030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TRUNC(14722,-1)</f>
        <v>14720</v>
      </c>
      <c r="E49" s="63">
        <f t="shared" si="1"/>
        <v>48660</v>
      </c>
    </row>
    <row r="50" spans="1:7" x14ac:dyDescent="0.3">
      <c r="A50" s="2">
        <v>11</v>
      </c>
      <c r="C50" s="38" t="s">
        <v>155</v>
      </c>
      <c r="D50" s="42">
        <f>TRUNC(42208,-1)</f>
        <v>42200</v>
      </c>
      <c r="E50" s="63">
        <f t="shared" si="1"/>
        <v>139500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TRUNC(12977,-1)</f>
        <v>12970</v>
      </c>
      <c r="E52" s="63">
        <f t="shared" si="1"/>
        <v>42870</v>
      </c>
    </row>
    <row r="53" spans="1:7" x14ac:dyDescent="0.3">
      <c r="A53" s="2">
        <v>14</v>
      </c>
      <c r="C53" s="38" t="s">
        <v>25</v>
      </c>
      <c r="D53" s="42">
        <f>TRUNC(74267,-1)</f>
        <v>74260</v>
      </c>
      <c r="E53" s="63">
        <f t="shared" si="1"/>
        <v>245480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TRUNC(2159+10817+19311-1002+779+26637,-1)</f>
        <v>58700</v>
      </c>
      <c r="E58" s="63">
        <f t="shared" si="1"/>
        <v>194050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TRUNC(433549,-1)</f>
        <v>433540</v>
      </c>
      <c r="E59" s="64">
        <f t="shared" si="1"/>
        <v>1433190</v>
      </c>
    </row>
    <row r="60" spans="1:7" x14ac:dyDescent="0.3">
      <c r="A60" s="2">
        <v>21</v>
      </c>
      <c r="C60" s="27" t="s">
        <v>112</v>
      </c>
      <c r="D60" s="39">
        <f>SUM(D40:D59)</f>
        <v>935650</v>
      </c>
      <c r="E60" s="39">
        <f>SUM(E40:E59)</f>
        <v>3093010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TRUNC(36911,-1)</f>
        <v>36910</v>
      </c>
      <c r="E63" s="62">
        <f>TRUNC(+D63*3.3058,-1)</f>
        <v>122010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TRUNC(75399,-1)</f>
        <v>75390</v>
      </c>
      <c r="E65" s="64">
        <f>TRUNC(+D65*3.3058,-1)</f>
        <v>249220</v>
      </c>
    </row>
    <row r="66" spans="1:7" x14ac:dyDescent="0.3">
      <c r="A66" s="2">
        <v>4</v>
      </c>
      <c r="C66" s="27" t="s">
        <v>112</v>
      </c>
      <c r="D66" s="39">
        <f>SUM(D63:D65)</f>
        <v>112300</v>
      </c>
      <c r="E66" s="65">
        <f>SUM(E63:E65)</f>
        <v>371230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TRUNC(10578,-1)</f>
        <v>10570</v>
      </c>
      <c r="E69" s="62">
        <f t="shared" ref="E69:E94" si="2">TRUNC(+D69*3.3058,-1)</f>
        <v>34940</v>
      </c>
    </row>
    <row r="70" spans="1:7" ht="16.5" customHeight="1" x14ac:dyDescent="0.3">
      <c r="A70" s="2">
        <v>2</v>
      </c>
      <c r="C70" s="38" t="s">
        <v>31</v>
      </c>
      <c r="D70" s="42">
        <f>TRUNC(107,-1)</f>
        <v>100</v>
      </c>
      <c r="E70" s="63">
        <f t="shared" si="2"/>
        <v>330</v>
      </c>
    </row>
    <row r="71" spans="1:7" x14ac:dyDescent="0.3">
      <c r="A71" s="2">
        <v>3</v>
      </c>
      <c r="C71" s="38" t="s">
        <v>32</v>
      </c>
      <c r="D71" s="42">
        <f>TRUNC(10835,-1)</f>
        <v>10830</v>
      </c>
      <c r="E71" s="63">
        <f t="shared" si="2"/>
        <v>35800</v>
      </c>
    </row>
    <row r="72" spans="1:7" x14ac:dyDescent="0.3">
      <c r="A72" s="2">
        <v>4</v>
      </c>
      <c r="C72" s="38" t="s">
        <v>33</v>
      </c>
      <c r="D72" s="42">
        <f>TRUNC(2123,-1)</f>
        <v>2120</v>
      </c>
      <c r="E72" s="63">
        <f t="shared" si="2"/>
        <v>7000</v>
      </c>
    </row>
    <row r="73" spans="1:7" x14ac:dyDescent="0.3">
      <c r="A73" s="2">
        <v>5</v>
      </c>
      <c r="C73" s="38" t="s">
        <v>34</v>
      </c>
      <c r="D73" s="42">
        <f>TRUNC(12847,-1)</f>
        <v>12840</v>
      </c>
      <c r="E73" s="63">
        <f t="shared" si="2"/>
        <v>42440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TRUNC(320,-1)</f>
        <v>320</v>
      </c>
      <c r="E75" s="63">
        <f t="shared" si="2"/>
        <v>1050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TRUNC(15413,-1)</f>
        <v>15410</v>
      </c>
      <c r="E89" s="63">
        <f t="shared" si="2"/>
        <v>50940</v>
      </c>
    </row>
    <row r="90" spans="1:7" x14ac:dyDescent="0.3">
      <c r="A90" s="2">
        <v>22</v>
      </c>
      <c r="C90" s="38" t="s">
        <v>36</v>
      </c>
      <c r="D90" s="42">
        <f>TRUNC(1297,-1)</f>
        <v>1290</v>
      </c>
      <c r="E90" s="63">
        <f t="shared" si="2"/>
        <v>4260</v>
      </c>
    </row>
    <row r="91" spans="1:7" x14ac:dyDescent="0.3">
      <c r="A91" s="2">
        <v>23</v>
      </c>
      <c r="C91" s="38" t="s">
        <v>37</v>
      </c>
      <c r="D91" s="42">
        <f>TRUNC(1018,-1)</f>
        <v>1010</v>
      </c>
      <c r="E91" s="63">
        <f t="shared" si="2"/>
        <v>3330</v>
      </c>
    </row>
    <row r="92" spans="1:7" x14ac:dyDescent="0.3">
      <c r="A92" s="2">
        <v>24</v>
      </c>
      <c r="C92" s="38" t="s">
        <v>38</v>
      </c>
      <c r="D92" s="42">
        <f>TRUNC(5557,-1)</f>
        <v>5550</v>
      </c>
      <c r="E92" s="63">
        <f t="shared" si="2"/>
        <v>18340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TRUNC(29872+234+3463+8966+7746,-1)</f>
        <v>50280</v>
      </c>
      <c r="E94" s="64">
        <f t="shared" si="2"/>
        <v>166210</v>
      </c>
      <c r="F94" s="2" t="s">
        <v>266</v>
      </c>
    </row>
    <row r="95" spans="1:7" x14ac:dyDescent="0.3">
      <c r="A95" s="2">
        <v>27</v>
      </c>
      <c r="C95" s="27" t="s">
        <v>112</v>
      </c>
      <c r="D95" s="39">
        <f>SUM(D69:D94)</f>
        <v>110320</v>
      </c>
      <c r="E95" s="39">
        <f>SUM(E69:E94)</f>
        <v>364640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TRUNC(11925,-1)</f>
        <v>11920</v>
      </c>
      <c r="E98" s="62">
        <f t="shared" ref="E98:E118" si="3">TRUNC(+D98*3.3058,-1)</f>
        <v>39400</v>
      </c>
    </row>
    <row r="99" spans="1:7" x14ac:dyDescent="0.3">
      <c r="A99" s="2">
        <v>2</v>
      </c>
      <c r="C99" s="38" t="s">
        <v>40</v>
      </c>
      <c r="D99" s="42">
        <f>TRUNC(6443,-1)</f>
        <v>6440</v>
      </c>
      <c r="E99" s="63">
        <f t="shared" si="3"/>
        <v>21280</v>
      </c>
    </row>
    <row r="100" spans="1:7" x14ac:dyDescent="0.3">
      <c r="A100" s="2">
        <v>3</v>
      </c>
      <c r="C100" s="38" t="s">
        <v>41</v>
      </c>
      <c r="D100" s="42">
        <f>TRUNC(24615,-1)</f>
        <v>24610</v>
      </c>
      <c r="E100" s="63">
        <f t="shared" si="3"/>
        <v>81350</v>
      </c>
    </row>
    <row r="101" spans="1:7" x14ac:dyDescent="0.3">
      <c r="A101" s="2">
        <v>4</v>
      </c>
      <c r="C101" s="38" t="s">
        <v>42</v>
      </c>
      <c r="D101" s="42">
        <f>TRUNC(5080,-1)</f>
        <v>5080</v>
      </c>
      <c r="E101" s="63">
        <f t="shared" si="3"/>
        <v>16790</v>
      </c>
    </row>
    <row r="102" spans="1:7" x14ac:dyDescent="0.3">
      <c r="A102" s="2">
        <v>5</v>
      </c>
      <c r="C102" s="38" t="s">
        <v>43</v>
      </c>
      <c r="D102" s="42">
        <f>TRUNC(12709,-1)</f>
        <v>12700</v>
      </c>
      <c r="E102" s="63">
        <f t="shared" si="3"/>
        <v>41980</v>
      </c>
    </row>
    <row r="103" spans="1:7" x14ac:dyDescent="0.3">
      <c r="A103" s="2">
        <v>6</v>
      </c>
      <c r="C103" s="38" t="s">
        <v>44</v>
      </c>
      <c r="D103" s="42">
        <f>TRUNC(5060,-1)</f>
        <v>5060</v>
      </c>
      <c r="E103" s="63">
        <f t="shared" si="3"/>
        <v>16720</v>
      </c>
    </row>
    <row r="104" spans="1:7" x14ac:dyDescent="0.3">
      <c r="A104" s="2">
        <v>7</v>
      </c>
      <c r="C104" s="38" t="s">
        <v>45</v>
      </c>
      <c r="D104" s="42">
        <f>TRUNC(3090,-1)</f>
        <v>3090</v>
      </c>
      <c r="E104" s="63">
        <f t="shared" si="3"/>
        <v>10210</v>
      </c>
    </row>
    <row r="105" spans="1:7" x14ac:dyDescent="0.3">
      <c r="A105" s="2">
        <v>8</v>
      </c>
      <c r="C105" s="38" t="s">
        <v>46</v>
      </c>
      <c r="D105" s="42">
        <f>TRUNC(2466,-1)</f>
        <v>2460</v>
      </c>
      <c r="E105" s="63">
        <f t="shared" si="3"/>
        <v>8130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TRUNC(1009,-1)</f>
        <v>1000</v>
      </c>
      <c r="E114" s="63">
        <f t="shared" si="3"/>
        <v>3300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TRUNC(4215,-1)</f>
        <v>4210</v>
      </c>
      <c r="E116" s="63">
        <f t="shared" si="3"/>
        <v>13910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TRUNC(83781,-1)</f>
        <v>83780</v>
      </c>
      <c r="E117" s="63">
        <f t="shared" si="3"/>
        <v>276950</v>
      </c>
    </row>
    <row r="118" spans="1:7" ht="17.25" thickBot="1" x14ac:dyDescent="0.35">
      <c r="A118" s="2">
        <v>21</v>
      </c>
      <c r="C118" s="38" t="s">
        <v>47</v>
      </c>
      <c r="D118" s="43">
        <f>TRUNC(3788,-1)</f>
        <v>3780</v>
      </c>
      <c r="E118" s="64">
        <f t="shared" si="3"/>
        <v>12490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164130</v>
      </c>
      <c r="E119" s="39">
        <f>SUM(E98:E118)</f>
        <v>542510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TRUNC(4138,-1)</f>
        <v>4130</v>
      </c>
      <c r="E122" s="62">
        <f t="shared" ref="E122:E132" si="4">TRUNC(+D122*3.3058,-1)</f>
        <v>13650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TRUNC(1832,-1)</f>
        <v>1830</v>
      </c>
      <c r="E124" s="63">
        <f t="shared" si="4"/>
        <v>6040</v>
      </c>
    </row>
    <row r="125" spans="1:7" x14ac:dyDescent="0.3">
      <c r="A125" s="2">
        <v>4</v>
      </c>
      <c r="C125" s="38" t="s">
        <v>138</v>
      </c>
      <c r="D125" s="42">
        <f>TRUNC(3430,-1)</f>
        <v>3430</v>
      </c>
      <c r="E125" s="63">
        <f t="shared" si="4"/>
        <v>11330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TRUNC(5699,-1)</f>
        <v>5690</v>
      </c>
      <c r="E127" s="63">
        <f t="shared" si="4"/>
        <v>18810</v>
      </c>
    </row>
    <row r="128" spans="1:7" x14ac:dyDescent="0.3">
      <c r="A128" s="2">
        <v>7</v>
      </c>
      <c r="C128" s="38" t="s">
        <v>46</v>
      </c>
      <c r="D128" s="42">
        <f>TRUNC(4308,-1)</f>
        <v>4300</v>
      </c>
      <c r="E128" s="63">
        <f t="shared" si="4"/>
        <v>14210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TRUNC(21506,-1)</f>
        <v>21500</v>
      </c>
      <c r="E130" s="63">
        <f t="shared" si="4"/>
        <v>71070</v>
      </c>
    </row>
    <row r="131" spans="1:7" x14ac:dyDescent="0.3">
      <c r="A131" s="2">
        <v>10</v>
      </c>
      <c r="C131" s="38" t="s">
        <v>148</v>
      </c>
      <c r="D131" s="42">
        <f>TRUNC(102703,-1)</f>
        <v>102700</v>
      </c>
      <c r="E131" s="63">
        <f t="shared" si="4"/>
        <v>339500</v>
      </c>
    </row>
    <row r="132" spans="1:7" ht="18" thickBot="1" x14ac:dyDescent="0.35">
      <c r="A132" s="2">
        <v>11</v>
      </c>
      <c r="C132" s="38" t="s">
        <v>47</v>
      </c>
      <c r="D132" s="43">
        <f>TRUNC(3540+188+5785,-1)</f>
        <v>9510</v>
      </c>
      <c r="E132" s="64">
        <f t="shared" si="4"/>
        <v>31430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153090</v>
      </c>
      <c r="E133" s="39">
        <f>SUM(E122:E132)</f>
        <v>506040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TRUNC(219+1126+2208+1151+16319,-1)</f>
        <v>21020</v>
      </c>
      <c r="E137" s="63">
        <f t="shared" si="5"/>
        <v>69480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TRUNC(1071,-1)</f>
        <v>1070</v>
      </c>
      <c r="E139" s="63">
        <f t="shared" si="5"/>
        <v>3530</v>
      </c>
    </row>
    <row r="140" spans="1:7" x14ac:dyDescent="0.3">
      <c r="A140" s="2">
        <v>5</v>
      </c>
      <c r="C140" s="38" t="s">
        <v>57</v>
      </c>
      <c r="D140" s="42">
        <f>TRUNC(407,-1)</f>
        <v>400</v>
      </c>
      <c r="E140" s="63">
        <f t="shared" si="5"/>
        <v>1320</v>
      </c>
    </row>
    <row r="141" spans="1:7" x14ac:dyDescent="0.3">
      <c r="A141" s="2">
        <v>6</v>
      </c>
      <c r="C141" s="38" t="s">
        <v>59</v>
      </c>
      <c r="D141" s="42">
        <f>TRUNC(19203,-1)</f>
        <v>19200</v>
      </c>
      <c r="E141" s="63">
        <f t="shared" si="5"/>
        <v>63470</v>
      </c>
    </row>
    <row r="142" spans="1:7" x14ac:dyDescent="0.3">
      <c r="A142" s="2">
        <v>7</v>
      </c>
      <c r="C142" s="38" t="s">
        <v>58</v>
      </c>
      <c r="D142" s="42">
        <f>TRUNC(5355,-1)</f>
        <v>5350</v>
      </c>
      <c r="E142" s="63">
        <f t="shared" si="5"/>
        <v>17680</v>
      </c>
    </row>
    <row r="143" spans="1:7" x14ac:dyDescent="0.3">
      <c r="A143" s="2">
        <v>8</v>
      </c>
      <c r="C143" s="38" t="s">
        <v>62</v>
      </c>
      <c r="D143" s="42">
        <f>TRUNC(4821,-1)</f>
        <v>4820</v>
      </c>
      <c r="E143" s="63">
        <f t="shared" si="5"/>
        <v>15930</v>
      </c>
    </row>
    <row r="144" spans="1:7" x14ac:dyDescent="0.3">
      <c r="A144" s="2">
        <v>9</v>
      </c>
      <c r="C144" s="38" t="s">
        <v>63</v>
      </c>
      <c r="D144" s="42">
        <f>TRUNC(8957,-1)</f>
        <v>8950</v>
      </c>
      <c r="E144" s="63">
        <f t="shared" si="5"/>
        <v>29580</v>
      </c>
    </row>
    <row r="145" spans="1:7" ht="17.25" thickBot="1" x14ac:dyDescent="0.35">
      <c r="A145" s="2">
        <v>10</v>
      </c>
      <c r="C145" s="38" t="s">
        <v>148</v>
      </c>
      <c r="D145" s="43">
        <f>TRUNC(2645,-1)</f>
        <v>2640</v>
      </c>
      <c r="E145" s="64">
        <f t="shared" si="5"/>
        <v>8720</v>
      </c>
    </row>
    <row r="146" spans="1:7" x14ac:dyDescent="0.3">
      <c r="A146" s="2">
        <v>11</v>
      </c>
      <c r="C146" s="27" t="s">
        <v>112</v>
      </c>
      <c r="D146" s="39">
        <f>SUM(D136:D145)</f>
        <v>63450</v>
      </c>
      <c r="E146" s="39">
        <f>SUM(E136:E145)</f>
        <v>209710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TRUNC(3837+386,-1)</f>
        <v>4220</v>
      </c>
      <c r="E149" s="62">
        <f>TRUNC(+D149*3.3058,-1)</f>
        <v>13950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TRUNC(2131,-1)</f>
        <v>2130</v>
      </c>
      <c r="E150" s="63">
        <f>TRUNC(+D150*3.3058,-1)</f>
        <v>7040</v>
      </c>
    </row>
    <row r="151" spans="1:7" x14ac:dyDescent="0.3">
      <c r="A151" s="2">
        <v>3</v>
      </c>
      <c r="C151" s="38" t="s">
        <v>50</v>
      </c>
      <c r="D151" s="42">
        <f>TRUNC(453,-1)</f>
        <v>450</v>
      </c>
      <c r="E151" s="63">
        <f>TRUNC(+D151*3.3058,-1)</f>
        <v>1480</v>
      </c>
    </row>
    <row r="152" spans="1:7" x14ac:dyDescent="0.3">
      <c r="A152" s="2">
        <v>4</v>
      </c>
      <c r="C152" s="38" t="s">
        <v>47</v>
      </c>
      <c r="D152" s="42">
        <f>TRUNC(248+2298+2237+2038,-1)</f>
        <v>6820</v>
      </c>
      <c r="E152" s="63">
        <f>TRUNC(+D152*3.3058,-1)</f>
        <v>22540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13620</v>
      </c>
      <c r="E154" s="39">
        <f>SUM(E149:E153)</f>
        <v>45010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TRUNC(16947,-1)</f>
        <v>16940</v>
      </c>
      <c r="E157" s="62">
        <f>TRUNC(+D157*3.3058,-1)</f>
        <v>56000</v>
      </c>
    </row>
    <row r="158" spans="1:7" x14ac:dyDescent="0.3">
      <c r="A158" s="2">
        <v>2</v>
      </c>
      <c r="C158" s="38" t="s">
        <v>52</v>
      </c>
      <c r="D158" s="42">
        <f>TRUNC(3952,-1)</f>
        <v>3950</v>
      </c>
      <c r="E158" s="63">
        <f>TRUNC(+D158*3.3058,-1)</f>
        <v>13050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TRUNC(4348+376,-1)</f>
        <v>4720</v>
      </c>
      <c r="E159" s="63">
        <f>TRUNC(+D159*3.3058,-1)</f>
        <v>15600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25610</v>
      </c>
      <c r="E161" s="39">
        <f>SUM(E157:E160)</f>
        <v>84650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2020-12-08T02:21:23Z</dcterms:modified>
</cp:coreProperties>
</file>