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7" i="4"/>
  <c r="D153" i="4"/>
  <c r="D152" i="4"/>
  <c r="D151" i="4"/>
  <c r="D150" i="4"/>
  <c r="D149" i="4"/>
  <c r="D142" i="4"/>
  <c r="D140" i="4"/>
  <c r="D137" i="4"/>
  <c r="D132" i="4"/>
  <c r="D131" i="4"/>
  <c r="D128" i="4"/>
  <c r="D127" i="4"/>
  <c r="D125" i="4"/>
  <c r="D124" i="4"/>
  <c r="D122" i="4"/>
  <c r="D118" i="4"/>
  <c r="D117" i="4"/>
  <c r="D105" i="4"/>
  <c r="D104" i="4"/>
  <c r="D102" i="4"/>
  <c r="D101" i="4"/>
  <c r="D100" i="4"/>
  <c r="D99" i="4"/>
  <c r="D98" i="4"/>
  <c r="D94" i="4"/>
  <c r="D93" i="4"/>
  <c r="D92" i="4"/>
  <c r="D91" i="4"/>
  <c r="D89" i="4"/>
  <c r="D73" i="4"/>
  <c r="D72" i="4"/>
  <c r="D70" i="4"/>
  <c r="D69" i="4"/>
  <c r="D58" i="4"/>
  <c r="D59" i="4"/>
  <c r="D53" i="4"/>
  <c r="D50" i="4"/>
  <c r="D49" i="4"/>
  <c r="D48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<sst xmlns="http://schemas.openxmlformats.org/spreadsheetml/2006/main" count="389" uniqueCount="263">
  <si>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</si>
  <si>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</si>
  <si>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</si>
  <si>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</si>
  <si>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</si>
  <si>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</si>
  <si>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</si>
  <si>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</si>
  <si>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</si>
  <si>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</si>
  <si>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</si>
  <si>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</si>
  <si>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</si>
  <si>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</si>
  <si>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</si>
  <si>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</si>
  <si>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</si>
  <si>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</si>
  <si>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</si>
  <si>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</si>
  <si>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</si>
  <si>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</si>
  <si>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</si>
  <si>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</si>
  <si>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</si>
  <si>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</si>
  <si>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</si>
  <si>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</si>
  <si>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</si>
  <si>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</si>
  <si>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</si>
  <si>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</si>
  <si>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</si>
  <si>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</si>
  <si>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</si>
  <si>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</si>
  <si>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</si>
  <si>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</si>
  <si>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</si>
  <si>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</si>
  <si>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</si>
  <si>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</si>
  <si>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</si>
  <si>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</si>
  <si>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</si>
  <si>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</si>
  <si>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</si>
  <si>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</si>
  <si>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</si>
  <si>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</si>
  <si>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</si>
  <si>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</si>
  <si>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</si>
  <si>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</si>
  <si>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</si>
  <si>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</si>
  <si>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</si>
  <si>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</si>
  <si>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</si>
  <si>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</si>
  <si>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</si>
  <si>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</si>
  <si>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</si>
  <si>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</si>
  <si>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</si>
  <si>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</si>
  <si>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</si>
  <si>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</si>
  <si>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</si>
  <si>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</si>
  <si>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</si>
  <si>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</si>
  <si>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</si>
  <si>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</si>
  <si>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</si>
  <si>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</si>
  <si>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</si>
  <si>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</si>
  <si>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</si>
  <si>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</si>
  <si>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</si>
  <si>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</si>
  <si>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</si>
  <si>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</si>
  <si>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</si>
  <si>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</si>
  <si>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</si>
  <si>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</si>
  <si>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</si>
  <si>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</si>
  <si>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</si>
  <si>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</si>
  <si>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</si>
  <si>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</si>
  <si>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</si>
  <si>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</si>
  <si>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</si>
  <si>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</si>
  <si>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</si>
  <si>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</si>
  <si>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</si>
  <si>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</si>
  <si>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</si>
  <si>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</si>
  <si>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</si>
  <si>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</si>
  <si>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</si>
  <si>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</si>
  <si>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</si>
  <si>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</si>
  <si>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</si>
  <si>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</si>
  <si>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</si>
  <si>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</si>
  <si>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</si>
  <si>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</si>
  <si>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</si>
  <si>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</si>
  <si>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</si>
  <si>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</si>
  <si>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</si>
  <si>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</si>
  <si>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</si>
  <si>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</si>
  <si>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</si>
  <si>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</si>
  <si>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</si>
  <si>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</si>
  <si>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</si>
  <si>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</si>
  <si>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</si>
  <si>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</si>
  <si>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</si>
  <si>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</si>
  <si>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</si>
  <si>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</si>
  <si>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</si>
  <si>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</si>
  <si>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</si>
  <si>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</si>
  <si>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</si>
  <si>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</si>
  <si>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</si>
  <si>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</si>
  <si>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</si>
  <si>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</si>
  <si>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</si>
  <si>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</si>
  <si>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</si>
  <si>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</si>
  <si>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</si>
  <si>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</si>
  <si>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</si>
  <si>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</si>
  <si>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</si>
  <si>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</si>
  <si>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</si>
  <si>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</si>
  <si>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</si>
  <si>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</si>
  <si>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</si>
  <si>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</si>
  <si>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</si>
  <si>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</si>
  <si>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</si>
  <si>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</si>
  <si>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</si>
  <si>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</si>
  <si>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</si>
  <si>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</si>
  <si>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</si>
  <si>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</si>
  <si>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</si>
  <si>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</si>
  <si>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</si>
  <si>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</si>
  <si>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</si>
  <si>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</si>
  <si>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</si>
  <si>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</si>
  <si>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</si>
  <si>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</si>
  <si>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</si>
  <si>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</si>
  <si>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</si>
  <si>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</si>
  <si>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</si>
  <si>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</si>
  <si>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</si>
  <si>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</si>
  <si>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</si>
  <si>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</si>
  <si>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</si>
  <si>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</si>
  <si>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</si>
  <si>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</si>
  <si>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</si>
  <si>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</si>
  <si>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</si>
  <si>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</si>
  <si>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</si>
  <si>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</si>
  <si>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</si>
  <si>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</si>
  <si>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</si>
  <si>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</si>
  <si>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</si>
  <si>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</si>
  <si>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</si>
  <si>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</si>
  <si>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</si>
  <si>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</si>
  <si>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</si>
  <si>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</si>
  <si>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</si>
  <si>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</si>
  <si>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</si>
  <si>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</si>
  <si>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</si>
  <si>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</si>
  <si>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</si>
  <si>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</si>
  <si>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</si>
  <si>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</si>
  <si>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</si>
  <si>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</si>
  <si>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</si>
  <si>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</si>
  <si>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</si>
  <si>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</si>
  <si>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</si>
  <si>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</si>
  <si>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</si>
  <si>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</si>
  <si>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</si>
  <si>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</si>
  <si>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</si>
  <si>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</si>
  <si>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</si>
  <si>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</si>
  <si>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</si>
  <si>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</si>
  <si>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</si>
  <si>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</si>
  <si>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</si>
  <si>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</si>
  <si>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</si>
  <si>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</si>
  <si>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</si>
  <si>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</si>
  <si>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가칭 당진나래학교 교사 신축공사</t>
    <phoneticPr fontId="2" type="noConversion"/>
  </si>
  <si>
    <t>충청도</t>
  </si>
  <si>
    <t>지붕및홈통공사 포함</t>
    <phoneticPr fontId="2" type="noConversion"/>
  </si>
  <si>
    <t>목공사및수장공사(인테리어공사 포함)</t>
    <phoneticPr fontId="2" type="noConversion"/>
  </si>
  <si>
    <t>기초공사, 폐기물처리비, 골재비및운반비, 작업부산물</t>
    <phoneticPr fontId="2" type="noConversion"/>
  </si>
  <si>
    <t>공조배관공사, 난방배관공사, 바닥난방공사, 기타공사</t>
    <phoneticPr fontId="2" type="noConversion"/>
  </si>
  <si>
    <t>원격검침 설비공사, 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</si>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</sst>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6754.02</v>
      </c>
      <c r="D7" s="36">
        <f>+C7/3.3058</f>
        <v>2043.0818561316476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993100</v>
      </c>
      <c r="E25" s="59">
        <f t="shared" si="0"/>
        <v>3282980</v>
      </c>
    </row>
    <row r="26" spans="1:5" x14ac:dyDescent="0.3">
      <c r="B26" s="2">
        <v>3</v>
      </c>
      <c r="C26" s="35" t="s">
        <v>95</v>
      </c>
      <c r="D26" s="45">
        <f>+D66</f>
        <v>28590</v>
      </c>
      <c r="E26" s="59">
        <f t="shared" si="0"/>
        <v>94510</v>
      </c>
    </row>
    <row r="27" spans="1:5" x14ac:dyDescent="0.3">
      <c r="B27" s="2">
        <v>4</v>
      </c>
      <c r="C27" s="35" t="s">
        <v>96</v>
      </c>
      <c r="D27" s="45">
        <f>+D95</f>
        <v>162660</v>
      </c>
      <c r="E27" s="59">
        <f t="shared" si="0"/>
        <v>537720</v>
      </c>
    </row>
    <row r="28" spans="1:5" x14ac:dyDescent="0.3">
      <c r="B28" s="2">
        <v>5</v>
      </c>
      <c r="C28" s="35" t="s">
        <v>97</v>
      </c>
      <c r="D28" s="45">
        <f>+D119</f>
        <v>127520</v>
      </c>
      <c r="E28" s="59">
        <f t="shared" si="0"/>
        <v>421550</v>
      </c>
    </row>
    <row r="29" spans="1:5" x14ac:dyDescent="0.3">
      <c r="B29" s="2">
        <v>6</v>
      </c>
      <c r="C29" s="35" t="s">
        <v>98</v>
      </c>
      <c r="D29" s="45">
        <f>+D133</f>
        <v>73770</v>
      </c>
      <c r="E29" s="59">
        <f t="shared" si="0"/>
        <v>243860</v>
      </c>
    </row>
    <row r="30" spans="1:5" x14ac:dyDescent="0.3">
      <c r="B30" s="2">
        <v>7</v>
      </c>
      <c r="C30" s="35" t="s">
        <v>99</v>
      </c>
      <c r="D30" s="45">
        <f>+D146</f>
        <v>48050</v>
      </c>
      <c r="E30" s="59">
        <f t="shared" si="0"/>
        <v>158840</v>
      </c>
    </row>
    <row r="31" spans="1:5" x14ac:dyDescent="0.3">
      <c r="B31" s="2">
        <v>8</v>
      </c>
      <c r="C31" s="35" t="s">
        <v>100</v>
      </c>
      <c r="D31" s="45">
        <f>+D154</f>
        <v>107080</v>
      </c>
      <c r="E31" s="59">
        <f t="shared" si="0"/>
        <v>353980</v>
      </c>
    </row>
    <row r="32" spans="1:5" x14ac:dyDescent="0.3">
      <c r="B32" s="2">
        <v>9</v>
      </c>
      <c r="C32" s="35" t="s">
        <v>101</v>
      </c>
      <c r="D32" s="45">
        <f>+D161</f>
        <v>58210</v>
      </c>
      <c r="E32" s="59">
        <f t="shared" si="0"/>
        <v>192430</v>
      </c>
    </row>
    <row r="33" spans="1:7" x14ac:dyDescent="0.3">
      <c r="B33" s="2">
        <v>10</v>
      </c>
      <c r="C33" s="35" t="s">
        <v>155</v>
      </c>
      <c r="D33" s="53">
        <f>TRUNC(SUM(D24:D32)*0.275,-1)</f>
        <v>439710</v>
      </c>
      <c r="E33" s="60">
        <f t="shared" si="0"/>
        <v>1453590</v>
      </c>
    </row>
    <row r="34" spans="1:7" x14ac:dyDescent="0.3">
      <c r="C34" s="35" t="s">
        <v>112</v>
      </c>
      <c r="D34" s="44">
        <f>SUM(D24:D33)</f>
        <v>2038690</v>
      </c>
      <c r="E34" s="44">
        <f>SUM(E24:E33)</f>
        <v>6739460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TRUNC(63534,-1)</f>
        <v>63530</v>
      </c>
      <c r="E40" s="62">
        <f t="shared" ref="E40:E59" si="1">TRUNC(+D40*3.3058,-1)</f>
        <v>210010</v>
      </c>
    </row>
    <row r="41" spans="1:7" x14ac:dyDescent="0.3">
      <c r="A41" s="2">
        <v>2</v>
      </c>
      <c r="C41" s="38" t="s">
        <v>13</v>
      </c>
      <c r="D41" s="42">
        <f>TRUNC(250709,-1)</f>
        <v>250700</v>
      </c>
      <c r="E41" s="63">
        <f t="shared" si="1"/>
        <v>828760</v>
      </c>
    </row>
    <row r="42" spans="1:7" x14ac:dyDescent="0.3">
      <c r="A42" s="2">
        <v>3</v>
      </c>
      <c r="C42" s="38" t="s">
        <v>14</v>
      </c>
      <c r="D42" s="42">
        <f>TRUNC(8953,-1)</f>
        <v>8950</v>
      </c>
      <c r="E42" s="63">
        <f t="shared" si="1"/>
        <v>29580</v>
      </c>
    </row>
    <row r="43" spans="1:7" x14ac:dyDescent="0.3">
      <c r="A43" s="2">
        <v>4</v>
      </c>
      <c r="C43" s="38" t="s">
        <v>16</v>
      </c>
      <c r="D43" s="42">
        <f>TRUNC(44134,-1)</f>
        <v>44130</v>
      </c>
      <c r="E43" s="63">
        <f t="shared" si="1"/>
        <v>145880</v>
      </c>
    </row>
    <row r="44" spans="1:7" x14ac:dyDescent="0.3">
      <c r="A44" s="2">
        <v>5</v>
      </c>
      <c r="C44" s="38" t="s">
        <v>17</v>
      </c>
      <c r="D44" s="42">
        <f>TRUNC(28538,-1)</f>
        <v>28530</v>
      </c>
      <c r="E44" s="63">
        <f t="shared" si="1"/>
        <v>94310</v>
      </c>
    </row>
    <row r="45" spans="1:7" x14ac:dyDescent="0.3">
      <c r="A45" s="2">
        <v>6</v>
      </c>
      <c r="C45" s="38" t="s">
        <v>18</v>
      </c>
      <c r="D45" s="42">
        <f>TRUNC(10642,-1)</f>
        <v>10640</v>
      </c>
      <c r="E45" s="63">
        <f t="shared" si="1"/>
        <v>35170</v>
      </c>
    </row>
    <row r="46" spans="1:7" x14ac:dyDescent="0.3">
      <c r="A46" s="2">
        <v>7</v>
      </c>
      <c r="C46" s="38" t="s">
        <v>19</v>
      </c>
      <c r="D46" s="42">
        <v>17450</v>
      </c>
      <c r="E46" s="63">
        <f t="shared" si="1"/>
        <v>57680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TRUNC(43204,-1)</f>
        <v>43200</v>
      </c>
      <c r="E48" s="63">
        <f t="shared" si="1"/>
        <v>142810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TRUNC(37964,-1)</f>
        <v>37960</v>
      </c>
      <c r="E49" s="63">
        <f t="shared" si="1"/>
        <v>125480</v>
      </c>
    </row>
    <row r="50" spans="1:7" x14ac:dyDescent="0.3">
      <c r="A50" s="2">
        <v>11</v>
      </c>
      <c r="C50" s="38" t="s">
        <v>156</v>
      </c>
      <c r="D50" s="42">
        <f>TRUNC(61628,-1)</f>
        <v>61620</v>
      </c>
      <c r="E50" s="63">
        <f t="shared" si="1"/>
        <v>203700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11130</v>
      </c>
      <c r="E52" s="63">
        <f t="shared" si="1"/>
        <v>36790</v>
      </c>
    </row>
    <row r="53" spans="1:7" x14ac:dyDescent="0.3">
      <c r="A53" s="2">
        <v>14</v>
      </c>
      <c r="C53" s="38" t="s">
        <v>25</v>
      </c>
      <c r="D53" s="42">
        <f>TRUNC(60228,-1)</f>
        <v>60220</v>
      </c>
      <c r="E53" s="63">
        <f t="shared" si="1"/>
        <v>199070</v>
      </c>
      <c r="F53" s="2" t="s">
        <v>253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TRUNC(39088+52+10403-982+1048+3734,-1)</f>
        <v>53340</v>
      </c>
      <c r="E58" s="63">
        <f t="shared" si="1"/>
        <v>176330</v>
      </c>
      <c r="F58" s="2" t="s">
        <v>254</v>
      </c>
    </row>
    <row r="59" spans="1:7" ht="17.25" thickBot="1" x14ac:dyDescent="0.35">
      <c r="A59" s="2">
        <v>20</v>
      </c>
      <c r="C59" s="38" t="s">
        <v>149</v>
      </c>
      <c r="D59" s="43">
        <f>TRUNC(301707,-1)</f>
        <v>301700</v>
      </c>
      <c r="E59" s="64">
        <f t="shared" si="1"/>
        <v>997350</v>
      </c>
    </row>
    <row r="60" spans="1:7" x14ac:dyDescent="0.3">
      <c r="A60" s="2">
        <v>21</v>
      </c>
      <c r="C60" s="27" t="s">
        <v>112</v>
      </c>
      <c r="D60" s="39">
        <f>SUM(D40:D59)</f>
        <v>993100</v>
      </c>
      <c r="E60" s="39">
        <f>SUM(E40:E59)</f>
        <v>3282920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v>28590</v>
      </c>
      <c r="E63" s="62">
        <f>TRUNC(+D63*3.3058,-1)</f>
        <v>94510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28590</v>
      </c>
      <c r="E66" s="65">
        <f>SUM(E63:E65)</f>
        <v>94510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TRUNC(7655,-1)</f>
        <v>7650</v>
      </c>
      <c r="E69" s="62">
        <f t="shared" ref="E69:E94" si="2">TRUNC(+D69*3.3058,-1)</f>
        <v>25280</v>
      </c>
    </row>
    <row r="70" spans="1:7" ht="16.5" customHeight="1" x14ac:dyDescent="0.3">
      <c r="A70" s="2">
        <v>2</v>
      </c>
      <c r="C70" s="38" t="s">
        <v>31</v>
      </c>
      <c r="D70" s="42">
        <f>TRUNC(1348,-1)</f>
        <v>1340</v>
      </c>
      <c r="E70" s="63">
        <f t="shared" si="2"/>
        <v>4420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TRUNC(4538,-1)</f>
        <v>4530</v>
      </c>
      <c r="E72" s="63">
        <f t="shared" si="2"/>
        <v>14970</v>
      </c>
    </row>
    <row r="73" spans="1:7" x14ac:dyDescent="0.3">
      <c r="A73" s="2">
        <v>5</v>
      </c>
      <c r="C73" s="38" t="s">
        <v>34</v>
      </c>
      <c r="D73" s="42">
        <f>TRUNC(18916,-1)</f>
        <v>18910</v>
      </c>
      <c r="E73" s="63">
        <f t="shared" si="2"/>
        <v>62510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TRUNC(8149,-1)</f>
        <v>8140</v>
      </c>
      <c r="E89" s="63">
        <f t="shared" si="2"/>
        <v>26900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TRUNC(3082,-1)</f>
        <v>3080</v>
      </c>
      <c r="E91" s="63">
        <f t="shared" si="2"/>
        <v>10180</v>
      </c>
    </row>
    <row r="92" spans="1:7" x14ac:dyDescent="0.3">
      <c r="A92" s="2">
        <v>24</v>
      </c>
      <c r="C92" s="38" t="s">
        <v>38</v>
      </c>
      <c r="D92" s="42">
        <f>TRUNC(10697,-1)</f>
        <v>10690</v>
      </c>
      <c r="E92" s="63">
        <f t="shared" si="2"/>
        <v>35330</v>
      </c>
    </row>
    <row r="93" spans="1:7" x14ac:dyDescent="0.3">
      <c r="A93" s="2">
        <v>25</v>
      </c>
      <c r="C93" s="38" t="s">
        <v>149</v>
      </c>
      <c r="D93" s="42">
        <f>TRUNC(96834,-1)</f>
        <v>96830</v>
      </c>
      <c r="E93" s="63">
        <f t="shared" si="2"/>
        <v>320100</v>
      </c>
    </row>
    <row r="94" spans="1:7" ht="17.25" thickBot="1" x14ac:dyDescent="0.35">
      <c r="A94" s="2">
        <v>26</v>
      </c>
      <c r="C94" s="38" t="s">
        <v>47</v>
      </c>
      <c r="D94" s="43">
        <f>TRUNC(1303+1599+5744+2852,-1)</f>
        <v>11490</v>
      </c>
      <c r="E94" s="64">
        <f t="shared" si="2"/>
        <v>37980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162660</v>
      </c>
      <c r="E95" s="39">
        <f>SUM(E69:E94)</f>
        <v>537670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TRUNC(9953,-1)</f>
        <v>9950</v>
      </c>
      <c r="E98" s="62">
        <f t="shared" ref="E98:E118" si="3">TRUNC(+D98*3.3058,-1)</f>
        <v>32890</v>
      </c>
    </row>
    <row r="99" spans="1:7" x14ac:dyDescent="0.3">
      <c r="A99" s="2">
        <v>2</v>
      </c>
      <c r="C99" s="38" t="s">
        <v>40</v>
      </c>
      <c r="D99" s="42">
        <f>TRUNC(4878,-1)</f>
        <v>4870</v>
      </c>
      <c r="E99" s="63">
        <f t="shared" si="3"/>
        <v>16090</v>
      </c>
    </row>
    <row r="100" spans="1:7" x14ac:dyDescent="0.3">
      <c r="A100" s="2">
        <v>3</v>
      </c>
      <c r="C100" s="38" t="s">
        <v>41</v>
      </c>
      <c r="D100" s="42">
        <f>TRUNC(1479,-1)</f>
        <v>1470</v>
      </c>
      <c r="E100" s="63">
        <f t="shared" si="3"/>
        <v>4850</v>
      </c>
    </row>
    <row r="101" spans="1:7" x14ac:dyDescent="0.3">
      <c r="A101" s="2">
        <v>4</v>
      </c>
      <c r="C101" s="38" t="s">
        <v>42</v>
      </c>
      <c r="D101" s="42">
        <f>TRUNC(30429,-1)</f>
        <v>30420</v>
      </c>
      <c r="E101" s="63">
        <f t="shared" si="3"/>
        <v>100560</v>
      </c>
    </row>
    <row r="102" spans="1:7" x14ac:dyDescent="0.3">
      <c r="A102" s="2">
        <v>5</v>
      </c>
      <c r="C102" s="38" t="s">
        <v>43</v>
      </c>
      <c r="D102" s="42">
        <f>TRUNC(18202,-1)</f>
        <v>18200</v>
      </c>
      <c r="E102" s="63">
        <f t="shared" si="3"/>
        <v>60160</v>
      </c>
    </row>
    <row r="103" spans="1:7" x14ac:dyDescent="0.3">
      <c r="A103" s="2">
        <v>6</v>
      </c>
      <c r="C103" s="38" t="s">
        <v>44</v>
      </c>
      <c r="D103" s="42">
        <v>8810</v>
      </c>
      <c r="E103" s="63">
        <f t="shared" si="3"/>
        <v>29120</v>
      </c>
    </row>
    <row r="104" spans="1:7" x14ac:dyDescent="0.3">
      <c r="A104" s="2">
        <v>7</v>
      </c>
      <c r="C104" s="38" t="s">
        <v>45</v>
      </c>
      <c r="D104" s="42">
        <f>TRUNC(1602,-1)</f>
        <v>1600</v>
      </c>
      <c r="E104" s="63">
        <f t="shared" si="3"/>
        <v>5280</v>
      </c>
    </row>
    <row r="105" spans="1:7" x14ac:dyDescent="0.3">
      <c r="A105" s="2">
        <v>8</v>
      </c>
      <c r="C105" s="38" t="s">
        <v>46</v>
      </c>
      <c r="D105" s="42">
        <f>TRUNC(4767,-1)</f>
        <v>4760</v>
      </c>
      <c r="E105" s="63">
        <f t="shared" si="3"/>
        <v>15730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3070</v>
      </c>
      <c r="E114" s="63">
        <f t="shared" si="3"/>
        <v>10140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2450</v>
      </c>
      <c r="E116" s="63">
        <f t="shared" si="3"/>
        <v>8090</v>
      </c>
    </row>
    <row r="117" spans="1:7" x14ac:dyDescent="0.3">
      <c r="A117" s="2">
        <v>20</v>
      </c>
      <c r="C117" s="38" t="s">
        <v>149</v>
      </c>
      <c r="D117" s="42">
        <f>TRUNC(37746,-1)</f>
        <v>37740</v>
      </c>
      <c r="E117" s="63">
        <f t="shared" si="3"/>
        <v>124760</v>
      </c>
    </row>
    <row r="118" spans="1:7" ht="17.25" thickBot="1" x14ac:dyDescent="0.35">
      <c r="A118" s="2">
        <v>21</v>
      </c>
      <c r="C118" s="38" t="s">
        <v>47</v>
      </c>
      <c r="D118" s="43">
        <f>TRUNC(1654+2535,-1)</f>
        <v>4180</v>
      </c>
      <c r="E118" s="64">
        <f t="shared" si="3"/>
        <v>13810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127520</v>
      </c>
      <c r="E119" s="39">
        <f>SUM(E98:E118)</f>
        <v>421480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TRUNC(5831,-1)</f>
        <v>5830</v>
      </c>
      <c r="E122" s="62">
        <f t="shared" ref="E122:E132" si="4">TRUNC(+D122*3.3058,-1)</f>
        <v>19270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TRUNC(1624,-1)</f>
        <v>1620</v>
      </c>
      <c r="E124" s="63">
        <f t="shared" si="4"/>
        <v>5350</v>
      </c>
    </row>
    <row r="125" spans="1:7" x14ac:dyDescent="0.3">
      <c r="A125" s="2">
        <v>4</v>
      </c>
      <c r="C125" s="38" t="s">
        <v>138</v>
      </c>
      <c r="D125" s="42">
        <f>TRUNC(12525,-1)</f>
        <v>12520</v>
      </c>
      <c r="E125" s="63">
        <f t="shared" si="4"/>
        <v>41380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TRUNC(1103,-1)</f>
        <v>1100</v>
      </c>
      <c r="E127" s="63">
        <f t="shared" si="4"/>
        <v>3630</v>
      </c>
    </row>
    <row r="128" spans="1:7" x14ac:dyDescent="0.3">
      <c r="A128" s="2">
        <v>7</v>
      </c>
      <c r="C128" s="38" t="s">
        <v>46</v>
      </c>
      <c r="D128" s="42">
        <f>TRUNC(5898,-1)</f>
        <v>5890</v>
      </c>
      <c r="E128" s="63">
        <f t="shared" si="4"/>
        <v>19470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17500</v>
      </c>
      <c r="E130" s="63">
        <f t="shared" si="4"/>
        <v>57850</v>
      </c>
    </row>
    <row r="131" spans="1:7" x14ac:dyDescent="0.3">
      <c r="A131" s="2">
        <v>10</v>
      </c>
      <c r="C131" s="38" t="s">
        <v>149</v>
      </c>
      <c r="D131" s="42">
        <f>TRUNC(24926,-1)</f>
        <v>24920</v>
      </c>
      <c r="E131" s="63">
        <f t="shared" si="4"/>
        <v>82380</v>
      </c>
    </row>
    <row r="132" spans="1:7" ht="18" thickBot="1" x14ac:dyDescent="0.35">
      <c r="A132" s="2">
        <v>11</v>
      </c>
      <c r="C132" s="38" t="s">
        <v>47</v>
      </c>
      <c r="D132" s="43">
        <f>TRUNC(4391,-1)</f>
        <v>4390</v>
      </c>
      <c r="E132" s="64">
        <f t="shared" si="4"/>
        <v>14510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73770</v>
      </c>
      <c r="E133" s="39">
        <f>SUM(E122:E132)</f>
        <v>243840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TRUNC(12373,-1)</f>
        <v>12370</v>
      </c>
      <c r="E137" s="63">
        <f t="shared" si="5"/>
        <v>40890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1680</v>
      </c>
      <c r="E139" s="63">
        <f t="shared" si="5"/>
        <v>5550</v>
      </c>
    </row>
    <row r="140" spans="1:7" x14ac:dyDescent="0.3">
      <c r="A140" s="2">
        <v>5</v>
      </c>
      <c r="C140" s="38" t="s">
        <v>57</v>
      </c>
      <c r="D140" s="42">
        <f>TRUNC(7011,-1)</f>
        <v>7010</v>
      </c>
      <c r="E140" s="63">
        <f t="shared" si="5"/>
        <v>23170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TRUNC(15316,-1)</f>
        <v>15310</v>
      </c>
      <c r="E142" s="63">
        <f t="shared" si="5"/>
        <v>50610</v>
      </c>
    </row>
    <row r="143" spans="1:7" x14ac:dyDescent="0.3">
      <c r="A143" s="2">
        <v>8</v>
      </c>
      <c r="C143" s="38" t="s">
        <v>62</v>
      </c>
      <c r="D143" s="42">
        <v>6330</v>
      </c>
      <c r="E143" s="63">
        <f t="shared" si="5"/>
        <v>20920</v>
      </c>
    </row>
    <row r="144" spans="1:7" x14ac:dyDescent="0.3">
      <c r="A144" s="2">
        <v>9</v>
      </c>
      <c r="C144" s="38" t="s">
        <v>63</v>
      </c>
      <c r="D144" s="42">
        <v>5350</v>
      </c>
      <c r="E144" s="63">
        <f t="shared" si="5"/>
        <v>17680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48050</v>
      </c>
      <c r="E146" s="39">
        <f>SUM(E136:E145)</f>
        <v>158820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TRUNC(16116+3755,-1)</f>
        <v>19870</v>
      </c>
      <c r="E149" s="62">
        <f>TRUNC(+D149*3.3058,-1)</f>
        <v>65680</v>
      </c>
    </row>
    <row r="150" spans="1:7" x14ac:dyDescent="0.3">
      <c r="A150" s="2">
        <v>2</v>
      </c>
      <c r="C150" s="38" t="s">
        <v>49</v>
      </c>
      <c r="D150" s="42">
        <f>TRUNC(16825,-1)</f>
        <v>16820</v>
      </c>
      <c r="E150" s="63">
        <f>TRUNC(+D150*3.3058,-1)</f>
        <v>55600</v>
      </c>
    </row>
    <row r="151" spans="1:7" x14ac:dyDescent="0.3">
      <c r="A151" s="2">
        <v>3</v>
      </c>
      <c r="C151" s="38" t="s">
        <v>50</v>
      </c>
      <c r="D151" s="42">
        <f>TRUNC(8683,-1)</f>
        <v>8680</v>
      </c>
      <c r="E151" s="63">
        <f>TRUNC(+D151*3.3058,-1)</f>
        <v>28690</v>
      </c>
    </row>
    <row r="152" spans="1:7" x14ac:dyDescent="0.3">
      <c r="A152" s="2">
        <v>4</v>
      </c>
      <c r="C152" s="38" t="s">
        <v>47</v>
      </c>
      <c r="D152" s="42">
        <f>TRUNC(4639,-1)</f>
        <v>4630</v>
      </c>
      <c r="E152" s="63">
        <f>TRUNC(+D152*3.3058,-1)</f>
        <v>15300</v>
      </c>
    </row>
    <row r="153" spans="1:7" ht="17.25" thickBot="1" x14ac:dyDescent="0.35">
      <c r="A153" s="2">
        <v>5</v>
      </c>
      <c r="C153" s="38" t="s">
        <v>149</v>
      </c>
      <c r="D153" s="43">
        <f>TRUNC(57088,-1)</f>
        <v>57080</v>
      </c>
      <c r="E153" s="64">
        <f>TRUNC(+D153*3.3058,-1)</f>
        <v>188690</v>
      </c>
    </row>
    <row r="154" spans="1:7" x14ac:dyDescent="0.3">
      <c r="A154" s="2">
        <v>6</v>
      </c>
      <c r="C154" s="27" t="s">
        <v>112</v>
      </c>
      <c r="D154" s="39">
        <f>SUM(D149:D153)</f>
        <v>107080</v>
      </c>
      <c r="E154" s="39">
        <f>SUM(E149:E153)</f>
        <v>353960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TRUNC(25691,-1)</f>
        <v>25690</v>
      </c>
      <c r="E157" s="62">
        <f>TRUNC(+D157*3.3058,-1)</f>
        <v>84920</v>
      </c>
    </row>
    <row r="158" spans="1:7" x14ac:dyDescent="0.3">
      <c r="A158" s="2">
        <v>2</v>
      </c>
      <c r="C158" s="38" t="s">
        <v>52</v>
      </c>
      <c r="D158" s="42">
        <v>5930</v>
      </c>
      <c r="E158" s="63">
        <f>TRUNC(+D158*3.3058,-1)</f>
        <v>19600</v>
      </c>
    </row>
    <row r="159" spans="1:7" x14ac:dyDescent="0.3">
      <c r="A159" s="2">
        <v>3</v>
      </c>
      <c r="C159" s="38" t="s">
        <v>47</v>
      </c>
      <c r="D159" s="42">
        <f>TRUNC(12691,-1)</f>
        <v>12690</v>
      </c>
      <c r="E159" s="63">
        <f>TRUNC(+D159*3.3058,-1)</f>
        <v>41950</v>
      </c>
      <c r="F159" s="2" t="s">
        <v>259</v>
      </c>
    </row>
    <row r="160" spans="1:7" ht="17.25" thickBot="1" x14ac:dyDescent="0.35">
      <c r="A160" s="2">
        <v>4</v>
      </c>
      <c r="C160" s="38" t="s">
        <v>149</v>
      </c>
      <c r="D160" s="43">
        <f>TRUNC(13903,-1)</f>
        <v>13900</v>
      </c>
      <c r="E160" s="64">
        <f>TRUNC(+D160*3.3058,-1)</f>
        <v>45950</v>
      </c>
    </row>
    <row r="161" spans="1:5" x14ac:dyDescent="0.3">
      <c r="A161" s="2">
        <v>5</v>
      </c>
      <c r="C161" s="27" t="s">
        <v>112</v>
      </c>
      <c r="D161" s="39">
        <f>SUM(D157:D160)</f>
        <v>58210</v>
      </c>
      <c r="E161" s="39">
        <f>SUM(E157:E160)</f>
        <v>192420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2020-12-08T04:40:35Z</dcterms:modified>
</cp:coreProperties>
</file>