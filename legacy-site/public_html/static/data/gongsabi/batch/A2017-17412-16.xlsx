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545" windowHeight="11820" activeTab="1"/>
  </bookViews>
  <sheets>
    <sheet name="검색조건" sheetId="1" r:id="rId1"/>
    <sheet name="Pro #1" sheetId="2" r:id="rId2"/>
    <sheet name="Sheet2" sheetId="3" r:id="rId3"/>
    <sheet name="Sheet3" sheetId="4" r:id="rId4"/>
  </sheets>
  <calcPr calcId="152511"/>
</workbook>
</file>

<file path=xl/calcChain.xml><?xml version="1.0" encoding="utf-8"?>
<calcChain xmlns="http://schemas.openxmlformats.org/spreadsheetml/2006/main">
  <c r="E160" i="2" l="1"/>
  <c r="D159" i="2"/>
  <c r="E159" i="2" s="1"/>
  <c r="D158" i="2"/>
  <c r="E158" i="2" s="1"/>
  <c r="D157" i="2"/>
  <c r="E157" i="2" s="1"/>
  <c r="E161" i="2" s="1"/>
  <c r="E153" i="2"/>
  <c r="D152" i="2"/>
  <c r="E152" i="2" s="1"/>
  <c r="D151" i="2"/>
  <c r="E151" i="2" s="1"/>
  <c r="D150" i="2"/>
  <c r="E150" i="2" s="1"/>
  <c r="D149" i="2"/>
  <c r="E145" i="2"/>
  <c r="D144" i="2"/>
  <c r="E144" i="2" s="1"/>
  <c r="D143" i="2"/>
  <c r="E143" i="2" s="1"/>
  <c r="D142" i="2"/>
  <c r="E142" i="2" s="1"/>
  <c r="D141" i="2"/>
  <c r="E141" i="2" s="1"/>
  <c r="D140" i="2"/>
  <c r="E140" i="2" s="1"/>
  <c r="D139" i="2"/>
  <c r="E139" i="2" s="1"/>
  <c r="E138" i="2"/>
  <c r="D137" i="2"/>
  <c r="E136" i="2"/>
  <c r="D132" i="2"/>
  <c r="E132" i="2" s="1"/>
  <c r="E131" i="2"/>
  <c r="E130" i="2"/>
  <c r="D130" i="2"/>
  <c r="E129" i="2"/>
  <c r="D128" i="2"/>
  <c r="E128" i="2" s="1"/>
  <c r="E127" i="2"/>
  <c r="D126" i="2"/>
  <c r="E126" i="2" s="1"/>
  <c r="D125" i="2"/>
  <c r="E125" i="2" s="1"/>
  <c r="E124" i="2"/>
  <c r="D124" i="2"/>
  <c r="E123" i="2"/>
  <c r="D122" i="2"/>
  <c r="D118" i="2"/>
  <c r="E118" i="2" s="1"/>
  <c r="E117" i="2"/>
  <c r="D116" i="2"/>
  <c r="E116" i="2" s="1"/>
  <c r="E115" i="2"/>
  <c r="E114" i="2"/>
  <c r="D114" i="2"/>
  <c r="E113" i="2"/>
  <c r="E112" i="2"/>
  <c r="E111" i="2"/>
  <c r="E110" i="2"/>
  <c r="E109" i="2"/>
  <c r="E108" i="2"/>
  <c r="E107" i="2"/>
  <c r="E106" i="2"/>
  <c r="D105" i="2"/>
  <c r="E105" i="2" s="1"/>
  <c r="D104" i="2"/>
  <c r="E104" i="2" s="1"/>
  <c r="D103" i="2"/>
  <c r="E103" i="2" s="1"/>
  <c r="D102" i="2"/>
  <c r="E102" i="2" s="1"/>
  <c r="E101" i="2"/>
  <c r="D100" i="2"/>
  <c r="E100" i="2" s="1"/>
  <c r="D99" i="2"/>
  <c r="E99" i="2" s="1"/>
  <c r="D98" i="2"/>
  <c r="E98" i="2" s="1"/>
  <c r="D94" i="2"/>
  <c r="E94" i="2" s="1"/>
  <c r="E93" i="2"/>
  <c r="E92" i="2"/>
  <c r="D92" i="2"/>
  <c r="D91" i="2"/>
  <c r="E91" i="2" s="1"/>
  <c r="D90" i="2"/>
  <c r="E90" i="2" s="1"/>
  <c r="E89" i="2"/>
  <c r="D89" i="2"/>
  <c r="E88" i="2"/>
  <c r="E87" i="2"/>
  <c r="E86" i="2"/>
  <c r="E85" i="2"/>
  <c r="E84" i="2"/>
  <c r="E83" i="2"/>
  <c r="E82" i="2"/>
  <c r="E81" i="2"/>
  <c r="E80" i="2"/>
  <c r="E79" i="2"/>
  <c r="E78" i="2"/>
  <c r="E77" i="2"/>
  <c r="D76" i="2"/>
  <c r="E76" i="2" s="1"/>
  <c r="E75" i="2"/>
  <c r="D75" i="2"/>
  <c r="E74" i="2"/>
  <c r="D73" i="2"/>
  <c r="E73" i="2" s="1"/>
  <c r="D72" i="2"/>
  <c r="E72" i="2" s="1"/>
  <c r="D71" i="2"/>
  <c r="E71" i="2" s="1"/>
  <c r="D70" i="2"/>
  <c r="E70" i="2" s="1"/>
  <c r="D69" i="2"/>
  <c r="E69" i="2" s="1"/>
  <c r="D65" i="2"/>
  <c r="E65" i="2" s="1"/>
  <c r="E64" i="2"/>
  <c r="D63" i="2"/>
  <c r="D59" i="2"/>
  <c r="E59" i="2" s="1"/>
  <c r="D58" i="2"/>
  <c r="E58" i="2" s="1"/>
  <c r="E57" i="2"/>
  <c r="E56" i="2"/>
  <c r="E55" i="2"/>
  <c r="E54" i="2"/>
  <c r="D53" i="2"/>
  <c r="E53" i="2" s="1"/>
  <c r="D52" i="2"/>
  <c r="E52" i="2" s="1"/>
  <c r="E51" i="2"/>
  <c r="D50" i="2"/>
  <c r="E50" i="2" s="1"/>
  <c r="E49" i="2"/>
  <c r="D49" i="2"/>
  <c r="D48" i="2"/>
  <c r="E48" i="2" s="1"/>
  <c r="E47" i="2"/>
  <c r="D46" i="2"/>
  <c r="E46" i="2" s="1"/>
  <c r="D45" i="2"/>
  <c r="E45" i="2" s="1"/>
  <c r="D44" i="2"/>
  <c r="E44" i="2" s="1"/>
  <c r="D43" i="2"/>
  <c r="E43" i="2" s="1"/>
  <c r="E42" i="2"/>
  <c r="D42" i="2"/>
  <c r="D41" i="2"/>
  <c r="E41" i="2" s="1"/>
  <c r="D40" i="2"/>
  <c r="E37" i="2"/>
  <c r="D24" i="2"/>
  <c r="E24" i="2" s="1"/>
  <c r="D7" i="2"/>
  <c r="O31" i="1"/>
  <c r="M31" i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6" i="1"/>
  <c r="B7" i="1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19" i="2" l="1"/>
  <c r="D133" i="2"/>
  <c r="D29" i="2" s="1"/>
  <c r="E29" i="2" s="1"/>
  <c r="D66" i="2"/>
  <c r="D26" i="2" s="1"/>
  <c r="E26" i="2" s="1"/>
  <c r="E63" i="2"/>
  <c r="E66" i="2" s="1"/>
  <c r="D146" i="2"/>
  <c r="D30" i="2" s="1"/>
  <c r="E30" i="2" s="1"/>
  <c r="E40" i="2"/>
  <c r="D60" i="2"/>
  <c r="D25" i="2" s="1"/>
  <c r="E95" i="2"/>
  <c r="D95" i="2"/>
  <c r="D27" i="2" s="1"/>
  <c r="E27" i="2" s="1"/>
  <c r="D119" i="2"/>
  <c r="D28" i="2" s="1"/>
  <c r="E28" i="2" s="1"/>
  <c r="E122" i="2"/>
  <c r="E146" i="2"/>
  <c r="E137" i="2"/>
  <c r="D154" i="2"/>
  <c r="D31" i="2" s="1"/>
  <c r="E31" i="2" s="1"/>
  <c r="E149" i="2"/>
  <c r="D161" i="2"/>
  <c r="D32" i="2" s="1"/>
  <c r="E32" i="2" s="1"/>
  <c r="E25" i="2" l="1"/>
  <c r="D33" i="2"/>
  <c r="E33" i="2" s="1"/>
  <c r="E154" i="2"/>
  <c r="E60" i="2"/>
  <c r="E133" i="2"/>
  <c r="D34" i="2" l="1"/>
  <c r="E34" i="2"/>
</calcChain>
</file>

<file path=xl/sharedStrings.xml><?xml version="1.0" encoding="utf-8"?>
<sst xmlns="http://schemas.openxmlformats.org/spreadsheetml/2006/main" count="395" uniqueCount="222">
  <si>
    <t>상수도공사,운반비,기타공사</t>
  </si>
  <si>
    <t>기초공사,폐기물처리비,골재비및운반비,작업부산물,기타공사</t>
  </si>
  <si>
    <t>옥외전력간선및 보안등공사</t>
  </si>
  <si>
    <t>원전현장인력양성원 건립공사</t>
  </si>
  <si>
    <t>~ 150,000 초과</t>
  </si>
  <si>
    <t>~ 100,000 미만</t>
  </si>
  <si>
    <t>변전실무근및기타건축공사</t>
  </si>
  <si>
    <t>목공사및수장공사(인테리어공사 포함)</t>
  </si>
  <si>
    <t>구내통신설비공사(전화,TV,LAN)</t>
  </si>
  <si>
    <t>평</t>
  </si>
  <si>
    <t>일반</t>
  </si>
  <si>
    <t>빌라</t>
  </si>
  <si>
    <t>운동</t>
  </si>
  <si>
    <t>대전시</t>
  </si>
  <si>
    <t>인천시</t>
  </si>
  <si>
    <t>실행</t>
  </si>
  <si>
    <t>창고</t>
  </si>
  <si>
    <t>서울</t>
  </si>
  <si>
    <t>경기도</t>
  </si>
  <si>
    <t>도급</t>
  </si>
  <si>
    <t>창호</t>
  </si>
  <si>
    <t>업무</t>
  </si>
  <si>
    <t>대구시</t>
  </si>
  <si>
    <t>등급</t>
  </si>
  <si>
    <t>충청도</t>
  </si>
  <si>
    <t>NO</t>
  </si>
  <si>
    <t>중급</t>
  </si>
  <si>
    <t>판매</t>
  </si>
  <si>
    <t>항 목</t>
  </si>
  <si>
    <t>구분</t>
  </si>
  <si>
    <t>공 정</t>
  </si>
  <si>
    <t>연면적</t>
  </si>
  <si>
    <t>m2</t>
  </si>
  <si>
    <t>가전</t>
  </si>
  <si>
    <t>계</t>
  </si>
  <si>
    <t>공사명</t>
  </si>
  <si>
    <t>방송</t>
  </si>
  <si>
    <t>전기</t>
  </si>
  <si>
    <t>구 분</t>
  </si>
  <si>
    <t>토목</t>
  </si>
  <si>
    <t>경상도</t>
  </si>
  <si>
    <t>지 역</t>
  </si>
  <si>
    <t>울산시</t>
  </si>
  <si>
    <t>가구</t>
  </si>
  <si>
    <t>광주시</t>
  </si>
  <si>
    <t>아파트</t>
  </si>
  <si>
    <t>강원도</t>
  </si>
  <si>
    <t>세종시</t>
  </si>
  <si>
    <t>제주도</t>
  </si>
  <si>
    <t>숙박</t>
  </si>
  <si>
    <t>전라도</t>
  </si>
  <si>
    <t>부산시</t>
  </si>
  <si>
    <t>고급</t>
  </si>
  <si>
    <t>공장</t>
  </si>
  <si>
    <t>의료</t>
  </si>
  <si>
    <t>공 종</t>
  </si>
  <si>
    <t>식재</t>
  </si>
  <si>
    <t>종교</t>
  </si>
  <si>
    <t>포장</t>
  </si>
  <si>
    <t>근생</t>
  </si>
  <si>
    <t>유도등</t>
  </si>
  <si>
    <t>금속</t>
  </si>
  <si>
    <t>타일</t>
  </si>
  <si>
    <t>미장</t>
  </si>
  <si>
    <t>파일</t>
  </si>
  <si>
    <t>시설물</t>
  </si>
  <si>
    <t>기타</t>
  </si>
  <si>
    <t>수장</t>
  </si>
  <si>
    <t>도장</t>
  </si>
  <si>
    <t>토공사</t>
  </si>
  <si>
    <t>유리</t>
  </si>
  <si>
    <t>구조물</t>
  </si>
  <si>
    <t>방수</t>
  </si>
  <si>
    <t>잡</t>
  </si>
  <si>
    <t>석</t>
  </si>
  <si>
    <t>TV</t>
  </si>
  <si>
    <t>목</t>
  </si>
  <si>
    <t>조적</t>
  </si>
  <si>
    <t>가설</t>
  </si>
  <si>
    <t>기계</t>
  </si>
  <si>
    <t>조경</t>
  </si>
  <si>
    <t>부대</t>
  </si>
  <si>
    <t>철골</t>
  </si>
  <si>
    <t>공정</t>
  </si>
  <si>
    <t>통신</t>
  </si>
  <si>
    <t>소방</t>
  </si>
  <si>
    <t>설계가</t>
  </si>
  <si>
    <t>지역</t>
  </si>
  <si>
    <t>건축</t>
  </si>
  <si>
    <t>보일러연도설치공사</t>
  </si>
  <si>
    <t>통신 TRAY 공사</t>
  </si>
  <si>
    <t>동파방지열선공사</t>
  </si>
  <si>
    <t>냉난방기설치공사</t>
  </si>
  <si>
    <t>수,변전설비공사</t>
  </si>
  <si>
    <t>~ 20,000 미만</t>
  </si>
  <si>
    <t>~ 60,000 미만</t>
  </si>
  <si>
    <t>50000 평 초과</t>
  </si>
  <si>
    <t>20000~30000</t>
  </si>
  <si>
    <t>10000~20000</t>
  </si>
  <si>
    <t>1999년 이전</t>
  </si>
  <si>
    <t>케이블트레이및덕트</t>
  </si>
  <si>
    <t xml:space="preserve">냉난방(환기) </t>
  </si>
  <si>
    <t>지붕및홈통공사 포함</t>
  </si>
  <si>
    <t>G.H.P 설치공사</t>
  </si>
  <si>
    <t>엘리베이터 설치공사</t>
  </si>
  <si>
    <t>제경비(VAT 별도)</t>
  </si>
  <si>
    <t>300~1000</t>
  </si>
  <si>
    <t>~ 5,000 미만</t>
  </si>
  <si>
    <t>3000~5000</t>
  </si>
  <si>
    <t>5000~10000</t>
  </si>
  <si>
    <t>~ 40,000 미만</t>
  </si>
  <si>
    <t>30000~40000</t>
  </si>
  <si>
    <t>40000~50000</t>
  </si>
  <si>
    <t>~ 10,000 미만</t>
  </si>
  <si>
    <t>1000~3000</t>
  </si>
  <si>
    <t>엘레베이터설치공사</t>
  </si>
  <si>
    <t>오토리프트전기공사</t>
  </si>
  <si>
    <t>급,배기덕트설치공사</t>
  </si>
  <si>
    <t xml:space="preserve">전기인입 및 수변전 설비공사	</t>
  </si>
  <si>
    <t>2008년</t>
  </si>
  <si>
    <t>EHP공사</t>
  </si>
  <si>
    <t>지붕및홈통</t>
  </si>
  <si>
    <t>원 /평</t>
  </si>
  <si>
    <t>방진,방음공사</t>
  </si>
  <si>
    <t>공조닥트공사</t>
  </si>
  <si>
    <t>T.A.B</t>
  </si>
  <si>
    <t>인테리어</t>
  </si>
  <si>
    <t>부대공종</t>
  </si>
  <si>
    <t>창호및유리공사</t>
  </si>
  <si>
    <t>조경공종</t>
  </si>
  <si>
    <t>소방공종</t>
  </si>
  <si>
    <t>통신공종</t>
  </si>
  <si>
    <t>기계공종</t>
  </si>
  <si>
    <t>토목공종</t>
  </si>
  <si>
    <t>원/ m2</t>
  </si>
  <si>
    <t>전기공종</t>
  </si>
  <si>
    <t>2001년</t>
  </si>
  <si>
    <t>오피스텔</t>
  </si>
  <si>
    <t>2017년</t>
  </si>
  <si>
    <t>2019년</t>
  </si>
  <si>
    <t>2020년</t>
  </si>
  <si>
    <t>2018년</t>
  </si>
  <si>
    <t>2016년</t>
  </si>
  <si>
    <t>2010년</t>
  </si>
  <si>
    <t>2014년</t>
  </si>
  <si>
    <t>2000년</t>
  </si>
  <si>
    <t>2012년</t>
  </si>
  <si>
    <t>2011년</t>
  </si>
  <si>
    <t>2015년</t>
  </si>
  <si>
    <t>2009년</t>
  </si>
  <si>
    <t>2005년</t>
  </si>
  <si>
    <t>2007년</t>
  </si>
  <si>
    <t>2003년</t>
  </si>
  <si>
    <t>2013년</t>
  </si>
  <si>
    <t>A/V설비공사</t>
  </si>
  <si>
    <t>2006년</t>
  </si>
  <si>
    <t>2004년</t>
  </si>
  <si>
    <t>가스설비</t>
  </si>
  <si>
    <t>2002년</t>
  </si>
  <si>
    <t>주상복합</t>
  </si>
  <si>
    <t>착공년도</t>
  </si>
  <si>
    <t>관급자재</t>
  </si>
  <si>
    <t>면적(M2)</t>
  </si>
  <si>
    <t>장비설치</t>
  </si>
  <si>
    <t>면적(평)</t>
  </si>
  <si>
    <t>철근콘크리트</t>
  </si>
  <si>
    <t>흙막이가시설</t>
  </si>
  <si>
    <t>오배수배관</t>
  </si>
  <si>
    <t>자동제어공사</t>
  </si>
  <si>
    <t>건물종류</t>
  </si>
  <si>
    <t>급수급탕배관</t>
  </si>
  <si>
    <t>옥외배관</t>
  </si>
  <si>
    <t>위생기구설치</t>
  </si>
  <si>
    <t>착공연도</t>
  </si>
  <si>
    <t>공통가설</t>
  </si>
  <si>
    <t>기계실 배관</t>
  </si>
  <si>
    <t>가스배관</t>
  </si>
  <si>
    <t>전력간선</t>
  </si>
  <si>
    <t>조명및전력제어</t>
  </si>
  <si>
    <t>냉난방설비공사</t>
  </si>
  <si>
    <t>동력설비</t>
  </si>
  <si>
    <t>닥트설치</t>
  </si>
  <si>
    <t>지열공사</t>
  </si>
  <si>
    <t>접지및피뢰</t>
  </si>
  <si>
    <t>~300 미만</t>
  </si>
  <si>
    <t>전등설비</t>
  </si>
  <si>
    <t>전열설비</t>
  </si>
  <si>
    <t>우,오수</t>
  </si>
  <si>
    <t>연도설치</t>
  </si>
  <si>
    <t>통합배선</t>
  </si>
  <si>
    <t>옥내소화배관</t>
  </si>
  <si>
    <t>보안등설비공사</t>
  </si>
  <si>
    <t>출입통제</t>
  </si>
  <si>
    <t>소화장비</t>
  </si>
  <si>
    <t>기계소방</t>
  </si>
  <si>
    <t>옥외통신</t>
  </si>
  <si>
    <t>교육연구</t>
  </si>
  <si>
    <t>동력공사</t>
  </si>
  <si>
    <t>문화및집회</t>
  </si>
  <si>
    <t>소화가스</t>
  </si>
  <si>
    <t>배기닥트공사</t>
  </si>
  <si>
    <t>스프링쿨러</t>
  </si>
  <si>
    <t>비상등설비공사</t>
  </si>
  <si>
    <t>변전실설비공사</t>
  </si>
  <si>
    <t>소화내진</t>
  </si>
  <si>
    <t>인입공사</t>
  </si>
  <si>
    <t>난방설비공사</t>
  </si>
  <si>
    <t>자동화재탐지</t>
  </si>
  <si>
    <t>환기공사</t>
  </si>
  <si>
    <t>등  급</t>
  </si>
  <si>
    <t>단독주택</t>
  </si>
  <si>
    <t>공조배관공사,우수처리시설공사,기타공사</t>
  </si>
  <si>
    <t>옥외소화배관공사,펌프실배관공사,기타공사</t>
  </si>
  <si>
    <t xml:space="preserve">CATV 및 TV 설비공사	</t>
  </si>
  <si>
    <t>포장공사,기타공사</t>
  </si>
  <si>
    <t>CCTV설비공사,기타공사</t>
  </si>
  <si>
    <t>기타공사</t>
  </si>
  <si>
    <t>우수공사,오수공사</t>
  </si>
  <si>
    <t>옥외보안등설비공사</t>
  </si>
  <si>
    <t>1000 M2 미만</t>
    <phoneticPr fontId="4" type="noConversion"/>
  </si>
  <si>
    <t>구  조</t>
    <phoneticPr fontId="5" type="noConversion"/>
  </si>
  <si>
    <t>외  장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</si>
</sst>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6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41" fontId="3" fillId="0" borderId="0">
      <alignment vertical="center"/>
    </xf>
  </cellStyleXfs>
  <cellXfs count="81">
    <xf numFmtId="0" fontId="0" fillId="0" borderId="0" xfId="0" applyNumberFormat="1">
      <alignment vertical="center"/>
    </xf>
    <xf numFmtId="49" fontId="0" fillId="0" borderId="1" xfId="0" applyNumberFormat="1" applyFill="1" applyBorder="1">
      <alignment vertical="center"/>
    </xf>
    <xf numFmtId="0" fontId="0" fillId="0" borderId="0" xfId="0" applyNumberFormat="1" applyFill="1">
      <alignment vertical="center"/>
    </xf>
    <xf numFmtId="176" fontId="0" fillId="0" borderId="0" xfId="0" applyNumberFormat="1" applyFill="1">
      <alignment vertical="center"/>
    </xf>
    <xf numFmtId="0" fontId="0" fillId="0" borderId="2" xfId="0" applyNumberFormat="1" applyFill="1" applyBorder="1">
      <alignment vertical="center"/>
    </xf>
    <xf numFmtId="0" fontId="0" fillId="0" borderId="3" xfId="0" applyNumberFormat="1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5" xfId="0" applyNumberFormat="1" applyFill="1" applyBorder="1">
      <alignment vertical="center"/>
    </xf>
    <xf numFmtId="176" fontId="0" fillId="0" borderId="5" xfId="0" applyNumberFormat="1" applyFill="1" applyBorder="1">
      <alignment vertical="center"/>
    </xf>
    <xf numFmtId="0" fontId="0" fillId="0" borderId="4" xfId="0" applyNumberFormat="1" applyFill="1" applyBorder="1">
      <alignment vertical="center"/>
    </xf>
    <xf numFmtId="0" fontId="0" fillId="0" borderId="5" xfId="0" applyNumberFormat="1" applyFill="1" applyBorder="1">
      <alignment vertical="center"/>
    </xf>
    <xf numFmtId="0" fontId="0" fillId="0" borderId="1" xfId="0" applyNumberFormat="1" applyFill="1" applyBorder="1">
      <alignment vertical="center"/>
    </xf>
    <xf numFmtId="0" fontId="0" fillId="0" borderId="6" xfId="0" applyNumberFormat="1" applyFill="1" applyBorder="1">
      <alignment vertical="center"/>
    </xf>
    <xf numFmtId="0" fontId="0" fillId="0" borderId="7" xfId="0" applyNumberFormat="1" applyFill="1" applyBorder="1">
      <alignment vertical="center"/>
    </xf>
    <xf numFmtId="0" fontId="0" fillId="0" borderId="8" xfId="0" applyNumberFormat="1" applyFill="1" applyBorder="1">
      <alignment vertical="center"/>
    </xf>
    <xf numFmtId="0" fontId="0" fillId="0" borderId="9" xfId="0" applyNumberFormat="1" applyFill="1" applyBorder="1">
      <alignment vertical="center"/>
    </xf>
    <xf numFmtId="0" fontId="0" fillId="0" borderId="10" xfId="0" applyNumberFormat="1" applyFill="1" applyBorder="1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NumberFormat="1" applyFill="1" applyAlignment="1">
      <alignment horizontal="right" vertical="center"/>
    </xf>
    <xf numFmtId="0" fontId="0" fillId="0" borderId="3" xfId="0" applyNumberFormat="1" applyFill="1" applyBorder="1" applyAlignment="1">
      <alignment horizontal="right" vertical="center"/>
    </xf>
    <xf numFmtId="49" fontId="0" fillId="0" borderId="1" xfId="0" applyNumberFormat="1" applyFill="1" applyBorder="1" applyAlignment="1">
      <alignment horizontal="right" vertical="center"/>
    </xf>
    <xf numFmtId="49" fontId="0" fillId="0" borderId="8" xfId="0" applyNumberFormat="1" applyFill="1" applyBorder="1" applyAlignment="1">
      <alignment horizontal="right" vertical="center"/>
    </xf>
    <xf numFmtId="41" fontId="0" fillId="0" borderId="3" xfId="1" applyNumberFormat="1" applyFont="1" applyFill="1" applyBorder="1">
      <alignment vertical="center"/>
    </xf>
    <xf numFmtId="177" fontId="0" fillId="0" borderId="3" xfId="0" applyNumberFormat="1" applyFill="1" applyBorder="1">
      <alignment vertical="center"/>
    </xf>
    <xf numFmtId="176" fontId="0" fillId="0" borderId="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8" xfId="0" applyNumberFormat="1" applyFill="1" applyBorder="1">
      <alignment vertical="center"/>
    </xf>
    <xf numFmtId="41" fontId="0" fillId="0" borderId="1" xfId="1" applyNumberFormat="1" applyFont="1" applyFill="1" applyBorder="1">
      <alignment vertical="center"/>
    </xf>
    <xf numFmtId="0" fontId="0" fillId="2" borderId="3" xfId="0" applyNumberFormat="1" applyFill="1" applyBorder="1">
      <alignment vertical="center"/>
    </xf>
    <xf numFmtId="49" fontId="0" fillId="2" borderId="1" xfId="0" applyNumberFormat="1" applyFill="1" applyBorder="1">
      <alignment vertical="center"/>
    </xf>
    <xf numFmtId="176" fontId="0" fillId="2" borderId="5" xfId="0" applyNumberFormat="1" applyFill="1" applyBorder="1">
      <alignment vertical="center"/>
    </xf>
    <xf numFmtId="0" fontId="0" fillId="2" borderId="5" xfId="0" applyNumberFormat="1" applyFill="1" applyBorder="1">
      <alignment vertical="center"/>
    </xf>
    <xf numFmtId="0" fontId="0" fillId="2" borderId="1" xfId="0" applyNumberFormat="1" applyFill="1" applyBorder="1">
      <alignment vertical="center"/>
    </xf>
    <xf numFmtId="0" fontId="0" fillId="2" borderId="9" xfId="0" applyNumberFormat="1" applyFill="1" applyBorder="1">
      <alignment vertical="center"/>
    </xf>
    <xf numFmtId="0" fontId="0" fillId="2" borderId="8" xfId="0" applyNumberFormat="1" applyFill="1" applyBorder="1">
      <alignment vertical="center"/>
    </xf>
    <xf numFmtId="41" fontId="0" fillId="0" borderId="0" xfId="1" applyNumberFormat="1" applyFont="1" applyFill="1">
      <alignment vertical="center"/>
    </xf>
    <xf numFmtId="41" fontId="0" fillId="0" borderId="11" xfId="1" applyNumberFormat="1" applyFont="1" applyFill="1" applyBorder="1">
      <alignment vertical="center"/>
    </xf>
    <xf numFmtId="4" fontId="0" fillId="0" borderId="11" xfId="0" applyNumberFormat="1" applyFill="1" applyBorder="1">
      <alignment vertical="center"/>
    </xf>
    <xf numFmtId="49" fontId="0" fillId="2" borderId="5" xfId="0" applyNumberFormat="1" applyFill="1" applyBorder="1">
      <alignment vertical="center"/>
    </xf>
    <xf numFmtId="3" fontId="0" fillId="0" borderId="12" xfId="0" applyNumberFormat="1" applyFill="1" applyBorder="1">
      <alignment vertical="center"/>
    </xf>
    <xf numFmtId="3" fontId="0" fillId="0" borderId="13" xfId="0" applyNumberFormat="1" applyFill="1" applyBorder="1">
      <alignment vertical="center"/>
    </xf>
    <xf numFmtId="3" fontId="0" fillId="0" borderId="14" xfId="0" applyNumberFormat="1" applyFill="1" applyBorder="1">
      <alignment vertical="center"/>
    </xf>
    <xf numFmtId="3" fontId="0" fillId="0" borderId="2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5" xfId="0" applyNumberFormat="1" applyFill="1" applyBorder="1">
      <alignment vertical="center"/>
    </xf>
    <xf numFmtId="49" fontId="1" fillId="2" borderId="15" xfId="0" applyNumberFormat="1" applyFont="1" applyFill="1" applyBorder="1" applyAlignment="1">
      <alignment horizontal="center" vertical="center"/>
    </xf>
    <xf numFmtId="49" fontId="1" fillId="2" borderId="16" xfId="0" applyNumberFormat="1" applyFont="1" applyFill="1" applyBorder="1" applyAlignment="1">
      <alignment horizontal="center" vertical="center"/>
    </xf>
    <xf numFmtId="49" fontId="1" fillId="2" borderId="17" xfId="0" applyNumberFormat="1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176" fontId="0" fillId="2" borderId="19" xfId="0" applyNumberFormat="1" applyFill="1" applyBorder="1">
      <alignment vertical="center"/>
    </xf>
    <xf numFmtId="0" fontId="0" fillId="2" borderId="19" xfId="0" applyNumberFormat="1" applyFill="1" applyBorder="1">
      <alignment vertical="center"/>
    </xf>
    <xf numFmtId="3" fontId="0" fillId="0" borderId="20" xfId="0" applyNumberFormat="1" applyFill="1" applyBorder="1">
      <alignment vertical="center"/>
    </xf>
    <xf numFmtId="3" fontId="0" fillId="0" borderId="17" xfId="0" applyNumberFormat="1" applyFill="1" applyBorder="1">
      <alignment vertical="center"/>
    </xf>
    <xf numFmtId="0" fontId="2" fillId="0" borderId="21" xfId="0" applyNumberFormat="1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NumberFormat="1" applyFill="1">
      <alignment vertical="center"/>
    </xf>
    <xf numFmtId="41" fontId="0" fillId="3" borderId="0" xfId="1" applyNumberFormat="1" applyFont="1" applyFill="1">
      <alignment vertical="center"/>
    </xf>
    <xf numFmtId="3" fontId="0" fillId="0" borderId="22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23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0" fontId="0" fillId="0" borderId="12" xfId="0" applyNumberFormat="1" applyFill="1" applyBorder="1">
      <alignment vertical="center"/>
    </xf>
    <xf numFmtId="49" fontId="3" fillId="0" borderId="3" xfId="0" applyNumberFormat="1" applyFont="1" applyFill="1" applyBorder="1">
      <alignment vertical="center"/>
    </xf>
    <xf numFmtId="49" fontId="1" fillId="2" borderId="25" xfId="0" applyNumberFormat="1" applyFont="1" applyFill="1" applyBorder="1" applyAlignment="1">
      <alignment horizontal="center" vertical="center"/>
    </xf>
    <xf numFmtId="49" fontId="1" fillId="2" borderId="26" xfId="0" applyNumberFormat="1" applyFont="1" applyFill="1" applyBorder="1" applyAlignment="1">
      <alignment horizontal="center" vertical="center"/>
    </xf>
    <xf numFmtId="49" fontId="1" fillId="2" borderId="27" xfId="0" applyNumberFormat="1" applyFont="1" applyFill="1" applyBorder="1" applyAlignment="1">
      <alignment horizontal="center" vertical="center"/>
    </xf>
    <xf numFmtId="0" fontId="0" fillId="0" borderId="28" xfId="0" applyNumberFormat="1" applyFill="1" applyBorder="1" applyAlignment="1">
      <alignment horizontal="center" vertical="center"/>
    </xf>
    <xf numFmtId="0" fontId="0" fillId="0" borderId="29" xfId="0" applyNumberFormat="1" applyFill="1" applyBorder="1" applyAlignment="1">
      <alignment horizontal="center" vertical="center"/>
    </xf>
    <xf numFmtId="0" fontId="0" fillId="0" borderId="30" xfId="0" applyNumberFormat="1" applyFill="1" applyBorder="1" applyAlignment="1">
      <alignment horizontal="center" vertical="center"/>
    </xf>
    <xf numFmtId="49" fontId="1" fillId="0" borderId="31" xfId="0" applyNumberFormat="1" applyFont="1" applyFill="1" applyBorder="1" applyAlignment="1">
      <alignment horizontal="center" vertical="center"/>
    </xf>
    <xf numFmtId="49" fontId="1" fillId="0" borderId="32" xfId="0" applyNumberFormat="1" applyFont="1" applyFill="1" applyBorder="1" applyAlignment="1">
      <alignment horizontal="center" vertical="center"/>
    </xf>
    <xf numFmtId="49" fontId="1" fillId="0" borderId="15" xfId="0" applyNumberFormat="1" applyFont="1" applyFill="1" applyBorder="1" applyAlignment="1">
      <alignment horizontal="center" vertical="center"/>
    </xf>
    <xf numFmtId="49" fontId="1" fillId="0" borderId="16" xfId="0" applyNumberFormat="1" applyFont="1" applyFill="1" applyBorder="1" applyAlignment="1">
      <alignment horizontal="center" vertical="center"/>
    </xf>
    <xf numFmtId="49" fontId="1" fillId="0" borderId="17" xfId="0" applyNumberFormat="1" applyFont="1" applyFill="1" applyBorder="1" applyAlignment="1">
      <alignment horizontal="center" vertical="center"/>
    </xf>
    <xf numFmtId="49" fontId="1" fillId="0" borderId="18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41" fontId="0" fillId="0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G72"/>
  <sheetViews>
    <sheetView zoomScaleNormal="100" zoomScaleSheetLayoutView="75" workbookViewId="0"/>
  </sheetViews>
  <sheetFormatPr defaultColWidth="9"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2" spans="1:33" x14ac:dyDescent="0.3">
      <c r="A2" s="70" t="s">
        <v>25</v>
      </c>
      <c r="B2" s="73" t="s">
        <v>169</v>
      </c>
      <c r="C2" s="74"/>
      <c r="D2" s="73" t="s">
        <v>164</v>
      </c>
      <c r="E2" s="74"/>
      <c r="F2" s="73" t="s">
        <v>162</v>
      </c>
      <c r="G2" s="74"/>
      <c r="H2" s="73" t="s">
        <v>87</v>
      </c>
      <c r="I2" s="74"/>
      <c r="J2" s="73" t="s">
        <v>160</v>
      </c>
      <c r="K2" s="74"/>
      <c r="L2" s="73" t="s">
        <v>29</v>
      </c>
      <c r="M2" s="74"/>
      <c r="N2" s="73" t="s">
        <v>23</v>
      </c>
      <c r="O2" s="74"/>
      <c r="P2" s="73" t="s">
        <v>83</v>
      </c>
      <c r="Q2" s="74"/>
      <c r="R2" s="67" t="s">
        <v>55</v>
      </c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9"/>
    </row>
    <row r="3" spans="1:33" x14ac:dyDescent="0.3">
      <c r="A3" s="71"/>
      <c r="B3" s="75"/>
      <c r="C3" s="76"/>
      <c r="D3" s="75"/>
      <c r="E3" s="76"/>
      <c r="F3" s="75"/>
      <c r="G3" s="76"/>
      <c r="H3" s="75"/>
      <c r="I3" s="76"/>
      <c r="J3" s="75"/>
      <c r="K3" s="76"/>
      <c r="L3" s="75"/>
      <c r="M3" s="76"/>
      <c r="N3" s="75"/>
      <c r="O3" s="76"/>
      <c r="P3" s="75"/>
      <c r="Q3" s="76"/>
      <c r="R3" s="46" t="s">
        <v>88</v>
      </c>
      <c r="S3" s="47"/>
      <c r="T3" s="46" t="s">
        <v>39</v>
      </c>
      <c r="U3" s="47"/>
      <c r="V3" s="46" t="s">
        <v>79</v>
      </c>
      <c r="W3" s="47"/>
      <c r="X3" s="46" t="s">
        <v>37</v>
      </c>
      <c r="Y3" s="47"/>
      <c r="Z3" s="46" t="s">
        <v>84</v>
      </c>
      <c r="AA3" s="47"/>
      <c r="AB3" s="46" t="s">
        <v>85</v>
      </c>
      <c r="AC3" s="47"/>
      <c r="AD3" s="46" t="s">
        <v>81</v>
      </c>
      <c r="AE3" s="47"/>
      <c r="AF3" s="46" t="s">
        <v>80</v>
      </c>
      <c r="AG3" s="47"/>
    </row>
    <row r="4" spans="1:33" x14ac:dyDescent="0.3">
      <c r="A4" s="72"/>
      <c r="B4" s="77"/>
      <c r="C4" s="78"/>
      <c r="D4" s="77"/>
      <c r="E4" s="78"/>
      <c r="F4" s="77"/>
      <c r="G4" s="78"/>
      <c r="H4" s="77"/>
      <c r="I4" s="78"/>
      <c r="J4" s="77"/>
      <c r="K4" s="78"/>
      <c r="L4" s="77"/>
      <c r="M4" s="78"/>
      <c r="N4" s="77"/>
      <c r="O4" s="78"/>
      <c r="P4" s="77"/>
      <c r="Q4" s="78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45</v>
      </c>
      <c r="D5" s="5">
        <v>1</v>
      </c>
      <c r="E5" s="1" t="s">
        <v>184</v>
      </c>
      <c r="F5" s="5">
        <v>1</v>
      </c>
      <c r="G5" s="66" t="s">
        <v>219</v>
      </c>
      <c r="H5" s="5">
        <v>1</v>
      </c>
      <c r="I5" s="1" t="s">
        <v>17</v>
      </c>
      <c r="J5" s="19">
        <v>1</v>
      </c>
      <c r="K5" s="1" t="s">
        <v>99</v>
      </c>
      <c r="L5" s="5">
        <v>1</v>
      </c>
      <c r="M5" s="6" t="s">
        <v>86</v>
      </c>
      <c r="N5" s="5">
        <v>1</v>
      </c>
      <c r="O5" s="6" t="s">
        <v>52</v>
      </c>
      <c r="P5" s="5">
        <v>1</v>
      </c>
      <c r="Q5" s="1" t="s">
        <v>174</v>
      </c>
      <c r="R5" s="28">
        <v>1</v>
      </c>
      <c r="S5" s="29" t="s">
        <v>78</v>
      </c>
      <c r="T5" s="28">
        <v>1</v>
      </c>
      <c r="U5" s="29" t="s">
        <v>69</v>
      </c>
      <c r="V5" s="28">
        <v>1</v>
      </c>
      <c r="W5" s="29" t="s">
        <v>163</v>
      </c>
      <c r="X5" s="28">
        <v>1</v>
      </c>
      <c r="Y5" s="29" t="s">
        <v>177</v>
      </c>
      <c r="Z5" s="28">
        <v>1</v>
      </c>
      <c r="AA5" s="29" t="s">
        <v>75</v>
      </c>
      <c r="AB5" s="28">
        <v>1</v>
      </c>
      <c r="AC5" s="29" t="s">
        <v>194</v>
      </c>
      <c r="AD5" s="28">
        <v>1</v>
      </c>
      <c r="AE5" s="29" t="s">
        <v>187</v>
      </c>
      <c r="AF5" s="28">
        <v>1</v>
      </c>
      <c r="AG5" s="38" t="s">
        <v>56</v>
      </c>
    </row>
    <row r="6" spans="1:33" x14ac:dyDescent="0.3">
      <c r="A6" s="4">
        <f>+A5+1</f>
        <v>2</v>
      </c>
      <c r="B6" s="5">
        <f>+B5+1</f>
        <v>2</v>
      </c>
      <c r="C6" s="17" t="s">
        <v>159</v>
      </c>
      <c r="D6" s="5">
        <v>2</v>
      </c>
      <c r="E6" s="1" t="s">
        <v>106</v>
      </c>
      <c r="F6" s="5">
        <v>2</v>
      </c>
      <c r="G6" s="17" t="s">
        <v>107</v>
      </c>
      <c r="H6" s="5">
        <v>2</v>
      </c>
      <c r="I6" s="1" t="s">
        <v>18</v>
      </c>
      <c r="J6" s="19">
        <v>2</v>
      </c>
      <c r="K6" s="1" t="s">
        <v>145</v>
      </c>
      <c r="L6" s="5">
        <v>2</v>
      </c>
      <c r="M6" s="6" t="s">
        <v>19</v>
      </c>
      <c r="N6" s="5">
        <v>2</v>
      </c>
      <c r="O6" s="6" t="s">
        <v>26</v>
      </c>
      <c r="P6" s="5">
        <v>2</v>
      </c>
      <c r="Q6" s="1" t="s">
        <v>88</v>
      </c>
      <c r="R6" s="28">
        <v>2</v>
      </c>
      <c r="S6" s="29" t="s">
        <v>165</v>
      </c>
      <c r="T6" s="28">
        <v>2</v>
      </c>
      <c r="U6" s="29" t="s">
        <v>64</v>
      </c>
      <c r="V6" s="28">
        <v>2</v>
      </c>
      <c r="W6" s="29" t="s">
        <v>171</v>
      </c>
      <c r="X6" s="28">
        <v>2</v>
      </c>
      <c r="Y6" s="29" t="s">
        <v>180</v>
      </c>
      <c r="Z6" s="28">
        <v>2</v>
      </c>
      <c r="AA6" s="29" t="s">
        <v>8</v>
      </c>
      <c r="AB6" s="28">
        <v>2</v>
      </c>
      <c r="AC6" s="29" t="s">
        <v>66</v>
      </c>
      <c r="AD6" s="28">
        <v>2</v>
      </c>
      <c r="AE6" s="29" t="s">
        <v>58</v>
      </c>
      <c r="AF6" s="28">
        <v>2</v>
      </c>
      <c r="AG6" s="38" t="s">
        <v>65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137</v>
      </c>
      <c r="D7" s="5">
        <v>3</v>
      </c>
      <c r="E7" s="1" t="s">
        <v>114</v>
      </c>
      <c r="F7" s="5">
        <v>3</v>
      </c>
      <c r="G7" s="17" t="s">
        <v>113</v>
      </c>
      <c r="H7" s="5">
        <v>3</v>
      </c>
      <c r="I7" s="1" t="s">
        <v>14</v>
      </c>
      <c r="J7" s="19">
        <v>3</v>
      </c>
      <c r="K7" s="1" t="s">
        <v>136</v>
      </c>
      <c r="L7" s="5">
        <v>3</v>
      </c>
      <c r="M7" s="6" t="s">
        <v>15</v>
      </c>
      <c r="N7" s="5">
        <v>3</v>
      </c>
      <c r="O7" s="6" t="s">
        <v>10</v>
      </c>
      <c r="P7" s="5">
        <v>3</v>
      </c>
      <c r="Q7" s="1" t="s">
        <v>39</v>
      </c>
      <c r="R7" s="28">
        <v>3</v>
      </c>
      <c r="S7" s="29" t="s">
        <v>82</v>
      </c>
      <c r="T7" s="28">
        <v>3</v>
      </c>
      <c r="U7" s="29" t="s">
        <v>166</v>
      </c>
      <c r="V7" s="28">
        <v>3</v>
      </c>
      <c r="W7" s="29" t="s">
        <v>175</v>
      </c>
      <c r="X7" s="28">
        <v>3</v>
      </c>
      <c r="Y7" s="29" t="s">
        <v>185</v>
      </c>
      <c r="Z7" s="28">
        <v>3</v>
      </c>
      <c r="AA7" s="29" t="s">
        <v>154</v>
      </c>
      <c r="AB7" s="28">
        <v>3</v>
      </c>
      <c r="AC7" s="29" t="s">
        <v>199</v>
      </c>
      <c r="AD7" s="28">
        <v>3</v>
      </c>
      <c r="AE7" s="29" t="s">
        <v>71</v>
      </c>
      <c r="AF7" s="28">
        <v>3</v>
      </c>
      <c r="AG7" s="38" t="s">
        <v>66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11</v>
      </c>
      <c r="D8" s="5">
        <v>4</v>
      </c>
      <c r="E8" s="1" t="s">
        <v>108</v>
      </c>
      <c r="F8" s="5">
        <v>4</v>
      </c>
      <c r="G8" s="17" t="s">
        <v>94</v>
      </c>
      <c r="H8" s="5">
        <v>4</v>
      </c>
      <c r="I8" s="1" t="s">
        <v>51</v>
      </c>
      <c r="J8" s="19">
        <v>4</v>
      </c>
      <c r="K8" s="1" t="s">
        <v>158</v>
      </c>
      <c r="L8" s="5"/>
      <c r="M8" s="6"/>
      <c r="N8" s="5"/>
      <c r="O8" s="6"/>
      <c r="P8" s="5">
        <v>4</v>
      </c>
      <c r="Q8" s="1" t="s">
        <v>79</v>
      </c>
      <c r="R8" s="28">
        <v>4</v>
      </c>
      <c r="S8" s="29" t="s">
        <v>77</v>
      </c>
      <c r="T8" s="28"/>
      <c r="U8" s="29"/>
      <c r="V8" s="28">
        <v>4</v>
      </c>
      <c r="W8" s="29" t="s">
        <v>176</v>
      </c>
      <c r="X8" s="28">
        <v>4</v>
      </c>
      <c r="Y8" s="29" t="s">
        <v>178</v>
      </c>
      <c r="Z8" s="28">
        <v>4</v>
      </c>
      <c r="AA8" s="29" t="s">
        <v>36</v>
      </c>
      <c r="AB8" s="28">
        <v>4</v>
      </c>
      <c r="AC8" s="29" t="s">
        <v>204</v>
      </c>
      <c r="AD8" s="28">
        <v>4</v>
      </c>
      <c r="AE8" s="29" t="s">
        <v>66</v>
      </c>
      <c r="AF8" s="28">
        <v>4</v>
      </c>
      <c r="AG8" s="38" t="s">
        <v>161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210</v>
      </c>
      <c r="D9" s="5">
        <v>5</v>
      </c>
      <c r="E9" s="1" t="s">
        <v>109</v>
      </c>
      <c r="F9" s="5">
        <v>5</v>
      </c>
      <c r="G9" s="17" t="s">
        <v>110</v>
      </c>
      <c r="H9" s="5">
        <v>5</v>
      </c>
      <c r="I9" s="1" t="s">
        <v>13</v>
      </c>
      <c r="J9" s="19">
        <v>5</v>
      </c>
      <c r="K9" s="1" t="s">
        <v>152</v>
      </c>
      <c r="L9" s="5"/>
      <c r="M9" s="6"/>
      <c r="N9" s="5"/>
      <c r="O9" s="6"/>
      <c r="P9" s="5">
        <v>5</v>
      </c>
      <c r="Q9" s="1" t="s">
        <v>37</v>
      </c>
      <c r="R9" s="28">
        <v>5</v>
      </c>
      <c r="S9" s="29" t="s">
        <v>72</v>
      </c>
      <c r="T9" s="28"/>
      <c r="U9" s="29"/>
      <c r="V9" s="28">
        <v>5</v>
      </c>
      <c r="W9" s="29" t="s">
        <v>170</v>
      </c>
      <c r="X9" s="28">
        <v>5</v>
      </c>
      <c r="Y9" s="29" t="s">
        <v>186</v>
      </c>
      <c r="Z9" s="28">
        <v>5</v>
      </c>
      <c r="AA9" s="29" t="s">
        <v>195</v>
      </c>
      <c r="AB9" s="28">
        <v>5</v>
      </c>
      <c r="AC9" s="29" t="s">
        <v>193</v>
      </c>
      <c r="AD9" s="28">
        <v>5</v>
      </c>
      <c r="AE9" s="29" t="s">
        <v>161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59</v>
      </c>
      <c r="D10" s="5">
        <v>6</v>
      </c>
      <c r="E10" s="1" t="s">
        <v>98</v>
      </c>
      <c r="F10" s="5">
        <v>6</v>
      </c>
      <c r="G10" s="17" t="s">
        <v>95</v>
      </c>
      <c r="H10" s="5">
        <v>6</v>
      </c>
      <c r="I10" s="1" t="s">
        <v>22</v>
      </c>
      <c r="J10" s="19">
        <v>6</v>
      </c>
      <c r="K10" s="1" t="s">
        <v>156</v>
      </c>
      <c r="L10" s="5"/>
      <c r="M10" s="6"/>
      <c r="N10" s="5"/>
      <c r="O10" s="6"/>
      <c r="P10" s="5">
        <v>6</v>
      </c>
      <c r="Q10" s="1" t="s">
        <v>84</v>
      </c>
      <c r="R10" s="28">
        <v>6</v>
      </c>
      <c r="S10" s="29" t="s">
        <v>62</v>
      </c>
      <c r="T10" s="28"/>
      <c r="U10" s="29"/>
      <c r="V10" s="28">
        <v>6</v>
      </c>
      <c r="W10" s="29" t="s">
        <v>157</v>
      </c>
      <c r="X10" s="28">
        <v>6</v>
      </c>
      <c r="Y10" s="29" t="s">
        <v>101</v>
      </c>
      <c r="Z10" s="28">
        <v>6</v>
      </c>
      <c r="AA10" s="29" t="s">
        <v>192</v>
      </c>
      <c r="AB10" s="28">
        <v>6</v>
      </c>
      <c r="AC10" s="29" t="s">
        <v>201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198</v>
      </c>
      <c r="D11" s="5">
        <v>7</v>
      </c>
      <c r="E11" s="1" t="s">
        <v>97</v>
      </c>
      <c r="F11" s="5">
        <v>7</v>
      </c>
      <c r="G11" s="17" t="s">
        <v>5</v>
      </c>
      <c r="H11" s="5">
        <v>7</v>
      </c>
      <c r="I11" s="1" t="s">
        <v>42</v>
      </c>
      <c r="J11" s="19">
        <v>7</v>
      </c>
      <c r="K11" s="1" t="s">
        <v>150</v>
      </c>
      <c r="L11" s="5"/>
      <c r="M11" s="6"/>
      <c r="N11" s="5"/>
      <c r="O11" s="6"/>
      <c r="P11" s="5">
        <v>7</v>
      </c>
      <c r="Q11" s="1" t="s">
        <v>85</v>
      </c>
      <c r="R11" s="28">
        <v>7</v>
      </c>
      <c r="S11" s="29" t="s">
        <v>74</v>
      </c>
      <c r="T11" s="28"/>
      <c r="U11" s="29"/>
      <c r="V11" s="28">
        <v>7</v>
      </c>
      <c r="W11" s="29" t="s">
        <v>123</v>
      </c>
      <c r="X11" s="28">
        <v>7</v>
      </c>
      <c r="Y11" s="29" t="s">
        <v>183</v>
      </c>
      <c r="Z11" s="28">
        <v>7</v>
      </c>
      <c r="AA11" s="29" t="s">
        <v>100</v>
      </c>
      <c r="AB11" s="28">
        <v>7</v>
      </c>
      <c r="AC11" s="29" t="s">
        <v>190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57</v>
      </c>
      <c r="D12" s="5">
        <v>8</v>
      </c>
      <c r="E12" s="1" t="s">
        <v>111</v>
      </c>
      <c r="F12" s="5">
        <v>8</v>
      </c>
      <c r="G12" s="17" t="s">
        <v>4</v>
      </c>
      <c r="H12" s="5">
        <v>8</v>
      </c>
      <c r="I12" s="1" t="s">
        <v>47</v>
      </c>
      <c r="J12" s="19">
        <v>8</v>
      </c>
      <c r="K12" s="1" t="s">
        <v>155</v>
      </c>
      <c r="L12" s="5"/>
      <c r="M12" s="6"/>
      <c r="N12" s="5"/>
      <c r="O12" s="6"/>
      <c r="P12" s="5">
        <v>8</v>
      </c>
      <c r="Q12" s="1" t="s">
        <v>81</v>
      </c>
      <c r="R12" s="28">
        <v>8</v>
      </c>
      <c r="S12" s="29" t="s">
        <v>76</v>
      </c>
      <c r="T12" s="28"/>
      <c r="U12" s="29"/>
      <c r="V12" s="28">
        <v>8</v>
      </c>
      <c r="W12" s="29" t="s">
        <v>182</v>
      </c>
      <c r="X12" s="28">
        <v>8</v>
      </c>
      <c r="Y12" s="29" t="s">
        <v>100</v>
      </c>
      <c r="Z12" s="28">
        <v>8</v>
      </c>
      <c r="AA12" s="29" t="s">
        <v>90</v>
      </c>
      <c r="AB12" s="28">
        <v>8</v>
      </c>
      <c r="AC12" s="29" t="s">
        <v>60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27</v>
      </c>
      <c r="D13" s="5">
        <v>9</v>
      </c>
      <c r="E13" s="1" t="s">
        <v>112</v>
      </c>
      <c r="F13" s="5"/>
      <c r="G13" s="17"/>
      <c r="H13" s="5">
        <v>9</v>
      </c>
      <c r="I13" s="1" t="s">
        <v>44</v>
      </c>
      <c r="J13" s="19">
        <v>9</v>
      </c>
      <c r="K13" s="1" t="s">
        <v>151</v>
      </c>
      <c r="L13" s="5"/>
      <c r="M13" s="6"/>
      <c r="N13" s="5"/>
      <c r="O13" s="6"/>
      <c r="P13" s="5">
        <v>9</v>
      </c>
      <c r="Q13" s="1" t="s">
        <v>80</v>
      </c>
      <c r="R13" s="28">
        <v>9</v>
      </c>
      <c r="S13" s="29" t="s">
        <v>61</v>
      </c>
      <c r="T13" s="28"/>
      <c r="U13" s="29"/>
      <c r="V13" s="28">
        <v>9</v>
      </c>
      <c r="W13" s="29" t="s">
        <v>115</v>
      </c>
      <c r="X13" s="28">
        <v>9</v>
      </c>
      <c r="Y13" s="29" t="s">
        <v>6</v>
      </c>
      <c r="Z13" s="28">
        <v>9</v>
      </c>
      <c r="AA13" s="29" t="s">
        <v>189</v>
      </c>
      <c r="AB13" s="28">
        <v>9</v>
      </c>
      <c r="AC13" s="29" t="s">
        <v>207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54</v>
      </c>
      <c r="D14" s="5">
        <v>10</v>
      </c>
      <c r="E14" s="1" t="s">
        <v>96</v>
      </c>
      <c r="F14" s="5"/>
      <c r="G14" s="17"/>
      <c r="H14" s="5">
        <v>10</v>
      </c>
      <c r="I14" s="1" t="s">
        <v>46</v>
      </c>
      <c r="J14" s="19">
        <v>10</v>
      </c>
      <c r="K14" s="1" t="s">
        <v>119</v>
      </c>
      <c r="L14" s="5"/>
      <c r="M14" s="6"/>
      <c r="N14" s="5"/>
      <c r="O14" s="6"/>
      <c r="P14" s="5"/>
      <c r="Q14" s="1"/>
      <c r="R14" s="28">
        <v>10</v>
      </c>
      <c r="S14" s="29" t="s">
        <v>63</v>
      </c>
      <c r="T14" s="28"/>
      <c r="U14" s="29"/>
      <c r="V14" s="28">
        <v>10</v>
      </c>
      <c r="W14" s="29" t="s">
        <v>124</v>
      </c>
      <c r="X14" s="28">
        <v>10</v>
      </c>
      <c r="Y14" s="29" t="s">
        <v>202</v>
      </c>
      <c r="Z14" s="28">
        <v>10</v>
      </c>
      <c r="AA14" s="29" t="s">
        <v>161</v>
      </c>
      <c r="AB14" s="28">
        <v>10</v>
      </c>
      <c r="AC14" s="29" t="s">
        <v>161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196</v>
      </c>
      <c r="D15" s="5"/>
      <c r="E15" s="1"/>
      <c r="F15" s="17"/>
      <c r="G15" s="17"/>
      <c r="H15" s="5">
        <v>11</v>
      </c>
      <c r="I15" s="1" t="s">
        <v>24</v>
      </c>
      <c r="J15" s="19">
        <v>11</v>
      </c>
      <c r="K15" s="1" t="s">
        <v>149</v>
      </c>
      <c r="L15" s="5"/>
      <c r="M15" s="6"/>
      <c r="N15" s="5"/>
      <c r="O15" s="6"/>
      <c r="P15" s="5"/>
      <c r="Q15" s="1"/>
      <c r="R15" s="28">
        <v>11</v>
      </c>
      <c r="S15" s="29" t="s">
        <v>20</v>
      </c>
      <c r="T15" s="28"/>
      <c r="U15" s="29"/>
      <c r="V15" s="28">
        <v>11</v>
      </c>
      <c r="W15" s="29" t="s">
        <v>208</v>
      </c>
      <c r="X15" s="28">
        <v>11</v>
      </c>
      <c r="Y15" s="29" t="s">
        <v>179</v>
      </c>
      <c r="Z15" s="28">
        <v>11</v>
      </c>
      <c r="AA15" s="29" t="s">
        <v>66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12</v>
      </c>
      <c r="D16" s="5"/>
      <c r="E16" s="1"/>
      <c r="F16" s="17"/>
      <c r="G16" s="22"/>
      <c r="H16" s="5">
        <v>12</v>
      </c>
      <c r="I16" s="1" t="s">
        <v>40</v>
      </c>
      <c r="J16" s="19">
        <v>12</v>
      </c>
      <c r="K16" s="1" t="s">
        <v>143</v>
      </c>
      <c r="L16" s="5"/>
      <c r="M16" s="6"/>
      <c r="N16" s="5"/>
      <c r="O16" s="6"/>
      <c r="P16" s="5"/>
      <c r="Q16" s="1"/>
      <c r="R16" s="28">
        <v>12</v>
      </c>
      <c r="S16" s="29" t="s">
        <v>70</v>
      </c>
      <c r="T16" s="28"/>
      <c r="U16" s="29"/>
      <c r="V16" s="28">
        <v>12</v>
      </c>
      <c r="W16" s="29" t="s">
        <v>89</v>
      </c>
      <c r="X16" s="28">
        <v>12</v>
      </c>
      <c r="Y16" s="29" t="s">
        <v>203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21</v>
      </c>
      <c r="D17" s="5"/>
      <c r="E17" s="1"/>
      <c r="F17" s="17"/>
      <c r="G17" s="17"/>
      <c r="H17" s="5">
        <v>13</v>
      </c>
      <c r="I17" s="1" t="s">
        <v>50</v>
      </c>
      <c r="J17" s="19">
        <v>13</v>
      </c>
      <c r="K17" s="1" t="s">
        <v>147</v>
      </c>
      <c r="L17" s="5"/>
      <c r="M17" s="6"/>
      <c r="N17" s="5"/>
      <c r="O17" s="6"/>
      <c r="P17" s="5"/>
      <c r="Q17" s="1"/>
      <c r="R17" s="28">
        <v>13</v>
      </c>
      <c r="S17" s="29" t="s">
        <v>68</v>
      </c>
      <c r="T17" s="28"/>
      <c r="U17" s="29"/>
      <c r="V17" s="28">
        <v>13</v>
      </c>
      <c r="W17" s="29" t="s">
        <v>168</v>
      </c>
      <c r="X17" s="28">
        <v>13</v>
      </c>
      <c r="Y17" s="29" t="s">
        <v>197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49</v>
      </c>
      <c r="D18" s="17"/>
      <c r="E18" s="1"/>
      <c r="F18" s="17"/>
      <c r="G18" s="23"/>
      <c r="H18" s="5">
        <v>14</v>
      </c>
      <c r="I18" s="1" t="s">
        <v>48</v>
      </c>
      <c r="J18" s="19">
        <v>14</v>
      </c>
      <c r="K18" s="1" t="s">
        <v>146</v>
      </c>
      <c r="L18" s="5"/>
      <c r="M18" s="6"/>
      <c r="N18" s="5"/>
      <c r="O18" s="6"/>
      <c r="P18" s="5"/>
      <c r="Q18" s="1"/>
      <c r="R18" s="28">
        <v>14</v>
      </c>
      <c r="S18" s="29" t="s">
        <v>67</v>
      </c>
      <c r="T18" s="28"/>
      <c r="U18" s="29"/>
      <c r="V18" s="28">
        <v>14</v>
      </c>
      <c r="W18" s="29" t="s">
        <v>200</v>
      </c>
      <c r="X18" s="28">
        <v>14</v>
      </c>
      <c r="Y18" s="29" t="s">
        <v>191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53</v>
      </c>
      <c r="D19" s="5"/>
      <c r="E19" s="1"/>
      <c r="F19" s="17"/>
      <c r="G19" s="17"/>
      <c r="H19" s="5"/>
      <c r="I19" s="1"/>
      <c r="J19" s="19">
        <v>15</v>
      </c>
      <c r="K19" s="1" t="s">
        <v>153</v>
      </c>
      <c r="L19" s="5"/>
      <c r="M19" s="6"/>
      <c r="N19" s="5"/>
      <c r="O19" s="6"/>
      <c r="P19" s="5"/>
      <c r="Q19" s="1"/>
      <c r="R19" s="28">
        <v>15</v>
      </c>
      <c r="S19" s="29" t="s">
        <v>126</v>
      </c>
      <c r="T19" s="28"/>
      <c r="U19" s="29"/>
      <c r="V19" s="28">
        <v>15</v>
      </c>
      <c r="W19" s="29" t="s">
        <v>117</v>
      </c>
      <c r="X19" s="28">
        <v>15</v>
      </c>
      <c r="Y19" s="29" t="s">
        <v>116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16</v>
      </c>
      <c r="D20" s="5"/>
      <c r="E20" s="1"/>
      <c r="F20" s="17"/>
      <c r="G20" s="17"/>
      <c r="H20" s="5"/>
      <c r="I20" s="1"/>
      <c r="J20" s="19">
        <v>16</v>
      </c>
      <c r="K20" s="1" t="s">
        <v>144</v>
      </c>
      <c r="L20" s="5"/>
      <c r="M20" s="6"/>
      <c r="N20" s="5"/>
      <c r="O20" s="6"/>
      <c r="P20" s="5"/>
      <c r="Q20" s="1"/>
      <c r="R20" s="28">
        <v>16</v>
      </c>
      <c r="S20" s="29" t="s">
        <v>121</v>
      </c>
      <c r="T20" s="28"/>
      <c r="U20" s="29"/>
      <c r="V20" s="28">
        <v>16</v>
      </c>
      <c r="W20" s="29" t="s">
        <v>92</v>
      </c>
      <c r="X20" s="28">
        <v>16</v>
      </c>
      <c r="Y20" s="29" t="s">
        <v>206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66</v>
      </c>
      <c r="D21" s="5"/>
      <c r="E21" s="1"/>
      <c r="F21" s="17"/>
      <c r="G21" s="17"/>
      <c r="H21" s="5"/>
      <c r="I21" s="1"/>
      <c r="J21" s="19">
        <v>17</v>
      </c>
      <c r="K21" s="1" t="s">
        <v>148</v>
      </c>
      <c r="L21" s="5"/>
      <c r="M21" s="6"/>
      <c r="N21" s="5"/>
      <c r="O21" s="6"/>
      <c r="P21" s="5"/>
      <c r="Q21" s="1"/>
      <c r="R21" s="28">
        <v>17</v>
      </c>
      <c r="S21" s="29" t="s">
        <v>43</v>
      </c>
      <c r="T21" s="28"/>
      <c r="U21" s="29"/>
      <c r="V21" s="28">
        <v>17</v>
      </c>
      <c r="W21" s="29" t="s">
        <v>91</v>
      </c>
      <c r="X21" s="28">
        <v>17</v>
      </c>
      <c r="Y21" s="29" t="s">
        <v>2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142</v>
      </c>
      <c r="L22" s="5"/>
      <c r="M22" s="6"/>
      <c r="N22" s="5"/>
      <c r="O22" s="6"/>
      <c r="P22" s="5"/>
      <c r="Q22" s="1"/>
      <c r="R22" s="28">
        <v>18</v>
      </c>
      <c r="S22" s="29" t="s">
        <v>33</v>
      </c>
      <c r="T22" s="28"/>
      <c r="U22" s="29"/>
      <c r="V22" s="28">
        <v>18</v>
      </c>
      <c r="W22" s="29" t="s">
        <v>120</v>
      </c>
      <c r="X22" s="28">
        <v>18</v>
      </c>
      <c r="Y22" s="29" t="s">
        <v>93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138</v>
      </c>
      <c r="L23" s="5"/>
      <c r="M23" s="6"/>
      <c r="N23" s="5"/>
      <c r="O23" s="6"/>
      <c r="P23" s="5"/>
      <c r="Q23" s="1"/>
      <c r="R23" s="28">
        <v>19</v>
      </c>
      <c r="S23" s="29" t="s">
        <v>73</v>
      </c>
      <c r="T23" s="28"/>
      <c r="U23" s="29"/>
      <c r="V23" s="28">
        <v>19</v>
      </c>
      <c r="W23" s="29" t="s">
        <v>103</v>
      </c>
      <c r="X23" s="28">
        <v>19</v>
      </c>
      <c r="Y23" s="29" t="s">
        <v>205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141</v>
      </c>
      <c r="L24" s="5"/>
      <c r="M24" s="6"/>
      <c r="N24" s="5"/>
      <c r="O24" s="6"/>
      <c r="P24" s="5"/>
      <c r="Q24" s="1"/>
      <c r="R24" s="28">
        <v>20</v>
      </c>
      <c r="S24" s="29" t="s">
        <v>161</v>
      </c>
      <c r="T24" s="28"/>
      <c r="U24" s="29"/>
      <c r="V24" s="28">
        <v>20</v>
      </c>
      <c r="W24" s="29" t="s">
        <v>125</v>
      </c>
      <c r="X24" s="28">
        <v>20</v>
      </c>
      <c r="Y24" s="29" t="s">
        <v>161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139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167</v>
      </c>
      <c r="X25" s="28">
        <v>21</v>
      </c>
      <c r="Y25" s="29" t="s">
        <v>66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140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188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181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172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161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x14ac:dyDescent="0.3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66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4" type="noConversion"/>
  <pageMargins left="0.69986110925674438" right="0.69986110925674438" top="0.75" bottom="0.75" header="0.30000001192092896" footer="0.3000000119209289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G161"/>
  <sheetViews>
    <sheetView tabSelected="1" zoomScale="90" zoomScaleNormal="90" zoomScaleSheetLayoutView="75" workbookViewId="0">
      <selection activeCell="A24" sqref="A24"/>
    </sheetView>
  </sheetViews>
  <sheetFormatPr defaultColWidth="9"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2" spans="1:4" x14ac:dyDescent="0.3">
      <c r="A2" s="2">
        <v>1</v>
      </c>
      <c r="B2" s="2" t="s">
        <v>35</v>
      </c>
      <c r="C2" s="36" t="s">
        <v>3</v>
      </c>
    </row>
    <row r="4" spans="1:4" x14ac:dyDescent="0.3">
      <c r="A4" s="2">
        <v>2</v>
      </c>
      <c r="B4" s="2" t="s">
        <v>169</v>
      </c>
      <c r="C4" s="36" t="s">
        <v>66</v>
      </c>
    </row>
    <row r="6" spans="1:4" x14ac:dyDescent="0.3">
      <c r="A6" s="2">
        <v>3</v>
      </c>
      <c r="B6" s="2" t="s">
        <v>31</v>
      </c>
      <c r="C6" s="2" t="s">
        <v>32</v>
      </c>
      <c r="D6" s="35" t="s">
        <v>9</v>
      </c>
    </row>
    <row r="7" spans="1:4" x14ac:dyDescent="0.3">
      <c r="C7" s="37">
        <v>10529.8</v>
      </c>
      <c r="D7" s="36">
        <f>+C7/3.3058</f>
        <v>3185.250166374251</v>
      </c>
    </row>
    <row r="9" spans="1:4" x14ac:dyDescent="0.3">
      <c r="A9" s="2">
        <v>4</v>
      </c>
      <c r="B9" s="2" t="s">
        <v>41</v>
      </c>
      <c r="C9" s="36" t="s">
        <v>40</v>
      </c>
    </row>
    <row r="11" spans="1:4" x14ac:dyDescent="0.3">
      <c r="A11" s="2">
        <v>5</v>
      </c>
      <c r="B11" s="2" t="s">
        <v>173</v>
      </c>
      <c r="C11" s="36" t="s">
        <v>138</v>
      </c>
    </row>
    <row r="13" spans="1:4" x14ac:dyDescent="0.3">
      <c r="A13" s="2">
        <v>6</v>
      </c>
      <c r="B13" s="2" t="s">
        <v>38</v>
      </c>
      <c r="C13" s="36" t="s">
        <v>86</v>
      </c>
    </row>
    <row r="15" spans="1:4" x14ac:dyDescent="0.3">
      <c r="A15" s="2">
        <v>7</v>
      </c>
      <c r="B15" s="2" t="s">
        <v>209</v>
      </c>
      <c r="C15" s="36" t="s">
        <v>26</v>
      </c>
    </row>
    <row r="17" spans="1:5" x14ac:dyDescent="0.3">
      <c r="A17" s="79">
        <v>8</v>
      </c>
      <c r="B17" s="79" t="s">
        <v>220</v>
      </c>
      <c r="C17" s="80"/>
    </row>
    <row r="18" spans="1:5" x14ac:dyDescent="0.3">
      <c r="A18" s="79"/>
      <c r="B18" s="79"/>
      <c r="C18" s="80"/>
    </row>
    <row r="19" spans="1:5" x14ac:dyDescent="0.3">
      <c r="A19" s="79">
        <v>9</v>
      </c>
      <c r="B19" s="79" t="s">
        <v>221</v>
      </c>
      <c r="C19" s="80"/>
    </row>
    <row r="23" spans="1:5" x14ac:dyDescent="0.3">
      <c r="A23" s="2">
        <v>10</v>
      </c>
      <c r="B23" s="2" t="s">
        <v>30</v>
      </c>
      <c r="C23" s="2" t="s">
        <v>28</v>
      </c>
      <c r="D23" s="2" t="s">
        <v>134</v>
      </c>
      <c r="E23" s="35" t="s">
        <v>122</v>
      </c>
    </row>
    <row r="24" spans="1:5" x14ac:dyDescent="0.3">
      <c r="B24" s="2">
        <v>1</v>
      </c>
      <c r="C24" s="35" t="s">
        <v>174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88</v>
      </c>
      <c r="D25" s="45">
        <f>+D60</f>
        <v>1021250</v>
      </c>
      <c r="E25" s="59">
        <f t="shared" si="0"/>
        <v>3376040</v>
      </c>
    </row>
    <row r="26" spans="1:5" x14ac:dyDescent="0.3">
      <c r="B26" s="2">
        <v>3</v>
      </c>
      <c r="C26" s="35" t="s">
        <v>39</v>
      </c>
      <c r="D26" s="45">
        <f>+D66</f>
        <v>81240</v>
      </c>
      <c r="E26" s="59">
        <f t="shared" si="0"/>
        <v>268560</v>
      </c>
    </row>
    <row r="27" spans="1:5" x14ac:dyDescent="0.3">
      <c r="B27" s="2">
        <v>4</v>
      </c>
      <c r="C27" s="35" t="s">
        <v>79</v>
      </c>
      <c r="D27" s="45">
        <f>+D95</f>
        <v>239590</v>
      </c>
      <c r="E27" s="59">
        <f t="shared" si="0"/>
        <v>792030</v>
      </c>
    </row>
    <row r="28" spans="1:5" x14ac:dyDescent="0.3">
      <c r="B28" s="2">
        <v>5</v>
      </c>
      <c r="C28" s="35" t="s">
        <v>37</v>
      </c>
      <c r="D28" s="45">
        <f>+D119</f>
        <v>257900</v>
      </c>
      <c r="E28" s="59">
        <f t="shared" si="0"/>
        <v>852560</v>
      </c>
    </row>
    <row r="29" spans="1:5" x14ac:dyDescent="0.3">
      <c r="B29" s="2">
        <v>6</v>
      </c>
      <c r="C29" s="35" t="s">
        <v>84</v>
      </c>
      <c r="D29" s="45">
        <f>+D133</f>
        <v>107220</v>
      </c>
      <c r="E29" s="59">
        <f t="shared" si="0"/>
        <v>354440</v>
      </c>
    </row>
    <row r="30" spans="1:5" x14ac:dyDescent="0.3">
      <c r="B30" s="2">
        <v>7</v>
      </c>
      <c r="C30" s="35" t="s">
        <v>85</v>
      </c>
      <c r="D30" s="45">
        <f>+D146</f>
        <v>94200</v>
      </c>
      <c r="E30" s="59">
        <f t="shared" si="0"/>
        <v>311400</v>
      </c>
    </row>
    <row r="31" spans="1:5" x14ac:dyDescent="0.3">
      <c r="B31" s="2">
        <v>8</v>
      </c>
      <c r="C31" s="35" t="s">
        <v>81</v>
      </c>
      <c r="D31" s="45">
        <f>+D154</f>
        <v>74530</v>
      </c>
      <c r="E31" s="59">
        <f t="shared" si="0"/>
        <v>246380</v>
      </c>
    </row>
    <row r="32" spans="1:5" x14ac:dyDescent="0.3">
      <c r="B32" s="2">
        <v>9</v>
      </c>
      <c r="C32" s="35" t="s">
        <v>80</v>
      </c>
      <c r="D32" s="45">
        <f>+D161</f>
        <v>39160</v>
      </c>
      <c r="E32" s="59">
        <f t="shared" si="0"/>
        <v>129450</v>
      </c>
    </row>
    <row r="33" spans="1:7" x14ac:dyDescent="0.3">
      <c r="B33" s="2">
        <v>10</v>
      </c>
      <c r="C33" s="35" t="s">
        <v>105</v>
      </c>
      <c r="D33" s="53">
        <f>TRUNC(SUM(D24:D32)*0.275,-1)</f>
        <v>526640</v>
      </c>
      <c r="E33" s="60">
        <f t="shared" si="0"/>
        <v>1740960</v>
      </c>
    </row>
    <row r="34" spans="1:7" x14ac:dyDescent="0.3">
      <c r="C34" s="35" t="s">
        <v>34</v>
      </c>
      <c r="D34" s="44">
        <f>SUM(D24:D33)</f>
        <v>2441730</v>
      </c>
      <c r="E34" s="44">
        <f>SUM(E24:E33)</f>
        <v>8071820</v>
      </c>
    </row>
    <row r="35" spans="1:7" s="56" customFormat="1" x14ac:dyDescent="0.3">
      <c r="C35" s="57"/>
      <c r="D35" s="57"/>
      <c r="E35" s="57"/>
      <c r="G35" s="55"/>
    </row>
    <row r="36" spans="1:7" s="56" customFormat="1" x14ac:dyDescent="0.3">
      <c r="B36" s="56" t="s">
        <v>174</v>
      </c>
      <c r="C36" s="56" t="s">
        <v>28</v>
      </c>
      <c r="D36" s="57" t="s">
        <v>134</v>
      </c>
      <c r="E36" s="57" t="s">
        <v>122</v>
      </c>
      <c r="G36" s="55"/>
    </row>
    <row r="37" spans="1:7" x14ac:dyDescent="0.3">
      <c r="C37" s="38" t="s">
        <v>174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x14ac:dyDescent="0.3">
      <c r="B39" s="56" t="s">
        <v>88</v>
      </c>
      <c r="C39" s="56" t="s">
        <v>28</v>
      </c>
      <c r="D39" s="57" t="s">
        <v>134</v>
      </c>
      <c r="E39" s="57" t="s">
        <v>122</v>
      </c>
      <c r="G39" s="55"/>
    </row>
    <row r="40" spans="1:7" x14ac:dyDescent="0.3">
      <c r="A40" s="2">
        <v>1</v>
      </c>
      <c r="C40" s="38" t="s">
        <v>78</v>
      </c>
      <c r="D40" s="40">
        <f>TRUNC(57802,-1)</f>
        <v>57800</v>
      </c>
      <c r="E40" s="62">
        <f t="shared" ref="E40:E59" si="1">TRUNC(+D40*3.3058,-1)</f>
        <v>191070</v>
      </c>
    </row>
    <row r="41" spans="1:7" x14ac:dyDescent="0.3">
      <c r="A41" s="2">
        <v>2</v>
      </c>
      <c r="C41" s="38" t="s">
        <v>165</v>
      </c>
      <c r="D41" s="42">
        <f>TRUNC(200902,-1)</f>
        <v>200900</v>
      </c>
      <c r="E41" s="63">
        <f t="shared" si="1"/>
        <v>664130</v>
      </c>
    </row>
    <row r="42" spans="1:7" x14ac:dyDescent="0.3">
      <c r="A42" s="2">
        <v>3</v>
      </c>
      <c r="C42" s="38" t="s">
        <v>82</v>
      </c>
      <c r="D42" s="42">
        <f>TRUNC(36263,-1)</f>
        <v>36260</v>
      </c>
      <c r="E42" s="63">
        <f t="shared" si="1"/>
        <v>119860</v>
      </c>
    </row>
    <row r="43" spans="1:7" x14ac:dyDescent="0.3">
      <c r="A43" s="2">
        <v>4</v>
      </c>
      <c r="C43" s="38" t="s">
        <v>77</v>
      </c>
      <c r="D43" s="42">
        <f>TRUNC(19123,-1)</f>
        <v>19120</v>
      </c>
      <c r="E43" s="63">
        <f t="shared" si="1"/>
        <v>63200</v>
      </c>
    </row>
    <row r="44" spans="1:7" x14ac:dyDescent="0.3">
      <c r="A44" s="2">
        <v>5</v>
      </c>
      <c r="C44" s="38" t="s">
        <v>72</v>
      </c>
      <c r="D44" s="42">
        <f>TRUNC(42461,-1)</f>
        <v>42460</v>
      </c>
      <c r="E44" s="63">
        <f t="shared" si="1"/>
        <v>140360</v>
      </c>
    </row>
    <row r="45" spans="1:7" x14ac:dyDescent="0.3">
      <c r="A45" s="2">
        <v>6</v>
      </c>
      <c r="C45" s="38" t="s">
        <v>62</v>
      </c>
      <c r="D45" s="42">
        <f>TRUNC(15579,-1)</f>
        <v>15570</v>
      </c>
      <c r="E45" s="63">
        <f t="shared" si="1"/>
        <v>51470</v>
      </c>
    </row>
    <row r="46" spans="1:7" x14ac:dyDescent="0.3">
      <c r="A46" s="2">
        <v>7</v>
      </c>
      <c r="C46" s="38" t="s">
        <v>74</v>
      </c>
      <c r="D46" s="42">
        <f>TRUNC(7175,-1)</f>
        <v>7170</v>
      </c>
      <c r="E46" s="63">
        <f t="shared" si="1"/>
        <v>23700</v>
      </c>
    </row>
    <row r="47" spans="1:7" x14ac:dyDescent="0.3">
      <c r="A47" s="2">
        <v>8</v>
      </c>
      <c r="C47" s="38" t="s">
        <v>76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61</v>
      </c>
      <c r="D48" s="42">
        <f>TRUNC(78327,-1)</f>
        <v>78320</v>
      </c>
      <c r="E48" s="63">
        <f t="shared" si="1"/>
        <v>258910</v>
      </c>
      <c r="F48" s="2" t="s">
        <v>102</v>
      </c>
    </row>
    <row r="49" spans="1:7" x14ac:dyDescent="0.3">
      <c r="A49" s="2">
        <v>10</v>
      </c>
      <c r="C49" s="38" t="s">
        <v>63</v>
      </c>
      <c r="D49" s="42">
        <f>TRUNC(33094,-1)</f>
        <v>33090</v>
      </c>
      <c r="E49" s="63">
        <f t="shared" si="1"/>
        <v>109380</v>
      </c>
    </row>
    <row r="50" spans="1:7" x14ac:dyDescent="0.3">
      <c r="A50" s="2">
        <v>11</v>
      </c>
      <c r="C50" s="38" t="s">
        <v>20</v>
      </c>
      <c r="D50" s="42">
        <f>TRUNC(73590,-1)</f>
        <v>73590</v>
      </c>
      <c r="E50" s="63">
        <f t="shared" si="1"/>
        <v>243270</v>
      </c>
      <c r="F50" s="2" t="s">
        <v>128</v>
      </c>
    </row>
    <row r="51" spans="1:7" x14ac:dyDescent="0.3">
      <c r="A51" s="2">
        <v>12</v>
      </c>
      <c r="C51" s="38" t="s">
        <v>70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68</v>
      </c>
      <c r="D52" s="42">
        <f>TRUNC(15220,-1)</f>
        <v>15220</v>
      </c>
      <c r="E52" s="63">
        <f t="shared" si="1"/>
        <v>50310</v>
      </c>
    </row>
    <row r="53" spans="1:7" x14ac:dyDescent="0.3">
      <c r="A53" s="2">
        <v>14</v>
      </c>
      <c r="C53" s="38" t="s">
        <v>67</v>
      </c>
      <c r="D53" s="42">
        <f>TRUNC(88530,-1)</f>
        <v>88530</v>
      </c>
      <c r="E53" s="63">
        <f t="shared" si="1"/>
        <v>292660</v>
      </c>
      <c r="F53" s="2" t="s">
        <v>7</v>
      </c>
    </row>
    <row r="54" spans="1:7" x14ac:dyDescent="0.3">
      <c r="A54" s="2">
        <v>15</v>
      </c>
      <c r="C54" s="38" t="s">
        <v>126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121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43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33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73</v>
      </c>
      <c r="D58" s="42">
        <f>TRUNC(9384+1514+7926-951+36138,-1)</f>
        <v>54010</v>
      </c>
      <c r="E58" s="63">
        <f t="shared" si="1"/>
        <v>178540</v>
      </c>
      <c r="F58" s="2" t="s">
        <v>1</v>
      </c>
    </row>
    <row r="59" spans="1:7" x14ac:dyDescent="0.3">
      <c r="A59" s="2">
        <v>20</v>
      </c>
      <c r="C59" s="38" t="s">
        <v>161</v>
      </c>
      <c r="D59" s="43">
        <f>TRUNC(299210,-1)</f>
        <v>299210</v>
      </c>
      <c r="E59" s="64">
        <f t="shared" si="1"/>
        <v>989120</v>
      </c>
    </row>
    <row r="60" spans="1:7" x14ac:dyDescent="0.3">
      <c r="A60" s="2">
        <v>21</v>
      </c>
      <c r="C60" s="27" t="s">
        <v>34</v>
      </c>
      <c r="D60" s="39">
        <f>SUM(D40:D59)</f>
        <v>1021250</v>
      </c>
      <c r="E60" s="39">
        <f>SUM(E40:E59)</f>
        <v>3375980</v>
      </c>
    </row>
    <row r="61" spans="1:7" s="56" customFormat="1" x14ac:dyDescent="0.3">
      <c r="C61" s="57"/>
      <c r="D61" s="57"/>
      <c r="E61" s="57"/>
      <c r="G61" s="55"/>
    </row>
    <row r="62" spans="1:7" s="56" customFormat="1" x14ac:dyDescent="0.3">
      <c r="B62" s="56" t="s">
        <v>133</v>
      </c>
      <c r="C62" s="56" t="s">
        <v>28</v>
      </c>
      <c r="D62" s="57" t="s">
        <v>134</v>
      </c>
      <c r="E62" s="57" t="s">
        <v>122</v>
      </c>
      <c r="G62" s="55"/>
    </row>
    <row r="63" spans="1:7" x14ac:dyDescent="0.3">
      <c r="A63" s="2">
        <v>1</v>
      </c>
      <c r="C63" s="38" t="s">
        <v>69</v>
      </c>
      <c r="D63" s="40">
        <f>TRUNC(52107,-1)</f>
        <v>52100</v>
      </c>
      <c r="E63" s="62">
        <f>TRUNC(+D63*3.3058,-1)</f>
        <v>172230</v>
      </c>
    </row>
    <row r="64" spans="1:7" x14ac:dyDescent="0.3">
      <c r="A64" s="2">
        <v>2</v>
      </c>
      <c r="C64" s="38" t="s">
        <v>64</v>
      </c>
      <c r="D64" s="42">
        <v>0</v>
      </c>
      <c r="E64" s="63">
        <f>TRUNC(+D64*3.3058,-1)</f>
        <v>0</v>
      </c>
    </row>
    <row r="65" spans="1:7" x14ac:dyDescent="0.3">
      <c r="A65" s="2">
        <v>3</v>
      </c>
      <c r="C65" s="38" t="s">
        <v>166</v>
      </c>
      <c r="D65" s="43">
        <f>TRUNC(29141,-1)</f>
        <v>29140</v>
      </c>
      <c r="E65" s="64">
        <f>TRUNC(+D65*3.3058,-1)</f>
        <v>96330</v>
      </c>
    </row>
    <row r="66" spans="1:7" x14ac:dyDescent="0.3">
      <c r="A66" s="2">
        <v>4</v>
      </c>
      <c r="C66" s="27" t="s">
        <v>34</v>
      </c>
      <c r="D66" s="39">
        <f>SUM(D63:D65)</f>
        <v>81240</v>
      </c>
      <c r="E66" s="65">
        <f>SUM(E63:E65)</f>
        <v>268560</v>
      </c>
    </row>
    <row r="67" spans="1:7" s="56" customFormat="1" x14ac:dyDescent="0.3">
      <c r="C67" s="57"/>
      <c r="D67" s="57"/>
      <c r="E67" s="57"/>
      <c r="G67" s="55"/>
    </row>
    <row r="68" spans="1:7" s="56" customFormat="1" x14ac:dyDescent="0.3">
      <c r="B68" s="56" t="s">
        <v>132</v>
      </c>
      <c r="C68" s="56" t="s">
        <v>28</v>
      </c>
      <c r="D68" s="57" t="s">
        <v>134</v>
      </c>
      <c r="E68" s="57" t="s">
        <v>122</v>
      </c>
      <c r="G68" s="55"/>
    </row>
    <row r="69" spans="1:7" x14ac:dyDescent="0.3">
      <c r="A69" s="2">
        <v>1</v>
      </c>
      <c r="C69" s="38" t="s">
        <v>163</v>
      </c>
      <c r="D69" s="40">
        <f>TRUNC(35803,-1)</f>
        <v>35800</v>
      </c>
      <c r="E69" s="62">
        <f t="shared" ref="E69:E94" si="2">TRUNC(+D69*3.3058,-1)</f>
        <v>118340</v>
      </c>
    </row>
    <row r="70" spans="1:7" ht="16.5" customHeight="1" x14ac:dyDescent="0.3">
      <c r="A70" s="2">
        <v>2</v>
      </c>
      <c r="C70" s="38" t="s">
        <v>171</v>
      </c>
      <c r="D70" s="42">
        <f>TRUNC(2446,-1)</f>
        <v>2440</v>
      </c>
      <c r="E70" s="63">
        <f t="shared" si="2"/>
        <v>8060</v>
      </c>
    </row>
    <row r="71" spans="1:7" x14ac:dyDescent="0.3">
      <c r="A71" s="2">
        <v>3</v>
      </c>
      <c r="C71" s="38" t="s">
        <v>175</v>
      </c>
      <c r="D71" s="42">
        <f>TRUNC(7706,-1)</f>
        <v>7700</v>
      </c>
      <c r="E71" s="63">
        <f t="shared" si="2"/>
        <v>25450</v>
      </c>
    </row>
    <row r="72" spans="1:7" x14ac:dyDescent="0.3">
      <c r="A72" s="2">
        <v>4</v>
      </c>
      <c r="C72" s="38" t="s">
        <v>176</v>
      </c>
      <c r="D72" s="42">
        <f>TRUNC(3470,-1)</f>
        <v>3470</v>
      </c>
      <c r="E72" s="63">
        <f t="shared" si="2"/>
        <v>11470</v>
      </c>
    </row>
    <row r="73" spans="1:7" x14ac:dyDescent="0.3">
      <c r="A73" s="2">
        <v>5</v>
      </c>
      <c r="C73" s="38" t="s">
        <v>170</v>
      </c>
      <c r="D73" s="42">
        <f>TRUNC(29903,-1)</f>
        <v>29900</v>
      </c>
      <c r="E73" s="63">
        <f t="shared" si="2"/>
        <v>98840</v>
      </c>
    </row>
    <row r="74" spans="1:7" x14ac:dyDescent="0.3">
      <c r="A74" s="2">
        <v>6</v>
      </c>
      <c r="C74" s="38" t="s">
        <v>157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123</v>
      </c>
      <c r="D75" s="42">
        <f>TRUNC(911,-1)</f>
        <v>910</v>
      </c>
      <c r="E75" s="63">
        <f t="shared" si="2"/>
        <v>3000</v>
      </c>
    </row>
    <row r="76" spans="1:7" x14ac:dyDescent="0.3">
      <c r="A76" s="2">
        <v>8</v>
      </c>
      <c r="C76" s="38" t="s">
        <v>182</v>
      </c>
      <c r="D76" s="42">
        <f>TRUNC(38008,-1)</f>
        <v>38000</v>
      </c>
      <c r="E76" s="63">
        <f t="shared" si="2"/>
        <v>125620</v>
      </c>
    </row>
    <row r="77" spans="1:7" x14ac:dyDescent="0.3">
      <c r="A77" s="2">
        <v>9</v>
      </c>
      <c r="C77" s="38" t="s">
        <v>104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124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208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89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168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200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117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92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91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120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103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125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167</v>
      </c>
      <c r="D89" s="42">
        <f>TRUNC(25408,-1)</f>
        <v>25400</v>
      </c>
      <c r="E89" s="63">
        <f t="shared" si="2"/>
        <v>83960</v>
      </c>
    </row>
    <row r="90" spans="1:7" x14ac:dyDescent="0.3">
      <c r="A90" s="2">
        <v>22</v>
      </c>
      <c r="C90" s="38" t="s">
        <v>188</v>
      </c>
      <c r="D90" s="42">
        <f>TRUNC(3764,-1)</f>
        <v>3760</v>
      </c>
      <c r="E90" s="63">
        <f t="shared" si="2"/>
        <v>12420</v>
      </c>
    </row>
    <row r="91" spans="1:7" x14ac:dyDescent="0.3">
      <c r="A91" s="2">
        <v>23</v>
      </c>
      <c r="C91" s="38" t="s">
        <v>181</v>
      </c>
      <c r="D91" s="42">
        <f>TRUNC(24567,-1)</f>
        <v>24560</v>
      </c>
      <c r="E91" s="63">
        <f t="shared" si="2"/>
        <v>81190</v>
      </c>
    </row>
    <row r="92" spans="1:7" x14ac:dyDescent="0.3">
      <c r="A92" s="2">
        <v>24</v>
      </c>
      <c r="C92" s="38" t="s">
        <v>172</v>
      </c>
      <c r="D92" s="42">
        <f>TRUNC(9500,-1)</f>
        <v>9500</v>
      </c>
      <c r="E92" s="63">
        <f t="shared" si="2"/>
        <v>31400</v>
      </c>
    </row>
    <row r="93" spans="1:7" x14ac:dyDescent="0.3">
      <c r="A93" s="2">
        <v>25</v>
      </c>
      <c r="C93" s="38" t="s">
        <v>161</v>
      </c>
      <c r="D93" s="42">
        <v>0</v>
      </c>
      <c r="E93" s="63">
        <f t="shared" si="2"/>
        <v>0</v>
      </c>
    </row>
    <row r="94" spans="1:7" x14ac:dyDescent="0.3">
      <c r="A94" s="2">
        <v>26</v>
      </c>
      <c r="C94" s="38" t="s">
        <v>66</v>
      </c>
      <c r="D94" s="43">
        <f>TRUNC(24141+5899+28111,-1)</f>
        <v>58150</v>
      </c>
      <c r="E94" s="64">
        <f t="shared" si="2"/>
        <v>192230</v>
      </c>
      <c r="F94" s="2" t="s">
        <v>211</v>
      </c>
    </row>
    <row r="95" spans="1:7" x14ac:dyDescent="0.3">
      <c r="A95" s="2">
        <v>27</v>
      </c>
      <c r="C95" s="27" t="s">
        <v>34</v>
      </c>
      <c r="D95" s="39">
        <f>SUM(D69:D94)</f>
        <v>239590</v>
      </c>
      <c r="E95" s="39">
        <f>SUM(E69:E94)</f>
        <v>791980</v>
      </c>
    </row>
    <row r="96" spans="1:7" s="56" customFormat="1" x14ac:dyDescent="0.3">
      <c r="C96" s="57"/>
      <c r="D96" s="57"/>
      <c r="E96" s="57"/>
      <c r="G96" s="55"/>
    </row>
    <row r="97" spans="1:7" s="56" customFormat="1" x14ac:dyDescent="0.3">
      <c r="B97" s="56" t="s">
        <v>135</v>
      </c>
      <c r="C97" s="56" t="s">
        <v>28</v>
      </c>
      <c r="D97" s="57" t="s">
        <v>134</v>
      </c>
      <c r="E97" s="57" t="s">
        <v>122</v>
      </c>
      <c r="G97" s="55"/>
    </row>
    <row r="98" spans="1:7" x14ac:dyDescent="0.3">
      <c r="A98" s="2">
        <v>1</v>
      </c>
      <c r="C98" s="38" t="s">
        <v>177</v>
      </c>
      <c r="D98" s="40">
        <f>TRUNC(46024,-1)</f>
        <v>46020</v>
      </c>
      <c r="E98" s="62">
        <f t="shared" ref="E98:E118" si="3">TRUNC(+D98*3.3058,-1)</f>
        <v>152130</v>
      </c>
    </row>
    <row r="99" spans="1:7" x14ac:dyDescent="0.3">
      <c r="A99" s="2">
        <v>2</v>
      </c>
      <c r="C99" s="38" t="s">
        <v>180</v>
      </c>
      <c r="D99" s="42">
        <f>TRUNC(9212,-1)</f>
        <v>9210</v>
      </c>
      <c r="E99" s="63">
        <f t="shared" si="3"/>
        <v>30440</v>
      </c>
    </row>
    <row r="100" spans="1:7" x14ac:dyDescent="0.3">
      <c r="A100" s="2">
        <v>3</v>
      </c>
      <c r="C100" s="38" t="s">
        <v>185</v>
      </c>
      <c r="D100" s="42">
        <f>TRUNC(49054,-1)</f>
        <v>49050</v>
      </c>
      <c r="E100" s="63">
        <f t="shared" si="3"/>
        <v>162140</v>
      </c>
    </row>
    <row r="101" spans="1:7" x14ac:dyDescent="0.3">
      <c r="A101" s="2">
        <v>4</v>
      </c>
      <c r="C101" s="38" t="s">
        <v>178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186</v>
      </c>
      <c r="D102" s="42">
        <f>TRUNC(9069,-1)</f>
        <v>9060</v>
      </c>
      <c r="E102" s="63">
        <f t="shared" si="3"/>
        <v>29950</v>
      </c>
    </row>
    <row r="103" spans="1:7" x14ac:dyDescent="0.3">
      <c r="A103" s="2">
        <v>6</v>
      </c>
      <c r="C103" s="38" t="s">
        <v>101</v>
      </c>
      <c r="D103" s="42">
        <f>TRUNC(4120,-1)</f>
        <v>4120</v>
      </c>
      <c r="E103" s="63">
        <f t="shared" si="3"/>
        <v>13610</v>
      </c>
    </row>
    <row r="104" spans="1:7" x14ac:dyDescent="0.3">
      <c r="A104" s="2">
        <v>7</v>
      </c>
      <c r="C104" s="38" t="s">
        <v>183</v>
      </c>
      <c r="D104" s="42">
        <f>TRUNC(11600,-1)</f>
        <v>11600</v>
      </c>
      <c r="E104" s="63">
        <f t="shared" si="3"/>
        <v>38340</v>
      </c>
    </row>
    <row r="105" spans="1:7" x14ac:dyDescent="0.3">
      <c r="A105" s="2">
        <v>8</v>
      </c>
      <c r="C105" s="38" t="s">
        <v>100</v>
      </c>
      <c r="D105" s="42">
        <f>TRUNC(15683,-1)</f>
        <v>15680</v>
      </c>
      <c r="E105" s="63">
        <f t="shared" si="3"/>
        <v>51830</v>
      </c>
    </row>
    <row r="106" spans="1:7" x14ac:dyDescent="0.3">
      <c r="A106" s="2">
        <v>9</v>
      </c>
      <c r="C106" s="38" t="s">
        <v>6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202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179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203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197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191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116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206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2</v>
      </c>
      <c r="D114" s="42">
        <f>TRUNC(3792,-1)</f>
        <v>3790</v>
      </c>
      <c r="E114" s="63">
        <f t="shared" si="3"/>
        <v>12520</v>
      </c>
      <c r="F114" s="2" t="s">
        <v>218</v>
      </c>
    </row>
    <row r="115" spans="1:7" x14ac:dyDescent="0.3">
      <c r="A115" s="2">
        <v>18</v>
      </c>
      <c r="C115" s="38" t="s">
        <v>93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205</v>
      </c>
      <c r="D116" s="42">
        <f>TRUNC(11984,-1)</f>
        <v>11980</v>
      </c>
      <c r="E116" s="63">
        <f t="shared" si="3"/>
        <v>39600</v>
      </c>
      <c r="F116" s="2" t="s">
        <v>118</v>
      </c>
    </row>
    <row r="117" spans="1:7" x14ac:dyDescent="0.3">
      <c r="A117" s="2">
        <v>20</v>
      </c>
      <c r="C117" s="38" t="s">
        <v>161</v>
      </c>
      <c r="D117" s="42">
        <v>0</v>
      </c>
      <c r="E117" s="63">
        <f t="shared" si="3"/>
        <v>0</v>
      </c>
    </row>
    <row r="118" spans="1:7" x14ac:dyDescent="0.3">
      <c r="A118" s="2">
        <v>21</v>
      </c>
      <c r="C118" s="38" t="s">
        <v>66</v>
      </c>
      <c r="D118" s="43">
        <f>TRUNC(97395,-1)</f>
        <v>97390</v>
      </c>
      <c r="E118" s="64">
        <f t="shared" si="3"/>
        <v>321950</v>
      </c>
      <c r="F118" s="2" t="s">
        <v>216</v>
      </c>
    </row>
    <row r="119" spans="1:7" x14ac:dyDescent="0.3">
      <c r="A119" s="2">
        <v>22</v>
      </c>
      <c r="C119" s="27" t="s">
        <v>34</v>
      </c>
      <c r="D119" s="39">
        <f>SUM(D98:D118)</f>
        <v>257900</v>
      </c>
      <c r="E119" s="39">
        <f>SUM(E98:E118)</f>
        <v>852510</v>
      </c>
    </row>
    <row r="120" spans="1:7" s="56" customFormat="1" x14ac:dyDescent="0.3">
      <c r="C120" s="57"/>
      <c r="D120" s="57"/>
      <c r="E120" s="57"/>
      <c r="G120" s="55"/>
    </row>
    <row r="121" spans="1:7" s="56" customFormat="1" x14ac:dyDescent="0.3">
      <c r="B121" s="56" t="s">
        <v>131</v>
      </c>
      <c r="C121" s="56" t="s">
        <v>28</v>
      </c>
      <c r="D121" s="57" t="s">
        <v>134</v>
      </c>
      <c r="E121" s="57" t="s">
        <v>122</v>
      </c>
      <c r="G121" s="55"/>
    </row>
    <row r="122" spans="1:7" x14ac:dyDescent="0.3">
      <c r="A122" s="2">
        <v>1</v>
      </c>
      <c r="C122" s="38" t="s">
        <v>75</v>
      </c>
      <c r="D122" s="40">
        <f>TRUNC(6267,-1)</f>
        <v>6260</v>
      </c>
      <c r="E122" s="62">
        <f t="shared" ref="E122:E132" si="4">TRUNC(+D122*3.3058,-1)</f>
        <v>20690</v>
      </c>
      <c r="F122" s="2" t="s">
        <v>213</v>
      </c>
    </row>
    <row r="123" spans="1:7" x14ac:dyDescent="0.3">
      <c r="A123" s="2">
        <v>2</v>
      </c>
      <c r="C123" s="38" t="s">
        <v>8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154</v>
      </c>
      <c r="D124" s="42">
        <f>TRUNC(17298,-1)</f>
        <v>17290</v>
      </c>
      <c r="E124" s="63">
        <f t="shared" si="4"/>
        <v>57150</v>
      </c>
    </row>
    <row r="125" spans="1:7" x14ac:dyDescent="0.3">
      <c r="A125" s="2">
        <v>4</v>
      </c>
      <c r="C125" s="38" t="s">
        <v>36</v>
      </c>
      <c r="D125" s="42">
        <f>TRUNC(8973,-1)</f>
        <v>8970</v>
      </c>
      <c r="E125" s="63">
        <f t="shared" si="4"/>
        <v>29650</v>
      </c>
    </row>
    <row r="126" spans="1:7" x14ac:dyDescent="0.3">
      <c r="A126" s="2">
        <v>5</v>
      </c>
      <c r="C126" s="38" t="s">
        <v>195</v>
      </c>
      <c r="D126" s="42">
        <f>TRUNC(3953,-1)</f>
        <v>3950</v>
      </c>
      <c r="E126" s="63">
        <f t="shared" si="4"/>
        <v>13050</v>
      </c>
    </row>
    <row r="127" spans="1:7" x14ac:dyDescent="0.3">
      <c r="A127" s="2">
        <v>6</v>
      </c>
      <c r="C127" s="38" t="s">
        <v>192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100</v>
      </c>
      <c r="D128" s="42">
        <f>TRUNC(7866,-1)</f>
        <v>7860</v>
      </c>
      <c r="E128" s="63">
        <f t="shared" si="4"/>
        <v>25980</v>
      </c>
    </row>
    <row r="129" spans="1:7" x14ac:dyDescent="0.3">
      <c r="A129" s="2">
        <v>8</v>
      </c>
      <c r="C129" s="38" t="s">
        <v>90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189</v>
      </c>
      <c r="D130" s="42">
        <f>TRUNC(17024,-1)</f>
        <v>17020</v>
      </c>
      <c r="E130" s="63">
        <f t="shared" si="4"/>
        <v>56260</v>
      </c>
    </row>
    <row r="131" spans="1:7" x14ac:dyDescent="0.3">
      <c r="A131" s="2">
        <v>10</v>
      </c>
      <c r="C131" s="38" t="s">
        <v>161</v>
      </c>
      <c r="D131" s="42">
        <v>0</v>
      </c>
      <c r="E131" s="63">
        <f t="shared" si="4"/>
        <v>0</v>
      </c>
    </row>
    <row r="132" spans="1:7" ht="17.25" x14ac:dyDescent="0.3">
      <c r="A132" s="2">
        <v>11</v>
      </c>
      <c r="C132" s="38" t="s">
        <v>66</v>
      </c>
      <c r="D132" s="43">
        <f>TRUNC(18699+27175,-1)</f>
        <v>45870</v>
      </c>
      <c r="E132" s="64">
        <f t="shared" si="4"/>
        <v>151630</v>
      </c>
      <c r="F132" s="54" t="s">
        <v>215</v>
      </c>
    </row>
    <row r="133" spans="1:7" x14ac:dyDescent="0.3">
      <c r="A133" s="2">
        <v>12</v>
      </c>
      <c r="C133" s="27" t="s">
        <v>34</v>
      </c>
      <c r="D133" s="39">
        <f>SUM(D122:D132)</f>
        <v>107220</v>
      </c>
      <c r="E133" s="39">
        <f>SUM(E122:E132)</f>
        <v>354410</v>
      </c>
    </row>
    <row r="134" spans="1:7" s="56" customFormat="1" x14ac:dyDescent="0.3">
      <c r="C134" s="57"/>
      <c r="D134" s="57"/>
      <c r="E134" s="57"/>
      <c r="G134" s="55"/>
    </row>
    <row r="135" spans="1:7" s="56" customFormat="1" x14ac:dyDescent="0.3">
      <c r="B135" s="56" t="s">
        <v>130</v>
      </c>
      <c r="C135" s="56" t="s">
        <v>28</v>
      </c>
      <c r="D135" s="57" t="s">
        <v>134</v>
      </c>
      <c r="E135" s="57" t="s">
        <v>122</v>
      </c>
      <c r="G135" s="55"/>
    </row>
    <row r="136" spans="1:7" x14ac:dyDescent="0.3">
      <c r="A136" s="2">
        <v>1</v>
      </c>
      <c r="C136" s="38" t="s">
        <v>194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66</v>
      </c>
      <c r="D137" s="42">
        <f>TRUNC(106+2553+7824,-1)</f>
        <v>10480</v>
      </c>
      <c r="E137" s="63">
        <f t="shared" si="5"/>
        <v>34640</v>
      </c>
      <c r="F137" s="2" t="s">
        <v>212</v>
      </c>
    </row>
    <row r="138" spans="1:7" x14ac:dyDescent="0.3">
      <c r="A138" s="2">
        <v>3</v>
      </c>
      <c r="C138" s="38" t="s">
        <v>199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204</v>
      </c>
      <c r="D139" s="42">
        <f>TRUNC(5119,-1)</f>
        <v>5110</v>
      </c>
      <c r="E139" s="63">
        <f t="shared" si="5"/>
        <v>16890</v>
      </c>
    </row>
    <row r="140" spans="1:7" x14ac:dyDescent="0.3">
      <c r="A140" s="2">
        <v>5</v>
      </c>
      <c r="C140" s="38" t="s">
        <v>193</v>
      </c>
      <c r="D140" s="42">
        <f>TRUNC(4909,-1)</f>
        <v>4900</v>
      </c>
      <c r="E140" s="63">
        <f t="shared" si="5"/>
        <v>16190</v>
      </c>
    </row>
    <row r="141" spans="1:7" x14ac:dyDescent="0.3">
      <c r="A141" s="2">
        <v>6</v>
      </c>
      <c r="C141" s="38" t="s">
        <v>201</v>
      </c>
      <c r="D141" s="42">
        <f>TRUNC(30364,-1)</f>
        <v>30360</v>
      </c>
      <c r="E141" s="63">
        <f t="shared" si="5"/>
        <v>100360</v>
      </c>
    </row>
    <row r="142" spans="1:7" x14ac:dyDescent="0.3">
      <c r="A142" s="2">
        <v>7</v>
      </c>
      <c r="C142" s="38" t="s">
        <v>190</v>
      </c>
      <c r="D142" s="42">
        <f>TRUNC(10574,-1)</f>
        <v>10570</v>
      </c>
      <c r="E142" s="63">
        <f t="shared" si="5"/>
        <v>34940</v>
      </c>
    </row>
    <row r="143" spans="1:7" x14ac:dyDescent="0.3">
      <c r="A143" s="2">
        <v>8</v>
      </c>
      <c r="C143" s="38" t="s">
        <v>60</v>
      </c>
      <c r="D143" s="42">
        <f>TRUNC(4491,-1)</f>
        <v>4490</v>
      </c>
      <c r="E143" s="63">
        <f t="shared" si="5"/>
        <v>14840</v>
      </c>
    </row>
    <row r="144" spans="1:7" x14ac:dyDescent="0.3">
      <c r="A144" s="2">
        <v>9</v>
      </c>
      <c r="C144" s="38" t="s">
        <v>207</v>
      </c>
      <c r="D144" s="42">
        <f>TRUNC(28294,-1)</f>
        <v>28290</v>
      </c>
      <c r="E144" s="63">
        <f t="shared" si="5"/>
        <v>93520</v>
      </c>
    </row>
    <row r="145" spans="1:7" x14ac:dyDescent="0.3">
      <c r="A145" s="2">
        <v>10</v>
      </c>
      <c r="C145" s="38" t="s">
        <v>161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34</v>
      </c>
      <c r="D146" s="39">
        <f>SUM(D136:D145)</f>
        <v>94200</v>
      </c>
      <c r="E146" s="39">
        <f>SUM(E136:E145)</f>
        <v>311380</v>
      </c>
    </row>
    <row r="147" spans="1:7" s="56" customFormat="1" x14ac:dyDescent="0.3">
      <c r="C147" s="57"/>
      <c r="D147" s="57"/>
      <c r="E147" s="57"/>
      <c r="G147" s="55"/>
    </row>
    <row r="148" spans="1:7" s="56" customFormat="1" x14ac:dyDescent="0.3">
      <c r="B148" s="56" t="s">
        <v>127</v>
      </c>
      <c r="C148" s="56" t="s">
        <v>28</v>
      </c>
      <c r="D148" s="57" t="s">
        <v>134</v>
      </c>
      <c r="E148" s="57" t="s">
        <v>122</v>
      </c>
      <c r="G148" s="55"/>
    </row>
    <row r="149" spans="1:7" x14ac:dyDescent="0.3">
      <c r="A149" s="2">
        <v>1</v>
      </c>
      <c r="C149" s="38" t="s">
        <v>187</v>
      </c>
      <c r="D149" s="40">
        <f>TRUNC(15553+4215,-1)</f>
        <v>19760</v>
      </c>
      <c r="E149" s="62">
        <f>TRUNC(+D149*3.3058,-1)</f>
        <v>65320</v>
      </c>
      <c r="F149" s="2" t="s">
        <v>217</v>
      </c>
    </row>
    <row r="150" spans="1:7" x14ac:dyDescent="0.3">
      <c r="A150" s="2">
        <v>2</v>
      </c>
      <c r="C150" s="38" t="s">
        <v>58</v>
      </c>
      <c r="D150" s="42">
        <f>TRUNC(3738,-1)</f>
        <v>3730</v>
      </c>
      <c r="E150" s="63">
        <f>TRUNC(+D150*3.3058,-1)</f>
        <v>12330</v>
      </c>
    </row>
    <row r="151" spans="1:7" x14ac:dyDescent="0.3">
      <c r="A151" s="2">
        <v>3</v>
      </c>
      <c r="C151" s="38" t="s">
        <v>71</v>
      </c>
      <c r="D151" s="42">
        <f>TRUNC(26822,-1)</f>
        <v>26820</v>
      </c>
      <c r="E151" s="63">
        <f>TRUNC(+D151*3.3058,-1)</f>
        <v>88660</v>
      </c>
    </row>
    <row r="152" spans="1:7" x14ac:dyDescent="0.3">
      <c r="A152" s="2">
        <v>4</v>
      </c>
      <c r="C152" s="38" t="s">
        <v>66</v>
      </c>
      <c r="D152" s="42">
        <f>TRUNC(67+674+23484,-1)</f>
        <v>24220</v>
      </c>
      <c r="E152" s="63">
        <f>TRUNC(+D152*3.3058,-1)</f>
        <v>80060</v>
      </c>
      <c r="F152" s="2" t="s">
        <v>0</v>
      </c>
    </row>
    <row r="153" spans="1:7" x14ac:dyDescent="0.3">
      <c r="A153" s="2">
        <v>5</v>
      </c>
      <c r="C153" s="38" t="s">
        <v>161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34</v>
      </c>
      <c r="D154" s="39">
        <f>SUM(D149:D153)</f>
        <v>74530</v>
      </c>
      <c r="E154" s="39">
        <f>SUM(E149:E153)</f>
        <v>246370</v>
      </c>
    </row>
    <row r="155" spans="1:7" s="56" customFormat="1" x14ac:dyDescent="0.3">
      <c r="C155" s="57"/>
      <c r="D155" s="57"/>
      <c r="E155" s="57"/>
      <c r="G155" s="55"/>
    </row>
    <row r="156" spans="1:7" s="56" customFormat="1" x14ac:dyDescent="0.3">
      <c r="B156" s="56" t="s">
        <v>129</v>
      </c>
      <c r="C156" s="56" t="s">
        <v>28</v>
      </c>
      <c r="D156" s="57" t="s">
        <v>134</v>
      </c>
      <c r="E156" s="57" t="s">
        <v>122</v>
      </c>
      <c r="G156" s="55"/>
    </row>
    <row r="157" spans="1:7" x14ac:dyDescent="0.3">
      <c r="A157" s="2">
        <v>1</v>
      </c>
      <c r="C157" s="38" t="s">
        <v>56</v>
      </c>
      <c r="D157" s="40">
        <f>TRUNC(23266,-1)</f>
        <v>23260</v>
      </c>
      <c r="E157" s="62">
        <f>TRUNC(+D157*3.3058,-1)</f>
        <v>76890</v>
      </c>
    </row>
    <row r="158" spans="1:7" x14ac:dyDescent="0.3">
      <c r="A158" s="2">
        <v>2</v>
      </c>
      <c r="C158" s="38" t="s">
        <v>65</v>
      </c>
      <c r="D158" s="42">
        <f>TRUNC(3867,-1)</f>
        <v>3860</v>
      </c>
      <c r="E158" s="63">
        <f>TRUNC(+D158*3.3058,-1)</f>
        <v>12760</v>
      </c>
    </row>
    <row r="159" spans="1:7" x14ac:dyDescent="0.3">
      <c r="A159" s="2">
        <v>3</v>
      </c>
      <c r="C159" s="38" t="s">
        <v>66</v>
      </c>
      <c r="D159" s="42">
        <f>TRUNC(12040+1,-1)</f>
        <v>12040</v>
      </c>
      <c r="E159" s="63">
        <f>TRUNC(+D159*3.3058,-1)</f>
        <v>39800</v>
      </c>
      <c r="F159" s="2" t="s">
        <v>214</v>
      </c>
    </row>
    <row r="160" spans="1:7" x14ac:dyDescent="0.3">
      <c r="A160" s="2">
        <v>4</v>
      </c>
      <c r="C160" s="38" t="s">
        <v>161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34</v>
      </c>
      <c r="D161" s="39">
        <f>SUM(D157:D160)</f>
        <v>39160</v>
      </c>
      <c r="E161" s="39">
        <f>SUM(E157:E160)</f>
        <v>129450</v>
      </c>
    </row>
  </sheetData>
  <sortState ref="A129:AN171">
    <sortCondition ref="C129:C171"/>
  </sortState>
  <phoneticPr fontId="4" type="noConversion"/>
  <pageMargins left="0.69986110925674438" right="0.69986110925674438" top="0.75" bottom="0.75" header="0.30000001192092896" footer="0.30000001192092896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86110925674438" right="0.69986110925674438" top="0.75" bottom="0.75" header="0.30000001192092896" footer="0.30000001192092896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86110925674438" right="0.69986110925674438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cp:revision>3</cp:revision>
  <dcterms:created xsi:type="dcterms:W3CDTF">2020-03-26T22:13:09Z</dcterms:created>
  <dcterms:modified xsi:type="dcterms:W3CDTF">2020-12-08T02:05:23Z</dcterms:modified>
  <cp:version>1100.0100.01</cp:version>
</cp:coreProperties>
</file>