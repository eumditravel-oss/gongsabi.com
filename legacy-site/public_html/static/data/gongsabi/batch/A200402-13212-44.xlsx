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161" i="4"/>
  <c r="E119" i="4"/>
  <c r="E95" i="4"/>
  <c r="E154" i="4"/>
  <c r="D161" i="4" l="1"/>
  <c r="D154" i="4"/>
  <c r="D31" i="4" s="1"/>
  <c r="E31" i="4" s="1"/>
  <c r="D146" i="4"/>
  <c r="D30" i="4" s="1"/>
  <c r="E30" i="4" s="1"/>
  <c r="D133" i="4"/>
  <c r="D119" i="4"/>
  <c r="D95" i="4"/>
  <c r="D27" i="4" s="1"/>
  <c r="E27" i="4" s="1"/>
  <c r="D66" i="4"/>
  <c r="D26" i="4" s="1"/>
  <c r="E26" i="4" s="1"/>
  <c r="D60" i="4"/>
  <c r="D25" i="4" s="1"/>
  <c r="E25" i="4" s="1"/>
  <c r="D32" i="4"/>
  <c r="E32" i="4" s="1"/>
  <c r="D29" i="4"/>
  <c r="E29" i="4" s="1"/>
  <c r="D28" i="4"/>
  <c r="E28" i="4" s="1"/>
  <c r="D24" i="4"/>
  <c r="D7" i="4"/>
  <c r="E24" i="4" l="1"/>
  <c r="E34" i="4" s="1"/>
  <c r="D33" i="4"/>
  <c r="E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<sst xmlns="http://schemas.openxmlformats.org/spreadsheetml/2006/main" count="386" uniqueCount="272">
  <si>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</si>
  <si>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</si>
  <si>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</si>
  <si>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</si>
  <si>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</si>
  <si>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</si>
  <si>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</si>
  <si>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</si>
  <si>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</si>
  <si>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</si>
  <si>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</si>
  <si>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</si>
  <si>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</si>
  <si>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</si>
  <si>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</si>
  <si>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</si>
  <si>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</si>
  <si>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</si>
  <si>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</si>
  <si>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</si>
  <si>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</si>
  <si>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</si>
  <si>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</si>
  <si>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</si>
  <si>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</si>
  <si>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</si>
  <si>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</si>
  <si>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</si>
  <si>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</si>
  <si>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</si>
  <si>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</si>
  <si>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</si>
  <si>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</si>
  <si>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</si>
  <si>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</si>
  <si>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</si>
  <si>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</si>
  <si>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</si>
  <si>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</si>
  <si>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</si>
  <si>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</si>
  <si>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</si>
  <si>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</si>
  <si>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</si>
  <si>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</si>
  <si>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</si>
  <si>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</si>
  <si>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</si>
  <si>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</si>
  <si>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</si>
  <si>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</si>
  <si>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</si>
  <si>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</si>
  <si>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</si>
  <si>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</si>
  <si>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</si>
  <si>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</si>
  <si>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</si>
  <si>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</si>
  <si>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</si>
  <si>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</si>
  <si>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</si>
  <si>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</si>
  <si>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</si>
  <si>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</si>
  <si>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</si>
  <si>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</si>
  <si>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</si>
  <si>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</si>
  <si>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</si>
  <si>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</si>
  <si>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</si>
  <si>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</si>
  <si>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</si>
  <si>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</si>
  <si>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</si>
  <si>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</si>
  <si>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</si>
  <si>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</si>
  <si>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</si>
  <si>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</si>
  <si>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</si>
  <si>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</si>
  <si>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</si>
  <si>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</si>
  <si>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</si>
  <si>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</si>
  <si>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</si>
  <si>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</si>
  <si>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</si>
  <si>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</si>
  <si>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</si>
  <si>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</si>
  <si>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</si>
  <si>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</si>
  <si>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</si>
  <si>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</si>
  <si>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</si>
  <si>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</si>
  <si>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</si>
  <si>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</si>
  <si>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</si>
  <si>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</si>
  <si>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</si>
  <si>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</si>
  <si>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</si>
  <si>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</si>
  <si>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</si>
  <si>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</si>
  <si>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</si>
  <si>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</si>
  <si>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</si>
  <si>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</si>
  <si>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</si>
  <si>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</si>
  <si>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</si>
  <si>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</si>
  <si>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</si>
  <si>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</si>
  <si>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</si>
  <si>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</si>
  <si>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</si>
  <si>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</si>
  <si>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</si>
  <si>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</si>
  <si>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</si>
  <si>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</si>
  <si>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</si>
  <si>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</si>
  <si>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</si>
  <si>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</si>
  <si>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</si>
  <si>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</si>
  <si>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</si>
  <si>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</si>
  <si>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</si>
  <si>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</si>
  <si>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</si>
  <si>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</si>
  <si>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</si>
  <si>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</si>
  <si>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</si>
  <si>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</si>
  <si>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</si>
  <si>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</si>
  <si>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</si>
  <si>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</si>
  <si>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</si>
  <si>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</si>
  <si>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</si>
  <si>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</si>
  <si>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</si>
  <si>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</si>
  <si>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</si>
  <si>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</si>
  <si>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</si>
  <si>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</si>
  <si>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</si>
  <si>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</si>
  <si>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</si>
  <si>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</si>
  <si>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</si>
  <si>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</si>
  <si>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</si>
  <si>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</si>
  <si>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</si>
  <si>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</si>
  <si>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</si>
  <si>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</si>
  <si>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</si>
  <si>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</si>
  <si>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</si>
  <si>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</si>
  <si>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</si>
  <si>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</si>
  <si>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</si>
  <si>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</si>
  <si>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</si>
  <si>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</si>
  <si>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</si>
  <si>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</si>
  <si>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</si>
  <si>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</si>
  <si>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</si>
  <si>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</si>
  <si>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</si>
  <si>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</si>
  <si>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</si>
  <si>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</si>
  <si>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</si>
  <si>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</si>
  <si>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</si>
  <si>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</si>
  <si>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</si>
  <si>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</si>
  <si>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</si>
  <si>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</si>
  <si>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</si>
  <si>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</si>
  <si>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</si>
  <si>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</si>
  <si>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</si>
  <si>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</si>
  <si>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</si>
  <si>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</si>
  <si>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</si>
  <si>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</si>
  <si>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</si>
  <si>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</si>
  <si>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</si>
  <si>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</si>
  <si>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</si>
  <si>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</si>
  <si>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</si>
  <si>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</si>
  <si>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</si>
  <si>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</si>
  <si>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</si>
  <si>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</si>
  <si>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</si>
  <si>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</si>
  <si>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</si>
  <si>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</si>
  <si>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</si>
  <si>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</si>
  <si>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</si>
  <si>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</si>
  <si>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</si>
  <si>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</si>
  <si>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</si>
  <si>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</si>
  <si>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</si>
  <si>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</si>
  <si>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</si>
  <si>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</si>
  <si>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</si>
  <si>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</si>
  <si>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</si>
  <si>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</si>
  <si>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</si>
  <si>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</si>
  <si>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</si>
  <si>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</si>
  <si>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</si>
  <si>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</si>
  <si>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</si>
  <si>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경상도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</si>
  <si>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</si>
  <si>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</si>
  <si>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</si>
  <si>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</si>
  <si>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</si>
  <si>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</si>
  <si>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원/ m2</t>
    <phoneticPr fontId="2" type="noConversion"/>
  </si>
  <si>
    <t>경상북도 소재 00 청사</t>
    <phoneticPr fontId="2" type="noConversion"/>
  </si>
  <si>
    <t>원/ m2</t>
  </si>
  <si>
    <t>원 /평</t>
  </si>
  <si>
    <t>토목공종</t>
    <phoneticPr fontId="2" type="noConversion"/>
  </si>
  <si>
    <t>항 목</t>
    <phoneticPr fontId="2" type="noConversion"/>
  </si>
  <si>
    <t>원/ m2</t>
    <phoneticPr fontId="2" type="noConversion"/>
  </si>
  <si>
    <t>원/ m2</t>
    <phoneticPr fontId="2" type="noConversion"/>
  </si>
  <si>
    <t>원 /평</t>
    <phoneticPr fontId="2" type="noConversion"/>
  </si>
  <si>
    <t>원 /평</t>
    <phoneticPr fontId="2" type="noConversion"/>
  </si>
  <si>
    <t>원/ m2</t>
    <phoneticPr fontId="2" type="noConversion"/>
  </si>
  <si>
    <t>원 /평</t>
    <phoneticPr fontId="2" type="noConversion"/>
  </si>
  <si>
    <t>원/ m2</t>
    <phoneticPr fontId="2" type="noConversion"/>
  </si>
  <si>
    <t>원 /평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</si>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</sst>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3849.2</v>
      </c>
      <c r="D7" s="36">
        <f>+C7/3.3058</f>
        <v>1164.3777603000785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548700</v>
      </c>
      <c r="E25" s="59">
        <f t="shared" si="0"/>
        <v>1813890</v>
      </c>
    </row>
    <row r="26" spans="1:5" x14ac:dyDescent="0.3">
      <c r="B26" s="2">
        <v>3</v>
      </c>
      <c r="C26" s="35" t="s">
        <v>95</v>
      </c>
      <c r="D26" s="45">
        <f>+D66</f>
        <v>17480</v>
      </c>
      <c r="E26" s="59">
        <f t="shared" si="0"/>
        <v>57780</v>
      </c>
    </row>
    <row r="27" spans="1:5" x14ac:dyDescent="0.3">
      <c r="B27" s="2">
        <v>4</v>
      </c>
      <c r="C27" s="35" t="s">
        <v>96</v>
      </c>
      <c r="D27" s="45">
        <f>+D95</f>
        <v>164100</v>
      </c>
      <c r="E27" s="59">
        <f t="shared" si="0"/>
        <v>542480</v>
      </c>
    </row>
    <row r="28" spans="1:5" x14ac:dyDescent="0.3">
      <c r="B28" s="2">
        <v>5</v>
      </c>
      <c r="C28" s="35" t="s">
        <v>97</v>
      </c>
      <c r="D28" s="45">
        <f>+D119</f>
        <v>110170</v>
      </c>
      <c r="E28" s="59">
        <f t="shared" si="0"/>
        <v>364190</v>
      </c>
    </row>
    <row r="29" spans="1:5" x14ac:dyDescent="0.3">
      <c r="B29" s="2">
        <v>6</v>
      </c>
      <c r="C29" s="35" t="s">
        <v>98</v>
      </c>
      <c r="D29" s="45">
        <f>+D133</f>
        <v>48680</v>
      </c>
      <c r="E29" s="59">
        <f t="shared" si="0"/>
        <v>160920</v>
      </c>
    </row>
    <row r="30" spans="1:5" x14ac:dyDescent="0.3">
      <c r="B30" s="2">
        <v>7</v>
      </c>
      <c r="C30" s="35" t="s">
        <v>99</v>
      </c>
      <c r="D30" s="45">
        <f>+D146</f>
        <v>10410</v>
      </c>
      <c r="E30" s="59">
        <f t="shared" si="0"/>
        <v>34410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247370</v>
      </c>
      <c r="E33" s="60">
        <f t="shared" si="0"/>
        <v>817750</v>
      </c>
    </row>
    <row r="34" spans="1:7" x14ac:dyDescent="0.3">
      <c r="C34" s="35" t="s">
        <v>112</v>
      </c>
      <c r="D34" s="44">
        <f>SUM(D24:D33)</f>
        <v>1146910</v>
      </c>
      <c r="E34" s="44">
        <f>SUM(E24:E33)</f>
        <v>3791420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253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239</v>
      </c>
      <c r="D39" s="66" t="s">
        <v>255</v>
      </c>
      <c r="E39" s="66" t="s">
        <v>256</v>
      </c>
      <c r="G39" s="67"/>
    </row>
    <row r="40" spans="1:7" x14ac:dyDescent="0.3">
      <c r="A40" s="2">
        <v>1</v>
      </c>
      <c r="C40" s="38" t="s">
        <v>15</v>
      </c>
      <c r="D40" s="40">
        <v>38830</v>
      </c>
      <c r="E40" s="62">
        <f t="shared" ref="E40:E59" si="1">TRUNC(+D40*3.3058,-1)</f>
        <v>128360</v>
      </c>
    </row>
    <row r="41" spans="1:7" x14ac:dyDescent="0.3">
      <c r="A41" s="2">
        <v>2</v>
      </c>
      <c r="C41" s="38" t="s">
        <v>13</v>
      </c>
      <c r="D41" s="42">
        <v>175300</v>
      </c>
      <c r="E41" s="63">
        <f t="shared" si="1"/>
        <v>579500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334570</v>
      </c>
      <c r="E58" s="63">
        <f t="shared" si="1"/>
        <v>1106020</v>
      </c>
      <c r="F58" s="2" t="s">
        <v>248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548700</v>
      </c>
      <c r="E60" s="39">
        <f>SUM(E40:E59)</f>
        <v>1813880</v>
      </c>
    </row>
    <row r="61" spans="1:7" s="55" customFormat="1" x14ac:dyDescent="0.3">
      <c r="C61" s="56"/>
      <c r="D61" s="56"/>
      <c r="E61" s="56"/>
      <c r="G61" s="54"/>
    </row>
    <row r="62" spans="1:7" s="55" customFormat="1" ht="17.25" thickBot="1" x14ac:dyDescent="0.35">
      <c r="B62" s="55" t="s">
        <v>257</v>
      </c>
      <c r="C62" s="55" t="s">
        <v>258</v>
      </c>
      <c r="D62" s="56" t="s">
        <v>260</v>
      </c>
      <c r="E62" s="56" t="s">
        <v>262</v>
      </c>
      <c r="G62" s="54"/>
    </row>
    <row r="63" spans="1:7" x14ac:dyDescent="0.3">
      <c r="A63" s="2">
        <v>1</v>
      </c>
      <c r="C63" s="38" t="s">
        <v>27</v>
      </c>
      <c r="D63" s="40">
        <v>17480</v>
      </c>
      <c r="E63" s="62">
        <f>TRUNC(+D63*3.3058,-1)</f>
        <v>57780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17480</v>
      </c>
      <c r="E66" s="57">
        <f>SUM(E63:E65)</f>
        <v>57780</v>
      </c>
    </row>
    <row r="67" spans="1:7" s="55" customFormat="1" x14ac:dyDescent="0.3">
      <c r="C67" s="56"/>
      <c r="D67" s="56"/>
      <c r="E67" s="56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263</v>
      </c>
      <c r="E68" s="56" t="s">
        <v>264</v>
      </c>
      <c r="G68" s="54"/>
    </row>
    <row r="69" spans="1:7" x14ac:dyDescent="0.3">
      <c r="A69" s="2">
        <v>1</v>
      </c>
      <c r="C69" s="38" t="s">
        <v>30</v>
      </c>
      <c r="D69" s="40">
        <v>30610</v>
      </c>
      <c r="E69" s="62">
        <f>TRUNC(+D69*3.3058,-1)</f>
        <v>101190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1700</v>
      </c>
      <c r="E90" s="63">
        <f>TRUNC(+D90*3.3058,-1)</f>
        <v>5610</v>
      </c>
    </row>
    <row r="91" spans="1:7" x14ac:dyDescent="0.3">
      <c r="A91" s="2">
        <v>23</v>
      </c>
      <c r="C91" s="38" t="s">
        <v>37</v>
      </c>
      <c r="D91" s="42">
        <v>3900</v>
      </c>
      <c r="E91" s="63">
        <f>TRUNC(+D91*3.3058,-1)</f>
        <v>12890</v>
      </c>
    </row>
    <row r="92" spans="1:7" x14ac:dyDescent="0.3">
      <c r="A92" s="2">
        <v>24</v>
      </c>
      <c r="C92" s="38" t="s">
        <v>38</v>
      </c>
      <c r="D92" s="42">
        <v>16420</v>
      </c>
      <c r="E92" s="63">
        <f>TRUNC(+D92*3.3058,-1)</f>
        <v>54280</v>
      </c>
    </row>
    <row r="93" spans="1:7" x14ac:dyDescent="0.3">
      <c r="A93" s="2">
        <v>25</v>
      </c>
      <c r="C93" s="38" t="s">
        <v>148</v>
      </c>
      <c r="D93" s="42">
        <v>111470</v>
      </c>
      <c r="E93" s="63">
        <f>TRUNC(+D93*3.3058,-1)</f>
        <v>368490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164100</v>
      </c>
      <c r="E95" s="39">
        <f>SUM(E69:E94)</f>
        <v>542460</v>
      </c>
    </row>
    <row r="96" spans="1:7" s="55" customFormat="1" x14ac:dyDescent="0.3">
      <c r="C96" s="56"/>
      <c r="D96" s="56"/>
      <c r="E96" s="56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259</v>
      </c>
      <c r="E97" s="56" t="s">
        <v>261</v>
      </c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43310</v>
      </c>
      <c r="E100" s="63">
        <f t="shared" si="4"/>
        <v>143170</v>
      </c>
      <c r="F100" s="2" t="s">
        <v>249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19790</v>
      </c>
      <c r="E116" s="63">
        <f t="shared" si="4"/>
        <v>65420</v>
      </c>
      <c r="F116" s="2" t="s">
        <v>250</v>
      </c>
    </row>
    <row r="117" spans="1:7" x14ac:dyDescent="0.3">
      <c r="A117" s="2">
        <v>20</v>
      </c>
      <c r="C117" s="38" t="s">
        <v>148</v>
      </c>
      <c r="D117" s="42">
        <v>43200</v>
      </c>
      <c r="E117" s="63">
        <f t="shared" si="4"/>
        <v>142810</v>
      </c>
    </row>
    <row r="118" spans="1:7" ht="17.25" thickBot="1" x14ac:dyDescent="0.35">
      <c r="A118" s="2">
        <v>21</v>
      </c>
      <c r="C118" s="38" t="s">
        <v>47</v>
      </c>
      <c r="D118" s="43">
        <v>3870</v>
      </c>
      <c r="E118" s="64">
        <f t="shared" si="4"/>
        <v>12790</v>
      </c>
      <c r="F118" s="2" t="s">
        <v>251</v>
      </c>
    </row>
    <row r="119" spans="1:7" x14ac:dyDescent="0.3">
      <c r="A119" s="2">
        <v>22</v>
      </c>
      <c r="C119" s="27" t="s">
        <v>112</v>
      </c>
      <c r="D119" s="39">
        <f>SUM(D98:D118)</f>
        <v>110170</v>
      </c>
      <c r="E119" s="39">
        <f>SUM(E98:E118)</f>
        <v>364190</v>
      </c>
    </row>
    <row r="120" spans="1:7" s="55" customFormat="1" x14ac:dyDescent="0.3">
      <c r="C120" s="56"/>
      <c r="D120" s="56"/>
      <c r="E120" s="56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265</v>
      </c>
      <c r="E121" s="56" t="s">
        <v>266</v>
      </c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3000</v>
      </c>
      <c r="E125" s="63">
        <f t="shared" si="5"/>
        <v>9910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11620</v>
      </c>
      <c r="E130" s="63">
        <f t="shared" si="5"/>
        <v>38410</v>
      </c>
    </row>
    <row r="131" spans="1:7" x14ac:dyDescent="0.3">
      <c r="A131" s="2">
        <v>10</v>
      </c>
      <c r="C131" s="38" t="s">
        <v>148</v>
      </c>
      <c r="D131" s="42">
        <v>34060</v>
      </c>
      <c r="E131" s="63">
        <f t="shared" si="5"/>
        <v>112590</v>
      </c>
    </row>
    <row r="132" spans="1:7" ht="17.25" thickBot="1" x14ac:dyDescent="0.35">
      <c r="A132" s="2">
        <v>11</v>
      </c>
      <c r="C132" s="38" t="s">
        <v>47</v>
      </c>
      <c r="D132" s="43"/>
      <c r="E132" s="64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48680</v>
      </c>
      <c r="E133" s="39">
        <f>SUM(E122:E132)</f>
        <v>160910</v>
      </c>
    </row>
    <row r="134" spans="1:7" s="55" customFormat="1" x14ac:dyDescent="0.3">
      <c r="C134" s="56"/>
      <c r="D134" s="56"/>
      <c r="E134" s="56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259</v>
      </c>
      <c r="E135" s="56" t="s">
        <v>261</v>
      </c>
      <c r="G135" s="54"/>
    </row>
    <row r="136" spans="1:7" x14ac:dyDescent="0.3">
      <c r="A136" s="2">
        <v>1</v>
      </c>
      <c r="C136" s="38" t="s">
        <v>131</v>
      </c>
      <c r="D136" s="40">
        <v>4870</v>
      </c>
      <c r="E136" s="62">
        <f t="shared" ref="E136:E145" si="6">TRUNC(+D136*3.3058,-1)</f>
        <v>16090</v>
      </c>
    </row>
    <row r="137" spans="1:7" x14ac:dyDescent="0.3">
      <c r="A137" s="2">
        <v>2</v>
      </c>
      <c r="C137" s="38" t="s">
        <v>47</v>
      </c>
      <c r="D137" s="42">
        <v>5540</v>
      </c>
      <c r="E137" s="63">
        <f t="shared" si="6"/>
        <v>18310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10410</v>
      </c>
      <c r="E146" s="39">
        <f>SUM(E136:E145)</f>
        <v>34400</v>
      </c>
    </row>
    <row r="147" spans="1:7" s="55" customFormat="1" x14ac:dyDescent="0.3">
      <c r="C147" s="56"/>
      <c r="D147" s="56"/>
      <c r="E147" s="56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259</v>
      </c>
      <c r="E148" s="56" t="s">
        <v>261</v>
      </c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267</v>
      </c>
      <c r="E156" s="56" t="s">
        <v>268</v>
      </c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2020-12-07T08:58:03Z</dcterms:modified>
</cp:coreProperties>
</file>