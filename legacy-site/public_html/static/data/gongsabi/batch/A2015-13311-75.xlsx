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1" i="4"/>
  <c r="E145" i="4"/>
  <c r="E144" i="4"/>
  <c r="E143" i="4"/>
  <c r="E139" i="4"/>
  <c r="E138" i="4"/>
  <c r="E136" i="4"/>
  <c r="E129" i="4"/>
  <c r="E127" i="4"/>
  <c r="E126" i="4"/>
  <c r="E123" i="4"/>
  <c r="E118" i="4"/>
  <c r="E115" i="4"/>
  <c r="E114" i="4"/>
  <c r="E113" i="4"/>
  <c r="E112" i="4"/>
  <c r="E111" i="4"/>
  <c r="E110" i="4"/>
  <c r="E109" i="4"/>
  <c r="E108" i="4"/>
  <c r="E107" i="4"/>
  <c r="E106" i="4"/>
  <c r="E101" i="4"/>
  <c r="E10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64" i="4"/>
  <c r="E57" i="4"/>
  <c r="E56" i="4"/>
  <c r="E55" i="4"/>
  <c r="E54" i="4"/>
  <c r="E52" i="4"/>
  <c r="E51" i="4"/>
  <c r="E47" i="4"/>
  <c r="E37" i="4"/>
  <c r="D159" i="4" l="1"/>
  <c r="E159" i="4" s="1"/>
  <c r="D158" i="4"/>
  <c r="E158" i="4" s="1"/>
  <c r="D157" i="4"/>
  <c r="D153" i="4"/>
  <c r="E153" i="4" s="1"/>
  <c r="D152" i="4"/>
  <c r="E152" i="4" s="1"/>
  <c r="D150" i="4"/>
  <c r="E150" i="4" s="1"/>
  <c r="D149" i="4"/>
  <c r="D142" i="4"/>
  <c r="E142" i="4" s="1"/>
  <c r="D141" i="4"/>
  <c r="E141" i="4" s="1"/>
  <c r="D140" i="4"/>
  <c r="E140" i="4" s="1"/>
  <c r="D137" i="4"/>
  <c r="D132" i="4"/>
  <c r="E132" i="4" s="1"/>
  <c r="D131" i="4"/>
  <c r="E131" i="4" s="1"/>
  <c r="D130" i="4"/>
  <c r="E130" i="4" s="1"/>
  <c r="D128" i="4"/>
  <c r="E128" i="4" s="1"/>
  <c r="D125" i="4"/>
  <c r="E125" i="4" s="1"/>
  <c r="D124" i="4"/>
  <c r="E124" i="4" s="1"/>
  <c r="D122" i="4"/>
  <c r="D117" i="4"/>
  <c r="E117" i="4" s="1"/>
  <c r="D116" i="4"/>
  <c r="E116" i="4" s="1"/>
  <c r="D105" i="4"/>
  <c r="E105" i="4" s="1"/>
  <c r="D104" i="4"/>
  <c r="E104" i="4" s="1"/>
  <c r="D103" i="4"/>
  <c r="E103" i="4" s="1"/>
  <c r="D102" i="4"/>
  <c r="E102" i="4" s="1"/>
  <c r="D99" i="4"/>
  <c r="E99" i="4" s="1"/>
  <c r="D98" i="4"/>
  <c r="D94" i="4"/>
  <c r="E94" i="4" s="1"/>
  <c r="D93" i="4"/>
  <c r="E93" i="4" s="1"/>
  <c r="D92" i="4"/>
  <c r="E92" i="4" s="1"/>
  <c r="D91" i="4"/>
  <c r="E91" i="4" s="1"/>
  <c r="D90" i="4"/>
  <c r="E90" i="4" s="1"/>
  <c r="D75" i="4"/>
  <c r="E75" i="4" s="1"/>
  <c r="D73" i="4"/>
  <c r="E73" i="4" s="1"/>
  <c r="D72" i="4"/>
  <c r="D71" i="4"/>
  <c r="E71" i="4" s="1"/>
  <c r="D70" i="4"/>
  <c r="E70" i="4" s="1"/>
  <c r="D69" i="4"/>
  <c r="E69" i="4" s="1"/>
  <c r="D66" i="4"/>
  <c r="D26" i="4" s="1"/>
  <c r="E26" i="4" s="1"/>
  <c r="D65" i="4"/>
  <c r="E65" i="4" s="1"/>
  <c r="D63" i="4"/>
  <c r="E63" i="4" s="1"/>
  <c r="E66" i="4" s="1"/>
  <c r="D59" i="4"/>
  <c r="E59" i="4" s="1"/>
  <c r="D58" i="4"/>
  <c r="E58" i="4" s="1"/>
  <c r="D53" i="4"/>
  <c r="E53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24" i="4"/>
  <c r="E24" i="4" s="1"/>
  <c r="D7" i="4"/>
  <c r="D60" i="4" l="1"/>
  <c r="D25" i="4" s="1"/>
  <c r="E25" i="4" s="1"/>
  <c r="E40" i="4"/>
  <c r="E60" i="4" s="1"/>
  <c r="D146" i="4"/>
  <c r="D30" i="4" s="1"/>
  <c r="E30" i="4" s="1"/>
  <c r="E137" i="4"/>
  <c r="E146" i="4" s="1"/>
  <c r="D154" i="4"/>
  <c r="D31" i="4" s="1"/>
  <c r="E31" i="4" s="1"/>
  <c r="E149" i="4"/>
  <c r="E154" i="4" s="1"/>
  <c r="D161" i="4"/>
  <c r="D32" i="4" s="1"/>
  <c r="E32" i="4" s="1"/>
  <c r="E157" i="4"/>
  <c r="E161" i="4" s="1"/>
  <c r="D95" i="4"/>
  <c r="D27" i="4" s="1"/>
  <c r="E27" i="4" s="1"/>
  <c r="E72" i="4"/>
  <c r="E95" i="4" s="1"/>
  <c r="D119" i="4"/>
  <c r="D28" i="4" s="1"/>
  <c r="E28" i="4" s="1"/>
  <c r="E98" i="4"/>
  <c r="E119" i="4" s="1"/>
  <c r="D133" i="4"/>
  <c r="D29" i="4" s="1"/>
  <c r="E29" i="4" s="1"/>
  <c r="E122" i="4"/>
  <c r="E133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<sst xmlns="http://schemas.openxmlformats.org/spreadsheetml/2006/main" count="393" uniqueCount="266">
  <si>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</si>
  <si>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</si>
  <si>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</si>
  <si>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</si>
  <si>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</si>
  <si>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</si>
  <si>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</si>
  <si>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</si>
  <si>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</si>
  <si>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</si>
  <si>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</si>
  <si>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</si>
  <si>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</si>
  <si>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</si>
  <si>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</si>
  <si>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</si>
  <si>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</si>
  <si>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</si>
  <si>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</si>
  <si>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</si>
  <si>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</si>
  <si>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</si>
  <si>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</si>
  <si>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</si>
  <si>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</si>
  <si>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</si>
  <si>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</si>
  <si>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</si>
  <si>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</si>
  <si>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</si>
  <si>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</si>
  <si>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</si>
  <si>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</si>
  <si>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</si>
  <si>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</si>
  <si>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</si>
  <si>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</si>
  <si>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</si>
  <si>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</si>
  <si>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</si>
  <si>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</si>
  <si>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</si>
  <si>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</si>
  <si>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</si>
  <si>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</si>
  <si>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</si>
  <si>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</si>
  <si>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</si>
  <si>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</si>
  <si>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</si>
  <si>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</si>
  <si>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</si>
  <si>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</si>
  <si>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</si>
  <si>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</si>
  <si>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</si>
  <si>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</si>
  <si>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</si>
  <si>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</si>
  <si>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</si>
  <si>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</si>
  <si>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</si>
  <si>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</si>
  <si>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</si>
  <si>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</si>
  <si>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</si>
  <si>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</si>
  <si>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</si>
  <si>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</si>
  <si>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</si>
  <si>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</si>
  <si>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</si>
  <si>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</si>
  <si>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</si>
  <si>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</si>
  <si>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</si>
  <si>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</si>
  <si>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</si>
  <si>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</si>
  <si>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</si>
  <si>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</si>
  <si>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</si>
  <si>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</si>
  <si>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</si>
  <si>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</si>
  <si>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</si>
  <si>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</si>
  <si>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</si>
  <si>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</si>
  <si>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</si>
  <si>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</si>
  <si>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</si>
  <si>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</si>
  <si>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</si>
  <si>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</si>
  <si>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</si>
  <si>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</si>
  <si>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</si>
  <si>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</si>
  <si>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</si>
  <si>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</si>
  <si>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</si>
  <si>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</si>
  <si>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</si>
  <si>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</si>
  <si>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</si>
  <si>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</si>
  <si>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</si>
  <si>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</si>
  <si>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</si>
  <si>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</si>
  <si>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</si>
  <si>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</si>
  <si>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</si>
  <si>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</si>
  <si>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</si>
  <si>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</si>
  <si>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</si>
  <si>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</si>
  <si>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</si>
  <si>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</si>
  <si>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</si>
  <si>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</si>
  <si>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</si>
  <si>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</si>
  <si>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</si>
  <si>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</si>
  <si>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</si>
  <si>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</si>
  <si>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</si>
  <si>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</si>
  <si>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</si>
  <si>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</si>
  <si>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</si>
  <si>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</si>
  <si>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</si>
  <si>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</si>
  <si>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</si>
  <si>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</si>
  <si>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</si>
  <si>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</si>
  <si>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</si>
  <si>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</si>
  <si>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</si>
  <si>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</si>
  <si>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</si>
  <si>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</si>
  <si>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</si>
  <si>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</si>
  <si>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</si>
  <si>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</si>
  <si>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</si>
  <si>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</si>
  <si>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</si>
  <si>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</si>
  <si>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</si>
  <si>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</si>
  <si>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</si>
  <si>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</si>
  <si>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</si>
  <si>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</si>
  <si>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</si>
  <si>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</si>
  <si>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</si>
  <si>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</si>
  <si>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</si>
  <si>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</si>
  <si>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</si>
  <si>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</si>
  <si>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</si>
  <si>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</si>
  <si>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</si>
  <si>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</si>
  <si>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</si>
  <si>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</si>
  <si>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</si>
  <si>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</si>
  <si>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</si>
  <si>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</si>
  <si>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</si>
  <si>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</si>
  <si>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</si>
  <si>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</si>
  <si>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</si>
  <si>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</si>
  <si>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</si>
  <si>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</si>
  <si>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</si>
  <si>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</si>
  <si>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</si>
  <si>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</si>
  <si>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</si>
  <si>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</si>
  <si>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</si>
  <si>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</si>
  <si>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</si>
  <si>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</si>
  <si>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</si>
  <si>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</si>
  <si>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</si>
  <si>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</si>
  <si>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</si>
  <si>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</si>
  <si>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</si>
  <si>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</si>
  <si>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</si>
  <si>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</si>
  <si>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</si>
  <si>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</si>
  <si>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</si>
  <si>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</si>
  <si>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</si>
  <si>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</si>
  <si>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</si>
  <si>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</si>
  <si>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</si>
  <si>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</si>
  <si>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</si>
  <si>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</si>
  <si>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</si>
  <si>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</si>
  <si>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</si>
  <si>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</si>
  <si>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</si>
  <si>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</si>
  <si>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</si>
  <si>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</si>
  <si>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</si>
  <si>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</si>
  <si>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</si>
  <si>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</si>
  <si>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</si>
  <si>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</si>
  <si>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</si>
  <si>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</si>
  <si>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</si>
  <si>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</si>
  <si>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</si>
  <si>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</si>
  <si>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</si>
  <si>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</si>
  <si>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</si>
  <si>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</si>
  <si>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</si>
  <si>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</si>
  <si>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</si>
  <si>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 xml:space="preserve"> 식약처 본부청사 증축공사</t>
  </si>
  <si>
    <t>업무</t>
  </si>
  <si>
    <t>충청도</t>
  </si>
  <si>
    <t>평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</si>
  <si>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</si>
  <si>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</si>
  <si>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</si>
  <si>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기초공사,해체및철거공사,골재비및운반비,기타공사</t>
    <phoneticPr fontId="2" type="noConversion"/>
  </si>
  <si>
    <t>공조배관공사,바닥난방공사,기타공사</t>
    <phoneticPr fontId="2" type="noConversion"/>
  </si>
  <si>
    <t>CCTV설비공사, 출입통제설비공사</t>
    <phoneticPr fontId="2" type="noConversion"/>
  </si>
  <si>
    <t>옥외소화배관공사, 펌프실배관공사,기타공사</t>
    <phoneticPr fontId="2" type="noConversion"/>
  </si>
  <si>
    <t>토목</t>
    <phoneticPr fontId="2" type="noConversion"/>
  </si>
  <si>
    <t>토목 운반비,토목 기타공사</t>
    <phoneticPr fontId="2" type="noConversion"/>
  </si>
  <si>
    <t>포장공사, 기타공사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</si>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</sst>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6539</v>
      </c>
      <c r="D7" s="36">
        <f>+C7/3.3058</f>
        <v>1978.0385988263051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1059290</v>
      </c>
      <c r="E25" s="60">
        <f t="shared" si="0"/>
        <v>3501800</v>
      </c>
    </row>
    <row r="26" spans="1:5" x14ac:dyDescent="0.3">
      <c r="B26" s="2">
        <v>3</v>
      </c>
      <c r="C26" s="35" t="s">
        <v>95</v>
      </c>
      <c r="D26" s="45">
        <f>+D66</f>
        <v>80000</v>
      </c>
      <c r="E26" s="60">
        <f t="shared" si="0"/>
        <v>264460</v>
      </c>
    </row>
    <row r="27" spans="1:5" x14ac:dyDescent="0.3">
      <c r="B27" s="2">
        <v>4</v>
      </c>
      <c r="C27" s="35" t="s">
        <v>96</v>
      </c>
      <c r="D27" s="45">
        <f>+D95</f>
        <v>253370</v>
      </c>
      <c r="E27" s="60">
        <f t="shared" si="0"/>
        <v>837590</v>
      </c>
    </row>
    <row r="28" spans="1:5" x14ac:dyDescent="0.3">
      <c r="B28" s="2">
        <v>5</v>
      </c>
      <c r="C28" s="35" t="s">
        <v>97</v>
      </c>
      <c r="D28" s="45">
        <f>+D119</f>
        <v>225240</v>
      </c>
      <c r="E28" s="60">
        <f t="shared" si="0"/>
        <v>744590</v>
      </c>
    </row>
    <row r="29" spans="1:5" x14ac:dyDescent="0.3">
      <c r="B29" s="2">
        <v>6</v>
      </c>
      <c r="C29" s="35" t="s">
        <v>98</v>
      </c>
      <c r="D29" s="45">
        <f>+D133</f>
        <v>112010</v>
      </c>
      <c r="E29" s="60">
        <f t="shared" si="0"/>
        <v>370280</v>
      </c>
    </row>
    <row r="30" spans="1:5" x14ac:dyDescent="0.3">
      <c r="B30" s="2">
        <v>7</v>
      </c>
      <c r="C30" s="35" t="s">
        <v>99</v>
      </c>
      <c r="D30" s="45">
        <f>+D146</f>
        <v>57990</v>
      </c>
      <c r="E30" s="60">
        <f t="shared" si="0"/>
        <v>191700</v>
      </c>
    </row>
    <row r="31" spans="1:5" x14ac:dyDescent="0.3">
      <c r="B31" s="2">
        <v>8</v>
      </c>
      <c r="C31" s="35" t="s">
        <v>100</v>
      </c>
      <c r="D31" s="45">
        <f>+D154</f>
        <v>37440</v>
      </c>
      <c r="E31" s="60">
        <f t="shared" si="0"/>
        <v>123760</v>
      </c>
    </row>
    <row r="32" spans="1:5" x14ac:dyDescent="0.3">
      <c r="B32" s="2">
        <v>9</v>
      </c>
      <c r="C32" s="35" t="s">
        <v>101</v>
      </c>
      <c r="D32" s="45">
        <f>+D161</f>
        <v>6840</v>
      </c>
      <c r="E32" s="60">
        <f t="shared" si="0"/>
        <v>22610</v>
      </c>
    </row>
    <row r="33" spans="1:7" x14ac:dyDescent="0.3">
      <c r="B33" s="2">
        <v>10</v>
      </c>
      <c r="C33" s="35" t="s">
        <v>154</v>
      </c>
      <c r="D33" s="53">
        <f>TRUNC(SUM(D24:D32)*0.275,-1)</f>
        <v>503840</v>
      </c>
      <c r="E33" s="61">
        <f t="shared" si="0"/>
        <v>1665590</v>
      </c>
    </row>
    <row r="34" spans="1:7" x14ac:dyDescent="0.3">
      <c r="C34" s="35" t="s">
        <v>112</v>
      </c>
      <c r="D34" s="44">
        <f>SUM(D24:D33)</f>
        <v>2336020</v>
      </c>
      <c r="E34" s="44">
        <f>SUM(E24:E33)</f>
        <v>7722380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260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TRUNC(62293,-1)</f>
        <v>62290</v>
      </c>
      <c r="E40" s="63">
        <f t="shared" ref="E40:E59" si="1">TRUNC(+D40*3.3058,-1)</f>
        <v>205910</v>
      </c>
    </row>
    <row r="41" spans="1:7" x14ac:dyDescent="0.3">
      <c r="A41" s="2">
        <v>2</v>
      </c>
      <c r="C41" s="38" t="s">
        <v>13</v>
      </c>
      <c r="D41" s="42">
        <f>TRUNC(166667,-1)</f>
        <v>166660</v>
      </c>
      <c r="E41" s="64">
        <f t="shared" si="1"/>
        <v>550940</v>
      </c>
    </row>
    <row r="42" spans="1:7" x14ac:dyDescent="0.3">
      <c r="A42" s="2">
        <v>3</v>
      </c>
      <c r="C42" s="38" t="s">
        <v>14</v>
      </c>
      <c r="D42" s="42">
        <f>TRUNC(45614,-1)</f>
        <v>45610</v>
      </c>
      <c r="E42" s="64">
        <f t="shared" si="1"/>
        <v>150770</v>
      </c>
    </row>
    <row r="43" spans="1:7" x14ac:dyDescent="0.3">
      <c r="A43" s="2">
        <v>4</v>
      </c>
      <c r="C43" s="38" t="s">
        <v>16</v>
      </c>
      <c r="D43" s="42">
        <f>TRUNC(13932,-1)</f>
        <v>13930</v>
      </c>
      <c r="E43" s="64">
        <f t="shared" si="1"/>
        <v>46040</v>
      </c>
    </row>
    <row r="44" spans="1:7" x14ac:dyDescent="0.3">
      <c r="A44" s="2">
        <v>5</v>
      </c>
      <c r="C44" s="38" t="s">
        <v>17</v>
      </c>
      <c r="D44" s="42">
        <f>TRUNC(34924,-1)</f>
        <v>34920</v>
      </c>
      <c r="E44" s="64">
        <f t="shared" si="1"/>
        <v>115430</v>
      </c>
    </row>
    <row r="45" spans="1:7" x14ac:dyDescent="0.3">
      <c r="A45" s="2">
        <v>6</v>
      </c>
      <c r="C45" s="38" t="s">
        <v>18</v>
      </c>
      <c r="D45" s="42">
        <f>TRUNC(9727,-1)</f>
        <v>9720</v>
      </c>
      <c r="E45" s="64">
        <f t="shared" si="1"/>
        <v>32130</v>
      </c>
    </row>
    <row r="46" spans="1:7" x14ac:dyDescent="0.3">
      <c r="A46" s="2">
        <v>7</v>
      </c>
      <c r="C46" s="38" t="s">
        <v>19</v>
      </c>
      <c r="D46" s="42">
        <f>TRUNC(32354,-1)</f>
        <v>32350</v>
      </c>
      <c r="E46" s="64">
        <f t="shared" si="1"/>
        <v>106940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TRUNC(2342,-1)</f>
        <v>2340</v>
      </c>
      <c r="E48" s="64">
        <f t="shared" si="1"/>
        <v>7730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TRUNC(20288,-1)</f>
        <v>20280</v>
      </c>
      <c r="E49" s="64">
        <f t="shared" si="1"/>
        <v>67040</v>
      </c>
    </row>
    <row r="50" spans="1:7" x14ac:dyDescent="0.3">
      <c r="A50" s="2">
        <v>11</v>
      </c>
      <c r="C50" s="38" t="s">
        <v>155</v>
      </c>
      <c r="D50" s="42">
        <f>TRUNC(61068,-1)</f>
        <v>61060</v>
      </c>
      <c r="E50" s="64">
        <f t="shared" si="1"/>
        <v>201850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4">
        <f t="shared" si="1"/>
        <v>0</v>
      </c>
    </row>
    <row r="53" spans="1:7" x14ac:dyDescent="0.3">
      <c r="A53" s="2">
        <v>14</v>
      </c>
      <c r="C53" s="38" t="s">
        <v>25</v>
      </c>
      <c r="D53" s="42">
        <f>TRUNC(194922,-1)</f>
        <v>194920</v>
      </c>
      <c r="E53" s="64">
        <f t="shared" si="1"/>
        <v>644360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TRUNC(22720+173+4526+2459,-1)</f>
        <v>29870</v>
      </c>
      <c r="E58" s="64">
        <f t="shared" si="1"/>
        <v>98740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TRUNC(385342,-1)</f>
        <v>385340</v>
      </c>
      <c r="E59" s="65">
        <f t="shared" si="1"/>
        <v>1273850</v>
      </c>
    </row>
    <row r="60" spans="1:7" x14ac:dyDescent="0.3">
      <c r="A60" s="2">
        <v>21</v>
      </c>
      <c r="C60" s="27" t="s">
        <v>112</v>
      </c>
      <c r="D60" s="39">
        <f>SUM(D40:D59)</f>
        <v>1059290</v>
      </c>
      <c r="E60" s="39">
        <f>SUM(E40:E59)</f>
        <v>3501730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260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TRUNC(34705,-1)</f>
        <v>34700</v>
      </c>
      <c r="E63" s="63">
        <f>TRUNC(+D63*3.3058,-1)</f>
        <v>114710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TRUNC(45305,-1)</f>
        <v>45300</v>
      </c>
      <c r="E65" s="65">
        <f>TRUNC(+D65*3.3058,-1)</f>
        <v>149750</v>
      </c>
    </row>
    <row r="66" spans="1:7" x14ac:dyDescent="0.3">
      <c r="A66" s="2">
        <v>4</v>
      </c>
      <c r="C66" s="27" t="s">
        <v>112</v>
      </c>
      <c r="D66" s="57">
        <f>SUM(D63:D65)</f>
        <v>80000</v>
      </c>
      <c r="E66" s="57">
        <f>SUM(E63:E65)</f>
        <v>264460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260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TRUNC(13855,-1)</f>
        <v>13850</v>
      </c>
      <c r="E69" s="63">
        <f t="shared" ref="E69:E94" si="2">TRUNC(+D69*3.3058,-1)</f>
        <v>45780</v>
      </c>
    </row>
    <row r="70" spans="1:7" ht="16.5" customHeight="1" x14ac:dyDescent="0.3">
      <c r="A70" s="2">
        <v>2</v>
      </c>
      <c r="C70" s="38" t="s">
        <v>31</v>
      </c>
      <c r="D70" s="42">
        <f>TRUNC(1409,-1)</f>
        <v>1400</v>
      </c>
      <c r="E70" s="64">
        <f t="shared" si="2"/>
        <v>4620</v>
      </c>
    </row>
    <row r="71" spans="1:7" x14ac:dyDescent="0.3">
      <c r="A71" s="2">
        <v>3</v>
      </c>
      <c r="C71" s="38" t="s">
        <v>32</v>
      </c>
      <c r="D71" s="42">
        <f>TRUNC(22648,-1)</f>
        <v>22640</v>
      </c>
      <c r="E71" s="64">
        <f t="shared" si="2"/>
        <v>74840</v>
      </c>
    </row>
    <row r="72" spans="1:7" x14ac:dyDescent="0.3">
      <c r="A72" s="2">
        <v>4</v>
      </c>
      <c r="C72" s="38" t="s">
        <v>33</v>
      </c>
      <c r="D72" s="42">
        <f>TRUNC(7282,-1)</f>
        <v>7280</v>
      </c>
      <c r="E72" s="64">
        <f t="shared" si="2"/>
        <v>24060</v>
      </c>
    </row>
    <row r="73" spans="1:7" x14ac:dyDescent="0.3">
      <c r="A73" s="2">
        <v>5</v>
      </c>
      <c r="C73" s="38" t="s">
        <v>34</v>
      </c>
      <c r="D73" s="42">
        <f>TRUNC(6535,-1)</f>
        <v>6530</v>
      </c>
      <c r="E73" s="64">
        <f t="shared" si="2"/>
        <v>21580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TRUNC(3041,-1)</f>
        <v>3040</v>
      </c>
      <c r="E75" s="64">
        <f t="shared" si="2"/>
        <v>10040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v>8850</v>
      </c>
      <c r="E89" s="64">
        <f t="shared" si="2"/>
        <v>29250</v>
      </c>
    </row>
    <row r="90" spans="1:7" x14ac:dyDescent="0.3">
      <c r="A90" s="2">
        <v>22</v>
      </c>
      <c r="C90" s="38" t="s">
        <v>36</v>
      </c>
      <c r="D90" s="42">
        <f>TRUNC(2823,-1)</f>
        <v>2820</v>
      </c>
      <c r="E90" s="64">
        <f t="shared" si="2"/>
        <v>9320</v>
      </c>
    </row>
    <row r="91" spans="1:7" x14ac:dyDescent="0.3">
      <c r="A91" s="2">
        <v>23</v>
      </c>
      <c r="C91" s="38" t="s">
        <v>37</v>
      </c>
      <c r="D91" s="42">
        <f>TRUNC(38893,-1)</f>
        <v>38890</v>
      </c>
      <c r="E91" s="64">
        <f t="shared" si="2"/>
        <v>128560</v>
      </c>
    </row>
    <row r="92" spans="1:7" x14ac:dyDescent="0.3">
      <c r="A92" s="2">
        <v>24</v>
      </c>
      <c r="C92" s="38" t="s">
        <v>38</v>
      </c>
      <c r="D92" s="42">
        <f>TRUNC(6651,-1)</f>
        <v>6650</v>
      </c>
      <c r="E92" s="64">
        <f t="shared" si="2"/>
        <v>21980</v>
      </c>
    </row>
    <row r="93" spans="1:7" x14ac:dyDescent="0.3">
      <c r="A93" s="2">
        <v>25</v>
      </c>
      <c r="C93" s="38" t="s">
        <v>148</v>
      </c>
      <c r="D93" s="42">
        <f>TRUNC(111124,-1)</f>
        <v>111120</v>
      </c>
      <c r="E93" s="64">
        <f t="shared" si="2"/>
        <v>367340</v>
      </c>
    </row>
    <row r="94" spans="1:7" ht="17.25" thickBot="1" x14ac:dyDescent="0.35">
      <c r="A94" s="2">
        <v>26</v>
      </c>
      <c r="C94" s="38" t="s">
        <v>47</v>
      </c>
      <c r="D94" s="43">
        <f>26342+90+3868</f>
        <v>30300</v>
      </c>
      <c r="E94" s="65">
        <f t="shared" si="2"/>
        <v>100160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253370</v>
      </c>
      <c r="E95" s="39">
        <f>SUM(E69:E94)</f>
        <v>837530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260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TRUNC(8386,-1)</f>
        <v>8380</v>
      </c>
      <c r="E98" s="63">
        <f t="shared" ref="E98:E118" si="3">TRUNC(+D98*3.3058,-1)</f>
        <v>27700</v>
      </c>
    </row>
    <row r="99" spans="1:7" x14ac:dyDescent="0.3">
      <c r="A99" s="2">
        <v>2</v>
      </c>
      <c r="C99" s="38" t="s">
        <v>40</v>
      </c>
      <c r="D99" s="42">
        <f>TRUNC(5481,-1)</f>
        <v>5480</v>
      </c>
      <c r="E99" s="64">
        <f t="shared" si="3"/>
        <v>18110</v>
      </c>
    </row>
    <row r="100" spans="1:7" x14ac:dyDescent="0.3">
      <c r="A100" s="2">
        <v>3</v>
      </c>
      <c r="C100" s="38" t="s">
        <v>41</v>
      </c>
      <c r="D100" s="42">
        <v>26340</v>
      </c>
      <c r="E100" s="64">
        <f t="shared" si="3"/>
        <v>87070</v>
      </c>
    </row>
    <row r="101" spans="1:7" x14ac:dyDescent="0.3">
      <c r="A101" s="2">
        <v>4</v>
      </c>
      <c r="C101" s="38" t="s">
        <v>42</v>
      </c>
      <c r="D101" s="42">
        <v>3570</v>
      </c>
      <c r="E101" s="64">
        <f t="shared" si="3"/>
        <v>11800</v>
      </c>
    </row>
    <row r="102" spans="1:7" x14ac:dyDescent="0.3">
      <c r="A102" s="2">
        <v>5</v>
      </c>
      <c r="C102" s="38" t="s">
        <v>43</v>
      </c>
      <c r="D102" s="42">
        <f>TRUNC(14909,-1)</f>
        <v>14900</v>
      </c>
      <c r="E102" s="64">
        <f t="shared" si="3"/>
        <v>49250</v>
      </c>
    </row>
    <row r="103" spans="1:7" x14ac:dyDescent="0.3">
      <c r="A103" s="2">
        <v>6</v>
      </c>
      <c r="C103" s="38" t="s">
        <v>44</v>
      </c>
      <c r="D103" s="42">
        <f>TRUNC(3573,-1)</f>
        <v>3570</v>
      </c>
      <c r="E103" s="64">
        <f t="shared" si="3"/>
        <v>11800</v>
      </c>
    </row>
    <row r="104" spans="1:7" x14ac:dyDescent="0.3">
      <c r="A104" s="2">
        <v>7</v>
      </c>
      <c r="C104" s="38" t="s">
        <v>45</v>
      </c>
      <c r="D104" s="42">
        <f>TRUNC(3336,-1)</f>
        <v>3330</v>
      </c>
      <c r="E104" s="64">
        <f t="shared" si="3"/>
        <v>11000</v>
      </c>
    </row>
    <row r="105" spans="1:7" x14ac:dyDescent="0.3">
      <c r="A105" s="2">
        <v>8</v>
      </c>
      <c r="C105" s="38" t="s">
        <v>46</v>
      </c>
      <c r="D105" s="42">
        <f>TRUNC(7462,-1)</f>
        <v>7460</v>
      </c>
      <c r="E105" s="64">
        <f t="shared" si="3"/>
        <v>24660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TRUNC(10034,-1)</f>
        <v>10030</v>
      </c>
      <c r="E116" s="64">
        <f t="shared" si="3"/>
        <v>33150</v>
      </c>
    </row>
    <row r="117" spans="1:7" x14ac:dyDescent="0.3">
      <c r="A117" s="2">
        <v>20</v>
      </c>
      <c r="C117" s="38" t="s">
        <v>148</v>
      </c>
      <c r="D117" s="42">
        <f>TRUNC(137235,-1)</f>
        <v>137230</v>
      </c>
      <c r="E117" s="64">
        <f t="shared" si="3"/>
        <v>453650</v>
      </c>
    </row>
    <row r="118" spans="1:7" ht="17.25" thickBot="1" x14ac:dyDescent="0.35">
      <c r="A118" s="2">
        <v>21</v>
      </c>
      <c r="C118" s="38" t="s">
        <v>47</v>
      </c>
      <c r="D118" s="43">
        <v>4950</v>
      </c>
      <c r="E118" s="65">
        <f t="shared" si="3"/>
        <v>16360</v>
      </c>
    </row>
    <row r="119" spans="1:7" x14ac:dyDescent="0.3">
      <c r="A119" s="2">
        <v>22</v>
      </c>
      <c r="C119" s="27" t="s">
        <v>112</v>
      </c>
      <c r="D119" s="39">
        <f>SUM(D98:D118)</f>
        <v>225240</v>
      </c>
      <c r="E119" s="39">
        <f>SUM(E98:E118)</f>
        <v>744550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260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TRUNC(4891,-1)</f>
        <v>4890</v>
      </c>
      <c r="E122" s="63">
        <f t="shared" ref="E122:E132" si="4">TRUNC(+D122*3.3058,-1)</f>
        <v>16160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TRUNC(849,-1)</f>
        <v>840</v>
      </c>
      <c r="E124" s="64">
        <f t="shared" si="4"/>
        <v>2770</v>
      </c>
    </row>
    <row r="125" spans="1:7" x14ac:dyDescent="0.3">
      <c r="A125" s="2">
        <v>4</v>
      </c>
      <c r="C125" s="38" t="s">
        <v>138</v>
      </c>
      <c r="D125" s="42">
        <f>TRUNC(4796,-1)</f>
        <v>4790</v>
      </c>
      <c r="E125" s="64">
        <f t="shared" si="4"/>
        <v>15830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TRUNC(8273,-1)</f>
        <v>8270</v>
      </c>
      <c r="E128" s="64">
        <f t="shared" si="4"/>
        <v>27330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TRUNC(41342,-1)</f>
        <v>41340</v>
      </c>
      <c r="E130" s="64">
        <f t="shared" si="4"/>
        <v>136660</v>
      </c>
    </row>
    <row r="131" spans="1:7" x14ac:dyDescent="0.3">
      <c r="A131" s="2">
        <v>10</v>
      </c>
      <c r="C131" s="38" t="s">
        <v>148</v>
      </c>
      <c r="D131" s="42">
        <f>TRUNC(31137,-1)</f>
        <v>31130</v>
      </c>
      <c r="E131" s="64">
        <f t="shared" si="4"/>
        <v>102900</v>
      </c>
    </row>
    <row r="132" spans="1:7" ht="17.25" thickBot="1" x14ac:dyDescent="0.35">
      <c r="A132" s="2">
        <v>11</v>
      </c>
      <c r="C132" s="38" t="s">
        <v>47</v>
      </c>
      <c r="D132" s="43">
        <f>TRUNC(2860+17892,-1)</f>
        <v>20750</v>
      </c>
      <c r="E132" s="65">
        <f t="shared" si="4"/>
        <v>68590</v>
      </c>
      <c r="F132" s="2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112010</v>
      </c>
      <c r="E133" s="39">
        <f>SUM(E122:E132)</f>
        <v>370240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260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1263+3922+18065</f>
        <v>23250</v>
      </c>
      <c r="E137" s="64">
        <f t="shared" si="5"/>
        <v>76850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TRUNC(4043,-1)</f>
        <v>4040</v>
      </c>
      <c r="E140" s="64">
        <f t="shared" si="5"/>
        <v>13350</v>
      </c>
    </row>
    <row r="141" spans="1:7" x14ac:dyDescent="0.3">
      <c r="A141" s="2">
        <v>6</v>
      </c>
      <c r="C141" s="38" t="s">
        <v>59</v>
      </c>
      <c r="D141" s="42">
        <f>TRUNC(24187,-1)</f>
        <v>24180</v>
      </c>
      <c r="E141" s="64">
        <f t="shared" si="5"/>
        <v>79930</v>
      </c>
    </row>
    <row r="142" spans="1:7" x14ac:dyDescent="0.3">
      <c r="A142" s="2">
        <v>7</v>
      </c>
      <c r="C142" s="38" t="s">
        <v>58</v>
      </c>
      <c r="D142" s="42">
        <f>TRUNC(6523,-1)</f>
        <v>6520</v>
      </c>
      <c r="E142" s="64">
        <f t="shared" si="5"/>
        <v>21550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57990</v>
      </c>
      <c r="E146" s="39">
        <f>SUM(E136:E145)</f>
        <v>191680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260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TRUNC(5323+2426,-1)</f>
        <v>7740</v>
      </c>
      <c r="E149" s="63">
        <f>TRUNC(+D149*3.3058,-1)</f>
        <v>25580</v>
      </c>
      <c r="F149" s="2" t="s">
        <v>257</v>
      </c>
    </row>
    <row r="150" spans="1:7" x14ac:dyDescent="0.3">
      <c r="A150" s="2">
        <v>2</v>
      </c>
      <c r="C150" s="38" t="s">
        <v>49</v>
      </c>
      <c r="D150" s="42">
        <f>TRUNC(12868,-1)</f>
        <v>12860</v>
      </c>
      <c r="E150" s="64">
        <f>TRUNC(+D150*3.3058,-1)</f>
        <v>42510</v>
      </c>
      <c r="F150" s="2" t="s">
        <v>257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TRUNC(336+265,-1)</f>
        <v>600</v>
      </c>
      <c r="E152" s="64">
        <f>TRUNC(+D152*3.3058,-1)</f>
        <v>1980</v>
      </c>
      <c r="F152" s="58" t="s">
        <v>258</v>
      </c>
    </row>
    <row r="153" spans="1:7" ht="17.25" thickBot="1" x14ac:dyDescent="0.35">
      <c r="A153" s="2">
        <v>5</v>
      </c>
      <c r="C153" s="38" t="s">
        <v>148</v>
      </c>
      <c r="D153" s="43">
        <f>TRUNC(16247,-1)</f>
        <v>16240</v>
      </c>
      <c r="E153" s="65">
        <f>TRUNC(+D153*3.3058,-1)</f>
        <v>53680</v>
      </c>
      <c r="F153" s="58" t="s">
        <v>257</v>
      </c>
    </row>
    <row r="154" spans="1:7" x14ac:dyDescent="0.3">
      <c r="A154" s="2">
        <v>6</v>
      </c>
      <c r="C154" s="27" t="s">
        <v>112</v>
      </c>
      <c r="D154" s="39">
        <f>SUM(D149:D153)</f>
        <v>37440</v>
      </c>
      <c r="E154" s="39">
        <f>SUM(E149:E153)</f>
        <v>123750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260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TRUNC(1662,-1)</f>
        <v>1660</v>
      </c>
      <c r="E157" s="63">
        <f>TRUNC(+D157*3.3058,-1)</f>
        <v>5480</v>
      </c>
    </row>
    <row r="158" spans="1:7" x14ac:dyDescent="0.3">
      <c r="A158" s="2">
        <v>2</v>
      </c>
      <c r="C158" s="38" t="s">
        <v>52</v>
      </c>
      <c r="D158" s="42">
        <f>TRUNC(2921,-1)</f>
        <v>2920</v>
      </c>
      <c r="E158" s="64">
        <f>TRUNC(+D158*3.3058,-1)</f>
        <v>9650</v>
      </c>
    </row>
    <row r="159" spans="1:7" x14ac:dyDescent="0.3">
      <c r="A159" s="2">
        <v>3</v>
      </c>
      <c r="C159" s="38" t="s">
        <v>47</v>
      </c>
      <c r="D159" s="42">
        <f>TRUNC(2263+1,-1)</f>
        <v>2260</v>
      </c>
      <c r="E159" s="64">
        <f>TRUNC(+D159*3.3058,-1)</f>
        <v>7470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6840</v>
      </c>
      <c r="E161" s="39">
        <f>SUM(E157:E160)</f>
        <v>22600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2020-12-07T10:17:16Z</dcterms:modified>
</cp:coreProperties>
</file>