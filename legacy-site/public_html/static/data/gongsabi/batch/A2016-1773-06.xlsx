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5" i="4"/>
  <c r="D144" i="4"/>
  <c r="D143" i="4"/>
  <c r="D142" i="4"/>
  <c r="D141" i="4"/>
  <c r="D140" i="4"/>
  <c r="D138" i="4"/>
  <c r="D137" i="4"/>
  <c r="D132" i="4"/>
  <c r="D131" i="4"/>
  <c r="D130" i="4"/>
  <c r="D126" i="4"/>
  <c r="D125" i="4"/>
  <c r="D124" i="4"/>
  <c r="D122" i="4"/>
  <c r="D118" i="4"/>
  <c r="D117" i="4"/>
  <c r="D116" i="4"/>
  <c r="D114" i="4"/>
  <c r="D105" i="4"/>
  <c r="D104" i="4"/>
  <c r="D101" i="4"/>
  <c r="D100" i="4"/>
  <c r="D99" i="4"/>
  <c r="D98" i="4"/>
  <c r="D94" i="4"/>
  <c r="D93" i="4"/>
  <c r="D92" i="4"/>
  <c r="D91" i="4"/>
  <c r="D90" i="4"/>
  <c r="D89" i="4"/>
  <c r="D73" i="4"/>
  <c r="D72" i="4"/>
  <c r="D71" i="4"/>
  <c r="D70" i="4"/>
  <c r="D69" i="4"/>
  <c r="D59" i="4"/>
  <c r="D58" i="4"/>
  <c r="D63" i="4"/>
  <c r="D53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<sst xmlns="http://schemas.openxmlformats.org/spreadsheetml/2006/main" count="394" uniqueCount="269">
  <si>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</si>
  <si>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</si>
  <si>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</si>
  <si>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</si>
  <si>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</si>
  <si>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</si>
  <si>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</si>
  <si>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</si>
  <si>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</si>
  <si>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</si>
  <si>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</si>
  <si>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</si>
  <si>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</si>
  <si>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</si>
  <si>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</si>
  <si>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</si>
  <si>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</si>
  <si>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</si>
  <si>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</si>
  <si>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</si>
  <si>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</si>
  <si>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</si>
  <si>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</si>
  <si>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</si>
  <si>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</si>
  <si>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</si>
  <si>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</si>
  <si>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</si>
  <si>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</si>
  <si>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</si>
  <si>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</si>
  <si>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</si>
  <si>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</si>
  <si>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</si>
  <si>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</si>
  <si>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</si>
  <si>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</si>
  <si>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</si>
  <si>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</si>
  <si>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</si>
  <si>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</si>
  <si>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</si>
  <si>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</si>
  <si>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</si>
  <si>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</si>
  <si>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</si>
  <si>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</si>
  <si>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</si>
  <si>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</si>
  <si>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</si>
  <si>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</si>
  <si>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</si>
  <si>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</si>
  <si>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</si>
  <si>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</si>
  <si>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</si>
  <si>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</si>
  <si>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</si>
  <si>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</si>
  <si>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</si>
  <si>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</si>
  <si>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</si>
  <si>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</si>
  <si>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</si>
  <si>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</si>
  <si>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</si>
  <si>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</si>
  <si>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</si>
  <si>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</si>
  <si>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</si>
  <si>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</si>
  <si>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</si>
  <si>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</si>
  <si>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</si>
  <si>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</si>
  <si>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</si>
  <si>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</si>
  <si>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</si>
  <si>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</si>
  <si>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</si>
  <si>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</si>
  <si>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</si>
  <si>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</si>
  <si>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</si>
  <si>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</si>
  <si>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</si>
  <si>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</si>
  <si>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</si>
  <si>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</si>
  <si>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</si>
  <si>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</si>
  <si>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</si>
  <si>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</si>
  <si>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</si>
  <si>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</si>
  <si>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</si>
  <si>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</si>
  <si>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</si>
  <si>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</si>
  <si>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</si>
  <si>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</si>
  <si>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</si>
  <si>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</si>
  <si>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</si>
  <si>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</si>
  <si>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</si>
  <si>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</si>
  <si>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</si>
  <si>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</si>
  <si>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</si>
  <si>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</si>
  <si>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</si>
  <si>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</si>
  <si>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</si>
  <si>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</si>
  <si>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</si>
  <si>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</si>
  <si>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</si>
  <si>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</si>
  <si>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</si>
  <si>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</si>
  <si>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</si>
  <si>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</si>
  <si>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</si>
  <si>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</si>
  <si>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</si>
  <si>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</si>
  <si>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</si>
  <si>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</si>
  <si>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</si>
  <si>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</si>
  <si>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</si>
  <si>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</si>
  <si>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</si>
  <si>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</si>
  <si>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</si>
  <si>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</si>
  <si>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</si>
  <si>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</si>
  <si>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</si>
  <si>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</si>
  <si>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</si>
  <si>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</si>
  <si>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</si>
  <si>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</si>
  <si>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</si>
  <si>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</si>
  <si>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</si>
  <si>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</si>
  <si>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</si>
  <si>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</si>
  <si>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</si>
  <si>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</si>
  <si>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</si>
  <si>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</si>
  <si>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</si>
  <si>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</si>
  <si>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</si>
  <si>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</si>
  <si>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</si>
  <si>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</si>
  <si>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</si>
  <si>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</si>
  <si>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</si>
  <si>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</si>
  <si>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</si>
  <si>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</si>
  <si>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</si>
  <si>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</si>
  <si>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</si>
  <si>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</si>
  <si>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</si>
  <si>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</si>
  <si>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</si>
  <si>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</si>
  <si>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</si>
  <si>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</si>
  <si>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</si>
  <si>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</si>
  <si>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</si>
  <si>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</si>
  <si>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</si>
  <si>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</si>
  <si>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</si>
  <si>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</si>
  <si>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</si>
  <si>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</si>
  <si>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</si>
  <si>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</si>
  <si>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</si>
  <si>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</si>
  <si>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</si>
  <si>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</si>
  <si>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</si>
  <si>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</si>
  <si>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</si>
  <si>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</si>
  <si>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</si>
  <si>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</si>
  <si>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</si>
  <si>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</si>
  <si>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</si>
  <si>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</si>
  <si>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</si>
  <si>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</si>
  <si>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</si>
  <si>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</si>
  <si>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</si>
  <si>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</si>
  <si>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</si>
  <si>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</si>
  <si>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</si>
  <si>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</si>
  <si>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</si>
  <si>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</si>
  <si>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</si>
  <si>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</si>
  <si>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</si>
  <si>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</si>
  <si>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</si>
  <si>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</si>
  <si>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</si>
  <si>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</si>
  <si>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</si>
  <si>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</si>
  <si>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</si>
  <si>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</si>
  <si>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</si>
  <si>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</si>
  <si>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</si>
  <si>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</si>
  <si>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</si>
  <si>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</si>
  <si>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</si>
  <si>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</si>
  <si>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</si>
  <si>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</si>
  <si>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</si>
  <si>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</si>
  <si>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</si>
  <si>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</si>
  <si>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</si>
  <si>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</si>
  <si>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</si>
  <si>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</si>
  <si>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</si>
  <si>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</si>
  <si>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</si>
  <si>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</si>
  <si>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</si>
  <si>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창호및유리공사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</si>
  <si>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</si>
  <si>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</si>
  <si>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인천항 국제여객터미널 신축공사</t>
    <phoneticPr fontId="2" type="noConversion"/>
  </si>
  <si>
    <t>기타</t>
  </si>
  <si>
    <t>인천시</t>
  </si>
  <si>
    <t>기초공사, 골재비및운반비, 작업부산물, 품질시험비, 기타공사</t>
    <phoneticPr fontId="2" type="noConversion"/>
  </si>
  <si>
    <t>공조배관공사, 우수처리시설공사, 기타공사</t>
    <phoneticPr fontId="2" type="noConversion"/>
  </si>
  <si>
    <t>원격검침 설비공사, 기타공사</t>
    <phoneticPr fontId="2" type="noConversion"/>
  </si>
  <si>
    <t>CATV 및 TV 설비공사</t>
    <phoneticPr fontId="2" type="noConversion"/>
  </si>
  <si>
    <t>CCTV설비공사, 주차관제설비공사, 기타공사</t>
    <phoneticPr fontId="2" type="noConversion"/>
  </si>
  <si>
    <t>옥외소화배관공사, 펌프실배관공사, 제연덕트설치공사, 기타공사</t>
    <phoneticPr fontId="2" type="noConversion"/>
  </si>
  <si>
    <t>상수도공사,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</si>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</sst>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66805.47</v>
      </c>
      <c r="D7" s="36">
        <f>+C7/3.3058</f>
        <v>20208.563736463188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965180</v>
      </c>
      <c r="E25" s="59">
        <f t="shared" si="0"/>
        <v>3190690</v>
      </c>
    </row>
    <row r="26" spans="1:5" x14ac:dyDescent="0.3">
      <c r="B26" s="2">
        <v>3</v>
      </c>
      <c r="C26" s="35" t="s">
        <v>95</v>
      </c>
      <c r="D26" s="45">
        <f>+D66</f>
        <v>2970</v>
      </c>
      <c r="E26" s="59">
        <f t="shared" si="0"/>
        <v>9810</v>
      </c>
    </row>
    <row r="27" spans="1:5" x14ac:dyDescent="0.3">
      <c r="B27" s="2">
        <v>4</v>
      </c>
      <c r="C27" s="35" t="s">
        <v>96</v>
      </c>
      <c r="D27" s="45">
        <f>+D95</f>
        <v>310400</v>
      </c>
      <c r="E27" s="59">
        <f t="shared" si="0"/>
        <v>1026120</v>
      </c>
    </row>
    <row r="28" spans="1:5" x14ac:dyDescent="0.3">
      <c r="B28" s="2">
        <v>5</v>
      </c>
      <c r="C28" s="35" t="s">
        <v>97</v>
      </c>
      <c r="D28" s="45">
        <f>+D119</f>
        <v>159130</v>
      </c>
      <c r="E28" s="59">
        <f t="shared" si="0"/>
        <v>526050</v>
      </c>
    </row>
    <row r="29" spans="1:5" x14ac:dyDescent="0.3">
      <c r="B29" s="2">
        <v>6</v>
      </c>
      <c r="C29" s="35" t="s">
        <v>98</v>
      </c>
      <c r="D29" s="45">
        <f>+D133</f>
        <v>166350</v>
      </c>
      <c r="E29" s="59">
        <f t="shared" si="0"/>
        <v>549910</v>
      </c>
    </row>
    <row r="30" spans="1:5" x14ac:dyDescent="0.3">
      <c r="B30" s="2">
        <v>7</v>
      </c>
      <c r="C30" s="35" t="s">
        <v>99</v>
      </c>
      <c r="D30" s="45">
        <f>+D146</f>
        <v>90710</v>
      </c>
      <c r="E30" s="59">
        <f t="shared" si="0"/>
        <v>299860</v>
      </c>
    </row>
    <row r="31" spans="1:5" x14ac:dyDescent="0.3">
      <c r="B31" s="2">
        <v>8</v>
      </c>
      <c r="C31" s="35" t="s">
        <v>100</v>
      </c>
      <c r="D31" s="45">
        <f>+D154</f>
        <v>223740</v>
      </c>
      <c r="E31" s="59">
        <f t="shared" si="0"/>
        <v>739630</v>
      </c>
    </row>
    <row r="32" spans="1:5" x14ac:dyDescent="0.3">
      <c r="B32" s="2">
        <v>9</v>
      </c>
      <c r="C32" s="35" t="s">
        <v>101</v>
      </c>
      <c r="D32" s="45">
        <f>+D161</f>
        <v>50910</v>
      </c>
      <c r="E32" s="59">
        <f t="shared" si="0"/>
        <v>168290</v>
      </c>
    </row>
    <row r="33" spans="1:7" x14ac:dyDescent="0.3">
      <c r="B33" s="2">
        <v>10</v>
      </c>
      <c r="C33" s="35" t="s">
        <v>154</v>
      </c>
      <c r="D33" s="53">
        <f>TRUNC(SUM(D24:D32)*0.275,-1)</f>
        <v>541580</v>
      </c>
      <c r="E33" s="60">
        <f t="shared" si="0"/>
        <v>1790350</v>
      </c>
    </row>
    <row r="34" spans="1:7" x14ac:dyDescent="0.3">
      <c r="C34" s="35" t="s">
        <v>112</v>
      </c>
      <c r="D34" s="44">
        <f>SUM(D24:D33)</f>
        <v>2510970</v>
      </c>
      <c r="E34" s="44">
        <f>SUM(E24:E33)</f>
        <v>8300710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TRUNC(65460,-1)</f>
        <v>65460</v>
      </c>
      <c r="E40" s="62">
        <f t="shared" ref="E40:E59" si="1">TRUNC(+D40*3.3058,-1)</f>
        <v>216390</v>
      </c>
    </row>
    <row r="41" spans="1:7" x14ac:dyDescent="0.3">
      <c r="A41" s="2">
        <v>2</v>
      </c>
      <c r="C41" s="38" t="s">
        <v>13</v>
      </c>
      <c r="D41" s="42">
        <f>TRUNC(129290,-1)</f>
        <v>129290</v>
      </c>
      <c r="E41" s="63">
        <f t="shared" si="1"/>
        <v>427400</v>
      </c>
    </row>
    <row r="42" spans="1:7" x14ac:dyDescent="0.3">
      <c r="A42" s="2">
        <v>3</v>
      </c>
      <c r="C42" s="38" t="s">
        <v>14</v>
      </c>
      <c r="D42" s="42">
        <f>TRUNC(115394,-1)</f>
        <v>115390</v>
      </c>
      <c r="E42" s="63">
        <f t="shared" si="1"/>
        <v>381450</v>
      </c>
    </row>
    <row r="43" spans="1:7" x14ac:dyDescent="0.3">
      <c r="A43" s="2">
        <v>4</v>
      </c>
      <c r="C43" s="38" t="s">
        <v>16</v>
      </c>
      <c r="D43" s="42">
        <f>TRUNC(6375,-1)</f>
        <v>6370</v>
      </c>
      <c r="E43" s="63">
        <f t="shared" si="1"/>
        <v>21050</v>
      </c>
    </row>
    <row r="44" spans="1:7" x14ac:dyDescent="0.3">
      <c r="A44" s="2">
        <v>5</v>
      </c>
      <c r="C44" s="38" t="s">
        <v>17</v>
      </c>
      <c r="D44" s="42">
        <f>TRUNC(16961,-1)</f>
        <v>16960</v>
      </c>
      <c r="E44" s="63">
        <f t="shared" si="1"/>
        <v>56060</v>
      </c>
    </row>
    <row r="45" spans="1:7" x14ac:dyDescent="0.3">
      <c r="A45" s="2">
        <v>6</v>
      </c>
      <c r="C45" s="38" t="s">
        <v>18</v>
      </c>
      <c r="D45" s="42">
        <f>TRUNC(2015,-1)</f>
        <v>2010</v>
      </c>
      <c r="E45" s="63">
        <f t="shared" si="1"/>
        <v>6640</v>
      </c>
    </row>
    <row r="46" spans="1:7" x14ac:dyDescent="0.3">
      <c r="A46" s="2">
        <v>7</v>
      </c>
      <c r="C46" s="38" t="s">
        <v>19</v>
      </c>
      <c r="D46" s="42">
        <f>TRUNC(17133,-1)</f>
        <v>17130</v>
      </c>
      <c r="E46" s="63">
        <f t="shared" si="1"/>
        <v>56620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TRUNC(151517,-1)</f>
        <v>151510</v>
      </c>
      <c r="E48" s="63">
        <f t="shared" si="1"/>
        <v>500860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TRUNC(8625,-1)</f>
        <v>8620</v>
      </c>
      <c r="E49" s="63">
        <f t="shared" si="1"/>
        <v>28490</v>
      </c>
    </row>
    <row r="50" spans="1:7" x14ac:dyDescent="0.3">
      <c r="A50" s="2">
        <v>11</v>
      </c>
      <c r="C50" s="38" t="s">
        <v>155</v>
      </c>
      <c r="D50" s="42">
        <f>TRUNC(50908,-1)</f>
        <v>50900</v>
      </c>
      <c r="E50" s="63">
        <f t="shared" si="1"/>
        <v>168260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18890</v>
      </c>
      <c r="E52" s="63">
        <f t="shared" si="1"/>
        <v>62440</v>
      </c>
    </row>
    <row r="53" spans="1:7" x14ac:dyDescent="0.3">
      <c r="A53" s="2">
        <v>14</v>
      </c>
      <c r="C53" s="38" t="s">
        <v>25</v>
      </c>
      <c r="D53" s="42">
        <f>TRUNC(139618,-1)</f>
        <v>139610</v>
      </c>
      <c r="E53" s="63">
        <f t="shared" si="1"/>
        <v>461520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TRUNC(540+6018-1127+867+15706,-1)</f>
        <v>22000</v>
      </c>
      <c r="E58" s="63">
        <f t="shared" si="1"/>
        <v>72720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TRUNC(221048,-1)</f>
        <v>221040</v>
      </c>
      <c r="E59" s="64">
        <f t="shared" si="1"/>
        <v>730710</v>
      </c>
    </row>
    <row r="60" spans="1:7" x14ac:dyDescent="0.3">
      <c r="A60" s="2">
        <v>21</v>
      </c>
      <c r="C60" s="27" t="s">
        <v>112</v>
      </c>
      <c r="D60" s="39">
        <f>SUM(D40:D59)</f>
        <v>965180</v>
      </c>
      <c r="E60" s="39">
        <f>SUM(E40:E59)</f>
        <v>3190610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TRUNC(2973,-1)</f>
        <v>2970</v>
      </c>
      <c r="E63" s="62">
        <f>TRUNC(+D63*3.3058,-1)</f>
        <v>9810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2970</v>
      </c>
      <c r="E66" s="65">
        <f>SUM(E63:E65)</f>
        <v>9810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TRUNC(5186,-1)</f>
        <v>5180</v>
      </c>
      <c r="E69" s="62">
        <f t="shared" ref="E69:E94" si="2">TRUNC(+D69*3.3058,-1)</f>
        <v>17120</v>
      </c>
    </row>
    <row r="70" spans="1:7" ht="16.5" customHeight="1" x14ac:dyDescent="0.3">
      <c r="A70" s="2">
        <v>2</v>
      </c>
      <c r="C70" s="38" t="s">
        <v>31</v>
      </c>
      <c r="D70" s="42">
        <f>TRUNC(11,-1)</f>
        <v>10</v>
      </c>
      <c r="E70" s="63">
        <f t="shared" si="2"/>
        <v>30</v>
      </c>
    </row>
    <row r="71" spans="1:7" x14ac:dyDescent="0.3">
      <c r="A71" s="2">
        <v>3</v>
      </c>
      <c r="C71" s="38" t="s">
        <v>32</v>
      </c>
      <c r="D71" s="42">
        <f>TRUNC(6697,-1)</f>
        <v>6690</v>
      </c>
      <c r="E71" s="63">
        <f t="shared" si="2"/>
        <v>22110</v>
      </c>
    </row>
    <row r="72" spans="1:7" x14ac:dyDescent="0.3">
      <c r="A72" s="2">
        <v>4</v>
      </c>
      <c r="C72" s="38" t="s">
        <v>33</v>
      </c>
      <c r="D72" s="42">
        <f>TRUNC(331,-1)</f>
        <v>330</v>
      </c>
      <c r="E72" s="63">
        <f t="shared" si="2"/>
        <v>1090</v>
      </c>
    </row>
    <row r="73" spans="1:7" x14ac:dyDescent="0.3">
      <c r="A73" s="2">
        <v>5</v>
      </c>
      <c r="C73" s="38" t="s">
        <v>34</v>
      </c>
      <c r="D73" s="42">
        <f>TRUNC(6147,-1)</f>
        <v>6140</v>
      </c>
      <c r="E73" s="63">
        <f t="shared" si="2"/>
        <v>20290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1200</v>
      </c>
      <c r="E75" s="63">
        <f t="shared" si="2"/>
        <v>3960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TRUNC(3295,-1)</f>
        <v>3290</v>
      </c>
      <c r="E89" s="63">
        <f t="shared" si="2"/>
        <v>10870</v>
      </c>
    </row>
    <row r="90" spans="1:7" x14ac:dyDescent="0.3">
      <c r="A90" s="2">
        <v>22</v>
      </c>
      <c r="C90" s="38" t="s">
        <v>36</v>
      </c>
      <c r="D90" s="42">
        <f>TRUNC(634,-1)</f>
        <v>630</v>
      </c>
      <c r="E90" s="63">
        <f t="shared" si="2"/>
        <v>2080</v>
      </c>
    </row>
    <row r="91" spans="1:7" x14ac:dyDescent="0.3">
      <c r="A91" s="2">
        <v>23</v>
      </c>
      <c r="C91" s="38" t="s">
        <v>37</v>
      </c>
      <c r="D91" s="42">
        <f>TRUNC(40547,-1)</f>
        <v>40540</v>
      </c>
      <c r="E91" s="63">
        <f t="shared" si="2"/>
        <v>134010</v>
      </c>
    </row>
    <row r="92" spans="1:7" x14ac:dyDescent="0.3">
      <c r="A92" s="2">
        <v>24</v>
      </c>
      <c r="C92" s="38" t="s">
        <v>38</v>
      </c>
      <c r="D92" s="42">
        <f>TRUNC(7552,-1)</f>
        <v>7550</v>
      </c>
      <c r="E92" s="63">
        <f t="shared" si="2"/>
        <v>24950</v>
      </c>
    </row>
    <row r="93" spans="1:7" x14ac:dyDescent="0.3">
      <c r="A93" s="2">
        <v>25</v>
      </c>
      <c r="C93" s="38" t="s">
        <v>148</v>
      </c>
      <c r="D93" s="42">
        <f>TRUNC(148332,-1)</f>
        <v>148330</v>
      </c>
      <c r="E93" s="63">
        <f t="shared" si="2"/>
        <v>490340</v>
      </c>
    </row>
    <row r="94" spans="1:7" ht="17.25" thickBot="1" x14ac:dyDescent="0.35">
      <c r="A94" s="2">
        <v>26</v>
      </c>
      <c r="C94" s="38" t="s">
        <v>47</v>
      </c>
      <c r="D94" s="43">
        <f>TRUNC(17564+22863+50092,-1)</f>
        <v>90510</v>
      </c>
      <c r="E94" s="64">
        <f t="shared" si="2"/>
        <v>299200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310400</v>
      </c>
      <c r="E95" s="39">
        <f>SUM(E69:E94)</f>
        <v>1026050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TRUNC(19201,-1)</f>
        <v>19200</v>
      </c>
      <c r="E98" s="62">
        <f t="shared" ref="E98:E118" si="3">TRUNC(+D98*3.3058,-1)</f>
        <v>63470</v>
      </c>
    </row>
    <row r="99" spans="1:7" x14ac:dyDescent="0.3">
      <c r="A99" s="2">
        <v>2</v>
      </c>
      <c r="C99" s="38" t="s">
        <v>40</v>
      </c>
      <c r="D99" s="42">
        <f>TRUNC(10423,-1)</f>
        <v>10420</v>
      </c>
      <c r="E99" s="63">
        <f t="shared" si="3"/>
        <v>34440</v>
      </c>
    </row>
    <row r="100" spans="1:7" x14ac:dyDescent="0.3">
      <c r="A100" s="2">
        <v>3</v>
      </c>
      <c r="C100" s="38" t="s">
        <v>41</v>
      </c>
      <c r="D100" s="42">
        <f>TRUNC(25889,-1)</f>
        <v>25880</v>
      </c>
      <c r="E100" s="63">
        <f t="shared" si="3"/>
        <v>85550</v>
      </c>
    </row>
    <row r="101" spans="1:7" x14ac:dyDescent="0.3">
      <c r="A101" s="2">
        <v>4</v>
      </c>
      <c r="C101" s="38" t="s">
        <v>42</v>
      </c>
      <c r="D101" s="42">
        <f>TRUNC(757,-1)</f>
        <v>750</v>
      </c>
      <c r="E101" s="63">
        <f t="shared" si="3"/>
        <v>2470</v>
      </c>
    </row>
    <row r="102" spans="1:7" x14ac:dyDescent="0.3">
      <c r="A102" s="2">
        <v>5</v>
      </c>
      <c r="C102" s="38" t="s">
        <v>43</v>
      </c>
      <c r="D102" s="42">
        <v>7500</v>
      </c>
      <c r="E102" s="63">
        <f t="shared" si="3"/>
        <v>24790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TRUNC(1509,-1)</f>
        <v>1500</v>
      </c>
      <c r="E104" s="63">
        <f t="shared" si="3"/>
        <v>4950</v>
      </c>
    </row>
    <row r="105" spans="1:7" x14ac:dyDescent="0.3">
      <c r="A105" s="2">
        <v>8</v>
      </c>
      <c r="C105" s="38" t="s">
        <v>46</v>
      </c>
      <c r="D105" s="42">
        <f>TRUNC(3282,-1)</f>
        <v>3280</v>
      </c>
      <c r="E105" s="63">
        <f t="shared" si="3"/>
        <v>10840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TRUNC(3472,-1)</f>
        <v>3470</v>
      </c>
      <c r="E114" s="63">
        <f t="shared" si="3"/>
        <v>11470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TRUNC(7851,-1)</f>
        <v>7850</v>
      </c>
      <c r="E116" s="63">
        <f t="shared" si="3"/>
        <v>25950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f>TRUNC(69715,-1)</f>
        <v>69710</v>
      </c>
      <c r="E117" s="63">
        <f t="shared" si="3"/>
        <v>230440</v>
      </c>
    </row>
    <row r="118" spans="1:7" ht="17.25" thickBot="1" x14ac:dyDescent="0.35">
      <c r="A118" s="2">
        <v>21</v>
      </c>
      <c r="C118" s="38" t="s">
        <v>47</v>
      </c>
      <c r="D118" s="43">
        <f>TRUNC(673+8900,-1)</f>
        <v>9570</v>
      </c>
      <c r="E118" s="64">
        <f t="shared" si="3"/>
        <v>31630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159130</v>
      </c>
      <c r="E119" s="39">
        <f>SUM(E98:E118)</f>
        <v>526000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TRUNC(4888,-1)</f>
        <v>4880</v>
      </c>
      <c r="E122" s="62">
        <f t="shared" ref="E122:E132" si="4">TRUNC(+D122*3.3058,-1)</f>
        <v>16130</v>
      </c>
      <c r="F122" s="2" t="s">
        <v>259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TRUNC(133,-1)</f>
        <v>130</v>
      </c>
      <c r="E124" s="63">
        <f t="shared" si="4"/>
        <v>420</v>
      </c>
    </row>
    <row r="125" spans="1:7" x14ac:dyDescent="0.3">
      <c r="A125" s="2">
        <v>4</v>
      </c>
      <c r="C125" s="38" t="s">
        <v>138</v>
      </c>
      <c r="D125" s="42">
        <f>TRUNC(5385,-1)</f>
        <v>5380</v>
      </c>
      <c r="E125" s="63">
        <f t="shared" si="4"/>
        <v>17780</v>
      </c>
    </row>
    <row r="126" spans="1:7" x14ac:dyDescent="0.3">
      <c r="A126" s="2">
        <v>5</v>
      </c>
      <c r="C126" s="38" t="s">
        <v>53</v>
      </c>
      <c r="D126" s="42">
        <f>TRUNC(853,-1)</f>
        <v>850</v>
      </c>
      <c r="E126" s="63">
        <f t="shared" si="4"/>
        <v>2800</v>
      </c>
    </row>
    <row r="127" spans="1:7" x14ac:dyDescent="0.3">
      <c r="A127" s="2">
        <v>6</v>
      </c>
      <c r="C127" s="38" t="s">
        <v>56</v>
      </c>
      <c r="D127" s="42">
        <v>2780</v>
      </c>
      <c r="E127" s="63">
        <f t="shared" si="4"/>
        <v>9190</v>
      </c>
    </row>
    <row r="128" spans="1:7" x14ac:dyDescent="0.3">
      <c r="A128" s="2">
        <v>7</v>
      </c>
      <c r="C128" s="38" t="s">
        <v>46</v>
      </c>
      <c r="D128" s="42">
        <v>3570</v>
      </c>
      <c r="E128" s="63">
        <f t="shared" si="4"/>
        <v>11800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TRUNC(28283,-1)</f>
        <v>28280</v>
      </c>
      <c r="E130" s="63">
        <f t="shared" si="4"/>
        <v>93480</v>
      </c>
    </row>
    <row r="131" spans="1:7" x14ac:dyDescent="0.3">
      <c r="A131" s="2">
        <v>10</v>
      </c>
      <c r="C131" s="38" t="s">
        <v>148</v>
      </c>
      <c r="D131" s="42">
        <f>TRUNC(112936,-1)</f>
        <v>112930</v>
      </c>
      <c r="E131" s="63">
        <f t="shared" si="4"/>
        <v>373320</v>
      </c>
    </row>
    <row r="132" spans="1:7" ht="18" thickBot="1" x14ac:dyDescent="0.35">
      <c r="A132" s="2">
        <v>11</v>
      </c>
      <c r="C132" s="38" t="s">
        <v>47</v>
      </c>
      <c r="D132" s="43">
        <f>TRUNC(4769+1036+1752,-1)</f>
        <v>7550</v>
      </c>
      <c r="E132" s="64">
        <f t="shared" si="4"/>
        <v>24950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166350</v>
      </c>
      <c r="E133" s="39">
        <f>SUM(E122:E132)</f>
        <v>549870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ht="17.25" x14ac:dyDescent="0.3">
      <c r="A137" s="2">
        <v>2</v>
      </c>
      <c r="C137" s="38" t="s">
        <v>47</v>
      </c>
      <c r="D137" s="42">
        <f>TRUNC(1015+773+9302+1094,-1)</f>
        <v>12180</v>
      </c>
      <c r="E137" s="63">
        <f t="shared" si="5"/>
        <v>40260</v>
      </c>
      <c r="F137" s="54" t="s">
        <v>261</v>
      </c>
    </row>
    <row r="138" spans="1:7" x14ac:dyDescent="0.3">
      <c r="A138" s="2">
        <v>3</v>
      </c>
      <c r="C138" s="38" t="s">
        <v>60</v>
      </c>
      <c r="D138" s="42">
        <f>TRUNC(2861,-1)</f>
        <v>2860</v>
      </c>
      <c r="E138" s="63">
        <f t="shared" si="5"/>
        <v>9450</v>
      </c>
    </row>
    <row r="139" spans="1:7" x14ac:dyDescent="0.3">
      <c r="A139" s="2">
        <v>4</v>
      </c>
      <c r="C139" s="38" t="s">
        <v>61</v>
      </c>
      <c r="D139" s="42">
        <v>6340</v>
      </c>
      <c r="E139" s="63">
        <f t="shared" si="5"/>
        <v>20950</v>
      </c>
    </row>
    <row r="140" spans="1:7" x14ac:dyDescent="0.3">
      <c r="A140" s="2">
        <v>5</v>
      </c>
      <c r="C140" s="38" t="s">
        <v>57</v>
      </c>
      <c r="D140" s="42">
        <f>TRUNC(1187,-1)</f>
        <v>1180</v>
      </c>
      <c r="E140" s="63">
        <f t="shared" si="5"/>
        <v>3900</v>
      </c>
    </row>
    <row r="141" spans="1:7" x14ac:dyDescent="0.3">
      <c r="A141" s="2">
        <v>6</v>
      </c>
      <c r="C141" s="38" t="s">
        <v>59</v>
      </c>
      <c r="D141" s="42">
        <f>TRUNC(36069,-1)</f>
        <v>36060</v>
      </c>
      <c r="E141" s="63">
        <f t="shared" si="5"/>
        <v>119200</v>
      </c>
    </row>
    <row r="142" spans="1:7" x14ac:dyDescent="0.3">
      <c r="A142" s="2">
        <v>7</v>
      </c>
      <c r="C142" s="38" t="s">
        <v>58</v>
      </c>
      <c r="D142" s="42">
        <f>TRUNC(5633,-1)</f>
        <v>5630</v>
      </c>
      <c r="E142" s="63">
        <f t="shared" si="5"/>
        <v>18610</v>
      </c>
    </row>
    <row r="143" spans="1:7" x14ac:dyDescent="0.3">
      <c r="A143" s="2">
        <v>8</v>
      </c>
      <c r="C143" s="38" t="s">
        <v>62</v>
      </c>
      <c r="D143" s="42">
        <f>TRUNC(3017,-1)</f>
        <v>3010</v>
      </c>
      <c r="E143" s="63">
        <f t="shared" si="5"/>
        <v>9950</v>
      </c>
    </row>
    <row r="144" spans="1:7" x14ac:dyDescent="0.3">
      <c r="A144" s="2">
        <v>9</v>
      </c>
      <c r="C144" s="38" t="s">
        <v>63</v>
      </c>
      <c r="D144" s="42">
        <f>TRUNC(20119,-1)</f>
        <v>20110</v>
      </c>
      <c r="E144" s="63">
        <f t="shared" si="5"/>
        <v>66470</v>
      </c>
    </row>
    <row r="145" spans="1:7" ht="17.25" thickBot="1" x14ac:dyDescent="0.35">
      <c r="A145" s="2">
        <v>10</v>
      </c>
      <c r="C145" s="38" t="s">
        <v>148</v>
      </c>
      <c r="D145" s="43">
        <f>TRUNC(3346,-1)</f>
        <v>3340</v>
      </c>
      <c r="E145" s="64">
        <f t="shared" si="5"/>
        <v>11040</v>
      </c>
    </row>
    <row r="146" spans="1:7" x14ac:dyDescent="0.3">
      <c r="A146" s="2">
        <v>11</v>
      </c>
      <c r="C146" s="27" t="s">
        <v>112</v>
      </c>
      <c r="D146" s="39">
        <f>SUM(D136:D145)</f>
        <v>90710</v>
      </c>
      <c r="E146" s="39">
        <f>SUM(E136:E145)</f>
        <v>299830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TRUNC(2973+1532,-1)</f>
        <v>4500</v>
      </c>
      <c r="E149" s="62">
        <f>TRUNC(+D149*3.3058,-1)</f>
        <v>14870</v>
      </c>
    </row>
    <row r="150" spans="1:7" x14ac:dyDescent="0.3">
      <c r="A150" s="2">
        <v>2</v>
      </c>
      <c r="C150" s="38" t="s">
        <v>49</v>
      </c>
      <c r="D150" s="42">
        <f>TRUNC(8269,-1)</f>
        <v>8260</v>
      </c>
      <c r="E150" s="63">
        <f>TRUNC(+D150*3.3058,-1)</f>
        <v>27300</v>
      </c>
    </row>
    <row r="151" spans="1:7" x14ac:dyDescent="0.3">
      <c r="A151" s="2">
        <v>3</v>
      </c>
      <c r="C151" s="38" t="s">
        <v>50</v>
      </c>
      <c r="D151" s="42">
        <f>TRUNC(24064,-1)</f>
        <v>24060</v>
      </c>
      <c r="E151" s="63">
        <f>TRUNC(+D151*3.3058,-1)</f>
        <v>79530</v>
      </c>
    </row>
    <row r="152" spans="1:7" x14ac:dyDescent="0.3">
      <c r="A152" s="2">
        <v>4</v>
      </c>
      <c r="C152" s="38" t="s">
        <v>47</v>
      </c>
      <c r="D152" s="42">
        <f>TRUNC(220+36371,-1)</f>
        <v>36590</v>
      </c>
      <c r="E152" s="63">
        <f>TRUNC(+D152*3.3058,-1)</f>
        <v>120950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TRUNC(150335,-1)</f>
        <v>150330</v>
      </c>
      <c r="E153" s="64">
        <f>TRUNC(+D153*3.3058,-1)</f>
        <v>496960</v>
      </c>
    </row>
    <row r="154" spans="1:7" x14ac:dyDescent="0.3">
      <c r="A154" s="2">
        <v>6</v>
      </c>
      <c r="C154" s="27" t="s">
        <v>112</v>
      </c>
      <c r="D154" s="39">
        <f>SUM(D149:D153)</f>
        <v>223740</v>
      </c>
      <c r="E154" s="39">
        <f>SUM(E149:E153)</f>
        <v>739610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TRUNC(25595,-1)</f>
        <v>25590</v>
      </c>
      <c r="E157" s="62">
        <f>TRUNC(+D157*3.3058,-1)</f>
        <v>84590</v>
      </c>
    </row>
    <row r="158" spans="1:7" x14ac:dyDescent="0.3">
      <c r="A158" s="2">
        <v>2</v>
      </c>
      <c r="C158" s="38" t="s">
        <v>52</v>
      </c>
      <c r="D158" s="42">
        <f>TRUNC(7095,-1)</f>
        <v>7090</v>
      </c>
      <c r="E158" s="63">
        <f>TRUNC(+D158*3.3058,-1)</f>
        <v>23430</v>
      </c>
    </row>
    <row r="159" spans="1:7" x14ac:dyDescent="0.3">
      <c r="A159" s="2">
        <v>3</v>
      </c>
      <c r="C159" s="38" t="s">
        <v>47</v>
      </c>
      <c r="D159" s="42">
        <f>TRUNC(6189+12042,-1)</f>
        <v>18230</v>
      </c>
      <c r="E159" s="63">
        <f>TRUNC(+D159*3.3058,-1)</f>
        <v>60260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50910</v>
      </c>
      <c r="E161" s="39">
        <f>SUM(E157:E160)</f>
        <v>168280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2020-12-08T01:25:55Z</dcterms:modified>
</cp:coreProperties>
</file>