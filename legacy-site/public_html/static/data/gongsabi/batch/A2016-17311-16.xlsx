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0" i="4"/>
  <c r="D149" i="4"/>
  <c r="D144" i="4"/>
  <c r="D143" i="4"/>
  <c r="D142" i="4"/>
  <c r="D140" i="4"/>
  <c r="D132" i="4"/>
  <c r="D131" i="4"/>
  <c r="D128" i="4"/>
  <c r="D124" i="4"/>
  <c r="D118" i="4"/>
  <c r="D117" i="4"/>
  <c r="D116" i="4"/>
  <c r="D105" i="4"/>
  <c r="D103" i="4"/>
  <c r="D100" i="4"/>
  <c r="D99" i="4"/>
  <c r="D98" i="4"/>
  <c r="D94" i="4"/>
  <c r="D93" i="4"/>
  <c r="D92" i="4"/>
  <c r="D91" i="4"/>
  <c r="D90" i="4"/>
  <c r="D89" i="4"/>
  <c r="D73" i="4"/>
  <c r="D72" i="4"/>
  <c r="D71" i="4"/>
  <c r="D70" i="4"/>
  <c r="D69" i="4"/>
  <c r="D65" i="4"/>
  <c r="D59" i="4"/>
  <c r="D53" i="4"/>
  <c r="D52" i="4"/>
  <c r="D50" i="4"/>
  <c r="D49" i="4"/>
  <c r="D46" i="4"/>
  <c r="D45" i="4"/>
  <c r="D44" i="4"/>
  <c r="D43" i="4"/>
  <c r="D42" i="4"/>
  <c r="D41" i="4"/>
  <c r="D40" i="4"/>
  <c r="D58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<sst xmlns="http://schemas.openxmlformats.org/spreadsheetml/2006/main" count="391" uniqueCount="265">
  <si>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</si>
  <si>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</si>
  <si>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</si>
  <si>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</si>
  <si>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</si>
  <si>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</si>
  <si>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</si>
  <si>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</si>
  <si>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</si>
  <si>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</si>
  <si>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</si>
  <si>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</si>
  <si>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</si>
  <si>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</si>
  <si>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</si>
  <si>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</si>
  <si>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</si>
  <si>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</si>
  <si>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</si>
  <si>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</si>
  <si>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</si>
  <si>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</si>
  <si>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</si>
  <si>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</si>
  <si>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</si>
  <si>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</si>
  <si>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</si>
  <si>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</si>
  <si>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</si>
  <si>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</si>
  <si>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</si>
  <si>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</si>
  <si>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</si>
  <si>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</si>
  <si>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</si>
  <si>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</si>
  <si>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</si>
  <si>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</si>
  <si>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</si>
  <si>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</si>
  <si>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</si>
  <si>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</si>
  <si>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</si>
  <si>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</si>
  <si>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</si>
  <si>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</si>
  <si>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</si>
  <si>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</si>
  <si>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</si>
  <si>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</si>
  <si>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</si>
  <si>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</si>
  <si>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</si>
  <si>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</si>
  <si>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</si>
  <si>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</si>
  <si>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</si>
  <si>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</si>
  <si>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</si>
  <si>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</si>
  <si>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</si>
  <si>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</si>
  <si>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</si>
  <si>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</si>
  <si>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</si>
  <si>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</si>
  <si>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</si>
  <si>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</si>
  <si>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</si>
  <si>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</si>
  <si>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</si>
  <si>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</si>
  <si>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</si>
  <si>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</si>
  <si>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</si>
  <si>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</si>
  <si>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</si>
  <si>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</si>
  <si>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</si>
  <si>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</si>
  <si>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</si>
  <si>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</si>
  <si>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</si>
  <si>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</si>
  <si>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</si>
  <si>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</si>
  <si>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</si>
  <si>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</si>
  <si>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</si>
  <si>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</si>
  <si>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</si>
  <si>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</si>
  <si>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</si>
  <si>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</si>
  <si>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</si>
  <si>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</si>
  <si>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</si>
  <si>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</si>
  <si>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</si>
  <si>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</si>
  <si>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</si>
  <si>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</si>
  <si>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</si>
  <si>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</si>
  <si>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</si>
  <si>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</si>
  <si>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</si>
  <si>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</si>
  <si>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</si>
  <si>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</si>
  <si>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</si>
  <si>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</si>
  <si>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</si>
  <si>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</si>
  <si>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</si>
  <si>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</si>
  <si>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</si>
  <si>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</si>
  <si>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</si>
  <si>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</si>
  <si>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</si>
  <si>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</si>
  <si>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</si>
  <si>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</si>
  <si>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</si>
  <si>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</si>
  <si>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</si>
  <si>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</si>
  <si>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</si>
  <si>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</si>
  <si>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</si>
  <si>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</si>
  <si>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</si>
  <si>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</si>
  <si>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</si>
  <si>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</si>
  <si>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</si>
  <si>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</si>
  <si>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</si>
  <si>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</si>
  <si>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</si>
  <si>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</si>
  <si>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</si>
  <si>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</si>
  <si>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</si>
  <si>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</si>
  <si>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</si>
  <si>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</si>
  <si>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</si>
  <si>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</si>
  <si>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</si>
  <si>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</si>
  <si>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</si>
  <si>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</si>
  <si>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</si>
  <si>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</si>
  <si>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</si>
  <si>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</si>
  <si>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</si>
  <si>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</si>
  <si>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</si>
  <si>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</si>
  <si>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</si>
  <si>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</si>
  <si>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</si>
  <si>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</si>
  <si>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</si>
  <si>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</si>
  <si>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</si>
  <si>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</si>
  <si>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</si>
  <si>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</si>
  <si>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</si>
  <si>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</si>
  <si>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</si>
  <si>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</si>
  <si>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</si>
  <si>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</si>
  <si>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</si>
  <si>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</si>
  <si>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</si>
  <si>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</si>
  <si>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</si>
  <si>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</si>
  <si>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</si>
  <si>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</si>
  <si>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</si>
  <si>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</si>
  <si>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</si>
  <si>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</si>
  <si>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</si>
  <si>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</si>
  <si>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</si>
  <si>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</si>
  <si>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</si>
  <si>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</si>
  <si>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</si>
  <si>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</si>
  <si>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</si>
  <si>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</si>
  <si>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</si>
  <si>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</si>
  <si>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</si>
  <si>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</si>
  <si>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</si>
  <si>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</si>
  <si>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</si>
  <si>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</si>
  <si>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</si>
  <si>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</si>
  <si>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</si>
  <si>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</si>
  <si>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</si>
  <si>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</si>
  <si>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</si>
  <si>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</si>
  <si>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</si>
  <si>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</si>
  <si>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</si>
  <si>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</si>
  <si>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</si>
  <si>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</si>
  <si>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</si>
  <si>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</si>
  <si>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</si>
  <si>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</si>
  <si>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</si>
  <si>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</si>
  <si>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</si>
  <si>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</si>
  <si>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</si>
  <si>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</si>
  <si>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</si>
  <si>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</si>
  <si>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</si>
  <si>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</si>
  <si>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</si>
  <si>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</si>
  <si>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</si>
  <si>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</si>
  <si>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</si>
  <si>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</si>
  <si>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</si>
  <si>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</si>
  <si>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</si>
  <si>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</si>
  <si>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</si>
  <si>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</si>
  <si>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</si>
  <si>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</si>
  <si>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</si>
  <si>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</si>
  <si>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골재비및운반비, 작업부산물, 기타공사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</si>
  <si>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</si>
  <si>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</si>
  <si>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기타</t>
  </si>
  <si>
    <t xml:space="preserve"> 가칭)푸름유치원 신축공사</t>
    <phoneticPr fontId="2" type="noConversion"/>
  </si>
  <si>
    <t>충청도</t>
  </si>
  <si>
    <t>공조배관공사, 기타공사</t>
    <phoneticPr fontId="2" type="noConversion"/>
  </si>
  <si>
    <t>CCTV설비공사, 주차관제설비공사, 기타공사</t>
    <phoneticPr fontId="2" type="noConversion"/>
  </si>
  <si>
    <t>사급자재비, 운반비, 기타공사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</si>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</sst>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5195.49</v>
      </c>
      <c r="D7" s="36">
        <f>+C7/3.3058</f>
        <v>1571.6286526710628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691610</v>
      </c>
      <c r="E25" s="59">
        <f t="shared" si="0"/>
        <v>2286320</v>
      </c>
    </row>
    <row r="26" spans="1:5" x14ac:dyDescent="0.3">
      <c r="B26" s="2">
        <v>3</v>
      </c>
      <c r="C26" s="35" t="s">
        <v>95</v>
      </c>
      <c r="D26" s="45">
        <f>+D66</f>
        <v>50970</v>
      </c>
      <c r="E26" s="59">
        <f t="shared" si="0"/>
        <v>168490</v>
      </c>
    </row>
    <row r="27" spans="1:5" x14ac:dyDescent="0.3">
      <c r="B27" s="2">
        <v>4</v>
      </c>
      <c r="C27" s="35" t="s">
        <v>96</v>
      </c>
      <c r="D27" s="45">
        <f>+D95</f>
        <v>194270</v>
      </c>
      <c r="E27" s="59">
        <f t="shared" si="0"/>
        <v>642210</v>
      </c>
    </row>
    <row r="28" spans="1:5" x14ac:dyDescent="0.3">
      <c r="B28" s="2">
        <v>5</v>
      </c>
      <c r="C28" s="35" t="s">
        <v>97</v>
      </c>
      <c r="D28" s="45">
        <f>+D119</f>
        <v>150930</v>
      </c>
      <c r="E28" s="59">
        <f t="shared" si="0"/>
        <v>498940</v>
      </c>
    </row>
    <row r="29" spans="1:5" x14ac:dyDescent="0.3">
      <c r="B29" s="2">
        <v>6</v>
      </c>
      <c r="C29" s="35" t="s">
        <v>98</v>
      </c>
      <c r="D29" s="45">
        <f>+D133</f>
        <v>52140</v>
      </c>
      <c r="E29" s="59">
        <f t="shared" si="0"/>
        <v>172360</v>
      </c>
    </row>
    <row r="30" spans="1:5" x14ac:dyDescent="0.3">
      <c r="B30" s="2">
        <v>7</v>
      </c>
      <c r="C30" s="35" t="s">
        <v>99</v>
      </c>
      <c r="D30" s="45">
        <f>+D146</f>
        <v>52650</v>
      </c>
      <c r="E30" s="59">
        <f t="shared" si="0"/>
        <v>174050</v>
      </c>
    </row>
    <row r="31" spans="1:5" x14ac:dyDescent="0.3">
      <c r="B31" s="2">
        <v>8</v>
      </c>
      <c r="C31" s="35" t="s">
        <v>100</v>
      </c>
      <c r="D31" s="45">
        <f>+D154</f>
        <v>42890</v>
      </c>
      <c r="E31" s="59">
        <f t="shared" si="0"/>
        <v>141780</v>
      </c>
    </row>
    <row r="32" spans="1:5" x14ac:dyDescent="0.3">
      <c r="B32" s="2">
        <v>9</v>
      </c>
      <c r="C32" s="35" t="s">
        <v>101</v>
      </c>
      <c r="D32" s="45">
        <f>+D161</f>
        <v>21330</v>
      </c>
      <c r="E32" s="59">
        <f t="shared" si="0"/>
        <v>70510</v>
      </c>
    </row>
    <row r="33" spans="1:7" x14ac:dyDescent="0.3">
      <c r="B33" s="2">
        <v>10</v>
      </c>
      <c r="C33" s="35" t="s">
        <v>155</v>
      </c>
      <c r="D33" s="53">
        <f>TRUNC(SUM(D24:D32)*0.275,-1)</f>
        <v>345610</v>
      </c>
      <c r="E33" s="60">
        <f t="shared" si="0"/>
        <v>1142510</v>
      </c>
    </row>
    <row r="34" spans="1:7" x14ac:dyDescent="0.3">
      <c r="C34" s="35" t="s">
        <v>112</v>
      </c>
      <c r="D34" s="44">
        <f>SUM(D24:D33)</f>
        <v>1602400</v>
      </c>
      <c r="E34" s="44">
        <f>SUM(E24:E33)</f>
        <v>5297170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TRUNC(38687,-1)</f>
        <v>38680</v>
      </c>
      <c r="E40" s="62">
        <f t="shared" ref="E40:E59" si="1">TRUNC(+D40*3.3058,-1)</f>
        <v>127860</v>
      </c>
    </row>
    <row r="41" spans="1:7" x14ac:dyDescent="0.3">
      <c r="A41" s="2">
        <v>2</v>
      </c>
      <c r="C41" s="38" t="s">
        <v>13</v>
      </c>
      <c r="D41" s="42">
        <f>TRUNC(141898,-1)</f>
        <v>141890</v>
      </c>
      <c r="E41" s="63">
        <f t="shared" si="1"/>
        <v>469050</v>
      </c>
    </row>
    <row r="42" spans="1:7" x14ac:dyDescent="0.3">
      <c r="A42" s="2">
        <v>3</v>
      </c>
      <c r="C42" s="38" t="s">
        <v>14</v>
      </c>
      <c r="D42" s="42">
        <f>TRUNC(13131,-1)</f>
        <v>13130</v>
      </c>
      <c r="E42" s="63">
        <f t="shared" si="1"/>
        <v>43400</v>
      </c>
    </row>
    <row r="43" spans="1:7" x14ac:dyDescent="0.3">
      <c r="A43" s="2">
        <v>4</v>
      </c>
      <c r="C43" s="38" t="s">
        <v>16</v>
      </c>
      <c r="D43" s="42">
        <f>TRUNC(30018,-1)</f>
        <v>30010</v>
      </c>
      <c r="E43" s="63">
        <f t="shared" si="1"/>
        <v>99200</v>
      </c>
    </row>
    <row r="44" spans="1:7" x14ac:dyDescent="0.3">
      <c r="A44" s="2">
        <v>5</v>
      </c>
      <c r="C44" s="38" t="s">
        <v>17</v>
      </c>
      <c r="D44" s="42">
        <f>TRUNC(25809,-1)</f>
        <v>25800</v>
      </c>
      <c r="E44" s="63">
        <f t="shared" si="1"/>
        <v>85280</v>
      </c>
    </row>
    <row r="45" spans="1:7" x14ac:dyDescent="0.3">
      <c r="A45" s="2">
        <v>6</v>
      </c>
      <c r="C45" s="38" t="s">
        <v>18</v>
      </c>
      <c r="D45" s="42">
        <f>TRUNC(12967,-1)</f>
        <v>12960</v>
      </c>
      <c r="E45" s="63">
        <f t="shared" si="1"/>
        <v>42840</v>
      </c>
    </row>
    <row r="46" spans="1:7" x14ac:dyDescent="0.3">
      <c r="A46" s="2">
        <v>7</v>
      </c>
      <c r="C46" s="38" t="s">
        <v>19</v>
      </c>
      <c r="D46" s="42">
        <f>TRUNC(6292,-1)</f>
        <v>6290</v>
      </c>
      <c r="E46" s="63">
        <f t="shared" si="1"/>
        <v>20790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22060</v>
      </c>
      <c r="E48" s="63">
        <f t="shared" si="1"/>
        <v>72920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TRUNC(21876,-1)</f>
        <v>21870</v>
      </c>
      <c r="E49" s="63">
        <f t="shared" si="1"/>
        <v>72290</v>
      </c>
    </row>
    <row r="50" spans="1:7" x14ac:dyDescent="0.3">
      <c r="A50" s="2">
        <v>11</v>
      </c>
      <c r="C50" s="38" t="s">
        <v>156</v>
      </c>
      <c r="D50" s="42">
        <f>TRUNC(46885,-1)</f>
        <v>46880</v>
      </c>
      <c r="E50" s="63">
        <f t="shared" si="1"/>
        <v>154970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TRUNC(9591,-1)</f>
        <v>9590</v>
      </c>
      <c r="E52" s="63">
        <f t="shared" si="1"/>
        <v>31700</v>
      </c>
    </row>
    <row r="53" spans="1:7" x14ac:dyDescent="0.3">
      <c r="A53" s="2">
        <v>14</v>
      </c>
      <c r="C53" s="38" t="s">
        <v>25</v>
      </c>
      <c r="D53" s="42">
        <f>TRUNC(106076,-1)</f>
        <v>106070</v>
      </c>
      <c r="E53" s="63">
        <f t="shared" si="1"/>
        <v>350640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13747+7490-354+3917</f>
        <v>24800</v>
      </c>
      <c r="E58" s="63">
        <f t="shared" si="1"/>
        <v>81980</v>
      </c>
      <c r="F58" s="2" t="s">
        <v>252</v>
      </c>
    </row>
    <row r="59" spans="1:7" ht="17.25" thickBot="1" x14ac:dyDescent="0.35">
      <c r="A59" s="2">
        <v>20</v>
      </c>
      <c r="C59" s="38" t="s">
        <v>149</v>
      </c>
      <c r="D59" s="43">
        <f>TRUNC(191587,-1)</f>
        <v>191580</v>
      </c>
      <c r="E59" s="64">
        <f t="shared" si="1"/>
        <v>633320</v>
      </c>
    </row>
    <row r="60" spans="1:7" x14ac:dyDescent="0.3">
      <c r="A60" s="2">
        <v>21</v>
      </c>
      <c r="C60" s="27" t="s">
        <v>112</v>
      </c>
      <c r="D60" s="39">
        <f>SUM(D40:D59)</f>
        <v>691610</v>
      </c>
      <c r="E60" s="39">
        <f>SUM(E40:E59)</f>
        <v>2286240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v>15180</v>
      </c>
      <c r="E63" s="62">
        <f>TRUNC(+D63*3.3058,-1)</f>
        <v>50180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TRUNC(35799,-1)</f>
        <v>35790</v>
      </c>
      <c r="E65" s="64">
        <f>TRUNC(+D65*3.3058,-1)</f>
        <v>118310</v>
      </c>
    </row>
    <row r="66" spans="1:7" x14ac:dyDescent="0.3">
      <c r="A66" s="2">
        <v>4</v>
      </c>
      <c r="C66" s="27" t="s">
        <v>112</v>
      </c>
      <c r="D66" s="39">
        <f>SUM(D63:D65)</f>
        <v>50970</v>
      </c>
      <c r="E66" s="65">
        <f>SUM(E63:E65)</f>
        <v>168490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TRUNC(6923,-1)</f>
        <v>6920</v>
      </c>
      <c r="E69" s="62">
        <f t="shared" ref="E69:E94" si="2">TRUNC(+D69*3.3058,-1)</f>
        <v>22870</v>
      </c>
    </row>
    <row r="70" spans="1:7" ht="16.5" customHeight="1" x14ac:dyDescent="0.3">
      <c r="A70" s="2">
        <v>2</v>
      </c>
      <c r="C70" s="38" t="s">
        <v>31</v>
      </c>
      <c r="D70" s="42">
        <f>TRUNC(1635,-1)</f>
        <v>1630</v>
      </c>
      <c r="E70" s="63">
        <f t="shared" si="2"/>
        <v>5380</v>
      </c>
    </row>
    <row r="71" spans="1:7" x14ac:dyDescent="0.3">
      <c r="A71" s="2">
        <v>3</v>
      </c>
      <c r="C71" s="38" t="s">
        <v>32</v>
      </c>
      <c r="D71" s="42">
        <f>TRUNC(16751,-1)</f>
        <v>16750</v>
      </c>
      <c r="E71" s="63">
        <f t="shared" si="2"/>
        <v>55370</v>
      </c>
    </row>
    <row r="72" spans="1:7" x14ac:dyDescent="0.3">
      <c r="A72" s="2">
        <v>4</v>
      </c>
      <c r="C72" s="38" t="s">
        <v>33</v>
      </c>
      <c r="D72" s="42">
        <f>TRUNC(6747,-1)</f>
        <v>6740</v>
      </c>
      <c r="E72" s="63">
        <f t="shared" si="2"/>
        <v>22280</v>
      </c>
    </row>
    <row r="73" spans="1:7" x14ac:dyDescent="0.3">
      <c r="A73" s="2">
        <v>5</v>
      </c>
      <c r="C73" s="38" t="s">
        <v>34</v>
      </c>
      <c r="D73" s="42">
        <f>TRUNC(11123,-1)</f>
        <v>11120</v>
      </c>
      <c r="E73" s="63">
        <f t="shared" si="2"/>
        <v>36760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TRUNC(9686,-1)</f>
        <v>9680</v>
      </c>
      <c r="E89" s="63">
        <f t="shared" si="2"/>
        <v>32000</v>
      </c>
    </row>
    <row r="90" spans="1:7" x14ac:dyDescent="0.3">
      <c r="A90" s="2">
        <v>22</v>
      </c>
      <c r="C90" s="38" t="s">
        <v>36</v>
      </c>
      <c r="D90" s="42">
        <f>TRUNC(1961,-1)</f>
        <v>1960</v>
      </c>
      <c r="E90" s="63">
        <f t="shared" si="2"/>
        <v>6470</v>
      </c>
    </row>
    <row r="91" spans="1:7" x14ac:dyDescent="0.3">
      <c r="A91" s="2">
        <v>23</v>
      </c>
      <c r="C91" s="38" t="s">
        <v>37</v>
      </c>
      <c r="D91" s="42">
        <f>TRUNC(5389,-1)</f>
        <v>5380</v>
      </c>
      <c r="E91" s="63">
        <f t="shared" si="2"/>
        <v>17780</v>
      </c>
    </row>
    <row r="92" spans="1:7" x14ac:dyDescent="0.3">
      <c r="A92" s="2">
        <v>24</v>
      </c>
      <c r="C92" s="38" t="s">
        <v>38</v>
      </c>
      <c r="D92" s="42">
        <f>TRUNC(11245,-1)</f>
        <v>11240</v>
      </c>
      <c r="E92" s="63">
        <f t="shared" si="2"/>
        <v>37150</v>
      </c>
    </row>
    <row r="93" spans="1:7" x14ac:dyDescent="0.3">
      <c r="A93" s="2">
        <v>25</v>
      </c>
      <c r="C93" s="38" t="s">
        <v>149</v>
      </c>
      <c r="D93" s="42">
        <f>TRUNC(78737,-1)</f>
        <v>78730</v>
      </c>
      <c r="E93" s="63">
        <f t="shared" si="2"/>
        <v>260260</v>
      </c>
    </row>
    <row r="94" spans="1:7" ht="17.25" thickBot="1" x14ac:dyDescent="0.35">
      <c r="A94" s="2">
        <v>26</v>
      </c>
      <c r="C94" s="38" t="s">
        <v>47</v>
      </c>
      <c r="D94" s="43">
        <f>TRUNC(30279+13847,-1)</f>
        <v>44120</v>
      </c>
      <c r="E94" s="64">
        <f t="shared" si="2"/>
        <v>145850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194270</v>
      </c>
      <c r="E95" s="39">
        <f>SUM(E69:E94)</f>
        <v>642170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TRUNC(8885,-1)</f>
        <v>8880</v>
      </c>
      <c r="E98" s="62">
        <f t="shared" ref="E98:E118" si="3">TRUNC(+D98*3.3058,-1)</f>
        <v>29350</v>
      </c>
    </row>
    <row r="99" spans="1:7" x14ac:dyDescent="0.3">
      <c r="A99" s="2">
        <v>2</v>
      </c>
      <c r="C99" s="38" t="s">
        <v>40</v>
      </c>
      <c r="D99" s="42">
        <f>TRUNC(4397,-1)</f>
        <v>4390</v>
      </c>
      <c r="E99" s="63">
        <f t="shared" si="3"/>
        <v>14510</v>
      </c>
    </row>
    <row r="100" spans="1:7" x14ac:dyDescent="0.3">
      <c r="A100" s="2">
        <v>3</v>
      </c>
      <c r="C100" s="38" t="s">
        <v>41</v>
      </c>
      <c r="D100" s="42">
        <f>TRUNC(21049,-1)</f>
        <v>21040</v>
      </c>
      <c r="E100" s="63">
        <f t="shared" si="3"/>
        <v>69550</v>
      </c>
    </row>
    <row r="101" spans="1:7" x14ac:dyDescent="0.3">
      <c r="A101" s="2">
        <v>4</v>
      </c>
      <c r="C101" s="38" t="s">
        <v>42</v>
      </c>
      <c r="D101" s="42">
        <v>390</v>
      </c>
      <c r="E101" s="63">
        <f t="shared" si="3"/>
        <v>1280</v>
      </c>
    </row>
    <row r="102" spans="1:7" x14ac:dyDescent="0.3">
      <c r="A102" s="2">
        <v>5</v>
      </c>
      <c r="C102" s="38" t="s">
        <v>43</v>
      </c>
      <c r="D102" s="42">
        <v>9980</v>
      </c>
      <c r="E102" s="63">
        <f t="shared" si="3"/>
        <v>32990</v>
      </c>
    </row>
    <row r="103" spans="1:7" x14ac:dyDescent="0.3">
      <c r="A103" s="2">
        <v>6</v>
      </c>
      <c r="C103" s="38" t="s">
        <v>44</v>
      </c>
      <c r="D103" s="42">
        <f>TRUNC(3907,-1)</f>
        <v>3900</v>
      </c>
      <c r="E103" s="63">
        <f t="shared" si="3"/>
        <v>12890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f>TRUNC(5641,-1)</f>
        <v>5640</v>
      </c>
      <c r="E105" s="63">
        <f t="shared" si="3"/>
        <v>18640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TRUNC(5183,-1)</f>
        <v>5180</v>
      </c>
      <c r="E116" s="63">
        <f t="shared" si="3"/>
        <v>17120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f>TRUNC(88084,-1)</f>
        <v>88080</v>
      </c>
      <c r="E117" s="63">
        <f t="shared" si="3"/>
        <v>291170</v>
      </c>
    </row>
    <row r="118" spans="1:7" ht="17.25" thickBot="1" x14ac:dyDescent="0.35">
      <c r="A118" s="2">
        <v>21</v>
      </c>
      <c r="C118" s="38" t="s">
        <v>47</v>
      </c>
      <c r="D118" s="43">
        <f>TRUNC(3455,-1)</f>
        <v>3450</v>
      </c>
      <c r="E118" s="64">
        <f t="shared" si="3"/>
        <v>11400</v>
      </c>
    </row>
    <row r="119" spans="1:7" x14ac:dyDescent="0.3">
      <c r="A119" s="2">
        <v>22</v>
      </c>
      <c r="C119" s="27" t="s">
        <v>112</v>
      </c>
      <c r="D119" s="39">
        <f>SUM(D98:D118)</f>
        <v>150930</v>
      </c>
      <c r="E119" s="39">
        <f>SUM(E98:E118)</f>
        <v>498900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TRUNC(893,-1)</f>
        <v>890</v>
      </c>
      <c r="E124" s="63">
        <f t="shared" si="4"/>
        <v>2940</v>
      </c>
    </row>
    <row r="125" spans="1:7" x14ac:dyDescent="0.3">
      <c r="A125" s="2">
        <v>4</v>
      </c>
      <c r="C125" s="38" t="s">
        <v>138</v>
      </c>
      <c r="D125" s="42">
        <v>3960</v>
      </c>
      <c r="E125" s="63">
        <f t="shared" si="4"/>
        <v>13090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TRUNC(4013,-1)</f>
        <v>4010</v>
      </c>
      <c r="E128" s="63">
        <f t="shared" si="4"/>
        <v>13250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9590</v>
      </c>
      <c r="E130" s="63">
        <f t="shared" si="4"/>
        <v>31700</v>
      </c>
    </row>
    <row r="131" spans="1:7" x14ac:dyDescent="0.3">
      <c r="A131" s="2">
        <v>10</v>
      </c>
      <c r="C131" s="38" t="s">
        <v>149</v>
      </c>
      <c r="D131" s="42">
        <f>TRUNC(28209,-1)</f>
        <v>28200</v>
      </c>
      <c r="E131" s="63">
        <f t="shared" si="4"/>
        <v>93220</v>
      </c>
    </row>
    <row r="132" spans="1:7" ht="18" thickBot="1" x14ac:dyDescent="0.35">
      <c r="A132" s="2">
        <v>11</v>
      </c>
      <c r="C132" s="38" t="s">
        <v>47</v>
      </c>
      <c r="D132" s="43">
        <f>TRUNC(2661+1272+1565,-1)</f>
        <v>5490</v>
      </c>
      <c r="E132" s="64">
        <f t="shared" si="4"/>
        <v>18140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52140</v>
      </c>
      <c r="E133" s="39">
        <f>SUM(E122:E132)</f>
        <v>172340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TRUNC(2408,-1)</f>
        <v>2400</v>
      </c>
      <c r="E140" s="63">
        <f t="shared" si="5"/>
        <v>7930</v>
      </c>
    </row>
    <row r="141" spans="1:7" x14ac:dyDescent="0.3">
      <c r="A141" s="2">
        <v>6</v>
      </c>
      <c r="C141" s="38" t="s">
        <v>59</v>
      </c>
      <c r="D141" s="42">
        <v>26610</v>
      </c>
      <c r="E141" s="63">
        <f t="shared" si="5"/>
        <v>87960</v>
      </c>
    </row>
    <row r="142" spans="1:7" x14ac:dyDescent="0.3">
      <c r="A142" s="2">
        <v>7</v>
      </c>
      <c r="C142" s="38" t="s">
        <v>58</v>
      </c>
      <c r="D142" s="42">
        <f>TRUNC(7904,-1)</f>
        <v>7900</v>
      </c>
      <c r="E142" s="63">
        <f t="shared" si="5"/>
        <v>26110</v>
      </c>
    </row>
    <row r="143" spans="1:7" x14ac:dyDescent="0.3">
      <c r="A143" s="2">
        <v>8</v>
      </c>
      <c r="C143" s="38" t="s">
        <v>62</v>
      </c>
      <c r="D143" s="42">
        <f>TRUNC(2593,-1)</f>
        <v>2590</v>
      </c>
      <c r="E143" s="63">
        <f t="shared" si="5"/>
        <v>8560</v>
      </c>
    </row>
    <row r="144" spans="1:7" x14ac:dyDescent="0.3">
      <c r="A144" s="2">
        <v>9</v>
      </c>
      <c r="C144" s="38" t="s">
        <v>63</v>
      </c>
      <c r="D144" s="42">
        <f>TRUNC(13156,-1)</f>
        <v>13150</v>
      </c>
      <c r="E144" s="63">
        <f t="shared" si="5"/>
        <v>43470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52650</v>
      </c>
      <c r="E146" s="39">
        <f>SUM(E136:E145)</f>
        <v>174030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TRUNC(1836+2682,-1)</f>
        <v>4510</v>
      </c>
      <c r="E149" s="62">
        <f>TRUNC(+D149*3.3058,-1)</f>
        <v>14900</v>
      </c>
    </row>
    <row r="150" spans="1:7" x14ac:dyDescent="0.3">
      <c r="A150" s="2">
        <v>2</v>
      </c>
      <c r="C150" s="38" t="s">
        <v>49</v>
      </c>
      <c r="D150" s="42">
        <f>TRUNC(3052,-1)</f>
        <v>3050</v>
      </c>
      <c r="E150" s="63">
        <f>TRUNC(+D150*3.3058,-1)</f>
        <v>10080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TRUNC(8784+348+169,-1)</f>
        <v>9300</v>
      </c>
      <c r="E152" s="63">
        <f>TRUNC(+D152*3.3058,-1)</f>
        <v>30740</v>
      </c>
      <c r="F152" s="2" t="s">
        <v>260</v>
      </c>
    </row>
    <row r="153" spans="1:7" ht="17.25" thickBot="1" x14ac:dyDescent="0.35">
      <c r="A153" s="2">
        <v>5</v>
      </c>
      <c r="C153" s="38" t="s">
        <v>149</v>
      </c>
      <c r="D153" s="43">
        <f>TRUNC(26037,-1)</f>
        <v>26030</v>
      </c>
      <c r="E153" s="64">
        <f>TRUNC(+D153*3.3058,-1)</f>
        <v>86040</v>
      </c>
    </row>
    <row r="154" spans="1:7" x14ac:dyDescent="0.3">
      <c r="A154" s="2">
        <v>6</v>
      </c>
      <c r="C154" s="27" t="s">
        <v>112</v>
      </c>
      <c r="D154" s="39">
        <f>SUM(D149:D153)</f>
        <v>42890</v>
      </c>
      <c r="E154" s="39">
        <f>SUM(E149:E153)</f>
        <v>141760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TRUNC(13337,-1)</f>
        <v>13330</v>
      </c>
      <c r="E157" s="62">
        <f>TRUNC(+D157*3.3058,-1)</f>
        <v>44060</v>
      </c>
    </row>
    <row r="158" spans="1:7" x14ac:dyDescent="0.3">
      <c r="A158" s="2">
        <v>2</v>
      </c>
      <c r="C158" s="38" t="s">
        <v>52</v>
      </c>
      <c r="D158" s="42">
        <f>TRUNC(5405,-1)</f>
        <v>5400</v>
      </c>
      <c r="E158" s="63">
        <f>TRUNC(+D158*3.3058,-1)</f>
        <v>17850</v>
      </c>
    </row>
    <row r="159" spans="1:7" x14ac:dyDescent="0.3">
      <c r="A159" s="2">
        <v>3</v>
      </c>
      <c r="C159" s="38" t="s">
        <v>47</v>
      </c>
      <c r="D159" s="42">
        <f>TRUNC(2603,-1)</f>
        <v>2600</v>
      </c>
      <c r="E159" s="63">
        <f>TRUNC(+D159*3.3058,-1)</f>
        <v>8590</v>
      </c>
      <c r="F159" s="2" t="s">
        <v>261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21330</v>
      </c>
      <c r="E161" s="39">
        <f>SUM(E157:E160)</f>
        <v>70500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2020-12-08T01:32:52Z</dcterms:modified>
</cp:coreProperties>
</file>