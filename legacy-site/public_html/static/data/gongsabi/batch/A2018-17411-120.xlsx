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45" i="4"/>
  <c r="D144" i="4"/>
  <c r="D143" i="4"/>
  <c r="D139" i="4"/>
  <c r="D141" i="4"/>
  <c r="D142" i="4"/>
  <c r="D140" i="4"/>
  <c r="D137" i="4"/>
  <c r="D131" i="4"/>
  <c r="D128" i="4"/>
  <c r="D127" i="4"/>
  <c r="D132" i="4"/>
  <c r="D124" i="4"/>
  <c r="D125" i="4"/>
  <c r="D122" i="4"/>
  <c r="D130" i="4"/>
  <c r="D118" i="4"/>
  <c r="D105" i="4"/>
  <c r="D104" i="4"/>
  <c r="D103" i="4"/>
  <c r="D102" i="4"/>
  <c r="D101" i="4"/>
  <c r="D100" i="4"/>
  <c r="D99" i="4"/>
  <c r="D114" i="4"/>
  <c r="D98" i="4"/>
  <c r="D116" i="4"/>
  <c r="D75" i="4"/>
  <c r="D92" i="4"/>
  <c r="D91" i="4"/>
  <c r="D89" i="4"/>
  <c r="D73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33" i="4"/>
  <c r="E119" i="4"/>
  <c r="E95" i="4"/>
  <c r="E66" i="4"/>
  <c r="E60" i="4"/>
  <c r="E14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<sst xmlns="http://schemas.openxmlformats.org/spreadsheetml/2006/main" count="395" uniqueCount="270">
  <si>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</si>
  <si>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</si>
  <si>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</si>
  <si>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</si>
  <si>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</si>
  <si>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</si>
  <si>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</si>
  <si>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</si>
  <si>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</si>
  <si>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</si>
  <si>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</si>
  <si>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</si>
  <si>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</si>
  <si>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</si>
  <si>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</si>
  <si>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</si>
  <si>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</si>
  <si>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</si>
  <si>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</si>
  <si>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</si>
  <si>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</si>
  <si>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</si>
  <si>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</si>
  <si>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</si>
  <si>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</si>
  <si>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</si>
  <si>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</si>
  <si>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</si>
  <si>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</si>
  <si>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</si>
  <si>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</si>
  <si>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</si>
  <si>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</si>
  <si>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</si>
  <si>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</si>
  <si>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</si>
  <si>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</si>
  <si>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</si>
  <si>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</si>
  <si>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</si>
  <si>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</si>
  <si>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</si>
  <si>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</si>
  <si>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</si>
  <si>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</si>
  <si>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</si>
  <si>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</si>
  <si>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</si>
  <si>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</si>
  <si>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</si>
  <si>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</si>
  <si>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</si>
  <si>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</si>
  <si>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</si>
  <si>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</si>
  <si>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</si>
  <si>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</si>
  <si>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</si>
  <si>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</si>
  <si>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</si>
  <si>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</si>
  <si>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</si>
  <si>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</si>
  <si>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</si>
  <si>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</si>
  <si>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</si>
  <si>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</si>
  <si>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</si>
  <si>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</si>
  <si>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</si>
  <si>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</si>
  <si>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</si>
  <si>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</si>
  <si>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</si>
  <si>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</si>
  <si>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</si>
  <si>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</si>
  <si>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</si>
  <si>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</si>
  <si>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</si>
  <si>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</si>
  <si>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</si>
  <si>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</si>
  <si>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</si>
  <si>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</si>
  <si>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</si>
  <si>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</si>
  <si>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</si>
  <si>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</si>
  <si>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</si>
  <si>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</si>
  <si>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</si>
  <si>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</si>
  <si>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</si>
  <si>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</si>
  <si>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</si>
  <si>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</si>
  <si>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</si>
  <si>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</si>
  <si>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</si>
  <si>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</si>
  <si>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</si>
  <si>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</si>
  <si>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</si>
  <si>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</si>
  <si>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</si>
  <si>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</si>
  <si>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</si>
  <si>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</si>
  <si>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</si>
  <si>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</si>
  <si>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</si>
  <si>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</si>
  <si>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</si>
  <si>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</si>
  <si>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</si>
  <si>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</si>
  <si>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</si>
  <si>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</si>
  <si>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</si>
  <si>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</si>
  <si>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</si>
  <si>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</si>
  <si>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</si>
  <si>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</si>
  <si>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</si>
  <si>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</si>
  <si>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</si>
  <si>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</si>
  <si>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</si>
  <si>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</si>
  <si>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</si>
  <si>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</si>
  <si>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</si>
  <si>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</si>
  <si>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</si>
  <si>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</si>
  <si>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</si>
  <si>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</si>
  <si>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</si>
  <si>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</si>
  <si>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</si>
  <si>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</si>
  <si>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</si>
  <si>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</si>
  <si>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</si>
  <si>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</si>
  <si>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</si>
  <si>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</si>
  <si>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</si>
  <si>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</si>
  <si>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</si>
  <si>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</si>
  <si>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</si>
  <si>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</si>
  <si>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</si>
  <si>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</si>
  <si>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</si>
  <si>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</si>
  <si>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</si>
  <si>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</si>
  <si>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</si>
  <si>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</si>
  <si>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</si>
  <si>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</si>
  <si>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</si>
  <si>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</si>
  <si>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</si>
  <si>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</si>
  <si>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</si>
  <si>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</si>
  <si>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</si>
  <si>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</si>
  <si>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</si>
  <si>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</si>
  <si>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</si>
  <si>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</si>
  <si>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</si>
  <si>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</si>
  <si>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</si>
  <si>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</si>
  <si>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</si>
  <si>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</si>
  <si>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</si>
  <si>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</si>
  <si>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</si>
  <si>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</si>
  <si>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</si>
  <si>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</si>
  <si>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</si>
  <si>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</si>
  <si>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</si>
  <si>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</si>
  <si>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</si>
  <si>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</si>
  <si>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</si>
  <si>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</si>
  <si>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</si>
  <si>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</si>
  <si>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</si>
  <si>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</si>
  <si>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</si>
  <si>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</si>
  <si>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</si>
  <si>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</si>
  <si>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</si>
  <si>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</si>
  <si>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</si>
  <si>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</si>
  <si>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</si>
  <si>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</si>
  <si>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</si>
  <si>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</si>
  <si>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</si>
  <si>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</si>
  <si>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</si>
  <si>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</si>
  <si>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</si>
  <si>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</si>
  <si>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</si>
  <si>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</si>
  <si>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</si>
  <si>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</si>
  <si>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</si>
  <si>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</si>
  <si>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</si>
  <si>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</si>
  <si>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</si>
  <si>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</si>
  <si>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</si>
  <si>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</si>
  <si>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</si>
  <si>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</si>
  <si>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</si>
  <si>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</si>
  <si>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</si>
  <si>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</si>
  <si>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</si>
  <si>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</si>
  <si>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</si>
  <si>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</si>
  <si>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</si>
  <si>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</si>
  <si>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</si>
  <si>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</si>
  <si>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</si>
  <si>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</si>
  <si>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</si>
  <si>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</si>
  <si>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글로컬 교육, 스포츠센터 건립 공사</t>
    <phoneticPr fontId="2" type="noConversion"/>
  </si>
  <si>
    <t>충청도</t>
  </si>
  <si>
    <t>기초공사,해체및철거공사,골재비및운반비,작업부산물,품질시험비,기타공사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</si>
  <si>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</si>
  <si>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</si>
  <si>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</si>
  <si>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</si>
  <si>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</si>
  <si>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</si>
  <si>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</si>
  <si>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옥외소화배관공사,펌프실배관공사,무선통신보조설비공사,기타공사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</si>
  <si>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</si>
  <si>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</si>
  <si>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</si>
  <si>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</si>
  <si>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공조배관공사,난방배관공사,우수처리시설공사,기타공사,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</si>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</sst>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12103.61</v>
      </c>
      <c r="D7" s="36">
        <f>+C7/3.3058</f>
        <v>3661.3255490350293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883720</v>
      </c>
      <c r="E25" s="59">
        <f t="shared" si="0"/>
        <v>2921400</v>
      </c>
    </row>
    <row r="26" spans="1:5" x14ac:dyDescent="0.3">
      <c r="B26" s="2">
        <v>3</v>
      </c>
      <c r="C26" s="35" t="s">
        <v>95</v>
      </c>
      <c r="D26" s="45">
        <f>+D66</f>
        <v>63940</v>
      </c>
      <c r="E26" s="59">
        <f t="shared" si="0"/>
        <v>211370</v>
      </c>
    </row>
    <row r="27" spans="1:5" x14ac:dyDescent="0.3">
      <c r="B27" s="2">
        <v>4</v>
      </c>
      <c r="C27" s="35" t="s">
        <v>96</v>
      </c>
      <c r="D27" s="45">
        <f>+D95</f>
        <v>357680</v>
      </c>
      <c r="E27" s="59">
        <f t="shared" si="0"/>
        <v>1182410</v>
      </c>
    </row>
    <row r="28" spans="1:5" x14ac:dyDescent="0.3">
      <c r="B28" s="2">
        <v>5</v>
      </c>
      <c r="C28" s="35" t="s">
        <v>97</v>
      </c>
      <c r="D28" s="45">
        <f>+D119</f>
        <v>186530</v>
      </c>
      <c r="E28" s="59">
        <f t="shared" si="0"/>
        <v>616630</v>
      </c>
    </row>
    <row r="29" spans="1:5" x14ac:dyDescent="0.3">
      <c r="B29" s="2">
        <v>6</v>
      </c>
      <c r="C29" s="35" t="s">
        <v>98</v>
      </c>
      <c r="D29" s="45">
        <f>+D133</f>
        <v>62660</v>
      </c>
      <c r="E29" s="59">
        <f t="shared" si="0"/>
        <v>207140</v>
      </c>
    </row>
    <row r="30" spans="1:5" x14ac:dyDescent="0.3">
      <c r="B30" s="2">
        <v>7</v>
      </c>
      <c r="C30" s="35" t="s">
        <v>99</v>
      </c>
      <c r="D30" s="45">
        <f>+D146</f>
        <v>68750</v>
      </c>
      <c r="E30" s="59">
        <f t="shared" si="0"/>
        <v>227270</v>
      </c>
    </row>
    <row r="31" spans="1:5" x14ac:dyDescent="0.3">
      <c r="B31" s="2">
        <v>8</v>
      </c>
      <c r="C31" s="35" t="s">
        <v>100</v>
      </c>
      <c r="D31" s="45">
        <f>+D154</f>
        <v>11010</v>
      </c>
      <c r="E31" s="59">
        <f t="shared" si="0"/>
        <v>36390</v>
      </c>
    </row>
    <row r="32" spans="1:5" x14ac:dyDescent="0.3">
      <c r="B32" s="2">
        <v>9</v>
      </c>
      <c r="C32" s="35" t="s">
        <v>101</v>
      </c>
      <c r="D32" s="45">
        <f>+D161</f>
        <v>8450</v>
      </c>
      <c r="E32" s="59">
        <f t="shared" si="0"/>
        <v>27930</v>
      </c>
    </row>
    <row r="33" spans="1:7" x14ac:dyDescent="0.3">
      <c r="B33" s="2">
        <v>10</v>
      </c>
      <c r="C33" s="35" t="s">
        <v>154</v>
      </c>
      <c r="D33" s="53">
        <f>TRUNC(SUM(D24:D32)*0.275,-1)</f>
        <v>451750</v>
      </c>
      <c r="E33" s="60">
        <f t="shared" si="0"/>
        <v>1493390</v>
      </c>
    </row>
    <row r="34" spans="1:7" x14ac:dyDescent="0.3">
      <c r="C34" s="35" t="s">
        <v>112</v>
      </c>
      <c r="D34" s="44">
        <f>SUM(D24:D33)</f>
        <v>2094490</v>
      </c>
      <c r="E34" s="44">
        <f>SUM(E24:E33)</f>
        <v>6923930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TRUNC(44381,-1)</f>
        <v>44380</v>
      </c>
      <c r="E40" s="62">
        <f t="shared" ref="E40:E59" si="1">TRUNC(+D40*3.3058,-1)</f>
        <v>146710</v>
      </c>
    </row>
    <row r="41" spans="1:7" x14ac:dyDescent="0.3">
      <c r="A41" s="2">
        <v>2</v>
      </c>
      <c r="C41" s="38" t="s">
        <v>13</v>
      </c>
      <c r="D41" s="42">
        <f>TRUNC(135982,-1)</f>
        <v>135980</v>
      </c>
      <c r="E41" s="63">
        <f t="shared" si="1"/>
        <v>449520</v>
      </c>
    </row>
    <row r="42" spans="1:7" x14ac:dyDescent="0.3">
      <c r="A42" s="2">
        <v>3</v>
      </c>
      <c r="C42" s="38" t="s">
        <v>14</v>
      </c>
      <c r="D42" s="42">
        <f>TRUNC(83976,-1)</f>
        <v>83970</v>
      </c>
      <c r="E42" s="63">
        <f t="shared" si="1"/>
        <v>277580</v>
      </c>
    </row>
    <row r="43" spans="1:7" x14ac:dyDescent="0.3">
      <c r="A43" s="2">
        <v>4</v>
      </c>
      <c r="C43" s="38" t="s">
        <v>16</v>
      </c>
      <c r="D43" s="42">
        <f>TRUNC(32094,-1)</f>
        <v>32090</v>
      </c>
      <c r="E43" s="63">
        <f t="shared" si="1"/>
        <v>106080</v>
      </c>
    </row>
    <row r="44" spans="1:7" x14ac:dyDescent="0.3">
      <c r="A44" s="2">
        <v>5</v>
      </c>
      <c r="C44" s="38" t="s">
        <v>17</v>
      </c>
      <c r="D44" s="42">
        <f>TRUNC(25921,-1)</f>
        <v>25920</v>
      </c>
      <c r="E44" s="63">
        <f t="shared" si="1"/>
        <v>85680</v>
      </c>
    </row>
    <row r="45" spans="1:7" x14ac:dyDescent="0.3">
      <c r="A45" s="2">
        <v>6</v>
      </c>
      <c r="C45" s="38" t="s">
        <v>18</v>
      </c>
      <c r="D45" s="42">
        <f>TRUNC(6413,-1)</f>
        <v>6410</v>
      </c>
      <c r="E45" s="63">
        <f t="shared" si="1"/>
        <v>21190</v>
      </c>
    </row>
    <row r="46" spans="1:7" x14ac:dyDescent="0.3">
      <c r="A46" s="2">
        <v>7</v>
      </c>
      <c r="C46" s="38" t="s">
        <v>19</v>
      </c>
      <c r="D46" s="42">
        <f>TRUNC(14349,-1)</f>
        <v>14340</v>
      </c>
      <c r="E46" s="63">
        <f t="shared" si="1"/>
        <v>47400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TRUNC(60724,-1)</f>
        <v>60720</v>
      </c>
      <c r="E48" s="63">
        <f t="shared" si="1"/>
        <v>200720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TRUNC(12132,-1)</f>
        <v>12130</v>
      </c>
      <c r="E49" s="63">
        <f t="shared" si="1"/>
        <v>40090</v>
      </c>
    </row>
    <row r="50" spans="1:7" x14ac:dyDescent="0.3">
      <c r="A50" s="2">
        <v>11</v>
      </c>
      <c r="C50" s="38" t="s">
        <v>155</v>
      </c>
      <c r="D50" s="42">
        <f>TRUNC(35189,-1)</f>
        <v>35180</v>
      </c>
      <c r="E50" s="63">
        <f t="shared" si="1"/>
        <v>116290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TRUNC(13662,-1)</f>
        <v>13660</v>
      </c>
      <c r="E52" s="63">
        <f t="shared" si="1"/>
        <v>45150</v>
      </c>
    </row>
    <row r="53" spans="1:7" x14ac:dyDescent="0.3">
      <c r="A53" s="2">
        <v>14</v>
      </c>
      <c r="C53" s="38" t="s">
        <v>25</v>
      </c>
      <c r="D53" s="42">
        <f>TRUNC(51025,-1)</f>
        <v>51020</v>
      </c>
      <c r="E53" s="63">
        <f t="shared" si="1"/>
        <v>168660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TRUNC(2091+7116+4583-2035+2067+56389,-1)</f>
        <v>70210</v>
      </c>
      <c r="E58" s="63">
        <f t="shared" si="1"/>
        <v>232100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TRUNC(297714,-1)</f>
        <v>297710</v>
      </c>
      <c r="E59" s="64">
        <f t="shared" si="1"/>
        <v>984160</v>
      </c>
    </row>
    <row r="60" spans="1:7" x14ac:dyDescent="0.3">
      <c r="A60" s="2">
        <v>21</v>
      </c>
      <c r="C60" s="27" t="s">
        <v>112</v>
      </c>
      <c r="D60" s="39">
        <f>SUM(D40:D59)</f>
        <v>883720</v>
      </c>
      <c r="E60" s="39">
        <f>SUM(E40:E59)</f>
        <v>2921330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TRUNC(27686,-1)</f>
        <v>27680</v>
      </c>
      <c r="E63" s="62">
        <f>TRUNC(+D63*3.3058,-1)</f>
        <v>91500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TRUNC(36266,-1)</f>
        <v>36260</v>
      </c>
      <c r="E65" s="64">
        <f>TRUNC(+D65*3.3058,-1)</f>
        <v>119860</v>
      </c>
    </row>
    <row r="66" spans="1:7" x14ac:dyDescent="0.3">
      <c r="A66" s="2">
        <v>4</v>
      </c>
      <c r="C66" s="27" t="s">
        <v>112</v>
      </c>
      <c r="D66" s="39">
        <f>SUM(D63:D65)</f>
        <v>63940</v>
      </c>
      <c r="E66" s="65">
        <f>SUM(E63:E65)</f>
        <v>211360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TRUNC(43359,-1)</f>
        <v>43350</v>
      </c>
      <c r="E69" s="62">
        <f t="shared" ref="E69:E94" si="2">TRUNC(+D69*3.3058,-1)</f>
        <v>143300</v>
      </c>
    </row>
    <row r="70" spans="1:7" ht="16.5" customHeight="1" x14ac:dyDescent="0.3">
      <c r="A70" s="2">
        <v>2</v>
      </c>
      <c r="C70" s="38" t="s">
        <v>31</v>
      </c>
      <c r="D70" s="42">
        <f>TRUNC(1698,-1)</f>
        <v>1690</v>
      </c>
      <c r="E70" s="63">
        <f t="shared" si="2"/>
        <v>5580</v>
      </c>
    </row>
    <row r="71" spans="1:7" x14ac:dyDescent="0.3">
      <c r="A71" s="2">
        <v>3</v>
      </c>
      <c r="C71" s="38" t="s">
        <v>32</v>
      </c>
      <c r="D71" s="42">
        <f>TRUNC(32265,-1)</f>
        <v>32260</v>
      </c>
      <c r="E71" s="63">
        <f t="shared" si="2"/>
        <v>106640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TRUNC(10112,-1)</f>
        <v>10110</v>
      </c>
      <c r="E73" s="63">
        <f t="shared" si="2"/>
        <v>33420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TRUNC(1595,-1)</f>
        <v>1590</v>
      </c>
      <c r="E75" s="63">
        <f t="shared" si="2"/>
        <v>5250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TRUNC(14290,-1)</f>
        <v>14290</v>
      </c>
      <c r="E89" s="63">
        <f t="shared" si="2"/>
        <v>47230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TRUNC(45017,-1)</f>
        <v>45010</v>
      </c>
      <c r="E91" s="63">
        <f t="shared" si="2"/>
        <v>148790</v>
      </c>
    </row>
    <row r="92" spans="1:7" x14ac:dyDescent="0.3">
      <c r="A92" s="2">
        <v>24</v>
      </c>
      <c r="C92" s="38" t="s">
        <v>38</v>
      </c>
      <c r="D92" s="42">
        <f>TRUNC(4807,-1)</f>
        <v>4800</v>
      </c>
      <c r="E92" s="63">
        <f t="shared" si="2"/>
        <v>15860</v>
      </c>
    </row>
    <row r="93" spans="1:7" x14ac:dyDescent="0.3">
      <c r="A93" s="2">
        <v>25</v>
      </c>
      <c r="C93" s="38" t="s">
        <v>148</v>
      </c>
      <c r="D93" s="42">
        <f>TRUNC(134046,-1)</f>
        <v>134040</v>
      </c>
      <c r="E93" s="63">
        <f t="shared" si="2"/>
        <v>443100</v>
      </c>
    </row>
    <row r="94" spans="1:7" ht="17.25" thickBot="1" x14ac:dyDescent="0.35">
      <c r="A94" s="2">
        <v>26</v>
      </c>
      <c r="C94" s="38" t="s">
        <v>47</v>
      </c>
      <c r="D94" s="43">
        <f>TRUNC(34527+1528+3620+30408+460,-1)</f>
        <v>70540</v>
      </c>
      <c r="E94" s="64">
        <f t="shared" si="2"/>
        <v>233190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357680</v>
      </c>
      <c r="E95" s="39">
        <f>SUM(E69:E94)</f>
        <v>1182360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TRUNC(15315,-1)</f>
        <v>15310</v>
      </c>
      <c r="E98" s="62">
        <f t="shared" ref="E98:E118" si="3">TRUNC(+D98*3.3058,-1)</f>
        <v>50610</v>
      </c>
    </row>
    <row r="99" spans="1:7" x14ac:dyDescent="0.3">
      <c r="A99" s="2">
        <v>2</v>
      </c>
      <c r="C99" s="38" t="s">
        <v>40</v>
      </c>
      <c r="D99" s="42">
        <f>TRUNC(6141,-1)</f>
        <v>6140</v>
      </c>
      <c r="E99" s="63">
        <f t="shared" si="3"/>
        <v>20290</v>
      </c>
    </row>
    <row r="100" spans="1:7" x14ac:dyDescent="0.3">
      <c r="A100" s="2">
        <v>3</v>
      </c>
      <c r="C100" s="38" t="s">
        <v>41</v>
      </c>
      <c r="D100" s="42">
        <f>TRUNC(27461,-1)</f>
        <v>27460</v>
      </c>
      <c r="E100" s="63">
        <f t="shared" si="3"/>
        <v>90770</v>
      </c>
    </row>
    <row r="101" spans="1:7" x14ac:dyDescent="0.3">
      <c r="A101" s="2">
        <v>4</v>
      </c>
      <c r="C101" s="38" t="s">
        <v>42</v>
      </c>
      <c r="D101" s="42">
        <f>TRUNC(2329,-1)</f>
        <v>2320</v>
      </c>
      <c r="E101" s="63">
        <f t="shared" si="3"/>
        <v>7660</v>
      </c>
    </row>
    <row r="102" spans="1:7" x14ac:dyDescent="0.3">
      <c r="A102" s="2">
        <v>5</v>
      </c>
      <c r="C102" s="38" t="s">
        <v>43</v>
      </c>
      <c r="D102" s="42">
        <f>TRUNC(7413,-1)</f>
        <v>7410</v>
      </c>
      <c r="E102" s="63">
        <f t="shared" si="3"/>
        <v>24490</v>
      </c>
    </row>
    <row r="103" spans="1:7" x14ac:dyDescent="0.3">
      <c r="A103" s="2">
        <v>6</v>
      </c>
      <c r="C103" s="38" t="s">
        <v>44</v>
      </c>
      <c r="D103" s="42">
        <f>TRUNC(2709,-1)</f>
        <v>2700</v>
      </c>
      <c r="E103" s="63">
        <f t="shared" si="3"/>
        <v>8920</v>
      </c>
    </row>
    <row r="104" spans="1:7" x14ac:dyDescent="0.3">
      <c r="A104" s="2">
        <v>7</v>
      </c>
      <c r="C104" s="38" t="s">
        <v>45</v>
      </c>
      <c r="D104" s="42">
        <f>TRUNC(1745,-1)</f>
        <v>1740</v>
      </c>
      <c r="E104" s="63">
        <f t="shared" si="3"/>
        <v>5750</v>
      </c>
    </row>
    <row r="105" spans="1:7" x14ac:dyDescent="0.3">
      <c r="A105" s="2">
        <v>8</v>
      </c>
      <c r="C105" s="38" t="s">
        <v>46</v>
      </c>
      <c r="D105" s="42">
        <f>TRUNC(5441,-1)</f>
        <v>5440</v>
      </c>
      <c r="E105" s="63">
        <f t="shared" si="3"/>
        <v>17980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TRUNC(1715,-1)</f>
        <v>1710</v>
      </c>
      <c r="E114" s="63">
        <f t="shared" si="3"/>
        <v>5650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TRUNC(6320,-1)</f>
        <v>6320</v>
      </c>
      <c r="E116" s="63">
        <f t="shared" si="3"/>
        <v>20890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TRUNC(107565,-1)</f>
        <v>107560</v>
      </c>
      <c r="E117" s="63">
        <f t="shared" si="3"/>
        <v>355570</v>
      </c>
    </row>
    <row r="118" spans="1:7" ht="17.25" thickBot="1" x14ac:dyDescent="0.35">
      <c r="A118" s="2">
        <v>21</v>
      </c>
      <c r="C118" s="38" t="s">
        <v>47</v>
      </c>
      <c r="D118" s="43">
        <f>TRUNC(2429,-1)</f>
        <v>2420</v>
      </c>
      <c r="E118" s="64">
        <f t="shared" si="3"/>
        <v>8000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186530</v>
      </c>
      <c r="E119" s="39">
        <f>SUM(E98:E118)</f>
        <v>616580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TRUNC(2435,-1)</f>
        <v>2430</v>
      </c>
      <c r="E122" s="62">
        <f t="shared" ref="E122:E132" si="4">TRUNC(+D122*3.3058,-1)</f>
        <v>8030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TRUNC(2140,-1)</f>
        <v>2140</v>
      </c>
      <c r="E124" s="63">
        <f t="shared" si="4"/>
        <v>7070</v>
      </c>
    </row>
    <row r="125" spans="1:7" x14ac:dyDescent="0.3">
      <c r="A125" s="2">
        <v>4</v>
      </c>
      <c r="C125" s="38" t="s">
        <v>138</v>
      </c>
      <c r="D125" s="42">
        <f>TRUNC(5328,-1)</f>
        <v>5320</v>
      </c>
      <c r="E125" s="63">
        <f t="shared" si="4"/>
        <v>17580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TRUNC(5941,-1)</f>
        <v>5940</v>
      </c>
      <c r="E127" s="63">
        <f t="shared" si="4"/>
        <v>19630</v>
      </c>
    </row>
    <row r="128" spans="1:7" x14ac:dyDescent="0.3">
      <c r="A128" s="2">
        <v>7</v>
      </c>
      <c r="C128" s="38" t="s">
        <v>46</v>
      </c>
      <c r="D128" s="42">
        <f>TRUNC(3040,-1)</f>
        <v>3040</v>
      </c>
      <c r="E128" s="63">
        <f t="shared" si="4"/>
        <v>10040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TRUNC(14017,-1)</f>
        <v>14010</v>
      </c>
      <c r="E130" s="63">
        <f t="shared" si="4"/>
        <v>46310</v>
      </c>
    </row>
    <row r="131" spans="1:7" x14ac:dyDescent="0.3">
      <c r="A131" s="2">
        <v>10</v>
      </c>
      <c r="C131" s="38" t="s">
        <v>148</v>
      </c>
      <c r="D131" s="42">
        <f>TRUNC(27018,-1)</f>
        <v>27010</v>
      </c>
      <c r="E131" s="63">
        <f t="shared" si="4"/>
        <v>89280</v>
      </c>
    </row>
    <row r="132" spans="1:7" ht="18" thickBot="1" x14ac:dyDescent="0.35">
      <c r="A132" s="2">
        <v>11</v>
      </c>
      <c r="C132" s="38" t="s">
        <v>47</v>
      </c>
      <c r="D132" s="43">
        <f>TRUNC(1609+207+962,-1)</f>
        <v>2770</v>
      </c>
      <c r="E132" s="64">
        <f t="shared" si="4"/>
        <v>9150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62660</v>
      </c>
      <c r="E133" s="39">
        <f>SUM(E122:E132)</f>
        <v>207090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TRUNC(160+1983+1028+1058,-1)</f>
        <v>4220</v>
      </c>
      <c r="E137" s="63">
        <f t="shared" si="5"/>
        <v>13950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TRUNC(4921,-1)</f>
        <v>4920</v>
      </c>
      <c r="E139" s="63">
        <f t="shared" si="5"/>
        <v>16260</v>
      </c>
    </row>
    <row r="140" spans="1:7" x14ac:dyDescent="0.3">
      <c r="A140" s="2">
        <v>5</v>
      </c>
      <c r="C140" s="38" t="s">
        <v>57</v>
      </c>
      <c r="D140" s="42">
        <f>TRUNC(1522,-1)</f>
        <v>1520</v>
      </c>
      <c r="E140" s="63">
        <f t="shared" si="5"/>
        <v>5020</v>
      </c>
    </row>
    <row r="141" spans="1:7" x14ac:dyDescent="0.3">
      <c r="A141" s="2">
        <v>6</v>
      </c>
      <c r="C141" s="38" t="s">
        <v>59</v>
      </c>
      <c r="D141" s="42">
        <f>TRUNC(29408,-1)</f>
        <v>29400</v>
      </c>
      <c r="E141" s="63">
        <f t="shared" si="5"/>
        <v>97190</v>
      </c>
    </row>
    <row r="142" spans="1:7" x14ac:dyDescent="0.3">
      <c r="A142" s="2">
        <v>7</v>
      </c>
      <c r="C142" s="38" t="s">
        <v>58</v>
      </c>
      <c r="D142" s="42">
        <f>TRUNC(5269,-1)</f>
        <v>5260</v>
      </c>
      <c r="E142" s="63">
        <f t="shared" si="5"/>
        <v>17380</v>
      </c>
    </row>
    <row r="143" spans="1:7" x14ac:dyDescent="0.3">
      <c r="A143" s="2">
        <v>8</v>
      </c>
      <c r="C143" s="38" t="s">
        <v>62</v>
      </c>
      <c r="D143" s="42">
        <f>TRUNC(3987,-1)</f>
        <v>3980</v>
      </c>
      <c r="E143" s="63">
        <f t="shared" si="5"/>
        <v>13150</v>
      </c>
    </row>
    <row r="144" spans="1:7" x14ac:dyDescent="0.3">
      <c r="A144" s="2">
        <v>9</v>
      </c>
      <c r="C144" s="38" t="s">
        <v>63</v>
      </c>
      <c r="D144" s="42">
        <f>TRUNC(14629,-1)</f>
        <v>14620</v>
      </c>
      <c r="E144" s="63">
        <f t="shared" si="5"/>
        <v>48330</v>
      </c>
    </row>
    <row r="145" spans="1:7" ht="17.25" thickBot="1" x14ac:dyDescent="0.35">
      <c r="A145" s="2">
        <v>10</v>
      </c>
      <c r="C145" s="38" t="s">
        <v>148</v>
      </c>
      <c r="D145" s="43">
        <f>TRUNC(4838,-1)</f>
        <v>4830</v>
      </c>
      <c r="E145" s="64">
        <f t="shared" si="5"/>
        <v>15960</v>
      </c>
    </row>
    <row r="146" spans="1:7" x14ac:dyDescent="0.3">
      <c r="A146" s="2">
        <v>11</v>
      </c>
      <c r="C146" s="27" t="s">
        <v>112</v>
      </c>
      <c r="D146" s="39">
        <f>SUM(D136:D145)</f>
        <v>68750</v>
      </c>
      <c r="E146" s="39">
        <f>SUM(E136:E145)</f>
        <v>227240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TRUNC(6436+259,-1)</f>
        <v>6690</v>
      </c>
      <c r="E149" s="62">
        <f>TRUNC(+D149*3.3058,-1)</f>
        <v>22110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TRUNC(879,-1)</f>
        <v>870</v>
      </c>
      <c r="E150" s="63">
        <f>TRUNC(+D150*3.3058,-1)</f>
        <v>2870</v>
      </c>
    </row>
    <row r="151" spans="1:7" x14ac:dyDescent="0.3">
      <c r="A151" s="2">
        <v>3</v>
      </c>
      <c r="C151" s="38" t="s">
        <v>50</v>
      </c>
      <c r="D151" s="42">
        <f>TRUNC(1724,-1)</f>
        <v>1720</v>
      </c>
      <c r="E151" s="63">
        <f>TRUNC(+D151*3.3058,-1)</f>
        <v>5680</v>
      </c>
    </row>
    <row r="152" spans="1:7" x14ac:dyDescent="0.3">
      <c r="A152" s="2">
        <v>4</v>
      </c>
      <c r="C152" s="38" t="s">
        <v>47</v>
      </c>
      <c r="D152" s="42">
        <f>TRUNC(146+1588,-1)</f>
        <v>1730</v>
      </c>
      <c r="E152" s="63">
        <f>TRUNC(+D152*3.3058,-1)</f>
        <v>5710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11010</v>
      </c>
      <c r="E154" s="39">
        <f>SUM(E149:E153)</f>
        <v>36370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TRUNC(1888,-1)</f>
        <v>1880</v>
      </c>
      <c r="E157" s="62">
        <f>TRUNC(+D157*3.3058,-1)</f>
        <v>6210</v>
      </c>
    </row>
    <row r="158" spans="1:7" x14ac:dyDescent="0.3">
      <c r="A158" s="2">
        <v>2</v>
      </c>
      <c r="C158" s="38" t="s">
        <v>52</v>
      </c>
      <c r="D158" s="42">
        <f>TRUNC(4740,-1)</f>
        <v>4740</v>
      </c>
      <c r="E158" s="63">
        <f>TRUNC(+D158*3.3058,-1)</f>
        <v>15660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TRUNC(1836+3,-1)</f>
        <v>1830</v>
      </c>
      <c r="E159" s="63">
        <f>TRUNC(+D159*3.3058,-1)</f>
        <v>6040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8450</v>
      </c>
      <c r="E161" s="39">
        <f>SUM(E157:E160)</f>
        <v>27910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2020-12-08T04:04:32Z</dcterms:modified>
</cp:coreProperties>
</file>