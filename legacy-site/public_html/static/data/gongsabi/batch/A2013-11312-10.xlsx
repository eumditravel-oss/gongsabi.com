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4" i="4" l="1"/>
  <c r="D94" i="4"/>
  <c r="D136" i="4" l="1"/>
  <c r="D137" i="4"/>
  <c r="D79" i="4"/>
  <c r="D159" i="4" l="1"/>
  <c r="D152" i="4"/>
  <c r="D132" i="4"/>
  <c r="D131" i="4"/>
  <c r="D130" i="4"/>
  <c r="D127" i="4"/>
  <c r="D125" i="4"/>
  <c r="D122" i="4"/>
  <c r="D118" i="4"/>
  <c r="D117" i="4"/>
  <c r="D115" i="4"/>
  <c r="D114" i="4"/>
  <c r="D105" i="4"/>
  <c r="D104" i="4"/>
  <c r="D102" i="4"/>
  <c r="D101" i="4"/>
  <c r="D100" i="4"/>
  <c r="D99" i="4"/>
  <c r="D98" i="4"/>
  <c r="D74" i="4"/>
  <c r="D93" i="4"/>
  <c r="D88" i="4"/>
  <c r="D85" i="4"/>
  <c r="D78" i="4"/>
  <c r="D77" i="4"/>
  <c r="D90" i="4"/>
  <c r="D72" i="4"/>
  <c r="D71" i="4"/>
  <c r="D70" i="4"/>
  <c r="D69" i="4"/>
  <c r="D59" i="4"/>
  <c r="D58" i="4"/>
  <c r="D55" i="4"/>
  <c r="D53" i="4"/>
  <c r="D52" i="4"/>
  <c r="D51" i="4"/>
  <c r="D50" i="4"/>
  <c r="D49" i="4"/>
  <c r="D48" i="4"/>
  <c r="D46" i="4"/>
  <c r="D45" i="4"/>
  <c r="D44" i="4"/>
  <c r="D43" i="4"/>
  <c r="D42" i="4"/>
  <c r="D41" i="4"/>
  <c r="D40" i="4"/>
  <c r="D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33" i="4"/>
  <c r="E119" i="4"/>
  <c r="E146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<sst xmlns="http://schemas.openxmlformats.org/spreadsheetml/2006/main" count="392" uniqueCount="267">
  <si>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</si>
  <si>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</si>
  <si>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</si>
  <si>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</si>
  <si>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</si>
  <si>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</si>
  <si>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</si>
  <si>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</si>
  <si>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</si>
  <si>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</si>
  <si>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</si>
  <si>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</si>
  <si>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</si>
  <si>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</si>
  <si>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</si>
  <si>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</si>
  <si>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</si>
  <si>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</si>
  <si>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</si>
  <si>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</si>
  <si>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</si>
  <si>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</si>
  <si>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</si>
  <si>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</si>
  <si>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</si>
  <si>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</si>
  <si>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</si>
  <si>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</si>
  <si>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</si>
  <si>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</si>
  <si>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</si>
  <si>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</si>
  <si>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</si>
  <si>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</si>
  <si>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</si>
  <si>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</si>
  <si>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</si>
  <si>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</si>
  <si>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</si>
  <si>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</si>
  <si>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</si>
  <si>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</si>
  <si>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</si>
  <si>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</si>
  <si>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</si>
  <si>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</si>
  <si>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</si>
  <si>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</si>
  <si>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</si>
  <si>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</si>
  <si>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</si>
  <si>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</si>
  <si>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</si>
  <si>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</si>
  <si>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</si>
  <si>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</si>
  <si>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</si>
  <si>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</si>
  <si>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</si>
  <si>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</si>
  <si>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</si>
  <si>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</si>
  <si>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</si>
  <si>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</si>
  <si>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</si>
  <si>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</si>
  <si>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</si>
  <si>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</si>
  <si>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</si>
  <si>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</si>
  <si>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</si>
  <si>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</si>
  <si>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</si>
  <si>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</si>
  <si>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</si>
  <si>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</si>
  <si>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</si>
  <si>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</si>
  <si>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</si>
  <si>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</si>
  <si>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</si>
  <si>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</si>
  <si>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</si>
  <si>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</si>
  <si>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</si>
  <si>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</si>
  <si>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</si>
  <si>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</si>
  <si>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</si>
  <si>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</si>
  <si>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</si>
  <si>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</si>
  <si>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</si>
  <si>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</si>
  <si>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</si>
  <si>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</si>
  <si>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</si>
  <si>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</si>
  <si>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</si>
  <si>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</si>
  <si>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</si>
  <si>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</si>
  <si>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</si>
  <si>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</si>
  <si>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</si>
  <si>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</si>
  <si>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</si>
  <si>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</si>
  <si>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</si>
  <si>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</si>
  <si>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</si>
  <si>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</si>
  <si>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</si>
  <si>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</si>
  <si>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</si>
  <si>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</si>
  <si>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</si>
  <si>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</si>
  <si>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</si>
  <si>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</si>
  <si>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</si>
  <si>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</si>
  <si>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</si>
  <si>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</si>
  <si>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</si>
  <si>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</si>
  <si>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</si>
  <si>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</si>
  <si>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</si>
  <si>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</si>
  <si>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</si>
  <si>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</si>
  <si>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</si>
  <si>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</si>
  <si>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</si>
  <si>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</si>
  <si>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</si>
  <si>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</si>
  <si>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</si>
  <si>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</si>
  <si>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</si>
  <si>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</si>
  <si>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</si>
  <si>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</si>
  <si>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</si>
  <si>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</si>
  <si>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</si>
  <si>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</si>
  <si>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</si>
  <si>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</si>
  <si>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</si>
  <si>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</si>
  <si>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</si>
  <si>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</si>
  <si>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</si>
  <si>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</si>
  <si>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</si>
  <si>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</si>
  <si>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</si>
  <si>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</si>
  <si>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</si>
  <si>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</si>
  <si>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</si>
  <si>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</si>
  <si>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</si>
  <si>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</si>
  <si>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</si>
  <si>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</si>
  <si>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</si>
  <si>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</si>
  <si>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</si>
  <si>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</si>
  <si>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</si>
  <si>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</si>
  <si>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</si>
  <si>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</si>
  <si>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</si>
  <si>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</si>
  <si>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</si>
  <si>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</si>
  <si>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</si>
  <si>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</si>
  <si>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</si>
  <si>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</si>
  <si>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</si>
  <si>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</si>
  <si>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</si>
  <si>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</si>
  <si>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</si>
  <si>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</si>
  <si>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</si>
  <si>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</si>
  <si>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</si>
  <si>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</si>
  <si>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</si>
  <si>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</si>
  <si>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</si>
  <si>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</si>
  <si>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</si>
  <si>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</si>
  <si>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</si>
  <si>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</si>
  <si>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</si>
  <si>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</si>
  <si>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</si>
  <si>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</si>
  <si>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</si>
  <si>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</si>
  <si>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</si>
  <si>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</si>
  <si>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</si>
  <si>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</si>
  <si>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</si>
  <si>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</si>
  <si>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</si>
  <si>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</si>
  <si>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</si>
  <si>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</si>
  <si>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</si>
  <si>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</si>
  <si>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</si>
  <si>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</si>
  <si>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</si>
  <si>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</si>
  <si>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</si>
  <si>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</si>
  <si>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</si>
  <si>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</si>
  <si>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</si>
  <si>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</si>
  <si>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</si>
  <si>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</si>
  <si>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</si>
  <si>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</si>
  <si>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</si>
  <si>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</si>
  <si>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</si>
  <si>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</si>
  <si>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</si>
  <si>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</si>
  <si>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</si>
  <si>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</si>
  <si>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</si>
  <si>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</si>
  <si>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</si>
  <si>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</si>
  <si>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</si>
  <si>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</si>
  <si>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00연구센터 건립공사</t>
    <phoneticPr fontId="2" type="noConversion"/>
  </si>
  <si>
    <t>교육연구</t>
  </si>
  <si>
    <t>경상도</t>
  </si>
  <si>
    <t>유틸리티가스설비공사</t>
    <phoneticPr fontId="2" type="noConversion"/>
  </si>
  <si>
    <t>CABLE DUCT설치공사,CABLE TRAY설치공사</t>
    <phoneticPr fontId="2" type="noConversion"/>
  </si>
  <si>
    <t>가설사무소공사</t>
    <phoneticPr fontId="2" type="noConversion"/>
  </si>
  <si>
    <t>CCTV설비공사,HI-TEC TRAY공사,가설사무소</t>
    <phoneticPr fontId="2" type="noConversion"/>
  </si>
  <si>
    <t>부대토목공사</t>
    <phoneticPr fontId="2" type="noConversion"/>
  </si>
  <si>
    <t>조경공사</t>
    <phoneticPr fontId="2" type="noConversion"/>
  </si>
  <si>
    <t>환기덕트설치공사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</si>
  <si>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</si>
  <si>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</si>
  <si>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</si>
  <si>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</si>
  <si>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냉난방기설치공사</t>
    <phoneticPr fontId="2" type="noConversion"/>
  </si>
  <si>
    <t>바닥난방공사,공조배관공사,위생배관공사,유틸리티배관공사,CAV및VAV설치공사,우수처리시설공사,필터박스설치공사,정제수,주사제용수설비공사,FCFU,CDU설치공사,PASS BOX.비상샤워기.아이샤워,EDS설치공사,전열교환기설치공사,훈증포트설치공사,LN2설치공사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</si>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</sst>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0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5687</v>
      </c>
      <c r="D7" s="36">
        <f>+C7/3.3058</f>
        <v>1720.3097586060862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12300</v>
      </c>
      <c r="E24" s="58">
        <f t="shared" ref="E24:E33" si="0">TRUNC(+D24*3.3058,-1)</f>
        <v>40660</v>
      </c>
    </row>
    <row r="25" spans="1:5" x14ac:dyDescent="0.3">
      <c r="B25" s="2">
        <v>2</v>
      </c>
      <c r="C25" s="35" t="s">
        <v>111</v>
      </c>
      <c r="D25" s="45">
        <f>+D60</f>
        <v>841840</v>
      </c>
      <c r="E25" s="59">
        <f t="shared" si="0"/>
        <v>2782950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1571720</v>
      </c>
      <c r="E27" s="59">
        <f t="shared" si="0"/>
        <v>5195790</v>
      </c>
    </row>
    <row r="28" spans="1:5" x14ac:dyDescent="0.3">
      <c r="B28" s="2">
        <v>5</v>
      </c>
      <c r="C28" s="35" t="s">
        <v>97</v>
      </c>
      <c r="D28" s="45">
        <f>+D119</f>
        <v>377690</v>
      </c>
      <c r="E28" s="59">
        <f t="shared" si="0"/>
        <v>1248560</v>
      </c>
    </row>
    <row r="29" spans="1:5" x14ac:dyDescent="0.3">
      <c r="B29" s="2">
        <v>6</v>
      </c>
      <c r="C29" s="35" t="s">
        <v>98</v>
      </c>
      <c r="D29" s="45">
        <f>+D133</f>
        <v>124410</v>
      </c>
      <c r="E29" s="59">
        <f t="shared" si="0"/>
        <v>411270</v>
      </c>
    </row>
    <row r="30" spans="1:5" x14ac:dyDescent="0.3">
      <c r="B30" s="2">
        <v>7</v>
      </c>
      <c r="C30" s="35" t="s">
        <v>99</v>
      </c>
      <c r="D30" s="45">
        <f>+D146</f>
        <v>37420</v>
      </c>
      <c r="E30" s="59">
        <f t="shared" si="0"/>
        <v>123700</v>
      </c>
    </row>
    <row r="31" spans="1:5" x14ac:dyDescent="0.3">
      <c r="B31" s="2">
        <v>8</v>
      </c>
      <c r="C31" s="35" t="s">
        <v>100</v>
      </c>
      <c r="D31" s="45">
        <f>+D154</f>
        <v>109090</v>
      </c>
      <c r="E31" s="59">
        <f t="shared" si="0"/>
        <v>360620</v>
      </c>
    </row>
    <row r="32" spans="1:5" x14ac:dyDescent="0.3">
      <c r="B32" s="2">
        <v>9</v>
      </c>
      <c r="C32" s="35" t="s">
        <v>101</v>
      </c>
      <c r="D32" s="45">
        <f>+D161</f>
        <v>17520</v>
      </c>
      <c r="E32" s="59">
        <f t="shared" si="0"/>
        <v>57910</v>
      </c>
    </row>
    <row r="33" spans="1:7" x14ac:dyDescent="0.3">
      <c r="B33" s="2">
        <v>10</v>
      </c>
      <c r="C33" s="35" t="s">
        <v>154</v>
      </c>
      <c r="D33" s="53">
        <f>TRUNC(SUM(D24:D32)*0.275,-1)</f>
        <v>850290</v>
      </c>
      <c r="E33" s="60">
        <f t="shared" si="0"/>
        <v>2810880</v>
      </c>
    </row>
    <row r="34" spans="1:7" x14ac:dyDescent="0.3">
      <c r="C34" s="35" t="s">
        <v>112</v>
      </c>
      <c r="D34" s="44">
        <f>SUM(D24:D33)</f>
        <v>3942280</v>
      </c>
      <c r="E34" s="44">
        <f>SUM(E24:E33)</f>
        <v>13032340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TRUNC(12302,-1)</f>
        <v>12300</v>
      </c>
      <c r="E37" s="61">
        <f>TRUNC(+D37*3.3058,-1)</f>
        <v>40660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TRUNC(56303,-1)</f>
        <v>56300</v>
      </c>
      <c r="E40" s="62">
        <f t="shared" ref="E40:E59" si="1">TRUNC(+D40*3.3058,-1)</f>
        <v>186110</v>
      </c>
    </row>
    <row r="41" spans="1:7" x14ac:dyDescent="0.3">
      <c r="A41" s="2">
        <v>2</v>
      </c>
      <c r="C41" s="38" t="s">
        <v>13</v>
      </c>
      <c r="D41" s="42">
        <f>TRUNC(136652,-1)</f>
        <v>136650</v>
      </c>
      <c r="E41" s="63">
        <f t="shared" si="1"/>
        <v>451730</v>
      </c>
    </row>
    <row r="42" spans="1:7" x14ac:dyDescent="0.3">
      <c r="A42" s="2">
        <v>3</v>
      </c>
      <c r="C42" s="38" t="s">
        <v>14</v>
      </c>
      <c r="D42" s="42">
        <f>TRUNC(2869,-1)</f>
        <v>2860</v>
      </c>
      <c r="E42" s="63">
        <f t="shared" si="1"/>
        <v>9450</v>
      </c>
    </row>
    <row r="43" spans="1:7" x14ac:dyDescent="0.3">
      <c r="A43" s="2">
        <v>4</v>
      </c>
      <c r="C43" s="38" t="s">
        <v>16</v>
      </c>
      <c r="D43" s="42">
        <f>TRUNC(21430,-1)</f>
        <v>21430</v>
      </c>
      <c r="E43" s="63">
        <f t="shared" si="1"/>
        <v>70840</v>
      </c>
    </row>
    <row r="44" spans="1:7" x14ac:dyDescent="0.3">
      <c r="A44" s="2">
        <v>5</v>
      </c>
      <c r="C44" s="38" t="s">
        <v>17</v>
      </c>
      <c r="D44" s="42">
        <f>TRUNC(27909,-1)</f>
        <v>27900</v>
      </c>
      <c r="E44" s="63">
        <f t="shared" si="1"/>
        <v>92230</v>
      </c>
    </row>
    <row r="45" spans="1:7" x14ac:dyDescent="0.3">
      <c r="A45" s="2">
        <v>6</v>
      </c>
      <c r="C45" s="38" t="s">
        <v>18</v>
      </c>
      <c r="D45" s="42">
        <f>TRUNC(1566,-1)</f>
        <v>1560</v>
      </c>
      <c r="E45" s="63">
        <f t="shared" si="1"/>
        <v>5150</v>
      </c>
    </row>
    <row r="46" spans="1:7" x14ac:dyDescent="0.3">
      <c r="A46" s="2">
        <v>7</v>
      </c>
      <c r="C46" s="38" t="s">
        <v>19</v>
      </c>
      <c r="D46" s="42">
        <f>TRUNC(15225,-1)</f>
        <v>15220</v>
      </c>
      <c r="E46" s="63">
        <f t="shared" si="1"/>
        <v>50310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TRUNC(33267,-1)</f>
        <v>33260</v>
      </c>
      <c r="E48" s="63">
        <f t="shared" si="1"/>
        <v>109950</v>
      </c>
    </row>
    <row r="49" spans="1:7" x14ac:dyDescent="0.3">
      <c r="A49" s="2">
        <v>10</v>
      </c>
      <c r="C49" s="38" t="s">
        <v>22</v>
      </c>
      <c r="D49" s="42">
        <f>TRUNC(34126,-1)</f>
        <v>34120</v>
      </c>
      <c r="E49" s="63">
        <f t="shared" si="1"/>
        <v>112790</v>
      </c>
    </row>
    <row r="50" spans="1:7" x14ac:dyDescent="0.3">
      <c r="A50" s="2">
        <v>11</v>
      </c>
      <c r="C50" s="38" t="s">
        <v>155</v>
      </c>
      <c r="D50" s="42">
        <f>TRUNC(61764,-1)</f>
        <v>61760</v>
      </c>
      <c r="E50" s="63">
        <f t="shared" si="1"/>
        <v>204160</v>
      </c>
    </row>
    <row r="51" spans="1:7" x14ac:dyDescent="0.3">
      <c r="A51" s="2">
        <v>12</v>
      </c>
      <c r="C51" s="38" t="s">
        <v>23</v>
      </c>
      <c r="D51" s="42">
        <f>TRUNC(7337,-1)</f>
        <v>7330</v>
      </c>
      <c r="E51" s="63">
        <f t="shared" si="1"/>
        <v>24230</v>
      </c>
    </row>
    <row r="52" spans="1:7" x14ac:dyDescent="0.3">
      <c r="A52" s="2">
        <v>13</v>
      </c>
      <c r="C52" s="38" t="s">
        <v>24</v>
      </c>
      <c r="D52" s="42">
        <f>TRUNC(36941,-1)</f>
        <v>36940</v>
      </c>
      <c r="E52" s="63">
        <f t="shared" si="1"/>
        <v>122110</v>
      </c>
    </row>
    <row r="53" spans="1:7" x14ac:dyDescent="0.3">
      <c r="A53" s="2">
        <v>14</v>
      </c>
      <c r="C53" s="38" t="s">
        <v>25</v>
      </c>
      <c r="D53" s="42">
        <f>TRUNC(42514,-1)</f>
        <v>42510</v>
      </c>
      <c r="E53" s="63">
        <f t="shared" si="1"/>
        <v>140520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TRUNC(647,-1)</f>
        <v>640</v>
      </c>
      <c r="E55" s="63">
        <f t="shared" si="1"/>
        <v>2110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TRUNC(854+21558+36172+3781+1489-958,-1)</f>
        <v>62890</v>
      </c>
      <c r="E58" s="63">
        <f t="shared" si="1"/>
        <v>207900</v>
      </c>
    </row>
    <row r="59" spans="1:7" ht="17.25" thickBot="1" x14ac:dyDescent="0.35">
      <c r="A59" s="2">
        <v>20</v>
      </c>
      <c r="C59" s="38" t="s">
        <v>148</v>
      </c>
      <c r="D59" s="43">
        <f>TRUNC(300473,-1)</f>
        <v>300470</v>
      </c>
      <c r="E59" s="64">
        <f t="shared" si="1"/>
        <v>993290</v>
      </c>
    </row>
    <row r="60" spans="1:7" x14ac:dyDescent="0.3">
      <c r="A60" s="2">
        <v>21</v>
      </c>
      <c r="C60" s="27" t="s">
        <v>112</v>
      </c>
      <c r="D60" s="39">
        <f>SUM(D40:D59)</f>
        <v>841840</v>
      </c>
      <c r="E60" s="39">
        <f>SUM(E40:E59)</f>
        <v>2782880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TRUNC(148575,-1)</f>
        <v>148570</v>
      </c>
      <c r="E69" s="62">
        <f t="shared" ref="E69:E94" si="2">TRUNC(+D69*3.3058,-1)</f>
        <v>491140</v>
      </c>
    </row>
    <row r="70" spans="1:7" ht="16.5" customHeight="1" x14ac:dyDescent="0.3">
      <c r="A70" s="2">
        <v>2</v>
      </c>
      <c r="C70" s="38" t="s">
        <v>31</v>
      </c>
      <c r="D70" s="42">
        <f>TRUNC(2560,-1)</f>
        <v>2560</v>
      </c>
      <c r="E70" s="63">
        <f t="shared" si="2"/>
        <v>8460</v>
      </c>
    </row>
    <row r="71" spans="1:7" x14ac:dyDescent="0.3">
      <c r="A71" s="2">
        <v>3</v>
      </c>
      <c r="C71" s="38" t="s">
        <v>32</v>
      </c>
      <c r="D71" s="42">
        <f>TRUNC(80366,-1)</f>
        <v>80360</v>
      </c>
      <c r="E71" s="63">
        <f t="shared" si="2"/>
        <v>265650</v>
      </c>
    </row>
    <row r="72" spans="1:7" x14ac:dyDescent="0.3">
      <c r="A72" s="2">
        <v>4</v>
      </c>
      <c r="C72" s="38" t="s">
        <v>33</v>
      </c>
      <c r="D72" s="42">
        <f>TRUNC(5480,-1)</f>
        <v>5480</v>
      </c>
      <c r="E72" s="63">
        <f t="shared" si="2"/>
        <v>18110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TRUNC(15411,-1)</f>
        <v>15410</v>
      </c>
      <c r="E74" s="63">
        <f t="shared" si="2"/>
        <v>50940</v>
      </c>
      <c r="F74" s="2" t="s">
        <v>251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TRUNC(11693,-1)</f>
        <v>11690</v>
      </c>
      <c r="E77" s="63">
        <f t="shared" si="2"/>
        <v>38640</v>
      </c>
    </row>
    <row r="78" spans="1:7" x14ac:dyDescent="0.3">
      <c r="A78" s="2">
        <v>10</v>
      </c>
      <c r="C78" s="38" t="s">
        <v>137</v>
      </c>
      <c r="D78" s="42">
        <f>TRUNC(98838,-1)</f>
        <v>98830</v>
      </c>
      <c r="E78" s="63">
        <f t="shared" si="2"/>
        <v>326710</v>
      </c>
    </row>
    <row r="79" spans="1:7" x14ac:dyDescent="0.3">
      <c r="A79" s="2">
        <v>11</v>
      </c>
      <c r="C79" s="38" t="s">
        <v>133</v>
      </c>
      <c r="D79" s="42">
        <f>TRUNC(31446,-1)</f>
        <v>31440</v>
      </c>
      <c r="E79" s="63">
        <f t="shared" si="2"/>
        <v>103930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TRUNC(1992,-1)</f>
        <v>1990</v>
      </c>
      <c r="E84" s="63">
        <f t="shared" si="2"/>
        <v>6570</v>
      </c>
      <c r="F84" s="2" t="s">
        <v>262</v>
      </c>
    </row>
    <row r="85" spans="1:7" x14ac:dyDescent="0.3">
      <c r="A85" s="2">
        <v>17</v>
      </c>
      <c r="C85" s="38" t="s">
        <v>123</v>
      </c>
      <c r="D85" s="42">
        <f>TRUNC(913,-1)</f>
        <v>910</v>
      </c>
      <c r="E85" s="63">
        <f t="shared" si="2"/>
        <v>3000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f>TRUNC(6895,-1)</f>
        <v>6890</v>
      </c>
      <c r="E88" s="63">
        <f t="shared" si="2"/>
        <v>22770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TRUNC(9626,-1)</f>
        <v>9620</v>
      </c>
      <c r="E90" s="63">
        <f t="shared" si="2"/>
        <v>31800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TRUNC(738677,-1)</f>
        <v>738670</v>
      </c>
      <c r="E93" s="63">
        <f t="shared" si="2"/>
        <v>2441890</v>
      </c>
    </row>
    <row r="94" spans="1:7" ht="17.25" thickBot="1" x14ac:dyDescent="0.35">
      <c r="A94" s="2">
        <v>26</v>
      </c>
      <c r="C94" s="38" t="s">
        <v>47</v>
      </c>
      <c r="D94" s="43">
        <f>TRUNC(205+55762+36163+33533+10344+10285+102628+60516+1618+10067+61456+1249+3393+32084,-1)</f>
        <v>419300</v>
      </c>
      <c r="E94" s="64">
        <f t="shared" si="2"/>
        <v>1386120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1571720</v>
      </c>
      <c r="E95" s="39">
        <f>SUM(E69:E94)</f>
        <v>5195730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TRUNC(30051,-1)</f>
        <v>30050</v>
      </c>
      <c r="E98" s="62">
        <f t="shared" ref="E98:E118" si="3">TRUNC(+D98*3.3058,-1)</f>
        <v>99330</v>
      </c>
    </row>
    <row r="99" spans="1:7" x14ac:dyDescent="0.3">
      <c r="A99" s="2">
        <v>2</v>
      </c>
      <c r="C99" s="38" t="s">
        <v>40</v>
      </c>
      <c r="D99" s="42">
        <f>TRUNC(20535,-1)</f>
        <v>20530</v>
      </c>
      <c r="E99" s="63">
        <f t="shared" si="3"/>
        <v>67860</v>
      </c>
    </row>
    <row r="100" spans="1:7" x14ac:dyDescent="0.3">
      <c r="A100" s="2">
        <v>3</v>
      </c>
      <c r="C100" s="38" t="s">
        <v>41</v>
      </c>
      <c r="D100" s="42">
        <f>TRUNC(28991,-1)</f>
        <v>28990</v>
      </c>
      <c r="E100" s="63">
        <f t="shared" si="3"/>
        <v>95830</v>
      </c>
    </row>
    <row r="101" spans="1:7" x14ac:dyDescent="0.3">
      <c r="A101" s="2">
        <v>4</v>
      </c>
      <c r="C101" s="38" t="s">
        <v>42</v>
      </c>
      <c r="D101" s="42">
        <f>TRUNC(1120,-1)</f>
        <v>1120</v>
      </c>
      <c r="E101" s="63">
        <f t="shared" si="3"/>
        <v>3700</v>
      </c>
    </row>
    <row r="102" spans="1:7" x14ac:dyDescent="0.3">
      <c r="A102" s="2">
        <v>5</v>
      </c>
      <c r="C102" s="38" t="s">
        <v>43</v>
      </c>
      <c r="D102" s="42">
        <f>TRUNC(7262,-1)</f>
        <v>7260</v>
      </c>
      <c r="E102" s="63">
        <f t="shared" si="3"/>
        <v>24000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TRUNC(9725,-1)</f>
        <v>9720</v>
      </c>
      <c r="E104" s="63">
        <f t="shared" si="3"/>
        <v>32130</v>
      </c>
    </row>
    <row r="105" spans="1:7" x14ac:dyDescent="0.3">
      <c r="A105" s="2">
        <v>8</v>
      </c>
      <c r="C105" s="38" t="s">
        <v>46</v>
      </c>
      <c r="D105" s="42">
        <f>TRUNC(6598+5452,-1)</f>
        <v>12050</v>
      </c>
      <c r="E105" s="63">
        <f t="shared" si="3"/>
        <v>39830</v>
      </c>
      <c r="F105" s="2" t="s">
        <v>252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TRUNC(4175,-1)</f>
        <v>4170</v>
      </c>
      <c r="E114" s="63">
        <f t="shared" si="3"/>
        <v>13780</v>
      </c>
    </row>
    <row r="115" spans="1:7" x14ac:dyDescent="0.3">
      <c r="A115" s="2">
        <v>18</v>
      </c>
      <c r="C115" s="38" t="s">
        <v>116</v>
      </c>
      <c r="D115" s="42">
        <f>TRUNC(18520,-1)</f>
        <v>18520</v>
      </c>
      <c r="E115" s="63">
        <f t="shared" si="3"/>
        <v>61220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TRUNC(245021,-1)</f>
        <v>245020</v>
      </c>
      <c r="E117" s="63">
        <f t="shared" si="3"/>
        <v>809980</v>
      </c>
    </row>
    <row r="118" spans="1:7" ht="17.25" thickBot="1" x14ac:dyDescent="0.35">
      <c r="A118" s="2">
        <v>21</v>
      </c>
      <c r="C118" s="38" t="s">
        <v>47</v>
      </c>
      <c r="D118" s="43">
        <f>TRUNC(261,-1)</f>
        <v>260</v>
      </c>
      <c r="E118" s="64">
        <f t="shared" si="3"/>
        <v>850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377690</v>
      </c>
      <c r="E119" s="39">
        <f>SUM(E98:E118)</f>
        <v>1248510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TRUNC(2784,-1)</f>
        <v>2780</v>
      </c>
      <c r="E122" s="62">
        <f t="shared" ref="E122:E132" si="4">TRUNC(+D122*3.3058,-1)</f>
        <v>9190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TRUNC(5116,-1)</f>
        <v>5110</v>
      </c>
      <c r="E125" s="63">
        <f t="shared" si="4"/>
        <v>16890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TRUNC(14584,-1)</f>
        <v>14580</v>
      </c>
      <c r="E127" s="63">
        <f t="shared" si="4"/>
        <v>48190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TRUNC(8523,-1)</f>
        <v>8520</v>
      </c>
      <c r="E130" s="63">
        <f t="shared" si="4"/>
        <v>28160</v>
      </c>
    </row>
    <row r="131" spans="1:7" x14ac:dyDescent="0.3">
      <c r="A131" s="2">
        <v>10</v>
      </c>
      <c r="C131" s="38" t="s">
        <v>148</v>
      </c>
      <c r="D131" s="42">
        <f>TRUNC(71660,-1)</f>
        <v>71660</v>
      </c>
      <c r="E131" s="63">
        <f t="shared" si="4"/>
        <v>236890</v>
      </c>
    </row>
    <row r="132" spans="1:7" ht="18" thickBot="1" x14ac:dyDescent="0.35">
      <c r="A132" s="2">
        <v>11</v>
      </c>
      <c r="C132" s="38" t="s">
        <v>47</v>
      </c>
      <c r="D132" s="43">
        <f>TRUNC(11060+10439+261,-1)</f>
        <v>21760</v>
      </c>
      <c r="E132" s="64">
        <f t="shared" si="4"/>
        <v>71930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124410</v>
      </c>
      <c r="E133" s="39">
        <f>SUM(E122:E132)</f>
        <v>411250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TRUNC(19984,-1)</f>
        <v>19980</v>
      </c>
      <c r="E136" s="62">
        <f t="shared" ref="E136:E145" si="5">TRUNC(+D136*3.3058,-1)</f>
        <v>66040</v>
      </c>
      <c r="F136" s="2" t="s">
        <v>259</v>
      </c>
    </row>
    <row r="137" spans="1:7" x14ac:dyDescent="0.3">
      <c r="A137" s="2">
        <v>2</v>
      </c>
      <c r="C137" s="38" t="s">
        <v>47</v>
      </c>
      <c r="D137" s="42">
        <f>TRUNC(17446,-1)</f>
        <v>17440</v>
      </c>
      <c r="E137" s="63">
        <f t="shared" si="5"/>
        <v>57650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37420</v>
      </c>
      <c r="E146" s="39">
        <f>SUM(E136:E145)</f>
        <v>123690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TRUNC(109094,-1)</f>
        <v>109090</v>
      </c>
      <c r="E152" s="63">
        <f>TRUNC(+D152*3.3058,-1)</f>
        <v>360620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109090</v>
      </c>
      <c r="E154" s="39">
        <f>SUM(E149:E153)</f>
        <v>360620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TRUNC(17525,-1)</f>
        <v>17520</v>
      </c>
      <c r="E159" s="63">
        <f>TRUNC(+D159*3.3058,-1)</f>
        <v>57910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17520</v>
      </c>
      <c r="E161" s="39">
        <f>SUM(E157:E160)</f>
        <v>57910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2020-12-07T09:36:13Z</dcterms:modified>
</cp:coreProperties>
</file>