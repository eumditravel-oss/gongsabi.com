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12" i="4" l="1"/>
  <c r="D118" i="4"/>
  <c r="E160" i="4" l="1"/>
  <c r="E159" i="4"/>
  <c r="E153" i="4"/>
  <c r="E145" i="4"/>
  <c r="E144" i="4"/>
  <c r="E143" i="4"/>
  <c r="E142" i="4"/>
  <c r="E141" i="4"/>
  <c r="E139" i="4"/>
  <c r="E138" i="4"/>
  <c r="E136" i="4"/>
  <c r="E130" i="4"/>
  <c r="E129" i="4"/>
  <c r="E127" i="4"/>
  <c r="E126" i="4"/>
  <c r="E125" i="4"/>
  <c r="E124" i="4"/>
  <c r="E122" i="4"/>
  <c r="E118" i="4"/>
  <c r="E116" i="4"/>
  <c r="E115" i="4"/>
  <c r="E113" i="4"/>
  <c r="E112" i="4"/>
  <c r="E111" i="4"/>
  <c r="E110" i="4"/>
  <c r="E109" i="4"/>
  <c r="E107" i="4"/>
  <c r="E106" i="4"/>
  <c r="E103" i="4"/>
  <c r="E101" i="4"/>
  <c r="E94" i="4"/>
  <c r="E92" i="4"/>
  <c r="E91" i="4"/>
  <c r="E90" i="4"/>
  <c r="E89" i="4"/>
  <c r="E88" i="4"/>
  <c r="E87" i="4"/>
  <c r="E86" i="4"/>
  <c r="E85" i="4"/>
  <c r="E83" i="4"/>
  <c r="E82" i="4"/>
  <c r="E81" i="4"/>
  <c r="E80" i="4"/>
  <c r="E79" i="4"/>
  <c r="E77" i="4"/>
  <c r="E76" i="4"/>
  <c r="E74" i="4"/>
  <c r="E73" i="4"/>
  <c r="E72" i="4"/>
  <c r="E65" i="4"/>
  <c r="E64" i="4"/>
  <c r="E57" i="4"/>
  <c r="E56" i="4"/>
  <c r="E54" i="4"/>
  <c r="E37" i="4"/>
  <c r="D117" i="4" l="1"/>
  <c r="E117" i="4" s="1"/>
  <c r="D93" i="4"/>
  <c r="E93" i="4" s="1"/>
  <c r="D59" i="4"/>
  <c r="E59" i="4" s="1"/>
  <c r="D123" i="4" l="1"/>
  <c r="E123" i="4" s="1"/>
  <c r="D132" i="4"/>
  <c r="E132" i="4" s="1"/>
  <c r="D58" i="4" l="1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8" i="4"/>
  <c r="E158" i="4" s="1"/>
  <c r="D157" i="4"/>
  <c r="E157" i="4" s="1"/>
  <c r="E161" i="4" s="1"/>
  <c r="D152" i="4"/>
  <c r="E152" i="4" s="1"/>
  <c r="D150" i="4"/>
  <c r="E150" i="4" s="1"/>
  <c r="D151" i="4"/>
  <c r="E151" i="4" s="1"/>
  <c r="D149" i="4"/>
  <c r="E149" i="4" s="1"/>
  <c r="E154" i="4" s="1"/>
  <c r="D63" i="4"/>
  <c r="E63" i="4" s="1"/>
  <c r="E66" i="4" s="1"/>
  <c r="D75" i="4"/>
  <c r="E75" i="4" s="1"/>
  <c r="D84" i="4"/>
  <c r="E84" i="4" s="1"/>
  <c r="D78" i="4"/>
  <c r="E78" i="4" s="1"/>
  <c r="D71" i="4"/>
  <c r="E71" i="4" s="1"/>
  <c r="D70" i="4"/>
  <c r="E70" i="4" s="1"/>
  <c r="D69" i="4"/>
  <c r="E69" i="4" s="1"/>
  <c r="D137" i="4"/>
  <c r="E137" i="4" s="1"/>
  <c r="E146" i="4" s="1"/>
  <c r="D140" i="4"/>
  <c r="E140" i="4" s="1"/>
  <c r="D105" i="4"/>
  <c r="E105" i="4" s="1"/>
  <c r="D100" i="4"/>
  <c r="E100" i="4" s="1"/>
  <c r="D102" i="4"/>
  <c r="E102" i="4" s="1"/>
  <c r="D108" i="4"/>
  <c r="E108" i="4" s="1"/>
  <c r="D99" i="4"/>
  <c r="E99" i="4" s="1"/>
  <c r="D98" i="4"/>
  <c r="E98" i="4" s="1"/>
  <c r="D104" i="4"/>
  <c r="E104" i="4" s="1"/>
  <c r="D114" i="4"/>
  <c r="E114" i="4" s="1"/>
  <c r="D128" i="4"/>
  <c r="E128" i="4" s="1"/>
  <c r="E133" i="4" s="1"/>
  <c r="D131" i="4"/>
  <c r="E131" i="4" s="1"/>
  <c r="E119" i="4" l="1"/>
  <c r="E95" i="4"/>
  <c r="E60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<sst xmlns="http://schemas.openxmlformats.org/spreadsheetml/2006/main" count="393" uniqueCount="328">
  <si>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</si>
  <si>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</si>
  <si>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</si>
  <si>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</si>
  <si>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</si>
  <si>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</si>
  <si>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</si>
  <si>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</si>
  <si>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</si>
  <si>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</si>
  <si>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</si>
  <si>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</si>
  <si>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</si>
  <si>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</si>
  <si>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</si>
  <si>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</si>
  <si>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</si>
  <si>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</si>
  <si>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</si>
  <si>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</si>
  <si>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</si>
  <si>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</si>
  <si>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</si>
  <si>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</si>
  <si>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</si>
  <si>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</si>
  <si>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</si>
  <si>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</si>
  <si>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</si>
  <si>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</si>
  <si>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</si>
  <si>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</si>
  <si>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</si>
  <si>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</si>
  <si>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</si>
  <si>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</si>
  <si>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</si>
  <si>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</si>
  <si>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</si>
  <si>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</si>
  <si>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</si>
  <si>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</si>
  <si>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</si>
  <si>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</si>
  <si>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</si>
  <si>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</si>
  <si>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</si>
  <si>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</si>
  <si>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</si>
  <si>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</si>
  <si>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</si>
  <si>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</si>
  <si>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</si>
  <si>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</si>
  <si>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</si>
  <si>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</si>
  <si>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</si>
  <si>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</si>
  <si>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</si>
  <si>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</si>
  <si>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</si>
  <si>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</si>
  <si>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</si>
  <si>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</si>
  <si>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</si>
  <si>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</si>
  <si>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</si>
  <si>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</si>
  <si>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</si>
  <si>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</si>
  <si>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</si>
  <si>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</si>
  <si>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</si>
  <si>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</si>
  <si>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</si>
  <si>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</si>
  <si>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</si>
  <si>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</si>
  <si>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</si>
  <si>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</si>
  <si>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</si>
  <si>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</si>
  <si>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</si>
  <si>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</si>
  <si>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</si>
  <si>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</si>
  <si>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</si>
  <si>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</si>
  <si>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</si>
  <si>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</si>
  <si>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</si>
  <si>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</si>
  <si>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</si>
  <si>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</si>
  <si>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</si>
  <si>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</si>
  <si>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</si>
  <si>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</si>
  <si>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</si>
  <si>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</si>
  <si>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</si>
  <si>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</si>
  <si>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</si>
  <si>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</si>
  <si>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</si>
  <si>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</si>
  <si>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</si>
  <si>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</si>
  <si>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</si>
  <si>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</si>
  <si>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</si>
  <si>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</si>
  <si>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</si>
  <si>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</si>
  <si>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</si>
  <si>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</si>
  <si>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</si>
  <si>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</si>
  <si>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</si>
  <si>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</si>
  <si>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</si>
  <si>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</si>
  <si>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</si>
  <si>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</si>
  <si>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</si>
  <si>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</si>
  <si>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</si>
  <si>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</si>
  <si>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</si>
  <si>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</si>
  <si>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</si>
  <si>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</si>
  <si>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</si>
  <si>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</si>
  <si>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</si>
  <si>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</si>
  <si>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</si>
  <si>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</si>
  <si>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</si>
  <si>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</si>
  <si>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</si>
  <si>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</si>
  <si>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</si>
  <si>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</si>
  <si>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</si>
  <si>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</si>
  <si>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</si>
  <si>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</si>
  <si>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</si>
  <si>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</si>
  <si>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</si>
  <si>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</si>
  <si>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</si>
  <si>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</si>
  <si>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</si>
  <si>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</si>
  <si>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</si>
  <si>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</si>
  <si>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</si>
  <si>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</si>
  <si>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</si>
  <si>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</si>
  <si>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</si>
  <si>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</si>
  <si>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</si>
  <si>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</si>
  <si>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</si>
  <si>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</si>
  <si>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</si>
  <si>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</si>
  <si>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</si>
  <si>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</si>
  <si>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</si>
  <si>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</si>
  <si>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</si>
  <si>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</si>
  <si>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</si>
  <si>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</si>
  <si>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</si>
  <si>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</si>
  <si>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</si>
  <si>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</si>
  <si>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</si>
  <si>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</si>
  <si>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</si>
  <si>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</si>
  <si>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</si>
  <si>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</si>
  <si>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</si>
  <si>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</si>
  <si>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</si>
  <si>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</si>
  <si>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</si>
  <si>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</si>
  <si>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</si>
  <si>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</si>
  <si>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</si>
  <si>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</si>
  <si>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</si>
  <si>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</si>
  <si>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</si>
  <si>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</si>
  <si>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</si>
  <si>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</si>
  <si>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</si>
  <si>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</si>
  <si>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</si>
  <si>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</si>
  <si>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</si>
  <si>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</si>
  <si>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</si>
  <si>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</si>
  <si>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</si>
  <si>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</si>
  <si>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</si>
  <si>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</si>
  <si>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</si>
  <si>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</si>
  <si>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</si>
  <si>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</si>
  <si>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</si>
  <si>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</si>
  <si>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</si>
  <si>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</si>
  <si>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</si>
  <si>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</si>
  <si>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</si>
  <si>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</si>
  <si>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</si>
  <si>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</si>
  <si>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</si>
  <si>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</si>
  <si>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</si>
  <si>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</si>
  <si>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</si>
  <si>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</si>
  <si>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</si>
  <si>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</si>
  <si>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</si>
  <si>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</si>
  <si>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</si>
  <si>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</si>
  <si>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</si>
  <si>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</si>
  <si>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</si>
  <si>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</si>
  <si>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</si>
  <si>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</si>
  <si>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</si>
  <si>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</si>
  <si>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</si>
  <si>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</si>
  <si>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</si>
  <si>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</si>
  <si>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</si>
  <si>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</si>
  <si>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</si>
  <si>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</si>
  <si>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</si>
  <si>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</si>
  <si>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</si>
  <si>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</si>
  <si>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</si>
  <si>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</si>
  <si>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</si>
  <si>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</si>
  <si>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</si>
  <si>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</si>
  <si>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</si>
  <si>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</si>
  <si>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</si>
  <si>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</si>
  <si>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</si>
  <si>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</si>
  <si>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</si>
  <si>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</si>
  <si>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</si>
  <si>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</si>
  <si>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</si>
  <si>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</si>
  <si>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</si>
  <si>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</si>
  <si>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</si>
  <si>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</si>
  <si>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</si>
  <si>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</si>
  <si>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</si>
  <si>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</si>
  <si>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</si>
  <si>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</si>
  <si>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</si>
  <si>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</si>
  <si>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</si>
  <si>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</si>
  <si>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</si>
  <si>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</si>
  <si>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</si>
  <si>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</si>
  <si>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</si>
  <si>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</si>
  <si>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</si>
  <si>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</si>
  <si>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</si>
  <si>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</si>
  <si>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</si>
  <si>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</si>
  <si>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</si>
  <si>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</si>
  <si>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00실내체육관 건립공사</t>
  </si>
  <si>
    <t>문화및집회</t>
  </si>
  <si>
    <t>전라도</t>
  </si>
  <si>
    <t>CABLE TRAY 설치공사,CABLE DUCT 설치공사</t>
    <phoneticPr fontId="2" type="noConversion"/>
  </si>
  <si>
    <t>전기 소방전기간선 및 설비공사, 기계 소화배관공사, 기계 소방기간선및설비공사</t>
    <phoneticPr fontId="2" type="noConversion"/>
  </si>
  <si>
    <t>냉난방배관공사</t>
    <phoneticPr fontId="2" type="noConversion"/>
  </si>
  <si>
    <t>방진및 잭업공사</t>
  </si>
  <si>
    <t>위생공사,바닥난방필름공사,가대설치공사,우수처리장공사</t>
    <phoneticPr fontId="2" type="noConversion"/>
  </si>
  <si>
    <t>상수도공,조경포장공,부대공</t>
    <phoneticPr fontId="2" type="noConversion"/>
  </si>
  <si>
    <t>토및지정공사,잡공사,골재대,운반비,작업부산물</t>
    <phoneticPr fontId="2" type="noConversion"/>
  </si>
  <si>
    <t>통신간선설비공사,CCTV설비공사,무대음향설비공사</t>
    <phoneticPr fontId="2" type="noConversion"/>
  </si>
  <si>
    <t>통신설비공사, 전관방송간선설비공사,전관방송설비공사,</t>
    <phoneticPr fontId="2" type="noConversion"/>
  </si>
  <si>
    <t>RACE WAY 설치공사</t>
    <phoneticPr fontId="2" type="noConversion"/>
  </si>
  <si>
    <t>AUTO LIFT LIGHT 설비공사</t>
    <phoneticPr fontId="2" type="noConversion"/>
  </si>
  <si>
    <t>기계 소화장비설치공사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</si>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</sst>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325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7417</v>
      </c>
      <c r="D7" s="36">
        <f>+C7/3.3058</f>
        <v>2243.6324036541837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326</v>
      </c>
    </row>
    <row r="19" spans="1:5" x14ac:dyDescent="0.3">
      <c r="A19" s="2">
        <v>9</v>
      </c>
      <c r="B19" s="2" t="s">
        <v>327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1019010</v>
      </c>
      <c r="E25" s="60">
        <f t="shared" si="0"/>
        <v>3368640</v>
      </c>
    </row>
    <row r="26" spans="1:5" x14ac:dyDescent="0.3">
      <c r="B26" s="2">
        <v>3</v>
      </c>
      <c r="C26" s="35" t="s">
        <v>29</v>
      </c>
      <c r="D26" s="47">
        <f>+D66</f>
        <v>10590</v>
      </c>
      <c r="E26" s="60">
        <f t="shared" si="0"/>
        <v>35000</v>
      </c>
    </row>
    <row r="27" spans="1:5" x14ac:dyDescent="0.3">
      <c r="B27" s="2">
        <v>4</v>
      </c>
      <c r="C27" s="35" t="s">
        <v>30</v>
      </c>
      <c r="D27" s="47">
        <f>+D95</f>
        <v>195400</v>
      </c>
      <c r="E27" s="60">
        <f t="shared" si="0"/>
        <v>645950</v>
      </c>
    </row>
    <row r="28" spans="1:5" x14ac:dyDescent="0.3">
      <c r="B28" s="2">
        <v>5</v>
      </c>
      <c r="C28" s="35" t="s">
        <v>31</v>
      </c>
      <c r="D28" s="47">
        <f>+D119</f>
        <v>246030</v>
      </c>
      <c r="E28" s="60">
        <f t="shared" si="0"/>
        <v>813320</v>
      </c>
    </row>
    <row r="29" spans="1:5" x14ac:dyDescent="0.3">
      <c r="B29" s="2">
        <v>6</v>
      </c>
      <c r="C29" s="35" t="s">
        <v>32</v>
      </c>
      <c r="D29" s="47">
        <f>+D133</f>
        <v>117790</v>
      </c>
      <c r="E29" s="60">
        <f t="shared" si="0"/>
        <v>389390</v>
      </c>
    </row>
    <row r="30" spans="1:5" x14ac:dyDescent="0.3">
      <c r="B30" s="2">
        <v>7</v>
      </c>
      <c r="C30" s="35" t="s">
        <v>33</v>
      </c>
      <c r="D30" s="47">
        <f>+D146</f>
        <v>56170</v>
      </c>
      <c r="E30" s="60">
        <f t="shared" si="0"/>
        <v>185680</v>
      </c>
    </row>
    <row r="31" spans="1:5" x14ac:dyDescent="0.3">
      <c r="B31" s="2">
        <v>8</v>
      </c>
      <c r="C31" s="35" t="s">
        <v>34</v>
      </c>
      <c r="D31" s="47">
        <f>+D154</f>
        <v>42160</v>
      </c>
      <c r="E31" s="60">
        <f t="shared" si="0"/>
        <v>139370</v>
      </c>
    </row>
    <row r="32" spans="1:5" x14ac:dyDescent="0.3">
      <c r="B32" s="2">
        <v>9</v>
      </c>
      <c r="C32" s="35" t="s">
        <v>35</v>
      </c>
      <c r="D32" s="47">
        <f>+D161</f>
        <v>7650</v>
      </c>
      <c r="E32" s="60">
        <f t="shared" si="0"/>
        <v>25280</v>
      </c>
    </row>
    <row r="33" spans="1:5" x14ac:dyDescent="0.3">
      <c r="B33" s="2">
        <v>10</v>
      </c>
      <c r="C33" s="35" t="s">
        <v>60</v>
      </c>
      <c r="D33" s="55">
        <f>TRUNC(SUM(D24:D32)*0.275,-1)</f>
        <v>466070</v>
      </c>
      <c r="E33" s="61">
        <f t="shared" si="0"/>
        <v>1540730</v>
      </c>
    </row>
    <row r="34" spans="1:5" x14ac:dyDescent="0.3">
      <c r="C34" s="35" t="s">
        <v>46</v>
      </c>
      <c r="D34" s="46">
        <f>SUM(D24:D33)</f>
        <v>2160870</v>
      </c>
      <c r="E34" s="46">
        <f>SUM(E24:E33)</f>
        <v>7143360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323</v>
      </c>
      <c r="E39" s="68" t="s">
        <v>324</v>
      </c>
    </row>
    <row r="40" spans="1:5" x14ac:dyDescent="0.3">
      <c r="A40" s="2">
        <v>1</v>
      </c>
      <c r="C40" s="39" t="s">
        <v>75</v>
      </c>
      <c r="D40" s="42">
        <f>TRUNC(39425.8731292976,-1)</f>
        <v>39420</v>
      </c>
      <c r="E40" s="63">
        <f t="shared" ref="E40:E59" si="1">TRUNC(+D40*3.3058,-1)</f>
        <v>130310</v>
      </c>
    </row>
    <row r="41" spans="1:5" x14ac:dyDescent="0.3">
      <c r="A41" s="2">
        <v>2</v>
      </c>
      <c r="C41" s="39" t="s">
        <v>6</v>
      </c>
      <c r="D41" s="44">
        <f>TRUNC(107321.665902656,-1)</f>
        <v>107320</v>
      </c>
      <c r="E41" s="64">
        <f t="shared" si="1"/>
        <v>354770</v>
      </c>
    </row>
    <row r="42" spans="1:5" x14ac:dyDescent="0.3">
      <c r="A42" s="2">
        <v>3</v>
      </c>
      <c r="C42" s="39" t="s">
        <v>7</v>
      </c>
      <c r="D42" s="44">
        <f>TRUNC(149258.6135904,-1)</f>
        <v>149250</v>
      </c>
      <c r="E42" s="64">
        <f t="shared" si="1"/>
        <v>493390</v>
      </c>
    </row>
    <row r="43" spans="1:5" x14ac:dyDescent="0.3">
      <c r="A43" s="2">
        <v>4</v>
      </c>
      <c r="C43" s="39" t="s">
        <v>8</v>
      </c>
      <c r="D43" s="44">
        <f>TRUNC(10153.8232438992,-1)</f>
        <v>10150</v>
      </c>
      <c r="E43" s="64">
        <f t="shared" si="1"/>
        <v>33550</v>
      </c>
    </row>
    <row r="44" spans="1:5" x14ac:dyDescent="0.3">
      <c r="A44" s="2">
        <v>5</v>
      </c>
      <c r="C44" s="39" t="s">
        <v>9</v>
      </c>
      <c r="D44" s="44">
        <f>TRUNC(35954.9370365377,-1)</f>
        <v>35950</v>
      </c>
      <c r="E44" s="64">
        <f t="shared" si="1"/>
        <v>118840</v>
      </c>
    </row>
    <row r="45" spans="1:5" x14ac:dyDescent="0.3">
      <c r="A45" s="2">
        <v>6</v>
      </c>
      <c r="C45" s="39" t="s">
        <v>10</v>
      </c>
      <c r="D45" s="44">
        <f>TRUNC(5820.37036537684,-1)</f>
        <v>5820</v>
      </c>
      <c r="E45" s="64">
        <f t="shared" si="1"/>
        <v>19230</v>
      </c>
    </row>
    <row r="46" spans="1:5" x14ac:dyDescent="0.3">
      <c r="A46" s="2">
        <v>7</v>
      </c>
      <c r="C46" s="39" t="s">
        <v>11</v>
      </c>
      <c r="D46" s="44">
        <f>TRUNC(53082.1504651476,-1)</f>
        <v>53080</v>
      </c>
      <c r="E46" s="64">
        <f t="shared" si="1"/>
        <v>175470</v>
      </c>
    </row>
    <row r="47" spans="1:5" x14ac:dyDescent="0.3">
      <c r="A47" s="2">
        <v>8</v>
      </c>
      <c r="C47" s="39" t="s">
        <v>12</v>
      </c>
      <c r="D47" s="44">
        <f>TRUNC(31395.4288796009,-1)</f>
        <v>31390</v>
      </c>
      <c r="E47" s="64">
        <f t="shared" si="1"/>
        <v>103760</v>
      </c>
    </row>
    <row r="48" spans="1:5" x14ac:dyDescent="0.3">
      <c r="A48" s="2">
        <v>9</v>
      </c>
      <c r="C48" s="39" t="s">
        <v>13</v>
      </c>
      <c r="D48" s="44">
        <f>TRUNC(69457.3518942969,-1)</f>
        <v>69450</v>
      </c>
      <c r="E48" s="64">
        <f t="shared" si="1"/>
        <v>229580</v>
      </c>
    </row>
    <row r="49" spans="1:6" x14ac:dyDescent="0.3">
      <c r="A49" s="2">
        <v>10</v>
      </c>
      <c r="C49" s="39" t="s">
        <v>14</v>
      </c>
      <c r="D49" s="44">
        <f>TRUNC(10309.581501955,-1)</f>
        <v>10300</v>
      </c>
      <c r="E49" s="64">
        <f t="shared" si="1"/>
        <v>34040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TRUNC(55550.1367129567,-1)</f>
        <v>55550</v>
      </c>
      <c r="E50" s="64">
        <f t="shared" si="1"/>
        <v>183630</v>
      </c>
      <c r="F50" s="2"/>
    </row>
    <row r="51" spans="1:6" x14ac:dyDescent="0.3">
      <c r="A51" s="2">
        <v>12</v>
      </c>
      <c r="C51" s="39" t="s">
        <v>16</v>
      </c>
      <c r="D51" s="44">
        <f>TRUNC(10290.0640420655,-1)</f>
        <v>10290</v>
      </c>
      <c r="E51" s="64">
        <f t="shared" si="1"/>
        <v>34010</v>
      </c>
    </row>
    <row r="52" spans="1:6" x14ac:dyDescent="0.3">
      <c r="A52" s="2">
        <v>13</v>
      </c>
      <c r="C52" s="39" t="s">
        <v>17</v>
      </c>
      <c r="D52" s="44">
        <f>TRUNC(4337.7201024673,-1)</f>
        <v>4330</v>
      </c>
      <c r="E52" s="64">
        <f t="shared" si="1"/>
        <v>14310</v>
      </c>
    </row>
    <row r="53" spans="1:6" x14ac:dyDescent="0.3">
      <c r="A53" s="2">
        <v>14</v>
      </c>
      <c r="C53" s="39" t="s">
        <v>18</v>
      </c>
      <c r="D53" s="44">
        <f>TRUNC(41916.9995955238,-1)</f>
        <v>41910</v>
      </c>
      <c r="E53" s="64">
        <f t="shared" si="1"/>
        <v>138540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TRUNC(81254.0446272078,-1)</f>
        <v>81250</v>
      </c>
      <c r="E55" s="64">
        <f t="shared" si="1"/>
        <v>268590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TRUNC(8449.20102467305+22301.5407846838
+4446.40690306054
+2639.69300256168
-1312.69650802211,-1)</f>
        <v>36520</v>
      </c>
      <c r="E58" s="64">
        <f t="shared" si="1"/>
        <v>120720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TRUNC(277039.908318727,-1)</f>
        <v>277030</v>
      </c>
      <c r="E59" s="65">
        <f t="shared" si="1"/>
        <v>915800</v>
      </c>
    </row>
    <row r="60" spans="1:6" x14ac:dyDescent="0.3">
      <c r="A60" s="2">
        <v>21</v>
      </c>
      <c r="C60" s="27" t="s">
        <v>46</v>
      </c>
      <c r="D60" s="40">
        <f>SUM(D40:D59)</f>
        <v>1019010</v>
      </c>
      <c r="E60" s="40">
        <f>SUM(E40:E59)</f>
        <v>3368540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TRUNC(10593.0613455575,-1)</f>
        <v>10590</v>
      </c>
      <c r="E63" s="63">
        <f>TRUNC(+D63*3.3058,-1)</f>
        <v>35000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10590</v>
      </c>
      <c r="E66" s="66">
        <f>SUM(E63:E65)</f>
        <v>35000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TRUNC(5920.22745045167,-1)</f>
        <v>5920</v>
      </c>
      <c r="E69" s="63">
        <f t="shared" ref="E69:E94" si="2">TRUNC(+D69*3.3058,-1)</f>
        <v>19570</v>
      </c>
    </row>
    <row r="70" spans="1:6" ht="16.5" customHeight="1" x14ac:dyDescent="0.3">
      <c r="A70" s="2">
        <v>2</v>
      </c>
      <c r="C70" s="39" t="s">
        <v>79</v>
      </c>
      <c r="D70" s="44">
        <f>TRUNC(2736.53741404881,-1)</f>
        <v>2730</v>
      </c>
      <c r="E70" s="64">
        <f t="shared" si="2"/>
        <v>9020</v>
      </c>
    </row>
    <row r="71" spans="1:6" x14ac:dyDescent="0.3">
      <c r="A71" s="2">
        <v>3</v>
      </c>
      <c r="C71" s="39" t="s">
        <v>80</v>
      </c>
      <c r="D71" s="44">
        <f>TRUNC(10590.2252932452,-1)</f>
        <v>10590</v>
      </c>
      <c r="E71" s="64">
        <f t="shared" si="2"/>
        <v>35000</v>
      </c>
    </row>
    <row r="72" spans="1:6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6" x14ac:dyDescent="0.3">
      <c r="A75" s="2">
        <v>7</v>
      </c>
      <c r="C75" s="39" t="s">
        <v>84</v>
      </c>
      <c r="D75" s="44">
        <f>TRUNC(5993.48348388836,-1)</f>
        <v>5990</v>
      </c>
      <c r="E75" s="64">
        <f t="shared" si="2"/>
        <v>19800</v>
      </c>
      <c r="F75" s="2" t="s">
        <v>314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87</v>
      </c>
      <c r="D78" s="44">
        <f>TRUNC(27098.8054469462,-1)</f>
        <v>27090</v>
      </c>
      <c r="E78" s="64">
        <f t="shared" si="2"/>
        <v>89550</v>
      </c>
    </row>
    <row r="79" spans="1:6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TRUNC(9315.38465686935,-1)</f>
        <v>9310</v>
      </c>
      <c r="E84" s="64">
        <f t="shared" si="2"/>
        <v>30770</v>
      </c>
      <c r="F84" s="2" t="s">
        <v>313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TRUNC(92137.6567345288,-1)</f>
        <v>92130</v>
      </c>
      <c r="E93" s="64">
        <f t="shared" si="2"/>
        <v>304560</v>
      </c>
    </row>
    <row r="94" spans="1:6" ht="17.25" thickBot="1" x14ac:dyDescent="0.35">
      <c r="A94" s="2">
        <v>26</v>
      </c>
      <c r="C94" s="39" t="s">
        <v>103</v>
      </c>
      <c r="D94" s="45">
        <f>TRUNC(28729.1733854658+350.412430901982+3358.42375623567+9211.26237023055,-1)</f>
        <v>41640</v>
      </c>
      <c r="E94" s="65">
        <f t="shared" si="2"/>
        <v>137650</v>
      </c>
      <c r="F94" s="2" t="s">
        <v>315</v>
      </c>
    </row>
    <row r="95" spans="1:6" x14ac:dyDescent="0.3">
      <c r="A95" s="2">
        <v>27</v>
      </c>
      <c r="C95" s="27" t="s">
        <v>104</v>
      </c>
      <c r="D95" s="40">
        <f>SUM(D69:D94)</f>
        <v>195400</v>
      </c>
      <c r="E95" s="40">
        <f>SUM(E69:E94)</f>
        <v>645920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TRUNC(9502.72940541998,-1)</f>
        <v>9500</v>
      </c>
      <c r="E98" s="63">
        <f t="shared" ref="E98:E118" si="3">TRUNC(+D98*3.3058,-1)</f>
        <v>31400</v>
      </c>
    </row>
    <row r="99" spans="1:6" x14ac:dyDescent="0.3">
      <c r="A99" s="2">
        <v>2</v>
      </c>
      <c r="C99" s="29" t="s">
        <v>107</v>
      </c>
      <c r="D99" s="44">
        <f>TRUNC(8790.60307401915,-1)</f>
        <v>8790</v>
      </c>
      <c r="E99" s="64">
        <f t="shared" si="3"/>
        <v>29050</v>
      </c>
    </row>
    <row r="100" spans="1:6" x14ac:dyDescent="0.3">
      <c r="A100" s="2">
        <v>3</v>
      </c>
      <c r="C100" s="29" t="s">
        <v>108</v>
      </c>
      <c r="D100" s="44">
        <f>TRUNC(7833.91330726709,-1)</f>
        <v>7830</v>
      </c>
      <c r="E100" s="64">
        <f t="shared" si="3"/>
        <v>25880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TRUNC(3314.36659026561,-1)</f>
        <v>3310</v>
      </c>
      <c r="E102" s="64">
        <f t="shared" si="3"/>
        <v>10940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TRUNC(2948.26237023055,-1)</f>
        <v>2940</v>
      </c>
      <c r="E104" s="64">
        <f t="shared" si="3"/>
        <v>9710</v>
      </c>
    </row>
    <row r="105" spans="1:6" x14ac:dyDescent="0.3">
      <c r="A105" s="2">
        <v>8</v>
      </c>
      <c r="C105" s="29" t="s">
        <v>113</v>
      </c>
      <c r="D105" s="44">
        <f>TRUNC(3910.30591883511,-1)</f>
        <v>3910</v>
      </c>
      <c r="E105" s="64">
        <f t="shared" si="3"/>
        <v>12920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f>TRUNC(715.869219360928,-1)</f>
        <v>710</v>
      </c>
      <c r="E108" s="64">
        <f t="shared" si="3"/>
        <v>2340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f>TRUNC(2804.11568019415,-1)</f>
        <v>2800</v>
      </c>
      <c r="E112" s="64">
        <f t="shared" si="3"/>
        <v>9250</v>
      </c>
      <c r="F112" s="2" t="s">
        <v>321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TRUNC(10300.9176216799,-1)</f>
        <v>10300</v>
      </c>
      <c r="E114" s="64">
        <f t="shared" si="3"/>
        <v>34040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TRUNC(72698.9348793313+120992.314952137,-1)</f>
        <v>193690</v>
      </c>
      <c r="E117" s="64">
        <f t="shared" si="3"/>
        <v>640300</v>
      </c>
    </row>
    <row r="118" spans="1:6" ht="17.25" thickBot="1" x14ac:dyDescent="0.35">
      <c r="A118" s="2">
        <v>21</v>
      </c>
      <c r="C118" s="29" t="s">
        <v>103</v>
      </c>
      <c r="D118" s="45">
        <f>TRUNC(2253.01442631792,-1)</f>
        <v>2250</v>
      </c>
      <c r="E118" s="65">
        <f t="shared" si="3"/>
        <v>7430</v>
      </c>
      <c r="F118" s="2" t="s">
        <v>320</v>
      </c>
    </row>
    <row r="119" spans="1:6" x14ac:dyDescent="0.3">
      <c r="A119" s="2">
        <v>22</v>
      </c>
      <c r="C119" s="27" t="s">
        <v>104</v>
      </c>
      <c r="D119" s="40">
        <f>SUM(D98:D118)</f>
        <v>246030</v>
      </c>
      <c r="E119" s="40">
        <f>SUM(E98:E118)</f>
        <v>813260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6" x14ac:dyDescent="0.3">
      <c r="A123" s="2">
        <v>2</v>
      </c>
      <c r="C123" s="29" t="s">
        <v>127</v>
      </c>
      <c r="D123" s="44">
        <f>TRUNC(1947.86975866253+
568.801671834974+1498.30416610489,-1)</f>
        <v>4010</v>
      </c>
      <c r="E123" s="64">
        <f t="shared" si="4"/>
        <v>13250</v>
      </c>
      <c r="F123" s="2" t="s">
        <v>319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TRUNC(1503.03869489012+463.555345827154,-1)</f>
        <v>1960</v>
      </c>
      <c r="E128" s="64">
        <f t="shared" si="4"/>
        <v>6470</v>
      </c>
      <c r="F128" s="2" t="s">
        <v>311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f>TRUNC(96029.9312390454,-1)</f>
        <v>96020</v>
      </c>
      <c r="E131" s="64">
        <f t="shared" si="4"/>
        <v>317420</v>
      </c>
    </row>
    <row r="132" spans="1:6" ht="17.25" thickBot="1" x14ac:dyDescent="0.35">
      <c r="A132" s="2">
        <v>11</v>
      </c>
      <c r="C132" s="29" t="s">
        <v>103</v>
      </c>
      <c r="D132" s="45">
        <f>TRUNC(6730.89321828232+1405.49737090468+7664.59242281246,-1)</f>
        <v>15800</v>
      </c>
      <c r="E132" s="65">
        <f t="shared" si="4"/>
        <v>52230</v>
      </c>
      <c r="F132" s="2" t="s">
        <v>318</v>
      </c>
    </row>
    <row r="133" spans="1:6" x14ac:dyDescent="0.3">
      <c r="A133" s="2">
        <v>12</v>
      </c>
      <c r="C133" s="41" t="s">
        <v>104</v>
      </c>
      <c r="D133" s="40">
        <f>SUM(D122:D132)</f>
        <v>117790</v>
      </c>
      <c r="E133" s="40">
        <f>SUM(E122:E132)</f>
        <v>389370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/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TRUNC(12701.7117432924+21569.8681407577+12701.7117432924,-1)</f>
        <v>46970</v>
      </c>
      <c r="E137" s="64">
        <f t="shared" si="5"/>
        <v>155270</v>
      </c>
      <c r="F137" s="2" t="s">
        <v>312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f>TRUNC(9203.01739247674,-1)</f>
        <v>9200</v>
      </c>
      <c r="E140" s="64">
        <f t="shared" si="5"/>
        <v>30410</v>
      </c>
      <c r="F140" s="2" t="s">
        <v>322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56170</v>
      </c>
      <c r="E146" s="40">
        <f>SUM(E136:E145)</f>
        <v>185680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f>TRUNC(12980.9073749494+2321.45341782392,-1)</f>
        <v>15300</v>
      </c>
      <c r="E149" s="63">
        <f>TRUNC(+D149*3.3058,-1)</f>
        <v>50570</v>
      </c>
    </row>
    <row r="150" spans="1:6" x14ac:dyDescent="0.3">
      <c r="A150" s="2">
        <v>2</v>
      </c>
      <c r="C150" s="39" t="s">
        <v>145</v>
      </c>
      <c r="D150" s="44">
        <f>TRUNC(1055.09963597142,-1)</f>
        <v>1050</v>
      </c>
      <c r="E150" s="64">
        <f>TRUNC(+D150*3.3058,-1)</f>
        <v>3470</v>
      </c>
    </row>
    <row r="151" spans="1:6" x14ac:dyDescent="0.3">
      <c r="A151" s="2">
        <v>3</v>
      </c>
      <c r="C151" s="39" t="s">
        <v>146</v>
      </c>
      <c r="D151" s="44">
        <f>TRUNC(4725.14331940138,-1)</f>
        <v>4720</v>
      </c>
      <c r="E151" s="64">
        <f>TRUNC(+D151*3.3058,-1)</f>
        <v>15600</v>
      </c>
    </row>
    <row r="152" spans="1:6" x14ac:dyDescent="0.3">
      <c r="A152" s="2">
        <v>4</v>
      </c>
      <c r="C152" s="39" t="s">
        <v>103</v>
      </c>
      <c r="D152" s="44">
        <f>TRUNC(237.95362006202+19904.4700013483+952.609680463799,-1)</f>
        <v>21090</v>
      </c>
      <c r="E152" s="64">
        <f>TRUNC(+D152*3.3058,-1)</f>
        <v>69710</v>
      </c>
      <c r="F152" s="37" t="s">
        <v>316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42160</v>
      </c>
      <c r="E154" s="40">
        <f>SUM(E149:E153)</f>
        <v>139350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f>TRUNC(5330.1468248618,-1)</f>
        <v>5330</v>
      </c>
      <c r="E157" s="63">
        <f>TRUNC(+D157*3.3058,-1)</f>
        <v>17610</v>
      </c>
    </row>
    <row r="158" spans="1:6" x14ac:dyDescent="0.3">
      <c r="A158" s="2">
        <v>2</v>
      </c>
      <c r="C158" s="39" t="s">
        <v>149</v>
      </c>
      <c r="D158" s="44">
        <f>TRUNC(2324.80625589861,-1)</f>
        <v>2320</v>
      </c>
      <c r="E158" s="64">
        <f>TRUNC(+D158*3.3058,-1)</f>
        <v>7660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7650</v>
      </c>
      <c r="E161" s="40">
        <f>SUM(E157:E160)</f>
        <v>25270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2020-12-07T09:21:07Z</dcterms:modified>
</cp:coreProperties>
</file>