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8" i="4" l="1"/>
  <c r="D53" i="4"/>
  <c r="D52" i="4"/>
  <c r="D50" i="4"/>
  <c r="D49" i="4"/>
  <c r="D48" i="4"/>
  <c r="D46" i="4"/>
  <c r="D45" i="4"/>
  <c r="D44" i="4"/>
  <c r="D43" i="4"/>
  <c r="D42" i="4"/>
  <c r="D41" i="4"/>
  <c r="D40" i="4"/>
  <c r="D92" i="4"/>
  <c r="D91" i="4"/>
  <c r="D89" i="4"/>
  <c r="D75" i="4"/>
  <c r="D73" i="4"/>
  <c r="D72" i="4"/>
  <c r="D71" i="4"/>
  <c r="D70" i="4"/>
  <c r="D69" i="4"/>
  <c r="D65" i="4"/>
  <c r="D63" i="4"/>
  <c r="D118" i="4"/>
  <c r="D116" i="4"/>
  <c r="D114" i="4"/>
  <c r="D105" i="4"/>
  <c r="D104" i="4"/>
  <c r="D103" i="4"/>
  <c r="D102" i="4"/>
  <c r="D101" i="4"/>
  <c r="D100" i="4"/>
  <c r="D99" i="4"/>
  <c r="D98" i="4"/>
  <c r="D132" i="4"/>
  <c r="D130" i="4"/>
  <c r="D128" i="4"/>
  <c r="D125" i="4"/>
  <c r="D124" i="4"/>
  <c r="D122" i="4"/>
  <c r="D144" i="4"/>
  <c r="D143" i="4"/>
  <c r="D142" i="4"/>
  <c r="D141" i="4"/>
  <c r="D140" i="4"/>
  <c r="D139" i="4"/>
  <c r="D137" i="4"/>
  <c r="D152" i="4"/>
  <c r="D150" i="4"/>
  <c r="D149" i="4"/>
  <c r="D159" i="4"/>
  <c r="D158" i="4"/>
  <c r="D157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<sst xmlns="http://schemas.openxmlformats.org/spreadsheetml/2006/main" count="394" uniqueCount="269">
  <si>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</si>
  <si>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</si>
  <si>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</si>
  <si>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</si>
  <si>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</si>
  <si>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</si>
  <si>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</si>
  <si>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</si>
  <si>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</si>
  <si>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</si>
  <si>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</si>
  <si>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</si>
  <si>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</si>
  <si>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</si>
  <si>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</si>
  <si>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</si>
  <si>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</si>
  <si>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</si>
  <si>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</si>
  <si>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</si>
  <si>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</si>
  <si>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</si>
  <si>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</si>
  <si>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</si>
  <si>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</si>
  <si>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</si>
  <si>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</si>
  <si>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</si>
  <si>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</si>
  <si>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</si>
  <si>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</si>
  <si>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</si>
  <si>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</si>
  <si>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</si>
  <si>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</si>
  <si>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</si>
  <si>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</si>
  <si>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</si>
  <si>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</si>
  <si>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</si>
  <si>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</si>
  <si>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</si>
  <si>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</si>
  <si>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</si>
  <si>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</si>
  <si>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</si>
  <si>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</si>
  <si>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</si>
  <si>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</si>
  <si>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</si>
  <si>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</si>
  <si>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</si>
  <si>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</si>
  <si>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</si>
  <si>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</si>
  <si>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</si>
  <si>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</si>
  <si>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</si>
  <si>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</si>
  <si>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</si>
  <si>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</si>
  <si>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</si>
  <si>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</si>
  <si>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</si>
  <si>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</si>
  <si>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</si>
  <si>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</si>
  <si>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</si>
  <si>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</si>
  <si>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</si>
  <si>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</si>
  <si>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</si>
  <si>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</si>
  <si>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</si>
  <si>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</si>
  <si>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</si>
  <si>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</si>
  <si>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</si>
  <si>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</si>
  <si>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</si>
  <si>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</si>
  <si>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</si>
  <si>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</si>
  <si>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</si>
  <si>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</si>
  <si>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</si>
  <si>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</si>
  <si>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</si>
  <si>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</si>
  <si>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</si>
  <si>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</si>
  <si>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</si>
  <si>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</si>
  <si>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</si>
  <si>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</si>
  <si>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</si>
  <si>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</si>
  <si>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</si>
  <si>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</si>
  <si>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</si>
  <si>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</si>
  <si>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</si>
  <si>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</si>
  <si>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</si>
  <si>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</si>
  <si>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</si>
  <si>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</si>
  <si>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</si>
  <si>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</si>
  <si>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</si>
  <si>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</si>
  <si>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</si>
  <si>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</si>
  <si>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</si>
  <si>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</si>
  <si>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</si>
  <si>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</si>
  <si>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</si>
  <si>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</si>
  <si>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</si>
  <si>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</si>
  <si>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</si>
  <si>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</si>
  <si>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</si>
  <si>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</si>
  <si>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</si>
  <si>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</si>
  <si>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</si>
  <si>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</si>
  <si>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</si>
  <si>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</si>
  <si>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</si>
  <si>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</si>
  <si>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</si>
  <si>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</si>
  <si>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</si>
  <si>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</si>
  <si>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</si>
  <si>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</si>
  <si>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</si>
  <si>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</si>
  <si>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</si>
  <si>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</si>
  <si>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</si>
  <si>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</si>
  <si>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</si>
  <si>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</si>
  <si>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</si>
  <si>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</si>
  <si>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</si>
  <si>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</si>
  <si>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</si>
  <si>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</si>
  <si>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</si>
  <si>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</si>
  <si>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</si>
  <si>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</si>
  <si>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</si>
  <si>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</si>
  <si>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</si>
  <si>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</si>
  <si>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</si>
  <si>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</si>
  <si>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</si>
  <si>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</si>
  <si>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</si>
  <si>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</si>
  <si>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</si>
  <si>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</si>
  <si>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</si>
  <si>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</si>
  <si>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</si>
  <si>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</si>
  <si>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</si>
  <si>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</si>
  <si>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</si>
  <si>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</si>
  <si>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</si>
  <si>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</si>
  <si>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</si>
  <si>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</si>
  <si>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</si>
  <si>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</si>
  <si>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</si>
  <si>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</si>
  <si>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</si>
  <si>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</si>
  <si>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</si>
  <si>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</si>
  <si>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</si>
  <si>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</si>
  <si>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</si>
  <si>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</si>
  <si>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</si>
  <si>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</si>
  <si>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</si>
  <si>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</si>
  <si>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</si>
  <si>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</si>
  <si>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</si>
  <si>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</si>
  <si>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</si>
  <si>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</si>
  <si>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</si>
  <si>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</si>
  <si>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</si>
  <si>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</si>
  <si>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</si>
  <si>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</si>
  <si>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</si>
  <si>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</si>
  <si>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</si>
  <si>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</si>
  <si>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</si>
  <si>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</si>
  <si>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</si>
  <si>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</si>
  <si>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</si>
  <si>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</si>
  <si>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</si>
  <si>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</si>
  <si>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</si>
  <si>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</si>
  <si>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</si>
  <si>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</si>
  <si>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</si>
  <si>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</si>
  <si>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</si>
  <si>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</si>
  <si>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</si>
  <si>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</si>
  <si>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</si>
  <si>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</si>
  <si>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</si>
  <si>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</si>
  <si>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</si>
  <si>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</si>
  <si>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</si>
  <si>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</si>
  <si>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</si>
  <si>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</si>
  <si>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</si>
  <si>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</si>
  <si>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</si>
  <si>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</si>
  <si>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</si>
  <si>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</si>
  <si>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</si>
  <si>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중구 신당동 공공복합청사 신축공사</t>
    <phoneticPr fontId="2" type="noConversion"/>
  </si>
  <si>
    <t>업무</t>
  </si>
  <si>
    <t>서울</t>
  </si>
  <si>
    <t>해체및철거공사,골재비및운반비,작업부산물,기타공사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</si>
  <si>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</si>
  <si>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</si>
  <si>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(지붕및홈통공사 포함)</t>
    <phoneticPr fontId="2" type="noConversion"/>
  </si>
  <si>
    <t>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</si>
  <si>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</si>
  <si>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</si>
  <si>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</si>
  <si>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옥외소화배관공사,펌프실배관공사,제연덕트설치공사,무선통신보조설비공사</t>
    <phoneticPr fontId="2" type="noConversion"/>
  </si>
  <si>
    <t>사급자재비,기타공사</t>
    <phoneticPr fontId="2" type="noConversion"/>
  </si>
  <si>
    <t>포장공사</t>
    <phoneticPr fontId="2" type="noConversion"/>
  </si>
  <si>
    <t>조경시설물</t>
    <phoneticPr fontId="2" type="noConversion"/>
  </si>
  <si>
    <t>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</si>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</sst>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6680.7</v>
      </c>
      <c r="D7" s="36">
        <f>+C7/3.3058</f>
        <v>2020.9026559380482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1045940</v>
      </c>
      <c r="E25" s="59">
        <f t="shared" si="0"/>
        <v>3457660</v>
      </c>
    </row>
    <row r="26" spans="1:5" x14ac:dyDescent="0.3">
      <c r="B26" s="2">
        <v>3</v>
      </c>
      <c r="C26" s="35" t="s">
        <v>95</v>
      </c>
      <c r="D26" s="45">
        <f>+D66</f>
        <v>315640</v>
      </c>
      <c r="E26" s="59">
        <f t="shared" si="0"/>
        <v>1043440</v>
      </c>
    </row>
    <row r="27" spans="1:5" x14ac:dyDescent="0.3">
      <c r="B27" s="2">
        <v>4</v>
      </c>
      <c r="C27" s="35" t="s">
        <v>96</v>
      </c>
      <c r="D27" s="45">
        <f>+D95</f>
        <v>66310</v>
      </c>
      <c r="E27" s="59">
        <f t="shared" si="0"/>
        <v>219200</v>
      </c>
    </row>
    <row r="28" spans="1:5" x14ac:dyDescent="0.3">
      <c r="B28" s="2">
        <v>5</v>
      </c>
      <c r="C28" s="35" t="s">
        <v>97</v>
      </c>
      <c r="D28" s="45">
        <f>+D119</f>
        <v>230370</v>
      </c>
      <c r="E28" s="59">
        <f t="shared" si="0"/>
        <v>761550</v>
      </c>
    </row>
    <row r="29" spans="1:5" x14ac:dyDescent="0.3">
      <c r="B29" s="2">
        <v>6</v>
      </c>
      <c r="C29" s="35" t="s">
        <v>98</v>
      </c>
      <c r="D29" s="45">
        <f>+D133</f>
        <v>124530</v>
      </c>
      <c r="E29" s="59">
        <f t="shared" si="0"/>
        <v>411670</v>
      </c>
    </row>
    <row r="30" spans="1:5" x14ac:dyDescent="0.3">
      <c r="B30" s="2">
        <v>7</v>
      </c>
      <c r="C30" s="35" t="s">
        <v>99</v>
      </c>
      <c r="D30" s="45">
        <f>+D146</f>
        <v>79110</v>
      </c>
      <c r="E30" s="59">
        <f t="shared" si="0"/>
        <v>261520</v>
      </c>
    </row>
    <row r="31" spans="1:5" x14ac:dyDescent="0.3">
      <c r="B31" s="2">
        <v>8</v>
      </c>
      <c r="C31" s="35" t="s">
        <v>100</v>
      </c>
      <c r="D31" s="45">
        <f>+D154</f>
        <v>84920</v>
      </c>
      <c r="E31" s="59">
        <f t="shared" si="0"/>
        <v>280720</v>
      </c>
    </row>
    <row r="32" spans="1:5" x14ac:dyDescent="0.3">
      <c r="B32" s="2">
        <v>9</v>
      </c>
      <c r="C32" s="35" t="s">
        <v>101</v>
      </c>
      <c r="D32" s="45">
        <f>+D161</f>
        <v>14110</v>
      </c>
      <c r="E32" s="59">
        <f t="shared" si="0"/>
        <v>46640</v>
      </c>
    </row>
    <row r="33" spans="1:7" x14ac:dyDescent="0.3">
      <c r="B33" s="2">
        <v>10</v>
      </c>
      <c r="C33" s="35" t="s">
        <v>154</v>
      </c>
      <c r="D33" s="53">
        <f>TRUNC(SUM(D24:D32)*0.275,-1)</f>
        <v>539250</v>
      </c>
      <c r="E33" s="60">
        <f t="shared" si="0"/>
        <v>1782650</v>
      </c>
    </row>
    <row r="34" spans="1:7" x14ac:dyDescent="0.3">
      <c r="C34" s="35" t="s">
        <v>112</v>
      </c>
      <c r="D34" s="44">
        <f>SUM(D24:D33)</f>
        <v>2500180</v>
      </c>
      <c r="E34" s="44">
        <f>SUM(E24:E33)</f>
        <v>8265050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TRUNC(72081,-1)</f>
        <v>72080</v>
      </c>
      <c r="E40" s="62">
        <f t="shared" ref="E40:E59" si="1">TRUNC(+D40*3.3058,-1)</f>
        <v>238280</v>
      </c>
    </row>
    <row r="41" spans="1:7" x14ac:dyDescent="0.3">
      <c r="A41" s="2">
        <v>2</v>
      </c>
      <c r="C41" s="38" t="s">
        <v>13</v>
      </c>
      <c r="D41" s="42">
        <f>TRUNC(152151,-1)</f>
        <v>152150</v>
      </c>
      <c r="E41" s="63">
        <f t="shared" si="1"/>
        <v>502970</v>
      </c>
    </row>
    <row r="42" spans="1:7" x14ac:dyDescent="0.3">
      <c r="A42" s="2">
        <v>3</v>
      </c>
      <c r="C42" s="38" t="s">
        <v>14</v>
      </c>
      <c r="D42" s="42">
        <f>TRUNC(15538,-1)</f>
        <v>15530</v>
      </c>
      <c r="E42" s="63">
        <f t="shared" si="1"/>
        <v>51330</v>
      </c>
    </row>
    <row r="43" spans="1:7" x14ac:dyDescent="0.3">
      <c r="A43" s="2">
        <v>4</v>
      </c>
      <c r="C43" s="38" t="s">
        <v>16</v>
      </c>
      <c r="D43" s="42">
        <f>TRUNC(11903,-1)</f>
        <v>11900</v>
      </c>
      <c r="E43" s="63">
        <f t="shared" si="1"/>
        <v>39330</v>
      </c>
    </row>
    <row r="44" spans="1:7" x14ac:dyDescent="0.3">
      <c r="A44" s="2">
        <v>5</v>
      </c>
      <c r="C44" s="38" t="s">
        <v>17</v>
      </c>
      <c r="D44" s="42">
        <f>TRUNC(18750,-1)</f>
        <v>18750</v>
      </c>
      <c r="E44" s="63">
        <f t="shared" si="1"/>
        <v>61980</v>
      </c>
    </row>
    <row r="45" spans="1:7" x14ac:dyDescent="0.3">
      <c r="A45" s="2">
        <v>6</v>
      </c>
      <c r="C45" s="38" t="s">
        <v>18</v>
      </c>
      <c r="D45" s="42">
        <f>TRUNC(913,-1)</f>
        <v>910</v>
      </c>
      <c r="E45" s="63">
        <f t="shared" si="1"/>
        <v>3000</v>
      </c>
    </row>
    <row r="46" spans="1:7" x14ac:dyDescent="0.3">
      <c r="A46" s="2">
        <v>7</v>
      </c>
      <c r="C46" s="38" t="s">
        <v>19</v>
      </c>
      <c r="D46" s="42">
        <f>TRUNC(8052,-1)</f>
        <v>8050</v>
      </c>
      <c r="E46" s="63">
        <f t="shared" si="1"/>
        <v>26610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TRUNC(92227,-1)</f>
        <v>92220</v>
      </c>
      <c r="E48" s="63">
        <f t="shared" si="1"/>
        <v>304860</v>
      </c>
      <c r="F48" s="2" t="s">
        <v>254</v>
      </c>
    </row>
    <row r="49" spans="1:7" x14ac:dyDescent="0.3">
      <c r="A49" s="2">
        <v>10</v>
      </c>
      <c r="C49" s="38" t="s">
        <v>22</v>
      </c>
      <c r="D49" s="42">
        <f>TRUNC(8927,-1)</f>
        <v>8920</v>
      </c>
      <c r="E49" s="63">
        <f t="shared" si="1"/>
        <v>29480</v>
      </c>
    </row>
    <row r="50" spans="1:7" x14ac:dyDescent="0.3">
      <c r="A50" s="2">
        <v>11</v>
      </c>
      <c r="C50" s="38" t="s">
        <v>155</v>
      </c>
      <c r="D50" s="42">
        <f>TRUNC(58043,-1)</f>
        <v>58040</v>
      </c>
      <c r="E50" s="63">
        <f t="shared" si="1"/>
        <v>191860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TRUNC(36401,-1)</f>
        <v>36400</v>
      </c>
      <c r="E52" s="63">
        <f t="shared" si="1"/>
        <v>120330</v>
      </c>
    </row>
    <row r="53" spans="1:7" x14ac:dyDescent="0.3">
      <c r="A53" s="2">
        <v>14</v>
      </c>
      <c r="C53" s="38" t="s">
        <v>25</v>
      </c>
      <c r="D53" s="42">
        <f>TRUNC(119706,-1)</f>
        <v>119700</v>
      </c>
      <c r="E53" s="63">
        <f t="shared" si="1"/>
        <v>395700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TRUNC(28177+4876-723+51226,-1)</f>
        <v>83550</v>
      </c>
      <c r="E58" s="63">
        <f t="shared" si="1"/>
        <v>276190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TRUNC(367743,-1)</f>
        <v>367740</v>
      </c>
      <c r="E59" s="64">
        <f t="shared" si="1"/>
        <v>1215670</v>
      </c>
    </row>
    <row r="60" spans="1:7" x14ac:dyDescent="0.3">
      <c r="A60" s="2">
        <v>21</v>
      </c>
      <c r="C60" s="27" t="s">
        <v>112</v>
      </c>
      <c r="D60" s="39">
        <f>SUM(D40:D59)</f>
        <v>1045940</v>
      </c>
      <c r="E60" s="39">
        <f>SUM(E40:E59)</f>
        <v>3457590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TRUNC(67493,-1)</f>
        <v>67490</v>
      </c>
      <c r="E63" s="62">
        <f>TRUNC(+D63*3.3058,-1)</f>
        <v>223100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TRUNC(248150,-1)</f>
        <v>248150</v>
      </c>
      <c r="E65" s="64">
        <f>TRUNC(+D65*3.3058,-1)</f>
        <v>820330</v>
      </c>
    </row>
    <row r="66" spans="1:7" x14ac:dyDescent="0.3">
      <c r="A66" s="2">
        <v>4</v>
      </c>
      <c r="C66" s="27" t="s">
        <v>112</v>
      </c>
      <c r="D66" s="39">
        <f>SUM(D63:D65)</f>
        <v>315640</v>
      </c>
      <c r="E66" s="65">
        <f>SUM(E63:E65)</f>
        <v>1043430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TRUNC(17468,-1)</f>
        <v>17460</v>
      </c>
      <c r="E69" s="62">
        <f t="shared" ref="E69:E94" si="2">TRUNC(+D69*3.3058,-1)</f>
        <v>57710</v>
      </c>
    </row>
    <row r="70" spans="1:7" ht="16.5" customHeight="1" x14ac:dyDescent="0.3">
      <c r="A70" s="2">
        <v>2</v>
      </c>
      <c r="C70" s="38" t="s">
        <v>31</v>
      </c>
      <c r="D70" s="42">
        <f>TRUNC(87,-1)</f>
        <v>80</v>
      </c>
      <c r="E70" s="63">
        <f t="shared" si="2"/>
        <v>260</v>
      </c>
    </row>
    <row r="71" spans="1:7" x14ac:dyDescent="0.3">
      <c r="A71" s="2">
        <v>3</v>
      </c>
      <c r="C71" s="38" t="s">
        <v>32</v>
      </c>
      <c r="D71" s="42">
        <f>TRUNC(6770,-1)</f>
        <v>6770</v>
      </c>
      <c r="E71" s="63">
        <f t="shared" si="2"/>
        <v>22380</v>
      </c>
    </row>
    <row r="72" spans="1:7" x14ac:dyDescent="0.3">
      <c r="A72" s="2">
        <v>4</v>
      </c>
      <c r="C72" s="38" t="s">
        <v>33</v>
      </c>
      <c r="D72" s="42">
        <f>TRUNC(1680,-1)</f>
        <v>1680</v>
      </c>
      <c r="E72" s="63">
        <f t="shared" si="2"/>
        <v>5550</v>
      </c>
    </row>
    <row r="73" spans="1:7" x14ac:dyDescent="0.3">
      <c r="A73" s="2">
        <v>5</v>
      </c>
      <c r="C73" s="38" t="s">
        <v>34</v>
      </c>
      <c r="D73" s="42">
        <f>TRUNC(6560,-1)</f>
        <v>6560</v>
      </c>
      <c r="E73" s="63">
        <f t="shared" si="2"/>
        <v>21680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TRUNC(462,-1)</f>
        <v>460</v>
      </c>
      <c r="E75" s="63">
        <f t="shared" si="2"/>
        <v>1520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TRUNC(14168,-1)</f>
        <v>14160</v>
      </c>
      <c r="E89" s="63">
        <f t="shared" si="2"/>
        <v>46810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TRUNC(11796,-1)</f>
        <v>11790</v>
      </c>
      <c r="E91" s="63">
        <f t="shared" si="2"/>
        <v>38970</v>
      </c>
    </row>
    <row r="92" spans="1:7" x14ac:dyDescent="0.3">
      <c r="A92" s="2">
        <v>24</v>
      </c>
      <c r="C92" s="38" t="s">
        <v>38</v>
      </c>
      <c r="D92" s="42">
        <f>TRUNC(3749,-1)</f>
        <v>3740</v>
      </c>
      <c r="E92" s="63">
        <f t="shared" si="2"/>
        <v>12360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TRUNC(3353+262,-1)</f>
        <v>3610</v>
      </c>
      <c r="E94" s="64">
        <f t="shared" si="2"/>
        <v>11930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66310</v>
      </c>
      <c r="E95" s="39">
        <f>SUM(E69:E94)</f>
        <v>219170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TRUNC(9234,-1)</f>
        <v>9230</v>
      </c>
      <c r="E98" s="62">
        <f t="shared" ref="E98:E118" si="3">TRUNC(+D98*3.3058,-1)</f>
        <v>30510</v>
      </c>
    </row>
    <row r="99" spans="1:7" x14ac:dyDescent="0.3">
      <c r="A99" s="2">
        <v>2</v>
      </c>
      <c r="C99" s="38" t="s">
        <v>40</v>
      </c>
      <c r="D99" s="42">
        <f>TRUNC(5913,-1)</f>
        <v>5910</v>
      </c>
      <c r="E99" s="63">
        <f t="shared" si="3"/>
        <v>19530</v>
      </c>
    </row>
    <row r="100" spans="1:7" x14ac:dyDescent="0.3">
      <c r="A100" s="2">
        <v>3</v>
      </c>
      <c r="C100" s="38" t="s">
        <v>41</v>
      </c>
      <c r="D100" s="42">
        <f>TRUNC(24952,-1)</f>
        <v>24950</v>
      </c>
      <c r="E100" s="63">
        <f t="shared" si="3"/>
        <v>82470</v>
      </c>
    </row>
    <row r="101" spans="1:7" x14ac:dyDescent="0.3">
      <c r="A101" s="2">
        <v>4</v>
      </c>
      <c r="C101" s="38" t="s">
        <v>42</v>
      </c>
      <c r="D101" s="42">
        <f>TRUNC(2309,-1)</f>
        <v>2300</v>
      </c>
      <c r="E101" s="63">
        <f t="shared" si="3"/>
        <v>7600</v>
      </c>
    </row>
    <row r="102" spans="1:7" x14ac:dyDescent="0.3">
      <c r="A102" s="2">
        <v>5</v>
      </c>
      <c r="C102" s="38" t="s">
        <v>43</v>
      </c>
      <c r="D102" s="42">
        <f>TRUNC(12478,-1)</f>
        <v>12470</v>
      </c>
      <c r="E102" s="63">
        <f t="shared" si="3"/>
        <v>41220</v>
      </c>
    </row>
    <row r="103" spans="1:7" x14ac:dyDescent="0.3">
      <c r="A103" s="2">
        <v>6</v>
      </c>
      <c r="C103" s="38" t="s">
        <v>44</v>
      </c>
      <c r="D103" s="42">
        <f>TRUNC(5993,-1)</f>
        <v>5990</v>
      </c>
      <c r="E103" s="63">
        <f t="shared" si="3"/>
        <v>19800</v>
      </c>
    </row>
    <row r="104" spans="1:7" x14ac:dyDescent="0.3">
      <c r="A104" s="2">
        <v>7</v>
      </c>
      <c r="C104" s="38" t="s">
        <v>45</v>
      </c>
      <c r="D104" s="42">
        <f>TRUNC(3967,-1)</f>
        <v>3960</v>
      </c>
      <c r="E104" s="63">
        <f t="shared" si="3"/>
        <v>13090</v>
      </c>
    </row>
    <row r="105" spans="1:7" x14ac:dyDescent="0.3">
      <c r="A105" s="2">
        <v>8</v>
      </c>
      <c r="C105" s="38" t="s">
        <v>46</v>
      </c>
      <c r="D105" s="42">
        <f>TRUNC(1593,-1)</f>
        <v>1590</v>
      </c>
      <c r="E105" s="63">
        <f t="shared" si="3"/>
        <v>5250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TRUNC(737,-1)</f>
        <v>730</v>
      </c>
      <c r="E114" s="63">
        <f t="shared" si="3"/>
        <v>2410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TRUNC(4464,-1)</f>
        <v>4460</v>
      </c>
      <c r="E116" s="63">
        <f t="shared" si="3"/>
        <v>14740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TRUNC(155133,-1)</f>
        <v>155130</v>
      </c>
      <c r="E117" s="63">
        <f t="shared" si="3"/>
        <v>512820</v>
      </c>
    </row>
    <row r="118" spans="1:7" ht="17.25" thickBot="1" x14ac:dyDescent="0.35">
      <c r="A118" s="2">
        <v>21</v>
      </c>
      <c r="C118" s="38" t="s">
        <v>47</v>
      </c>
      <c r="D118" s="43">
        <f>TRUNC(3658,-1)</f>
        <v>3650</v>
      </c>
      <c r="E118" s="64">
        <f t="shared" si="3"/>
        <v>12060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230370</v>
      </c>
      <c r="E119" s="39">
        <f>SUM(E98:E118)</f>
        <v>761500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TRUNC(5443,-1)</f>
        <v>5440</v>
      </c>
      <c r="E122" s="62">
        <f t="shared" ref="E122:E132" si="4">TRUNC(+D122*3.3058,-1)</f>
        <v>17980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TRUNC(7049,-1)</f>
        <v>7040</v>
      </c>
      <c r="E124" s="63">
        <f t="shared" si="4"/>
        <v>23270</v>
      </c>
    </row>
    <row r="125" spans="1:7" x14ac:dyDescent="0.3">
      <c r="A125" s="2">
        <v>4</v>
      </c>
      <c r="C125" s="38" t="s">
        <v>138</v>
      </c>
      <c r="D125" s="42">
        <f>TRUNC(4444,-1)</f>
        <v>4440</v>
      </c>
      <c r="E125" s="63">
        <f t="shared" si="4"/>
        <v>14670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TRUNC(5019,-1)</f>
        <v>5010</v>
      </c>
      <c r="E128" s="63">
        <f t="shared" si="4"/>
        <v>16560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TRUNC(12386,-1)</f>
        <v>12380</v>
      </c>
      <c r="E130" s="63">
        <f t="shared" si="4"/>
        <v>40920</v>
      </c>
    </row>
    <row r="131" spans="1:7" x14ac:dyDescent="0.3">
      <c r="A131" s="2">
        <v>10</v>
      </c>
      <c r="C131" s="38" t="s">
        <v>148</v>
      </c>
      <c r="D131" s="42">
        <f>TRUNC(88551,-1)</f>
        <v>88550</v>
      </c>
      <c r="E131" s="63">
        <f t="shared" si="4"/>
        <v>292720</v>
      </c>
    </row>
    <row r="132" spans="1:7" ht="18" thickBot="1" x14ac:dyDescent="0.35">
      <c r="A132" s="2">
        <v>11</v>
      </c>
      <c r="C132" s="38" t="s">
        <v>47</v>
      </c>
      <c r="D132" s="43">
        <f>TRUNC(1677,-1)</f>
        <v>1670</v>
      </c>
      <c r="E132" s="64">
        <f t="shared" si="4"/>
        <v>5520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124530</v>
      </c>
      <c r="E133" s="39">
        <f>SUM(E122:E132)</f>
        <v>411640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TRUNC(207+3427+5788+4421,-1)</f>
        <v>13840</v>
      </c>
      <c r="E137" s="63">
        <f t="shared" si="5"/>
        <v>45750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TRUNC(2155,-1)</f>
        <v>2150</v>
      </c>
      <c r="E139" s="63">
        <f t="shared" si="5"/>
        <v>7100</v>
      </c>
    </row>
    <row r="140" spans="1:7" x14ac:dyDescent="0.3">
      <c r="A140" s="2">
        <v>5</v>
      </c>
      <c r="C140" s="38" t="s">
        <v>57</v>
      </c>
      <c r="D140" s="42">
        <f>TRUNC(5200,-1)</f>
        <v>5200</v>
      </c>
      <c r="E140" s="63">
        <f t="shared" si="5"/>
        <v>17190</v>
      </c>
    </row>
    <row r="141" spans="1:7" x14ac:dyDescent="0.3">
      <c r="A141" s="2">
        <v>6</v>
      </c>
      <c r="C141" s="38" t="s">
        <v>59</v>
      </c>
      <c r="D141" s="42">
        <f>TRUNC(29083,-1)</f>
        <v>29080</v>
      </c>
      <c r="E141" s="63">
        <f t="shared" si="5"/>
        <v>96130</v>
      </c>
    </row>
    <row r="142" spans="1:7" x14ac:dyDescent="0.3">
      <c r="A142" s="2">
        <v>7</v>
      </c>
      <c r="C142" s="38" t="s">
        <v>58</v>
      </c>
      <c r="D142" s="42">
        <f>TRUNC(5810,-1)</f>
        <v>5810</v>
      </c>
      <c r="E142" s="63">
        <f t="shared" si="5"/>
        <v>19200</v>
      </c>
    </row>
    <row r="143" spans="1:7" x14ac:dyDescent="0.3">
      <c r="A143" s="2">
        <v>8</v>
      </c>
      <c r="C143" s="38" t="s">
        <v>62</v>
      </c>
      <c r="D143" s="42">
        <f>TRUNC(7426,-1)</f>
        <v>7420</v>
      </c>
      <c r="E143" s="63">
        <f t="shared" si="5"/>
        <v>24520</v>
      </c>
    </row>
    <row r="144" spans="1:7" x14ac:dyDescent="0.3">
      <c r="A144" s="2">
        <v>9</v>
      </c>
      <c r="C144" s="38" t="s">
        <v>63</v>
      </c>
      <c r="D144" s="42">
        <f>TRUNC(15615,-1)</f>
        <v>15610</v>
      </c>
      <c r="E144" s="63">
        <f t="shared" si="5"/>
        <v>51600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79110</v>
      </c>
      <c r="E146" s="39">
        <f>SUM(E136:E145)</f>
        <v>261490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TRUNC(17187,-1)</f>
        <v>17180</v>
      </c>
      <c r="E149" s="62">
        <f>TRUNC(+D149*3.3058,-1)</f>
        <v>56790</v>
      </c>
    </row>
    <row r="150" spans="1:7" x14ac:dyDescent="0.3">
      <c r="A150" s="2">
        <v>2</v>
      </c>
      <c r="C150" s="38" t="s">
        <v>49</v>
      </c>
      <c r="D150" s="42">
        <f>TRUNC(2689,-1)</f>
        <v>2680</v>
      </c>
      <c r="E150" s="63">
        <f>TRUNC(+D150*3.3058,-1)</f>
        <v>8850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TRUNC(60157+4911,-1)</f>
        <v>65060</v>
      </c>
      <c r="E152" s="63">
        <f>TRUNC(+D152*3.3058,-1)</f>
        <v>215070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84920</v>
      </c>
      <c r="E154" s="39">
        <f>SUM(E149:E153)</f>
        <v>280710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TRUNC(7913,-1)</f>
        <v>7910</v>
      </c>
      <c r="E157" s="62">
        <f>TRUNC(+D157*3.3058,-1)</f>
        <v>26140</v>
      </c>
    </row>
    <row r="158" spans="1:7" x14ac:dyDescent="0.3">
      <c r="A158" s="2">
        <v>2</v>
      </c>
      <c r="C158" s="38" t="s">
        <v>52</v>
      </c>
      <c r="D158" s="42">
        <f>TRUNC(4576,-1)</f>
        <v>4570</v>
      </c>
      <c r="E158" s="63">
        <f>TRUNC(+D158*3.3058,-1)</f>
        <v>15100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TRUNC(1633,-1)</f>
        <v>1630</v>
      </c>
      <c r="E159" s="63">
        <f>TRUNC(+D159*3.3058,-1)</f>
        <v>5380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14110</v>
      </c>
      <c r="E161" s="39">
        <f>SUM(E157:E160)</f>
        <v>46620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2020-12-08T02:23:01Z</dcterms:modified>
</cp:coreProperties>
</file>