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84" i="4"/>
  <c r="E160" i="4" l="1"/>
  <c r="E153" i="4"/>
  <c r="E151" i="4"/>
  <c r="E150" i="4"/>
  <c r="E145" i="4"/>
  <c r="E144" i="4"/>
  <c r="E143" i="4"/>
  <c r="E142" i="4"/>
  <c r="E141" i="4"/>
  <c r="E140" i="4"/>
  <c r="E139" i="4"/>
  <c r="E138" i="4"/>
  <c r="E137" i="4"/>
  <c r="E130" i="4"/>
  <c r="E129" i="4"/>
  <c r="E127" i="4"/>
  <c r="E126" i="4"/>
  <c r="E124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4" i="4"/>
  <c r="E103" i="4"/>
  <c r="E101" i="4"/>
  <c r="E94" i="4"/>
  <c r="E92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65" i="4"/>
  <c r="E64" i="4"/>
  <c r="E57" i="4"/>
  <c r="E56" i="4"/>
  <c r="D136" i="4" l="1"/>
  <c r="E136" i="4" s="1"/>
  <c r="E146" i="4" s="1"/>
  <c r="D46" i="4" l="1"/>
  <c r="E46" i="4" s="1"/>
  <c r="D58" i="4"/>
  <c r="E58" i="4" s="1"/>
  <c r="D59" i="4" l="1"/>
  <c r="E59" i="4" s="1"/>
  <c r="D54" i="4"/>
  <c r="E54" i="4" s="1"/>
  <c r="D55" i="4"/>
  <c r="E55" i="4" s="1"/>
  <c r="D52" i="4"/>
  <c r="E52" i="4" s="1"/>
  <c r="D51" i="4"/>
  <c r="E51" i="4" s="1"/>
  <c r="D50" i="4"/>
  <c r="E50" i="4" s="1"/>
  <c r="D53" i="4"/>
  <c r="E53" i="4" s="1"/>
  <c r="D48" i="4"/>
  <c r="E48" i="4" s="1"/>
  <c r="D47" i="4"/>
  <c r="E47" i="4" s="1"/>
  <c r="D45" i="4"/>
  <c r="E45" i="4" s="1"/>
  <c r="D44" i="4"/>
  <c r="E44" i="4" s="1"/>
  <c r="D49" i="4"/>
  <c r="E49" i="4" s="1"/>
  <c r="D43" i="4"/>
  <c r="E43" i="4" s="1"/>
  <c r="D42" i="4"/>
  <c r="E42" i="4" s="1"/>
  <c r="D41" i="4"/>
  <c r="E41" i="4" s="1"/>
  <c r="D40" i="4"/>
  <c r="E40" i="4" s="1"/>
  <c r="D37" i="4"/>
  <c r="E37" i="4" s="1"/>
  <c r="D152" i="4"/>
  <c r="E152" i="4" s="1"/>
  <c r="D149" i="4"/>
  <c r="E149" i="4" s="1"/>
  <c r="D63" i="4"/>
  <c r="E63" i="4" s="1"/>
  <c r="E66" i="4" s="1"/>
  <c r="D159" i="4"/>
  <c r="E159" i="4" s="1"/>
  <c r="D158" i="4"/>
  <c r="E158" i="4" s="1"/>
  <c r="D157" i="4"/>
  <c r="E157" i="4" s="1"/>
  <c r="D72" i="4"/>
  <c r="E72" i="4" s="1"/>
  <c r="D91" i="4"/>
  <c r="E91" i="4" s="1"/>
  <c r="D71" i="4"/>
  <c r="E71" i="4" s="1"/>
  <c r="D70" i="4"/>
  <c r="E70" i="4" s="1"/>
  <c r="D69" i="4"/>
  <c r="E69" i="4" s="1"/>
  <c r="D93" i="4"/>
  <c r="E93" i="4" s="1"/>
  <c r="D105" i="4"/>
  <c r="E105" i="4" s="1"/>
  <c r="D118" i="4"/>
  <c r="E118" i="4" s="1"/>
  <c r="D100" i="4"/>
  <c r="E100" i="4" s="1"/>
  <c r="D102" i="4"/>
  <c r="E102" i="4" s="1"/>
  <c r="D99" i="4"/>
  <c r="E99" i="4" s="1"/>
  <c r="D98" i="4"/>
  <c r="E98" i="4" s="1"/>
  <c r="D117" i="4"/>
  <c r="E117" i="4" s="1"/>
  <c r="D132" i="4"/>
  <c r="E132" i="4" s="1"/>
  <c r="D125" i="4"/>
  <c r="E125" i="4" s="1"/>
  <c r="D123" i="4"/>
  <c r="E123" i="4" s="1"/>
  <c r="D128" i="4"/>
  <c r="E128" i="4" s="1"/>
  <c r="D131" i="4"/>
  <c r="E131" i="4" s="1"/>
  <c r="E95" i="4" l="1"/>
  <c r="E60" i="4"/>
  <c r="E133" i="4"/>
  <c r="E119" i="4"/>
  <c r="E161" i="4"/>
  <c r="E154" i="4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7" i="4"/>
  <c r="O31" i="1"/>
  <c r="M31" i="1"/>
  <c r="D27" i="4" l="1"/>
  <c r="E27" i="4" s="1"/>
  <c r="D26" i="4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<sst xmlns="http://schemas.openxmlformats.org/spreadsheetml/2006/main" count="389" uniqueCount="324">
  <si>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</si>
  <si>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</si>
  <si>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</si>
  <si>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</si>
  <si>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</si>
  <si>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</si>
  <si>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</si>
  <si>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</si>
  <si>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</si>
  <si>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</si>
  <si>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</si>
  <si>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</si>
  <si>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</si>
  <si>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</si>
  <si>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</si>
  <si>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</si>
  <si>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</si>
  <si>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</si>
  <si>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</si>
  <si>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</si>
  <si>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</si>
  <si>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</si>
  <si>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</si>
  <si>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</si>
  <si>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</si>
  <si>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</si>
  <si>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</si>
  <si>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</si>
  <si>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</si>
  <si>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</si>
  <si>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</si>
  <si>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</si>
  <si>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</si>
  <si>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</si>
  <si>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</si>
  <si>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</si>
  <si>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</si>
  <si>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</si>
  <si>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</si>
  <si>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</si>
  <si>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</si>
  <si>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</si>
  <si>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</si>
  <si>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</si>
  <si>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</si>
  <si>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</si>
  <si>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</si>
  <si>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</si>
  <si>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</si>
  <si>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</si>
  <si>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</si>
  <si>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</si>
  <si>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</si>
  <si>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</si>
  <si>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</si>
  <si>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</si>
  <si>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</si>
  <si>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</si>
  <si>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</si>
  <si>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</si>
  <si>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</si>
  <si>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</si>
  <si>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</si>
  <si>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</si>
  <si>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</si>
  <si>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</si>
  <si>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</si>
  <si>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</si>
  <si>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</si>
  <si>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</si>
  <si>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</si>
  <si>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</si>
  <si>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</si>
  <si>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</si>
  <si>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</si>
  <si>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</si>
  <si>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</si>
  <si>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</si>
  <si>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</si>
  <si>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</si>
  <si>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</si>
  <si>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</si>
  <si>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</si>
  <si>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</si>
  <si>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</si>
  <si>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</si>
  <si>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</si>
  <si>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</si>
  <si>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</si>
  <si>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</si>
  <si>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</si>
  <si>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</si>
  <si>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</si>
  <si>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</si>
  <si>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</si>
  <si>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</si>
  <si>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</si>
  <si>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</si>
  <si>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</si>
  <si>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</si>
  <si>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</si>
  <si>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</si>
  <si>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</si>
  <si>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</si>
  <si>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</si>
  <si>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</si>
  <si>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</si>
  <si>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</si>
  <si>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</si>
  <si>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</si>
  <si>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</si>
  <si>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</si>
  <si>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</si>
  <si>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</si>
  <si>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</si>
  <si>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</si>
  <si>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</si>
  <si>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</si>
  <si>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</si>
  <si>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</si>
  <si>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</si>
  <si>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</si>
  <si>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</si>
  <si>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</si>
  <si>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</si>
  <si>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</si>
  <si>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</si>
  <si>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</si>
  <si>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</si>
  <si>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</si>
  <si>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</si>
  <si>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</si>
  <si>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</si>
  <si>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</si>
  <si>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</si>
  <si>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</si>
  <si>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</si>
  <si>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</si>
  <si>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</si>
  <si>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</si>
  <si>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</si>
  <si>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</si>
  <si>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</si>
  <si>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</si>
  <si>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</si>
  <si>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</si>
  <si>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</si>
  <si>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</si>
  <si>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</si>
  <si>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</si>
  <si>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</si>
  <si>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</si>
  <si>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</si>
  <si>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</si>
  <si>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</si>
  <si>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</si>
  <si>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</si>
  <si>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</si>
  <si>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</si>
  <si>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</si>
  <si>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</si>
  <si>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</si>
  <si>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</si>
  <si>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</si>
  <si>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</si>
  <si>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</si>
  <si>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</si>
  <si>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</si>
  <si>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</si>
  <si>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</si>
  <si>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</si>
  <si>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</si>
  <si>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</si>
  <si>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</si>
  <si>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</si>
  <si>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</si>
  <si>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</si>
  <si>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</si>
  <si>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</si>
  <si>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</si>
  <si>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</si>
  <si>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</si>
  <si>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</si>
  <si>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</si>
  <si>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</si>
  <si>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</si>
  <si>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</si>
  <si>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</si>
  <si>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</si>
  <si>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</si>
  <si>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</si>
  <si>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</si>
  <si>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</si>
  <si>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</si>
  <si>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</si>
  <si>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</si>
  <si>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</si>
  <si>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</si>
  <si>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</si>
  <si>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</si>
  <si>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</si>
  <si>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</si>
  <si>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</si>
  <si>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</si>
  <si>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</si>
  <si>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</si>
  <si>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</si>
  <si>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</si>
  <si>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</si>
  <si>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</si>
  <si>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</si>
  <si>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</si>
  <si>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</si>
  <si>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</si>
  <si>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</si>
  <si>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</si>
  <si>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</si>
  <si>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</si>
  <si>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</si>
  <si>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</si>
  <si>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</si>
  <si>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</si>
  <si>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</si>
  <si>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</si>
  <si>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</si>
  <si>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</si>
  <si>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</si>
  <si>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</si>
  <si>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</si>
  <si>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</si>
  <si>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</si>
  <si>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</si>
  <si>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</si>
  <si>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</si>
  <si>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</si>
  <si>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</si>
  <si>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</si>
  <si>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</si>
  <si>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</si>
  <si>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</si>
  <si>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</si>
  <si>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</si>
  <si>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</si>
  <si>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</si>
  <si>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</si>
  <si>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</si>
  <si>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</si>
  <si>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</si>
  <si>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</si>
  <si>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</si>
  <si>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</si>
  <si>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</si>
  <si>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</si>
  <si>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</si>
  <si>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</si>
  <si>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</si>
  <si>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</si>
  <si>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</si>
  <si>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</si>
  <si>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</si>
  <si>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</si>
  <si>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</si>
  <si>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</si>
  <si>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</si>
  <si>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</si>
  <si>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</si>
  <si>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</si>
  <si>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</si>
  <si>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</si>
  <si>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</si>
  <si>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</si>
  <si>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</si>
  <si>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</si>
  <si>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</si>
  <si>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</si>
  <si>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</si>
  <si>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</si>
  <si>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</si>
  <si>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</si>
  <si>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</si>
  <si>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</si>
  <si>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</si>
  <si>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</si>
  <si>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</si>
  <si>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</si>
  <si>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</si>
  <si>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</si>
  <si>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</si>
  <si>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</si>
  <si>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</si>
  <si>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</si>
  <si>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</si>
  <si>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</si>
  <si>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</si>
  <si>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</si>
  <si>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</si>
  <si>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</si>
  <si>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</si>
  <si>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</si>
  <si>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</si>
  <si>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</si>
  <si>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</si>
  <si>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</si>
  <si>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</si>
  <si>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</si>
  <si>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</si>
  <si>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</si>
  <si>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</si>
  <si>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00시립도서관 신축공사</t>
  </si>
  <si>
    <t>교육연구</t>
  </si>
  <si>
    <t>전라도</t>
  </si>
  <si>
    <t>CABLE DUCT 설치공사</t>
  </si>
  <si>
    <t>CCTV 설비공사</t>
  </si>
  <si>
    <t>RACE WAY 설치공사,GHP 실내기 제어배관 설치공사,경관조명설비공사</t>
    <phoneticPr fontId="2" type="noConversion"/>
  </si>
  <si>
    <t>포장공사,수반공사</t>
    <phoneticPr fontId="2" type="noConversion"/>
  </si>
  <si>
    <t>상수도공,부대공</t>
    <phoneticPr fontId="2" type="noConversion"/>
  </si>
  <si>
    <t>홈통/잡공사</t>
  </si>
  <si>
    <t>기초/토공사,자재대/운반비,사급자재비,품질시험비</t>
    <phoneticPr fontId="2" type="noConversion"/>
  </si>
  <si>
    <t>공조실배관공사,위생공사,공동PS가대및 장비기초공사, 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</si>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</sst>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321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5508</v>
      </c>
      <c r="D7" s="36">
        <f>+C7/3.3058</f>
        <v>1666.1625022687397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66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322</v>
      </c>
    </row>
    <row r="19" spans="1:5" x14ac:dyDescent="0.3">
      <c r="A19" s="2">
        <v>9</v>
      </c>
      <c r="B19" s="2" t="s">
        <v>323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3660</v>
      </c>
      <c r="E24" s="59">
        <f t="shared" ref="E24:E33" si="0">TRUNC(+D24*3.3058,-1)</f>
        <v>12090</v>
      </c>
    </row>
    <row r="25" spans="1:5" x14ac:dyDescent="0.3">
      <c r="B25" s="2">
        <v>2</v>
      </c>
      <c r="C25" s="35" t="s">
        <v>45</v>
      </c>
      <c r="D25" s="47">
        <f>+D60</f>
        <v>733490</v>
      </c>
      <c r="E25" s="60">
        <f t="shared" si="0"/>
        <v>2424770</v>
      </c>
    </row>
    <row r="26" spans="1:5" x14ac:dyDescent="0.3">
      <c r="B26" s="2">
        <v>3</v>
      </c>
      <c r="C26" s="35" t="s">
        <v>29</v>
      </c>
      <c r="D26" s="47">
        <f>+D66</f>
        <v>37570</v>
      </c>
      <c r="E26" s="60">
        <f t="shared" si="0"/>
        <v>124190</v>
      </c>
    </row>
    <row r="27" spans="1:5" x14ac:dyDescent="0.3">
      <c r="B27" s="2">
        <v>4</v>
      </c>
      <c r="C27" s="35" t="s">
        <v>30</v>
      </c>
      <c r="D27" s="47">
        <f>+D95</f>
        <v>329550</v>
      </c>
      <c r="E27" s="60">
        <f t="shared" si="0"/>
        <v>1089420</v>
      </c>
    </row>
    <row r="28" spans="1:5" x14ac:dyDescent="0.3">
      <c r="B28" s="2">
        <v>5</v>
      </c>
      <c r="C28" s="35" t="s">
        <v>31</v>
      </c>
      <c r="D28" s="47">
        <f>+D119</f>
        <v>134870</v>
      </c>
      <c r="E28" s="60">
        <f t="shared" si="0"/>
        <v>445850</v>
      </c>
    </row>
    <row r="29" spans="1:5" x14ac:dyDescent="0.3">
      <c r="B29" s="2">
        <v>6</v>
      </c>
      <c r="C29" s="35" t="s">
        <v>32</v>
      </c>
      <c r="D29" s="47">
        <f>+D133</f>
        <v>31670</v>
      </c>
      <c r="E29" s="60">
        <f t="shared" si="0"/>
        <v>104690</v>
      </c>
    </row>
    <row r="30" spans="1:5" x14ac:dyDescent="0.3">
      <c r="B30" s="2">
        <v>7</v>
      </c>
      <c r="C30" s="35" t="s">
        <v>33</v>
      </c>
      <c r="D30" s="47">
        <f>+D146</f>
        <v>13310</v>
      </c>
      <c r="E30" s="60">
        <f t="shared" si="0"/>
        <v>44000</v>
      </c>
    </row>
    <row r="31" spans="1:5" x14ac:dyDescent="0.3">
      <c r="B31" s="2">
        <v>8</v>
      </c>
      <c r="C31" s="35" t="s">
        <v>34</v>
      </c>
      <c r="D31" s="47">
        <f>+D154</f>
        <v>5780</v>
      </c>
      <c r="E31" s="60">
        <f t="shared" si="0"/>
        <v>19100</v>
      </c>
    </row>
    <row r="32" spans="1:5" x14ac:dyDescent="0.3">
      <c r="B32" s="2">
        <v>9</v>
      </c>
      <c r="C32" s="35" t="s">
        <v>35</v>
      </c>
      <c r="D32" s="47">
        <f>+D161</f>
        <v>44810</v>
      </c>
      <c r="E32" s="60">
        <f t="shared" si="0"/>
        <v>148130</v>
      </c>
    </row>
    <row r="33" spans="1:5" x14ac:dyDescent="0.3">
      <c r="B33" s="2">
        <v>10</v>
      </c>
      <c r="C33" s="35" t="s">
        <v>60</v>
      </c>
      <c r="D33" s="55">
        <f>TRUNC(SUM(D24:D32)*0.275,-1)</f>
        <v>367040</v>
      </c>
      <c r="E33" s="61">
        <f t="shared" si="0"/>
        <v>1213360</v>
      </c>
    </row>
    <row r="34" spans="1:5" x14ac:dyDescent="0.3">
      <c r="C34" s="35" t="s">
        <v>46</v>
      </c>
      <c r="D34" s="46">
        <f>SUM(D24:D33)</f>
        <v>1701750</v>
      </c>
      <c r="E34" s="46">
        <f>SUM(E24:E33)</f>
        <v>5625600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f>TRUNC(3665.42047930283,-1)</f>
        <v>3660</v>
      </c>
      <c r="E37" s="62">
        <f>TRUNC(+D37*3.3058,-1)</f>
        <v>12090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319</v>
      </c>
      <c r="E39" s="68" t="s">
        <v>320</v>
      </c>
    </row>
    <row r="40" spans="1:5" x14ac:dyDescent="0.3">
      <c r="A40" s="2">
        <v>1</v>
      </c>
      <c r="C40" s="39" t="s">
        <v>75</v>
      </c>
      <c r="D40" s="42">
        <f>TRUNC(40078.0989469862,-1)</f>
        <v>40070</v>
      </c>
      <c r="E40" s="63">
        <f t="shared" ref="E40:E59" si="1">TRUNC(+D40*3.3058,-1)</f>
        <v>132460</v>
      </c>
    </row>
    <row r="41" spans="1:5" x14ac:dyDescent="0.3">
      <c r="A41" s="2">
        <v>2</v>
      </c>
      <c r="C41" s="39" t="s">
        <v>6</v>
      </c>
      <c r="D41" s="44">
        <f>TRUNC(122110.178830792,-1)</f>
        <v>122110</v>
      </c>
      <c r="E41" s="64">
        <f t="shared" si="1"/>
        <v>403670</v>
      </c>
    </row>
    <row r="42" spans="1:5" x14ac:dyDescent="0.3">
      <c r="A42" s="2">
        <v>3</v>
      </c>
      <c r="C42" s="39" t="s">
        <v>7</v>
      </c>
      <c r="D42" s="44">
        <f>TRUNC(11916.3444081336,-1)</f>
        <v>11910</v>
      </c>
      <c r="E42" s="64">
        <f t="shared" si="1"/>
        <v>39370</v>
      </c>
    </row>
    <row r="43" spans="1:5" x14ac:dyDescent="0.3">
      <c r="A43" s="2">
        <v>4</v>
      </c>
      <c r="C43" s="39" t="s">
        <v>8</v>
      </c>
      <c r="D43" s="44">
        <f>TRUNC(10399.6465141612,-1)</f>
        <v>10390</v>
      </c>
      <c r="E43" s="64">
        <f t="shared" si="1"/>
        <v>34340</v>
      </c>
    </row>
    <row r="44" spans="1:5" x14ac:dyDescent="0.3">
      <c r="A44" s="2">
        <v>5</v>
      </c>
      <c r="C44" s="39" t="s">
        <v>9</v>
      </c>
      <c r="D44" s="44">
        <f>TRUNC(28717.0212418301,-1)</f>
        <v>28710</v>
      </c>
      <c r="E44" s="64">
        <f t="shared" si="1"/>
        <v>94900</v>
      </c>
    </row>
    <row r="45" spans="1:5" x14ac:dyDescent="0.3">
      <c r="A45" s="2">
        <v>6</v>
      </c>
      <c r="C45" s="39" t="s">
        <v>10</v>
      </c>
      <c r="D45" s="44">
        <f>TRUNC(8342.50835148874,-1)</f>
        <v>8340</v>
      </c>
      <c r="E45" s="64">
        <f t="shared" si="1"/>
        <v>27570</v>
      </c>
    </row>
    <row r="46" spans="1:5" x14ac:dyDescent="0.3">
      <c r="A46" s="2">
        <v>7</v>
      </c>
      <c r="C46" s="39" t="s">
        <v>11</v>
      </c>
      <c r="D46" s="44">
        <f>TRUNC(50542.2322076979,-1)</f>
        <v>50540</v>
      </c>
      <c r="E46" s="64">
        <f t="shared" si="1"/>
        <v>167070</v>
      </c>
    </row>
    <row r="47" spans="1:5" x14ac:dyDescent="0.3">
      <c r="A47" s="2">
        <v>8</v>
      </c>
      <c r="C47" s="39" t="s">
        <v>12</v>
      </c>
      <c r="D47" s="44">
        <f>TRUNC(7032.97821350763,-1)</f>
        <v>7030</v>
      </c>
      <c r="E47" s="64">
        <f t="shared" si="1"/>
        <v>23230</v>
      </c>
    </row>
    <row r="48" spans="1:5" x14ac:dyDescent="0.3">
      <c r="A48" s="2">
        <v>9</v>
      </c>
      <c r="C48" s="39" t="s">
        <v>13</v>
      </c>
      <c r="D48" s="44">
        <f>TRUNC(33075.1258169935,-1)</f>
        <v>33070</v>
      </c>
      <c r="E48" s="64">
        <f t="shared" si="1"/>
        <v>109320</v>
      </c>
    </row>
    <row r="49" spans="1:6" x14ac:dyDescent="0.3">
      <c r="A49" s="2">
        <v>10</v>
      </c>
      <c r="C49" s="39" t="s">
        <v>14</v>
      </c>
      <c r="D49" s="44">
        <f>TRUNC(17508.9896514161,-1)</f>
        <v>17500</v>
      </c>
      <c r="E49" s="64">
        <f t="shared" si="1"/>
        <v>57850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TRUNC(10441.1178286129,-1)</f>
        <v>10440</v>
      </c>
      <c r="E50" s="64">
        <f t="shared" si="1"/>
        <v>34510</v>
      </c>
      <c r="F50" s="2"/>
    </row>
    <row r="51" spans="1:6" x14ac:dyDescent="0.3">
      <c r="A51" s="2">
        <v>12</v>
      </c>
      <c r="C51" s="39" t="s">
        <v>16</v>
      </c>
      <c r="D51" s="44">
        <f>TRUNC(30877.3493100944,-1)</f>
        <v>30870</v>
      </c>
      <c r="E51" s="64">
        <f t="shared" si="1"/>
        <v>102050</v>
      </c>
    </row>
    <row r="52" spans="1:6" x14ac:dyDescent="0.3">
      <c r="A52" s="2">
        <v>13</v>
      </c>
      <c r="C52" s="39" t="s">
        <v>17</v>
      </c>
      <c r="D52" s="44">
        <f>TRUNC(2959.87309368192,-1)</f>
        <v>2950</v>
      </c>
      <c r="E52" s="64">
        <f t="shared" si="1"/>
        <v>9750</v>
      </c>
    </row>
    <row r="53" spans="1:6" x14ac:dyDescent="0.3">
      <c r="A53" s="2">
        <v>14</v>
      </c>
      <c r="C53" s="39" t="s">
        <v>18</v>
      </c>
      <c r="D53" s="44">
        <f>TRUNC(72576.2981118373,-1)</f>
        <v>72570</v>
      </c>
      <c r="E53" s="64">
        <f t="shared" si="1"/>
        <v>239900</v>
      </c>
    </row>
    <row r="54" spans="1:6" x14ac:dyDescent="0.3">
      <c r="A54" s="2">
        <v>15</v>
      </c>
      <c r="C54" s="39" t="s">
        <v>55</v>
      </c>
      <c r="D54" s="44">
        <f>TRUNC(25633.9740377633,-1)</f>
        <v>25630</v>
      </c>
      <c r="E54" s="64">
        <f t="shared" si="1"/>
        <v>84720</v>
      </c>
    </row>
    <row r="55" spans="1:6" x14ac:dyDescent="0.3">
      <c r="A55" s="2">
        <v>16</v>
      </c>
      <c r="C55" s="39" t="s">
        <v>52</v>
      </c>
      <c r="D55" s="44">
        <f>TRUNC(3867.28395061728,-1)</f>
        <v>3860</v>
      </c>
      <c r="E55" s="64">
        <f t="shared" si="1"/>
        <v>12760</v>
      </c>
      <c r="F55" s="2" t="s">
        <v>316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TRUNC(819.046840958606+5982.77632534495+74319.7454611474+181.899055918664,-1)</f>
        <v>81300</v>
      </c>
      <c r="E58" s="64">
        <f t="shared" si="1"/>
        <v>268760</v>
      </c>
      <c r="F58" s="2" t="s">
        <v>317</v>
      </c>
    </row>
    <row r="59" spans="1:6" ht="17.25" thickBot="1" x14ac:dyDescent="0.35">
      <c r="A59" s="2">
        <v>20</v>
      </c>
      <c r="C59" s="39" t="s">
        <v>56</v>
      </c>
      <c r="D59" s="45">
        <f>TRUNC(114349.854756717+61854.3936092955,-1)</f>
        <v>176200</v>
      </c>
      <c r="E59" s="65">
        <f t="shared" si="1"/>
        <v>582480</v>
      </c>
    </row>
    <row r="60" spans="1:6" x14ac:dyDescent="0.3">
      <c r="A60" s="2">
        <v>21</v>
      </c>
      <c r="C60" s="27" t="s">
        <v>46</v>
      </c>
      <c r="D60" s="40">
        <f>SUM(D40:D59)</f>
        <v>733490</v>
      </c>
      <c r="E60" s="40">
        <f>SUM(E40:E59)</f>
        <v>2424710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TRUNC(37572.0807915759,-1)</f>
        <v>37570</v>
      </c>
      <c r="E63" s="63">
        <f>TRUNC(+D63*3.3058,-1)</f>
        <v>124190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37570</v>
      </c>
      <c r="E66" s="66">
        <f>SUM(E63:E65)</f>
        <v>124190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f>TRUNC(3186.05882352941,-1)</f>
        <v>3180</v>
      </c>
      <c r="E69" s="63">
        <f t="shared" ref="E69:E94" si="2">TRUNC(+D69*3.3058,-1)</f>
        <v>10510</v>
      </c>
    </row>
    <row r="70" spans="1:5" ht="16.5" customHeight="1" x14ac:dyDescent="0.3">
      <c r="A70" s="2">
        <v>2</v>
      </c>
      <c r="C70" s="39" t="s">
        <v>79</v>
      </c>
      <c r="D70" s="44">
        <f>TRUNC(1057.40214233842,-1)</f>
        <v>1050</v>
      </c>
      <c r="E70" s="64">
        <f t="shared" si="2"/>
        <v>3470</v>
      </c>
    </row>
    <row r="71" spans="1:5" x14ac:dyDescent="0.3">
      <c r="A71" s="2">
        <v>3</v>
      </c>
      <c r="C71" s="39" t="s">
        <v>80</v>
      </c>
      <c r="D71" s="44">
        <f>TRUNC(9588.73583877996,-1)</f>
        <v>9580</v>
      </c>
      <c r="E71" s="64">
        <f t="shared" si="2"/>
        <v>31660</v>
      </c>
    </row>
    <row r="72" spans="1:5" x14ac:dyDescent="0.3">
      <c r="A72" s="2">
        <v>4</v>
      </c>
      <c r="C72" s="39" t="s">
        <v>81</v>
      </c>
      <c r="D72" s="44">
        <f>TRUNC(4468.71477850399,-1)</f>
        <v>4460</v>
      </c>
      <c r="E72" s="64">
        <f t="shared" si="2"/>
        <v>14740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f>TRUNC(0,-1)</f>
        <v>0</v>
      </c>
      <c r="E84" s="64">
        <f t="shared" si="2"/>
        <v>0</v>
      </c>
    </row>
    <row r="85" spans="1:6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6" x14ac:dyDescent="0.3">
      <c r="A91" s="2">
        <v>23</v>
      </c>
      <c r="C91" s="39" t="s">
        <v>100</v>
      </c>
      <c r="D91" s="44">
        <f>TRUNC(57097.7178649237,-1)</f>
        <v>57090</v>
      </c>
      <c r="E91" s="64">
        <f t="shared" si="2"/>
        <v>188720</v>
      </c>
    </row>
    <row r="92" spans="1:6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102</v>
      </c>
      <c r="D93" s="44">
        <f>TRUNC(231060.820624546,-1)</f>
        <v>231060</v>
      </c>
      <c r="E93" s="64">
        <f t="shared" si="2"/>
        <v>763830</v>
      </c>
    </row>
    <row r="94" spans="1:6" ht="17.25" thickBot="1" x14ac:dyDescent="0.35">
      <c r="A94" s="2">
        <v>26</v>
      </c>
      <c r="C94" s="39" t="s">
        <v>103</v>
      </c>
      <c r="D94" s="45">
        <f>TRUNC(1863.11002178649+18969.2496368918+914.213507625272+1384.1975308642,-1)</f>
        <v>23130</v>
      </c>
      <c r="E94" s="65">
        <f t="shared" si="2"/>
        <v>76460</v>
      </c>
      <c r="F94" s="2" t="s">
        <v>318</v>
      </c>
    </row>
    <row r="95" spans="1:6" x14ac:dyDescent="0.3">
      <c r="A95" s="2">
        <v>27</v>
      </c>
      <c r="C95" s="27" t="s">
        <v>104</v>
      </c>
      <c r="D95" s="40">
        <f>SUM(D69:D94)</f>
        <v>329550</v>
      </c>
      <c r="E95" s="40">
        <f>SUM(E69:E94)</f>
        <v>1089390</v>
      </c>
    </row>
    <row r="96" spans="1:6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f>TRUNC(9791.67864923747,-1)</f>
        <v>9790</v>
      </c>
      <c r="E98" s="63">
        <f t="shared" ref="E98:E118" si="3">TRUNC(+D98*3.3058,-1)</f>
        <v>32360</v>
      </c>
    </row>
    <row r="99" spans="1:5" x14ac:dyDescent="0.3">
      <c r="A99" s="2">
        <v>2</v>
      </c>
      <c r="C99" s="29" t="s">
        <v>107</v>
      </c>
      <c r="D99" s="44">
        <f>TRUNC(8949.03431372549,-1)</f>
        <v>8940</v>
      </c>
      <c r="E99" s="64">
        <f t="shared" si="3"/>
        <v>29550</v>
      </c>
    </row>
    <row r="100" spans="1:5" x14ac:dyDescent="0.3">
      <c r="A100" s="2">
        <v>3</v>
      </c>
      <c r="C100" s="29" t="s">
        <v>108</v>
      </c>
      <c r="D100" s="44">
        <f>TRUNC(15525.8315177923,-1)</f>
        <v>15520</v>
      </c>
      <c r="E100" s="64">
        <f t="shared" si="3"/>
        <v>51300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f>TRUNC(7413.72476397966,-1)</f>
        <v>7410</v>
      </c>
      <c r="E102" s="64">
        <f t="shared" si="3"/>
        <v>24490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f>TRUNC(2744.08424110385,-1)</f>
        <v>2740</v>
      </c>
      <c r="E105" s="64">
        <f t="shared" si="3"/>
        <v>9050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6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f>TRUNC(29377.5780682643+58575.0363108206,-1)</f>
        <v>87950</v>
      </c>
      <c r="E117" s="64">
        <f t="shared" si="3"/>
        <v>290740</v>
      </c>
    </row>
    <row r="118" spans="1:6" ht="17.25" thickBot="1" x14ac:dyDescent="0.35">
      <c r="A118" s="2">
        <v>21</v>
      </c>
      <c r="C118" s="29" t="s">
        <v>103</v>
      </c>
      <c r="D118" s="45">
        <f>TRUNC(1387.82697893972+385.762708787219+752.422476397967,-1)</f>
        <v>2520</v>
      </c>
      <c r="E118" s="65">
        <f t="shared" si="3"/>
        <v>8330</v>
      </c>
      <c r="F118" s="2" t="s">
        <v>313</v>
      </c>
    </row>
    <row r="119" spans="1:6" x14ac:dyDescent="0.3">
      <c r="A119" s="2">
        <v>22</v>
      </c>
      <c r="C119" s="27" t="s">
        <v>104</v>
      </c>
      <c r="D119" s="40">
        <f>SUM(D98:D118)</f>
        <v>134870</v>
      </c>
      <c r="E119" s="40">
        <f>SUM(E98:E118)</f>
        <v>445820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6" x14ac:dyDescent="0.3">
      <c r="A123" s="2">
        <v>2</v>
      </c>
      <c r="C123" s="29" t="s">
        <v>127</v>
      </c>
      <c r="D123" s="44">
        <f>TRUNC(18710.6815541031,-1)</f>
        <v>18710</v>
      </c>
      <c r="E123" s="64">
        <f t="shared" si="4"/>
        <v>61850</v>
      </c>
    </row>
    <row r="124" spans="1:6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6" x14ac:dyDescent="0.3">
      <c r="A125" s="2">
        <v>4</v>
      </c>
      <c r="C125" s="29" t="s">
        <v>129</v>
      </c>
      <c r="D125" s="44">
        <f>TRUNC(3861.62381989833,-1)</f>
        <v>3860</v>
      </c>
      <c r="E125" s="64">
        <f t="shared" si="4"/>
        <v>12760</v>
      </c>
    </row>
    <row r="126" spans="1:6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113</v>
      </c>
      <c r="D128" s="44">
        <f>TRUNC(5657.92011619463,-1)</f>
        <v>5650</v>
      </c>
      <c r="E128" s="64">
        <f t="shared" si="4"/>
        <v>18670</v>
      </c>
      <c r="F128" s="2" t="s">
        <v>311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6" x14ac:dyDescent="0.3">
      <c r="A131" s="2">
        <v>10</v>
      </c>
      <c r="C131" s="29" t="s">
        <v>102</v>
      </c>
      <c r="D131" s="44">
        <f>TRUNC(2882.89760348584,-1)</f>
        <v>2880</v>
      </c>
      <c r="E131" s="64">
        <f t="shared" si="4"/>
        <v>9520</v>
      </c>
    </row>
    <row r="132" spans="1:6" ht="17.25" thickBot="1" x14ac:dyDescent="0.35">
      <c r="A132" s="2">
        <v>11</v>
      </c>
      <c r="C132" s="29" t="s">
        <v>103</v>
      </c>
      <c r="D132" s="45">
        <f>TRUNC(575.735112563544,-1)</f>
        <v>570</v>
      </c>
      <c r="E132" s="65">
        <f t="shared" si="4"/>
        <v>1880</v>
      </c>
      <c r="F132" s="2" t="s">
        <v>312</v>
      </c>
    </row>
    <row r="133" spans="1:6" x14ac:dyDescent="0.3">
      <c r="A133" s="2">
        <v>12</v>
      </c>
      <c r="C133" s="41" t="s">
        <v>104</v>
      </c>
      <c r="D133" s="40">
        <f>SUM(D122:D132)</f>
        <v>31670</v>
      </c>
      <c r="E133" s="40">
        <f>SUM(E122:E132)</f>
        <v>104680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>
        <f>TRUNC(13318.0590050835,-1)</f>
        <v>13310</v>
      </c>
      <c r="E136" s="63">
        <f t="shared" ref="E136:E145" si="5">TRUNC(+D136*3.3058,-1)</f>
        <v>44000</v>
      </c>
    </row>
    <row r="137" spans="1:6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13310</v>
      </c>
      <c r="E146" s="40">
        <f>SUM(E136:E145)</f>
        <v>44000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f>TRUNC(1713.76978939724+643.759077705156,-1)</f>
        <v>2350</v>
      </c>
      <c r="E149" s="63">
        <f>TRUNC(+D149*3.3058,-1)</f>
        <v>7760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TRUNC(85.2903050108932+3346.15758896151,-1)</f>
        <v>3430</v>
      </c>
      <c r="E152" s="64">
        <f>TRUNC(+D152*3.3058,-1)</f>
        <v>11330</v>
      </c>
      <c r="F152" s="37" t="s">
        <v>315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5780</v>
      </c>
      <c r="E154" s="40">
        <f>SUM(E149:E153)</f>
        <v>19090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f>TRUNC(5217.17701525055,-1)</f>
        <v>5210</v>
      </c>
      <c r="E157" s="63">
        <f>TRUNC(+D157*3.3058,-1)</f>
        <v>17220</v>
      </c>
    </row>
    <row r="158" spans="1:6" x14ac:dyDescent="0.3">
      <c r="A158" s="2">
        <v>2</v>
      </c>
      <c r="C158" s="39" t="s">
        <v>149</v>
      </c>
      <c r="D158" s="44">
        <f>TRUNC(6241.67265795207,-1)</f>
        <v>6240</v>
      </c>
      <c r="E158" s="64">
        <f>TRUNC(+D158*3.3058,-1)</f>
        <v>20620</v>
      </c>
    </row>
    <row r="159" spans="1:6" x14ac:dyDescent="0.3">
      <c r="A159" s="2">
        <v>3</v>
      </c>
      <c r="C159" s="39" t="s">
        <v>103</v>
      </c>
      <c r="D159" s="44">
        <f>TRUNC(24837.4099491649+8527.59931009441,-1)</f>
        <v>33360</v>
      </c>
      <c r="E159" s="64">
        <f>TRUNC(+D159*3.3058,-1)</f>
        <v>110280</v>
      </c>
      <c r="F159" s="2" t="s">
        <v>314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44810</v>
      </c>
      <c r="E161" s="40">
        <f>SUM(E157:E160)</f>
        <v>148120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2020-12-07T09:22:21Z</dcterms:modified>
</cp:coreProperties>
</file>