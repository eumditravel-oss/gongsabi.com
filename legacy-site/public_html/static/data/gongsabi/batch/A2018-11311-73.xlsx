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60" i="4"/>
  <c r="D159" i="4"/>
  <c r="D158" i="4"/>
  <c r="D157" i="4"/>
  <c r="D152" i="4"/>
  <c r="D150" i="4"/>
  <c r="D149" i="4"/>
  <c r="D138" i="4"/>
  <c r="D137" i="4"/>
  <c r="D144" i="4"/>
  <c r="D143" i="4"/>
  <c r="D139" i="4"/>
  <c r="D141" i="4"/>
  <c r="D142" i="4"/>
  <c r="D140" i="4"/>
  <c r="D132" i="4"/>
  <c r="D128" i="4"/>
  <c r="D127" i="4"/>
  <c r="D125" i="4"/>
  <c r="D124" i="4"/>
  <c r="D122" i="4"/>
  <c r="D130" i="4"/>
  <c r="D126" i="4"/>
  <c r="D105" i="4"/>
  <c r="D104" i="4"/>
  <c r="D102" i="4"/>
  <c r="D101" i="4"/>
  <c r="D100" i="4"/>
  <c r="D99" i="4"/>
  <c r="D98" i="4"/>
  <c r="D114" i="4"/>
  <c r="D116" i="4"/>
  <c r="D92" i="4"/>
  <c r="D91" i="4"/>
  <c r="D90" i="4"/>
  <c r="D89" i="4"/>
  <c r="D75" i="4"/>
  <c r="D73" i="4"/>
  <c r="D72" i="4"/>
  <c r="D71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D11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E66" i="4"/>
  <c r="D161" i="4"/>
  <c r="D154" i="4"/>
  <c r="D31" i="4" s="1"/>
  <c r="E31" i="4" s="1"/>
  <c r="D146" i="4"/>
  <c r="D30" i="4" s="1"/>
  <c r="E30" i="4" s="1"/>
  <c r="D133" i="4"/>
  <c r="D119" i="4"/>
  <c r="D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<sst xmlns="http://schemas.openxmlformats.org/spreadsheetml/2006/main" count="395" uniqueCount="270">
  <si>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</si>
  <si>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</si>
  <si>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</si>
  <si>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</si>
  <si>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</si>
  <si>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</si>
  <si>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</si>
  <si>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</si>
  <si>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</si>
  <si>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</si>
  <si>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</si>
  <si>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</si>
  <si>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</si>
  <si>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</si>
  <si>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</si>
  <si>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</si>
  <si>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</si>
  <si>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</si>
  <si>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</si>
  <si>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</si>
  <si>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</si>
  <si>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</si>
  <si>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</si>
  <si>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</si>
  <si>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</si>
  <si>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</si>
  <si>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</si>
  <si>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</si>
  <si>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</si>
  <si>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</si>
  <si>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</si>
  <si>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</si>
  <si>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</si>
  <si>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</si>
  <si>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</si>
  <si>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</si>
  <si>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</si>
  <si>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</si>
  <si>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</si>
  <si>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</si>
  <si>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</si>
  <si>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</si>
  <si>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</si>
  <si>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</si>
  <si>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</si>
  <si>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</si>
  <si>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</si>
  <si>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</si>
  <si>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</si>
  <si>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</si>
  <si>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</si>
  <si>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</si>
  <si>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</si>
  <si>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</si>
  <si>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</si>
  <si>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</si>
  <si>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</si>
  <si>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</si>
  <si>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</si>
  <si>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</si>
  <si>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</si>
  <si>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</si>
  <si>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</si>
  <si>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</si>
  <si>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</si>
  <si>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</si>
  <si>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</si>
  <si>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</si>
  <si>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</si>
  <si>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</si>
  <si>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</si>
  <si>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</si>
  <si>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</si>
  <si>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</si>
  <si>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</si>
  <si>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</si>
  <si>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</si>
  <si>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</si>
  <si>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</si>
  <si>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</si>
  <si>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</si>
  <si>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</si>
  <si>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</si>
  <si>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</si>
  <si>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</si>
  <si>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</si>
  <si>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</si>
  <si>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</si>
  <si>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</si>
  <si>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</si>
  <si>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</si>
  <si>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</si>
  <si>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</si>
  <si>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</si>
  <si>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</si>
  <si>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</si>
  <si>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</si>
  <si>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</si>
  <si>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</si>
  <si>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</si>
  <si>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</si>
  <si>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</si>
  <si>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</si>
  <si>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</si>
  <si>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</si>
  <si>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</si>
  <si>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</si>
  <si>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</si>
  <si>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</si>
  <si>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</si>
  <si>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</si>
  <si>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</si>
  <si>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</si>
  <si>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</si>
  <si>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</si>
  <si>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</si>
  <si>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</si>
  <si>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</si>
  <si>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</si>
  <si>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</si>
  <si>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</si>
  <si>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</si>
  <si>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</si>
  <si>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</si>
  <si>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</si>
  <si>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</si>
  <si>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</si>
  <si>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</si>
  <si>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</si>
  <si>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</si>
  <si>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</si>
  <si>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</si>
  <si>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</si>
  <si>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</si>
  <si>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</si>
  <si>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</si>
  <si>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</si>
  <si>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</si>
  <si>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</si>
  <si>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</si>
  <si>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</si>
  <si>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</si>
  <si>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</si>
  <si>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</si>
  <si>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</si>
  <si>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</si>
  <si>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</si>
  <si>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</si>
  <si>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</si>
  <si>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</si>
  <si>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</si>
  <si>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</si>
  <si>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</si>
  <si>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</si>
  <si>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</si>
  <si>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</si>
  <si>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</si>
  <si>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</si>
  <si>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</si>
  <si>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</si>
  <si>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</si>
  <si>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</si>
  <si>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</si>
  <si>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</si>
  <si>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</si>
  <si>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</si>
  <si>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</si>
  <si>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</si>
  <si>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</si>
  <si>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</si>
  <si>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</si>
  <si>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</si>
  <si>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</si>
  <si>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</si>
  <si>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</si>
  <si>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</si>
  <si>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</si>
  <si>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</si>
  <si>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</si>
  <si>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</si>
  <si>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</si>
  <si>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</si>
  <si>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</si>
  <si>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</si>
  <si>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</si>
  <si>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</si>
  <si>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</si>
  <si>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</si>
  <si>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</si>
  <si>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</si>
  <si>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</si>
  <si>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</si>
  <si>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</si>
  <si>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</si>
  <si>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</si>
  <si>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</si>
  <si>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</si>
  <si>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</si>
  <si>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</si>
  <si>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</si>
  <si>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</si>
  <si>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</si>
  <si>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</si>
  <si>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</si>
  <si>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</si>
  <si>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</si>
  <si>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</si>
  <si>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</si>
  <si>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</si>
  <si>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</si>
  <si>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</si>
  <si>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</si>
  <si>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</si>
  <si>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</si>
  <si>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</si>
  <si>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</si>
  <si>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</si>
  <si>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</si>
  <si>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</si>
  <si>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</si>
  <si>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</si>
  <si>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</si>
  <si>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</si>
  <si>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</si>
  <si>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</si>
  <si>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</si>
  <si>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</si>
  <si>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</si>
  <si>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</si>
  <si>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</si>
  <si>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</si>
  <si>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</si>
  <si>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</si>
  <si>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</si>
  <si>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</si>
  <si>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</si>
  <si>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</si>
  <si>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</si>
  <si>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</si>
  <si>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</si>
  <si>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</si>
  <si>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</si>
  <si>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</si>
  <si>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</si>
  <si>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</si>
  <si>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</si>
  <si>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</si>
  <si>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</si>
  <si>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공공백신개발지원센터 신축공사(건축)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</si>
  <si>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</si>
  <si>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</si>
  <si>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</si>
  <si>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</si>
  <si>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</si>
  <si>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기초공사,골재비및운반비,기타공사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</si>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</sst>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8490.61</v>
      </c>
      <c r="D7" s="36">
        <f>+C7/3.3058</f>
        <v>2568.3979672091477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1140350</v>
      </c>
      <c r="E25" s="59">
        <f t="shared" si="0"/>
        <v>3769760</v>
      </c>
    </row>
    <row r="26" spans="1:5" x14ac:dyDescent="0.3">
      <c r="B26" s="2">
        <v>3</v>
      </c>
      <c r="C26" s="35" t="s">
        <v>95</v>
      </c>
      <c r="D26" s="45">
        <f>+D66</f>
        <v>19470</v>
      </c>
      <c r="E26" s="59">
        <f t="shared" si="0"/>
        <v>64360</v>
      </c>
    </row>
    <row r="27" spans="1:5" x14ac:dyDescent="0.3">
      <c r="B27" s="2">
        <v>4</v>
      </c>
      <c r="C27" s="35" t="s">
        <v>96</v>
      </c>
      <c r="D27" s="45">
        <f>+D95</f>
        <v>1282150</v>
      </c>
      <c r="E27" s="59">
        <f t="shared" si="0"/>
        <v>4238530</v>
      </c>
    </row>
    <row r="28" spans="1:5" x14ac:dyDescent="0.3">
      <c r="B28" s="2">
        <v>5</v>
      </c>
      <c r="C28" s="35" t="s">
        <v>97</v>
      </c>
      <c r="D28" s="45">
        <f>+D119</f>
        <v>534900</v>
      </c>
      <c r="E28" s="59">
        <f t="shared" si="0"/>
        <v>1768270</v>
      </c>
    </row>
    <row r="29" spans="1:5" x14ac:dyDescent="0.3">
      <c r="B29" s="2">
        <v>6</v>
      </c>
      <c r="C29" s="35" t="s">
        <v>98</v>
      </c>
      <c r="D29" s="45">
        <f>+D133</f>
        <v>191700</v>
      </c>
      <c r="E29" s="59">
        <f t="shared" si="0"/>
        <v>633720</v>
      </c>
    </row>
    <row r="30" spans="1:5" x14ac:dyDescent="0.3">
      <c r="B30" s="2">
        <v>7</v>
      </c>
      <c r="C30" s="35" t="s">
        <v>99</v>
      </c>
      <c r="D30" s="45">
        <f>+D146</f>
        <v>95340</v>
      </c>
      <c r="E30" s="59">
        <f t="shared" si="0"/>
        <v>315170</v>
      </c>
    </row>
    <row r="31" spans="1:5" x14ac:dyDescent="0.3">
      <c r="B31" s="2">
        <v>8</v>
      </c>
      <c r="C31" s="35" t="s">
        <v>100</v>
      </c>
      <c r="D31" s="45">
        <f>+D154</f>
        <v>38380</v>
      </c>
      <c r="E31" s="59">
        <f t="shared" si="0"/>
        <v>126870</v>
      </c>
    </row>
    <row r="32" spans="1:5" x14ac:dyDescent="0.3">
      <c r="B32" s="2">
        <v>9</v>
      </c>
      <c r="C32" s="35" t="s">
        <v>101</v>
      </c>
      <c r="D32" s="45">
        <f>+D161</f>
        <v>91320</v>
      </c>
      <c r="E32" s="59">
        <f t="shared" si="0"/>
        <v>301880</v>
      </c>
    </row>
    <row r="33" spans="1:7" x14ac:dyDescent="0.3">
      <c r="B33" s="2">
        <v>10</v>
      </c>
      <c r="C33" s="35" t="s">
        <v>154</v>
      </c>
      <c r="D33" s="53">
        <f>TRUNC(SUM(D24:D32)*0.275,-1)</f>
        <v>933240</v>
      </c>
      <c r="E33" s="60">
        <f t="shared" si="0"/>
        <v>3085100</v>
      </c>
    </row>
    <row r="34" spans="1:7" x14ac:dyDescent="0.3">
      <c r="C34" s="35" t="s">
        <v>112</v>
      </c>
      <c r="D34" s="44">
        <f>SUM(D24:D33)</f>
        <v>4326850</v>
      </c>
      <c r="E34" s="44">
        <f>SUM(E24:E33)</f>
        <v>14303660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TRUNC(87525,-1)</f>
        <v>87520</v>
      </c>
      <c r="E40" s="62">
        <f t="shared" ref="E40:E59" si="1">TRUNC(+D40*3.3058,-1)</f>
        <v>289320</v>
      </c>
    </row>
    <row r="41" spans="1:7" x14ac:dyDescent="0.3">
      <c r="A41" s="2">
        <v>2</v>
      </c>
      <c r="C41" s="38" t="s">
        <v>13</v>
      </c>
      <c r="D41" s="42">
        <f>TRUNC(215536,-1)</f>
        <v>215530</v>
      </c>
      <c r="E41" s="63">
        <f t="shared" si="1"/>
        <v>712490</v>
      </c>
    </row>
    <row r="42" spans="1:7" x14ac:dyDescent="0.3">
      <c r="A42" s="2">
        <v>3</v>
      </c>
      <c r="C42" s="38" t="s">
        <v>14</v>
      </c>
      <c r="D42" s="42">
        <f>TRUNC(7417,-1)</f>
        <v>7410</v>
      </c>
      <c r="E42" s="63">
        <f t="shared" si="1"/>
        <v>24490</v>
      </c>
    </row>
    <row r="43" spans="1:7" x14ac:dyDescent="0.3">
      <c r="A43" s="2">
        <v>4</v>
      </c>
      <c r="C43" s="38" t="s">
        <v>16</v>
      </c>
      <c r="D43" s="42">
        <f>TRUNC(8764,-1)</f>
        <v>8760</v>
      </c>
      <c r="E43" s="63">
        <f t="shared" si="1"/>
        <v>28950</v>
      </c>
    </row>
    <row r="44" spans="1:7" x14ac:dyDescent="0.3">
      <c r="A44" s="2">
        <v>5</v>
      </c>
      <c r="C44" s="38" t="s">
        <v>17</v>
      </c>
      <c r="D44" s="42">
        <f>TRUNC(34556,-1)</f>
        <v>34550</v>
      </c>
      <c r="E44" s="63">
        <f t="shared" si="1"/>
        <v>114210</v>
      </c>
    </row>
    <row r="45" spans="1:7" x14ac:dyDescent="0.3">
      <c r="A45" s="2">
        <v>6</v>
      </c>
      <c r="C45" s="38" t="s">
        <v>18</v>
      </c>
      <c r="D45" s="42">
        <f>TRUNC(1251,-1)</f>
        <v>1250</v>
      </c>
      <c r="E45" s="63">
        <f t="shared" si="1"/>
        <v>4130</v>
      </c>
    </row>
    <row r="46" spans="1:7" x14ac:dyDescent="0.3">
      <c r="A46" s="2">
        <v>7</v>
      </c>
      <c r="C46" s="38" t="s">
        <v>19</v>
      </c>
      <c r="D46" s="42">
        <f>TRUNC(20211,-1)</f>
        <v>20210</v>
      </c>
      <c r="E46" s="63">
        <f t="shared" si="1"/>
        <v>66810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TRUNC(68892,-1)</f>
        <v>68890</v>
      </c>
      <c r="E48" s="63">
        <f t="shared" si="1"/>
        <v>227730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TRUNC(8834,-1)</f>
        <v>8830</v>
      </c>
      <c r="E49" s="63">
        <f t="shared" si="1"/>
        <v>29190</v>
      </c>
    </row>
    <row r="50" spans="1:7" x14ac:dyDescent="0.3">
      <c r="A50" s="2">
        <v>11</v>
      </c>
      <c r="C50" s="38" t="s">
        <v>155</v>
      </c>
      <c r="D50" s="42">
        <f>TRUNC(73097,-1)</f>
        <v>73090</v>
      </c>
      <c r="E50" s="63">
        <f t="shared" si="1"/>
        <v>241620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TRUNC(33542,-1)</f>
        <v>33540</v>
      </c>
      <c r="E52" s="63">
        <f t="shared" si="1"/>
        <v>110870</v>
      </c>
    </row>
    <row r="53" spans="1:7" x14ac:dyDescent="0.3">
      <c r="A53" s="2">
        <v>14</v>
      </c>
      <c r="C53" s="38" t="s">
        <v>25</v>
      </c>
      <c r="D53" s="42">
        <f>TRUNC(169196,-1)</f>
        <v>169190</v>
      </c>
      <c r="E53" s="63">
        <f t="shared" si="1"/>
        <v>559300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TRUNC(1504+4187+4459,-1)</f>
        <v>10150</v>
      </c>
      <c r="E58" s="63">
        <f t="shared" si="1"/>
        <v>33550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TRUNC(401434,-1)</f>
        <v>401430</v>
      </c>
      <c r="E59" s="64">
        <f t="shared" si="1"/>
        <v>1327040</v>
      </c>
    </row>
    <row r="60" spans="1:7" x14ac:dyDescent="0.3">
      <c r="A60" s="2">
        <v>21</v>
      </c>
      <c r="C60" s="27" t="s">
        <v>112</v>
      </c>
      <c r="D60" s="39">
        <f>SUM(D40:D59)</f>
        <v>1140350</v>
      </c>
      <c r="E60" s="39">
        <f>SUM(E40:E59)</f>
        <v>3769700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TRUNC(3646,-1)</f>
        <v>3640</v>
      </c>
      <c r="E63" s="62">
        <f>TRUNC(+D63*3.3058,-1)</f>
        <v>12030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TRUNC(15833,-1)</f>
        <v>15830</v>
      </c>
      <c r="E65" s="64">
        <f>TRUNC(+D65*3.3058,-1)</f>
        <v>52330</v>
      </c>
    </row>
    <row r="66" spans="1:7" x14ac:dyDescent="0.3">
      <c r="A66" s="2">
        <v>4</v>
      </c>
      <c r="C66" s="27" t="s">
        <v>112</v>
      </c>
      <c r="D66" s="39">
        <f>SUM(D63:D65)</f>
        <v>19470</v>
      </c>
      <c r="E66" s="65">
        <f>SUM(E63:E65)</f>
        <v>64360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TRUNC(45190,-1)</f>
        <v>45190</v>
      </c>
      <c r="E69" s="62">
        <f t="shared" ref="E69:E94" si="2">TRUNC(+D69*3.3058,-1)</f>
        <v>149380</v>
      </c>
    </row>
    <row r="70" spans="1:7" ht="16.5" customHeight="1" x14ac:dyDescent="0.3">
      <c r="A70" s="2">
        <v>2</v>
      </c>
      <c r="C70" s="38" t="s">
        <v>31</v>
      </c>
      <c r="D70" s="42">
        <f>TRUNC(859,-1)</f>
        <v>850</v>
      </c>
      <c r="E70" s="63">
        <f t="shared" si="2"/>
        <v>2800</v>
      </c>
    </row>
    <row r="71" spans="1:7" x14ac:dyDescent="0.3">
      <c r="A71" s="2">
        <v>3</v>
      </c>
      <c r="C71" s="38" t="s">
        <v>32</v>
      </c>
      <c r="D71" s="42">
        <f>TRUNC(72286,-1)</f>
        <v>72280</v>
      </c>
      <c r="E71" s="63">
        <f t="shared" si="2"/>
        <v>238940</v>
      </c>
    </row>
    <row r="72" spans="1:7" x14ac:dyDescent="0.3">
      <c r="A72" s="2">
        <v>4</v>
      </c>
      <c r="C72" s="38" t="s">
        <v>33</v>
      </c>
      <c r="D72" s="42">
        <f>TRUNC(26240,-1)</f>
        <v>26240</v>
      </c>
      <c r="E72" s="63">
        <f t="shared" si="2"/>
        <v>86740</v>
      </c>
    </row>
    <row r="73" spans="1:7" x14ac:dyDescent="0.3">
      <c r="A73" s="2">
        <v>5</v>
      </c>
      <c r="C73" s="38" t="s">
        <v>34</v>
      </c>
      <c r="D73" s="42">
        <f>TRUNC(52844,-1)</f>
        <v>52840</v>
      </c>
      <c r="E73" s="63">
        <f t="shared" si="2"/>
        <v>174670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TRUNC(4962,-1)</f>
        <v>4960</v>
      </c>
      <c r="E75" s="63">
        <f t="shared" si="2"/>
        <v>16390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TRUNC(30252,-1)</f>
        <v>30250</v>
      </c>
      <c r="E89" s="63">
        <f t="shared" si="2"/>
        <v>100000</v>
      </c>
    </row>
    <row r="90" spans="1:7" x14ac:dyDescent="0.3">
      <c r="A90" s="2">
        <v>22</v>
      </c>
      <c r="C90" s="38" t="s">
        <v>36</v>
      </c>
      <c r="D90" s="42">
        <f>TRUNC(5967,-1)</f>
        <v>5960</v>
      </c>
      <c r="E90" s="63">
        <f t="shared" si="2"/>
        <v>19700</v>
      </c>
    </row>
    <row r="91" spans="1:7" x14ac:dyDescent="0.3">
      <c r="A91" s="2">
        <v>23</v>
      </c>
      <c r="C91" s="38" t="s">
        <v>37</v>
      </c>
      <c r="D91" s="42">
        <f>TRUNC(111451,-1)</f>
        <v>111450</v>
      </c>
      <c r="E91" s="63">
        <f t="shared" si="2"/>
        <v>368430</v>
      </c>
    </row>
    <row r="92" spans="1:7" x14ac:dyDescent="0.3">
      <c r="A92" s="2">
        <v>24</v>
      </c>
      <c r="C92" s="38" t="s">
        <v>38</v>
      </c>
      <c r="D92" s="42">
        <f>TRUNC(5892,-1)</f>
        <v>5890</v>
      </c>
      <c r="E92" s="63">
        <f t="shared" si="2"/>
        <v>19470</v>
      </c>
    </row>
    <row r="93" spans="1:7" x14ac:dyDescent="0.3">
      <c r="A93" s="2">
        <v>25</v>
      </c>
      <c r="C93" s="38" t="s">
        <v>148</v>
      </c>
      <c r="D93" s="42">
        <f>TRUNC(806324,-1)</f>
        <v>806320</v>
      </c>
      <c r="E93" s="63">
        <f t="shared" si="2"/>
        <v>2665530</v>
      </c>
    </row>
    <row r="94" spans="1:7" ht="17.25" thickBot="1" x14ac:dyDescent="0.35">
      <c r="A94" s="2">
        <v>26</v>
      </c>
      <c r="C94" s="38" t="s">
        <v>47</v>
      </c>
      <c r="D94" s="43">
        <f>TRUNC(102855+16643+424,-1)</f>
        <v>119920</v>
      </c>
      <c r="E94" s="64">
        <f t="shared" si="2"/>
        <v>396430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1282150</v>
      </c>
      <c r="E95" s="39">
        <f>SUM(E69:E94)</f>
        <v>4238480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TRUNC(48114,-1)</f>
        <v>48110</v>
      </c>
      <c r="E98" s="62">
        <f t="shared" ref="E98:E118" si="3">TRUNC(+D98*3.3058,-1)</f>
        <v>159040</v>
      </c>
    </row>
    <row r="99" spans="1:7" x14ac:dyDescent="0.3">
      <c r="A99" s="2">
        <v>2</v>
      </c>
      <c r="C99" s="38" t="s">
        <v>40</v>
      </c>
      <c r="D99" s="42">
        <f>TRUNC(63224,-1)</f>
        <v>63220</v>
      </c>
      <c r="E99" s="63">
        <f t="shared" si="3"/>
        <v>208990</v>
      </c>
    </row>
    <row r="100" spans="1:7" x14ac:dyDescent="0.3">
      <c r="A100" s="2">
        <v>3</v>
      </c>
      <c r="C100" s="38" t="s">
        <v>41</v>
      </c>
      <c r="D100" s="42">
        <f>TRUNC(56859,-1)</f>
        <v>56850</v>
      </c>
      <c r="E100" s="63">
        <f t="shared" si="3"/>
        <v>187930</v>
      </c>
    </row>
    <row r="101" spans="1:7" x14ac:dyDescent="0.3">
      <c r="A101" s="2">
        <v>4</v>
      </c>
      <c r="C101" s="38" t="s">
        <v>42</v>
      </c>
      <c r="D101" s="42">
        <f>TRUNC(3073,-1)</f>
        <v>3070</v>
      </c>
      <c r="E101" s="63">
        <f t="shared" si="3"/>
        <v>10140</v>
      </c>
    </row>
    <row r="102" spans="1:7" x14ac:dyDescent="0.3">
      <c r="A102" s="2">
        <v>5</v>
      </c>
      <c r="C102" s="38" t="s">
        <v>43</v>
      </c>
      <c r="D102" s="42">
        <f>TRUNC(19467,-1)</f>
        <v>19460</v>
      </c>
      <c r="E102" s="63">
        <f t="shared" si="3"/>
        <v>64330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TRUNC(9304,-1)</f>
        <v>9300</v>
      </c>
      <c r="E104" s="63">
        <f t="shared" si="3"/>
        <v>30740</v>
      </c>
    </row>
    <row r="105" spans="1:7" x14ac:dyDescent="0.3">
      <c r="A105" s="2">
        <v>8</v>
      </c>
      <c r="C105" s="38" t="s">
        <v>46</v>
      </c>
      <c r="D105" s="42">
        <f>TRUNC(21523,-1)</f>
        <v>21520</v>
      </c>
      <c r="E105" s="63">
        <f t="shared" si="3"/>
        <v>71140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TRUNC(6791,-1)</f>
        <v>6790</v>
      </c>
      <c r="E114" s="63">
        <f t="shared" si="3"/>
        <v>22440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TRUNC(12620,-1)</f>
        <v>12620</v>
      </c>
      <c r="E116" s="63">
        <f t="shared" si="3"/>
        <v>41710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TRUNC(277948,-1)</f>
        <v>277940</v>
      </c>
      <c r="E117" s="63">
        <f t="shared" si="3"/>
        <v>918810</v>
      </c>
    </row>
    <row r="118" spans="1:7" ht="17.25" thickBot="1" x14ac:dyDescent="0.35">
      <c r="A118" s="2">
        <v>21</v>
      </c>
      <c r="C118" s="38" t="s">
        <v>47</v>
      </c>
      <c r="D118" s="43">
        <f>TRUNC(16021,-1)</f>
        <v>16020</v>
      </c>
      <c r="E118" s="64">
        <f t="shared" si="3"/>
        <v>52950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534900</v>
      </c>
      <c r="E119" s="39">
        <f>SUM(E98:E118)</f>
        <v>1768220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TRUNC(2951,-1)</f>
        <v>2950</v>
      </c>
      <c r="E122" s="62">
        <f t="shared" ref="E122:E132" si="4">TRUNC(+D122*3.3058,-1)</f>
        <v>9750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TRUNC(492,-1)</f>
        <v>490</v>
      </c>
      <c r="E124" s="63">
        <f t="shared" si="4"/>
        <v>1610</v>
      </c>
    </row>
    <row r="125" spans="1:7" x14ac:dyDescent="0.3">
      <c r="A125" s="2">
        <v>4</v>
      </c>
      <c r="C125" s="38" t="s">
        <v>138</v>
      </c>
      <c r="D125" s="42">
        <f>TRUNC(8448,-1)</f>
        <v>8440</v>
      </c>
      <c r="E125" s="63">
        <f t="shared" si="4"/>
        <v>27900</v>
      </c>
    </row>
    <row r="126" spans="1:7" x14ac:dyDescent="0.3">
      <c r="A126" s="2">
        <v>5</v>
      </c>
      <c r="C126" s="38" t="s">
        <v>53</v>
      </c>
      <c r="D126" s="42">
        <f>TRUNC(11886,-1)</f>
        <v>11880</v>
      </c>
      <c r="E126" s="63">
        <f t="shared" si="4"/>
        <v>39270</v>
      </c>
    </row>
    <row r="127" spans="1:7" x14ac:dyDescent="0.3">
      <c r="A127" s="2">
        <v>6</v>
      </c>
      <c r="C127" s="38" t="s">
        <v>56</v>
      </c>
      <c r="D127" s="42">
        <f>TRUNC(18596,-1)</f>
        <v>18590</v>
      </c>
      <c r="E127" s="63">
        <f t="shared" si="4"/>
        <v>61450</v>
      </c>
    </row>
    <row r="128" spans="1:7" x14ac:dyDescent="0.3">
      <c r="A128" s="2">
        <v>7</v>
      </c>
      <c r="C128" s="38" t="s">
        <v>46</v>
      </c>
      <c r="D128" s="42">
        <f>TRUNC(11882,-1)</f>
        <v>11880</v>
      </c>
      <c r="E128" s="63">
        <f t="shared" si="4"/>
        <v>39270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TRUNC(42336,-1)</f>
        <v>42330</v>
      </c>
      <c r="E130" s="63">
        <f t="shared" si="4"/>
        <v>139930</v>
      </c>
    </row>
    <row r="131" spans="1:7" x14ac:dyDescent="0.3">
      <c r="A131" s="2">
        <v>10</v>
      </c>
      <c r="C131" s="38" t="s">
        <v>148</v>
      </c>
      <c r="D131" s="42">
        <f>TRUNC(87639,-1)</f>
        <v>87630</v>
      </c>
      <c r="E131" s="63">
        <f t="shared" si="4"/>
        <v>289680</v>
      </c>
    </row>
    <row r="132" spans="1:7" ht="18" thickBot="1" x14ac:dyDescent="0.35">
      <c r="A132" s="2">
        <v>11</v>
      </c>
      <c r="C132" s="38" t="s">
        <v>47</v>
      </c>
      <c r="D132" s="43">
        <f>TRUNC(6388+1127,-1)</f>
        <v>7510</v>
      </c>
      <c r="E132" s="64">
        <f t="shared" si="4"/>
        <v>24820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191700</v>
      </c>
      <c r="E133" s="39">
        <f>SUM(E122:E132)</f>
        <v>633680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TRUNC(1803+2151+1025,-1)</f>
        <v>4970</v>
      </c>
      <c r="E137" s="63">
        <f t="shared" si="5"/>
        <v>16420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TRUNC(8440,-1)</f>
        <v>8440</v>
      </c>
      <c r="E138" s="63">
        <f t="shared" si="5"/>
        <v>27900</v>
      </c>
    </row>
    <row r="139" spans="1:7" x14ac:dyDescent="0.3">
      <c r="A139" s="2">
        <v>4</v>
      </c>
      <c r="C139" s="38" t="s">
        <v>61</v>
      </c>
      <c r="D139" s="42">
        <f>TRUNC(4167,-1)</f>
        <v>4160</v>
      </c>
      <c r="E139" s="63">
        <f t="shared" si="5"/>
        <v>13750</v>
      </c>
    </row>
    <row r="140" spans="1:7" x14ac:dyDescent="0.3">
      <c r="A140" s="2">
        <v>5</v>
      </c>
      <c r="C140" s="38" t="s">
        <v>57</v>
      </c>
      <c r="D140" s="42">
        <f>TRUNC(1528,-1)</f>
        <v>1520</v>
      </c>
      <c r="E140" s="63">
        <f t="shared" si="5"/>
        <v>5020</v>
      </c>
    </row>
    <row r="141" spans="1:7" x14ac:dyDescent="0.3">
      <c r="A141" s="2">
        <v>6</v>
      </c>
      <c r="C141" s="38" t="s">
        <v>59</v>
      </c>
      <c r="D141" s="42">
        <f>TRUNC(30076,-1)</f>
        <v>30070</v>
      </c>
      <c r="E141" s="63">
        <f t="shared" si="5"/>
        <v>99400</v>
      </c>
    </row>
    <row r="142" spans="1:7" x14ac:dyDescent="0.3">
      <c r="A142" s="2">
        <v>7</v>
      </c>
      <c r="C142" s="38" t="s">
        <v>58</v>
      </c>
      <c r="D142" s="42">
        <f>TRUNC(6072,-1)</f>
        <v>6070</v>
      </c>
      <c r="E142" s="63">
        <f t="shared" si="5"/>
        <v>20060</v>
      </c>
    </row>
    <row r="143" spans="1:7" x14ac:dyDescent="0.3">
      <c r="A143" s="2">
        <v>8</v>
      </c>
      <c r="C143" s="38" t="s">
        <v>62</v>
      </c>
      <c r="D143" s="42">
        <f>TRUNC(8582,-1)</f>
        <v>8580</v>
      </c>
      <c r="E143" s="63">
        <f t="shared" si="5"/>
        <v>28360</v>
      </c>
    </row>
    <row r="144" spans="1:7" x14ac:dyDescent="0.3">
      <c r="A144" s="2">
        <v>9</v>
      </c>
      <c r="C144" s="38" t="s">
        <v>63</v>
      </c>
      <c r="D144" s="42">
        <f>TRUNC(31539,-1)</f>
        <v>31530</v>
      </c>
      <c r="E144" s="63">
        <f t="shared" si="5"/>
        <v>104230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95340</v>
      </c>
      <c r="E146" s="39">
        <f>SUM(E136:E145)</f>
        <v>315140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TRUNC(8152+1815,-1)</f>
        <v>9960</v>
      </c>
      <c r="E149" s="62">
        <f>TRUNC(+D149*3.3058,-1)</f>
        <v>32920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TRUNC(4171,-1)</f>
        <v>4170</v>
      </c>
      <c r="E150" s="63">
        <f>TRUNC(+D150*3.3058,-1)</f>
        <v>13780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TRUNC(3544+156+3382,-1)</f>
        <v>7080</v>
      </c>
      <c r="E152" s="63">
        <f>TRUNC(+D152*3.3058,-1)</f>
        <v>23400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TRUNC(17170,-1)</f>
        <v>17170</v>
      </c>
      <c r="E153" s="64">
        <f>TRUNC(+D153*3.3058,-1)</f>
        <v>56760</v>
      </c>
    </row>
    <row r="154" spans="1:7" x14ac:dyDescent="0.3">
      <c r="A154" s="2">
        <v>6</v>
      </c>
      <c r="C154" s="27" t="s">
        <v>112</v>
      </c>
      <c r="D154" s="39">
        <f>SUM(D149:D153)</f>
        <v>38380</v>
      </c>
      <c r="E154" s="39">
        <f>SUM(E149:E153)</f>
        <v>126860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TRUNC(46240,-1)</f>
        <v>46240</v>
      </c>
      <c r="E157" s="62">
        <f>TRUNC(+D157*3.3058,-1)</f>
        <v>152860</v>
      </c>
    </row>
    <row r="158" spans="1:7" x14ac:dyDescent="0.3">
      <c r="A158" s="2">
        <v>2</v>
      </c>
      <c r="C158" s="38" t="s">
        <v>52</v>
      </c>
      <c r="D158" s="42">
        <f>TRUNC(9062,-1)</f>
        <v>9060</v>
      </c>
      <c r="E158" s="63">
        <f>TRUNC(+D158*3.3058,-1)</f>
        <v>29950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TRUNC(15104+856,-1)</f>
        <v>15960</v>
      </c>
      <c r="E159" s="63">
        <f>TRUNC(+D159*3.3058,-1)</f>
        <v>52760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TRUNC(20065,-1)</f>
        <v>20060</v>
      </c>
      <c r="E160" s="64">
        <f>TRUNC(+D160*3.3058,-1)</f>
        <v>66310</v>
      </c>
    </row>
    <row r="161" spans="1:5" x14ac:dyDescent="0.3">
      <c r="A161" s="2">
        <v>5</v>
      </c>
      <c r="C161" s="27" t="s">
        <v>112</v>
      </c>
      <c r="D161" s="39">
        <f>SUM(D157:D160)</f>
        <v>91320</v>
      </c>
      <c r="E161" s="39">
        <f>SUM(E157:E160)</f>
        <v>301880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2020-12-08T02:51:00Z</dcterms:modified>
</cp:coreProperties>
</file>