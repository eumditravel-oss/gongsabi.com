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37" i="4"/>
  <c r="D141" i="4"/>
  <c r="D139" i="4"/>
  <c r="D142" i="4"/>
  <c r="D140" i="4"/>
  <c r="D132" i="4"/>
  <c r="D128" i="4"/>
  <c r="D122" i="4"/>
  <c r="D126" i="4"/>
  <c r="D118" i="4"/>
  <c r="D105" i="4"/>
  <c r="D104" i="4"/>
  <c r="D103" i="4"/>
  <c r="D102" i="4"/>
  <c r="D101" i="4"/>
  <c r="D100" i="4"/>
  <c r="D99" i="4"/>
  <c r="D98" i="4"/>
  <c r="D116" i="4"/>
  <c r="D94" i="4"/>
  <c r="D92" i="4"/>
  <c r="D91" i="4"/>
  <c r="D89" i="4"/>
  <c r="D73" i="4"/>
  <c r="D72" i="4"/>
  <c r="D70" i="4"/>
  <c r="D69" i="4"/>
  <c r="D65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160" i="4"/>
  <c r="D153" i="4"/>
  <c r="D131" i="4"/>
  <c r="D117" i="4"/>
  <c r="D93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95" i="4"/>
  <c r="E66" i="4"/>
  <c r="E60" i="4"/>
  <c r="E133" i="4"/>
  <c r="E119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<sst xmlns="http://schemas.openxmlformats.org/spreadsheetml/2006/main" count="395" uniqueCount="269">
  <si>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</si>
  <si>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</si>
  <si>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</si>
  <si>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</si>
  <si>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</si>
  <si>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</si>
  <si>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</si>
  <si>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</si>
  <si>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</si>
  <si>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</si>
  <si>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</si>
  <si>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</si>
  <si>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</si>
  <si>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</si>
  <si>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</si>
  <si>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</si>
  <si>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</si>
  <si>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</si>
  <si>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</si>
  <si>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</si>
  <si>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</si>
  <si>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</si>
  <si>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</si>
  <si>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</si>
  <si>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</si>
  <si>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</si>
  <si>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</si>
  <si>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</si>
  <si>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</si>
  <si>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</si>
  <si>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</si>
  <si>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</si>
  <si>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</si>
  <si>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</si>
  <si>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</si>
  <si>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</si>
  <si>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</si>
  <si>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</si>
  <si>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</si>
  <si>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</si>
  <si>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</si>
  <si>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</si>
  <si>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</si>
  <si>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</si>
  <si>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</si>
  <si>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</si>
  <si>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</si>
  <si>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</si>
  <si>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</si>
  <si>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</si>
  <si>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</si>
  <si>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</si>
  <si>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</si>
  <si>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</si>
  <si>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</si>
  <si>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</si>
  <si>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</si>
  <si>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</si>
  <si>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</si>
  <si>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</si>
  <si>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</si>
  <si>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</si>
  <si>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</si>
  <si>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</si>
  <si>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</si>
  <si>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</si>
  <si>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</si>
  <si>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</si>
  <si>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</si>
  <si>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</si>
  <si>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</si>
  <si>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</si>
  <si>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</si>
  <si>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</si>
  <si>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</si>
  <si>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</si>
  <si>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</si>
  <si>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</si>
  <si>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</si>
  <si>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</si>
  <si>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</si>
  <si>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</si>
  <si>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</si>
  <si>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</si>
  <si>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</si>
  <si>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</si>
  <si>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</si>
  <si>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</si>
  <si>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</si>
  <si>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</si>
  <si>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</si>
  <si>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</si>
  <si>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</si>
  <si>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</si>
  <si>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</si>
  <si>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</si>
  <si>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</si>
  <si>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</si>
  <si>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</si>
  <si>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</si>
  <si>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</si>
  <si>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</si>
  <si>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</si>
  <si>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</si>
  <si>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</si>
  <si>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</si>
  <si>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</si>
  <si>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</si>
  <si>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</si>
  <si>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</si>
  <si>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</si>
  <si>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</si>
  <si>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</si>
  <si>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</si>
  <si>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</si>
  <si>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</si>
  <si>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</si>
  <si>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</si>
  <si>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</si>
  <si>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</si>
  <si>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</si>
  <si>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</si>
  <si>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</si>
  <si>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</si>
  <si>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</si>
  <si>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</si>
  <si>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</si>
  <si>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</si>
  <si>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</si>
  <si>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</si>
  <si>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</si>
  <si>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</si>
  <si>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</si>
  <si>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</si>
  <si>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</si>
  <si>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</si>
  <si>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</si>
  <si>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</si>
  <si>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</si>
  <si>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</si>
  <si>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</si>
  <si>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</si>
  <si>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</si>
  <si>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</si>
  <si>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</si>
  <si>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</si>
  <si>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</si>
  <si>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</si>
  <si>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</si>
  <si>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</si>
  <si>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</si>
  <si>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</si>
  <si>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</si>
  <si>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</si>
  <si>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</si>
  <si>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</si>
  <si>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</si>
  <si>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</si>
  <si>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</si>
  <si>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</si>
  <si>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</si>
  <si>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</si>
  <si>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</si>
  <si>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</si>
  <si>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</si>
  <si>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</si>
  <si>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</si>
  <si>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</si>
  <si>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</si>
  <si>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</si>
  <si>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</si>
  <si>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</si>
  <si>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</si>
  <si>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</si>
  <si>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</si>
  <si>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</si>
  <si>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</si>
  <si>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</si>
  <si>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</si>
  <si>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</si>
  <si>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</si>
  <si>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</si>
  <si>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</si>
  <si>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</si>
  <si>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</si>
  <si>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</si>
  <si>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</si>
  <si>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</si>
  <si>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</si>
  <si>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</si>
  <si>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</si>
  <si>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</si>
  <si>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</si>
  <si>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</si>
  <si>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</si>
  <si>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</si>
  <si>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</si>
  <si>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</si>
  <si>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</si>
  <si>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</si>
  <si>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</si>
  <si>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</si>
  <si>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</si>
  <si>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</si>
  <si>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</si>
  <si>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</si>
  <si>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</si>
  <si>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</si>
  <si>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</si>
  <si>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</si>
  <si>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</si>
  <si>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</si>
  <si>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</si>
  <si>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</si>
  <si>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</si>
  <si>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</si>
  <si>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</si>
  <si>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</si>
  <si>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</si>
  <si>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</si>
  <si>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</si>
  <si>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</si>
  <si>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</si>
  <si>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</si>
  <si>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</si>
  <si>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</si>
  <si>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</si>
  <si>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</si>
  <si>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</si>
  <si>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</si>
  <si>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</si>
  <si>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</si>
  <si>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</si>
  <si>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</si>
  <si>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</si>
  <si>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</si>
  <si>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</si>
  <si>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</si>
  <si>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</si>
  <si>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</si>
  <si>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</si>
  <si>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</si>
  <si>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</si>
  <si>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</si>
  <si>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</si>
  <si>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</si>
  <si>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</si>
  <si>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</si>
  <si>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(가칭) 천안희망초등학교 교사 신축공사</t>
    <phoneticPr fontId="2" type="noConversion"/>
  </si>
  <si>
    <t>교육연구</t>
  </si>
  <si>
    <t>충청도</t>
  </si>
  <si>
    <t>포장공사</t>
    <phoneticPr fontId="2" type="noConversion"/>
  </si>
  <si>
    <t>조경시설물</t>
    <phoneticPr fontId="2" type="noConversion"/>
  </si>
  <si>
    <t>오수공사</t>
    <phoneticPr fontId="2" type="noConversion"/>
  </si>
  <si>
    <t>기타공사</t>
    <phoneticPr fontId="2" type="noConversion"/>
  </si>
  <si>
    <t>CATV 및 TV 설비공사</t>
    <phoneticPr fontId="2" type="noConversion"/>
  </si>
  <si>
    <t>CCTV설비공사</t>
    <phoneticPr fontId="2" type="noConversion"/>
  </si>
  <si>
    <t xml:space="preserve">기타공사 </t>
    <phoneticPr fontId="2" type="noConversion"/>
  </si>
  <si>
    <t>전기인입 및 수변전 설비공사</t>
    <phoneticPr fontId="2" type="noConversion"/>
  </si>
  <si>
    <t>공조배관공사,난방배관공사,기타공사</t>
    <phoneticPr fontId="2" type="noConversion"/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</si>
  <si>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</si>
  <si>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</si>
  <si>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</si>
  <si>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기초공사,폐기물처리비,골재비및운반비,작업부산물,품질시험비,기타공사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</si>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</sst>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266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17655.560000000001</v>
      </c>
      <c r="D7" s="36">
        <f>+C7/3.3058</f>
        <v>5340.7828664771014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267</v>
      </c>
    </row>
    <row r="19" spans="1:5" x14ac:dyDescent="0.3">
      <c r="A19" s="2">
        <v>9</v>
      </c>
      <c r="B19" s="2" t="s">
        <v>268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624560</v>
      </c>
      <c r="E25" s="59">
        <f t="shared" si="0"/>
        <v>2064670</v>
      </c>
    </row>
    <row r="26" spans="1:5" x14ac:dyDescent="0.3">
      <c r="B26" s="2">
        <v>3</v>
      </c>
      <c r="C26" s="35" t="s">
        <v>95</v>
      </c>
      <c r="D26" s="45">
        <f>+D66</f>
        <v>11380</v>
      </c>
      <c r="E26" s="59">
        <f t="shared" si="0"/>
        <v>37620</v>
      </c>
    </row>
    <row r="27" spans="1:5" x14ac:dyDescent="0.3">
      <c r="B27" s="2">
        <v>4</v>
      </c>
      <c r="C27" s="35" t="s">
        <v>96</v>
      </c>
      <c r="D27" s="45">
        <f>+D95</f>
        <v>140230</v>
      </c>
      <c r="E27" s="59">
        <f t="shared" si="0"/>
        <v>463570</v>
      </c>
    </row>
    <row r="28" spans="1:5" x14ac:dyDescent="0.3">
      <c r="B28" s="2">
        <v>5</v>
      </c>
      <c r="C28" s="35" t="s">
        <v>97</v>
      </c>
      <c r="D28" s="45">
        <f>+D119</f>
        <v>165780</v>
      </c>
      <c r="E28" s="59">
        <f t="shared" si="0"/>
        <v>548030</v>
      </c>
    </row>
    <row r="29" spans="1:5" x14ac:dyDescent="0.3">
      <c r="B29" s="2">
        <v>6</v>
      </c>
      <c r="C29" s="35" t="s">
        <v>98</v>
      </c>
      <c r="D29" s="45">
        <f>+D133</f>
        <v>45800</v>
      </c>
      <c r="E29" s="59">
        <f t="shared" si="0"/>
        <v>151400</v>
      </c>
    </row>
    <row r="30" spans="1:5" x14ac:dyDescent="0.3">
      <c r="B30" s="2">
        <v>7</v>
      </c>
      <c r="C30" s="35" t="s">
        <v>99</v>
      </c>
      <c r="D30" s="45">
        <f>+D146</f>
        <v>40070</v>
      </c>
      <c r="E30" s="59">
        <f t="shared" si="0"/>
        <v>132460</v>
      </c>
    </row>
    <row r="31" spans="1:5" x14ac:dyDescent="0.3">
      <c r="B31" s="2">
        <v>8</v>
      </c>
      <c r="C31" s="35" t="s">
        <v>100</v>
      </c>
      <c r="D31" s="45">
        <f>+D154</f>
        <v>51200</v>
      </c>
      <c r="E31" s="59">
        <f t="shared" si="0"/>
        <v>169250</v>
      </c>
    </row>
    <row r="32" spans="1:5" x14ac:dyDescent="0.3">
      <c r="B32" s="2">
        <v>9</v>
      </c>
      <c r="C32" s="35" t="s">
        <v>101</v>
      </c>
      <c r="D32" s="45">
        <f>+D161</f>
        <v>13990</v>
      </c>
      <c r="E32" s="59">
        <f t="shared" si="0"/>
        <v>46240</v>
      </c>
    </row>
    <row r="33" spans="1:7" x14ac:dyDescent="0.3">
      <c r="B33" s="2">
        <v>10</v>
      </c>
      <c r="C33" s="35" t="s">
        <v>154</v>
      </c>
      <c r="D33" s="53">
        <f>TRUNC(SUM(D24:D32)*0.275,-1)</f>
        <v>300570</v>
      </c>
      <c r="E33" s="60">
        <f t="shared" si="0"/>
        <v>993620</v>
      </c>
    </row>
    <row r="34" spans="1:7" x14ac:dyDescent="0.3">
      <c r="C34" s="35" t="s">
        <v>112</v>
      </c>
      <c r="D34" s="44">
        <f>SUM(D24:D33)</f>
        <v>1393580</v>
      </c>
      <c r="E34" s="44">
        <f>SUM(E24:E33)</f>
        <v>4606860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264</v>
      </c>
      <c r="E39" s="67" t="s">
        <v>265</v>
      </c>
      <c r="G39" s="68"/>
    </row>
    <row r="40" spans="1:7" x14ac:dyDescent="0.3">
      <c r="A40" s="2">
        <v>1</v>
      </c>
      <c r="C40" s="38" t="s">
        <v>15</v>
      </c>
      <c r="D40" s="40">
        <f>TRUNC(28834,-1)</f>
        <v>28830</v>
      </c>
      <c r="E40" s="62">
        <f t="shared" ref="E40:E59" si="1">TRUNC(+D40*3.3058,-1)</f>
        <v>95300</v>
      </c>
    </row>
    <row r="41" spans="1:7" x14ac:dyDescent="0.3">
      <c r="A41" s="2">
        <v>2</v>
      </c>
      <c r="C41" s="38" t="s">
        <v>13</v>
      </c>
      <c r="D41" s="42">
        <f>TRUNC(105814,-1)</f>
        <v>105810</v>
      </c>
      <c r="E41" s="63">
        <f t="shared" si="1"/>
        <v>349780</v>
      </c>
    </row>
    <row r="42" spans="1:7" x14ac:dyDescent="0.3">
      <c r="A42" s="2">
        <v>3</v>
      </c>
      <c r="C42" s="38" t="s">
        <v>14</v>
      </c>
      <c r="D42" s="42">
        <f>TRUNC(19569,-1)</f>
        <v>19560</v>
      </c>
      <c r="E42" s="63">
        <f t="shared" si="1"/>
        <v>64660</v>
      </c>
    </row>
    <row r="43" spans="1:7" x14ac:dyDescent="0.3">
      <c r="A43" s="2">
        <v>4</v>
      </c>
      <c r="C43" s="38" t="s">
        <v>16</v>
      </c>
      <c r="D43" s="42">
        <f>TRUNC(20803,-1)</f>
        <v>20800</v>
      </c>
      <c r="E43" s="63">
        <f t="shared" si="1"/>
        <v>68760</v>
      </c>
    </row>
    <row r="44" spans="1:7" x14ac:dyDescent="0.3">
      <c r="A44" s="2">
        <v>5</v>
      </c>
      <c r="C44" s="38" t="s">
        <v>17</v>
      </c>
      <c r="D44" s="42">
        <f>TRUNC(19117,-1)</f>
        <v>19110</v>
      </c>
      <c r="E44" s="63">
        <f t="shared" si="1"/>
        <v>63170</v>
      </c>
    </row>
    <row r="45" spans="1:7" x14ac:dyDescent="0.3">
      <c r="A45" s="2">
        <v>6</v>
      </c>
      <c r="C45" s="38" t="s">
        <v>18</v>
      </c>
      <c r="D45" s="42">
        <f>TRUNC(8876,-1)</f>
        <v>8870</v>
      </c>
      <c r="E45" s="63">
        <f t="shared" si="1"/>
        <v>29320</v>
      </c>
    </row>
    <row r="46" spans="1:7" x14ac:dyDescent="0.3">
      <c r="A46" s="2">
        <v>7</v>
      </c>
      <c r="C46" s="38" t="s">
        <v>19</v>
      </c>
      <c r="D46" s="42">
        <f>TRUNC(40712,-1)</f>
        <v>40710</v>
      </c>
      <c r="E46" s="63">
        <f t="shared" si="1"/>
        <v>134570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TRUNC(32959,-1)</f>
        <v>32950</v>
      </c>
      <c r="E48" s="63">
        <f t="shared" si="1"/>
        <v>108920</v>
      </c>
      <c r="F48" s="2" t="s">
        <v>260</v>
      </c>
    </row>
    <row r="49" spans="1:7" x14ac:dyDescent="0.3">
      <c r="A49" s="2">
        <v>10</v>
      </c>
      <c r="C49" s="38" t="s">
        <v>22</v>
      </c>
      <c r="D49" s="42">
        <f>TRUNC(12546,-1)</f>
        <v>12540</v>
      </c>
      <c r="E49" s="63">
        <f t="shared" si="1"/>
        <v>41450</v>
      </c>
    </row>
    <row r="50" spans="1:7" x14ac:dyDescent="0.3">
      <c r="A50" s="2">
        <v>11</v>
      </c>
      <c r="C50" s="38" t="s">
        <v>155</v>
      </c>
      <c r="D50" s="42">
        <f>TRUNC(22659,-1)</f>
        <v>22650</v>
      </c>
      <c r="E50" s="63">
        <f t="shared" si="1"/>
        <v>74870</v>
      </c>
      <c r="F50" s="2" t="s">
        <v>261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TRUNC(10917,-1)</f>
        <v>10910</v>
      </c>
      <c r="E52" s="63">
        <f t="shared" si="1"/>
        <v>36060</v>
      </c>
    </row>
    <row r="53" spans="1:7" x14ac:dyDescent="0.3">
      <c r="A53" s="2">
        <v>14</v>
      </c>
      <c r="C53" s="38" t="s">
        <v>25</v>
      </c>
      <c r="D53" s="42">
        <f>TRUNC(88078,-1)</f>
        <v>88070</v>
      </c>
      <c r="E53" s="63">
        <f t="shared" si="1"/>
        <v>291140</v>
      </c>
      <c r="F53" s="2" t="s">
        <v>262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TRUNC(5602+101+5950-777+818+8236,-1)</f>
        <v>19930</v>
      </c>
      <c r="E58" s="63">
        <f t="shared" si="1"/>
        <v>65880</v>
      </c>
      <c r="F58" s="2" t="s">
        <v>263</v>
      </c>
    </row>
    <row r="59" spans="1:7" ht="17.25" thickBot="1" x14ac:dyDescent="0.35">
      <c r="A59" s="2">
        <v>20</v>
      </c>
      <c r="C59" s="38" t="s">
        <v>148</v>
      </c>
      <c r="D59" s="43">
        <f>TRUNC(193822,-1)</f>
        <v>193820</v>
      </c>
      <c r="E59" s="64">
        <f t="shared" si="1"/>
        <v>640730</v>
      </c>
    </row>
    <row r="60" spans="1:7" x14ac:dyDescent="0.3">
      <c r="A60" s="2">
        <v>21</v>
      </c>
      <c r="C60" s="27" t="s">
        <v>112</v>
      </c>
      <c r="D60" s="39">
        <f>SUM(D40:D59)</f>
        <v>624560</v>
      </c>
      <c r="E60" s="39">
        <f>SUM(E40:E59)</f>
        <v>2064610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TRUNC(6322,-1)</f>
        <v>6320</v>
      </c>
      <c r="E63" s="62">
        <f>TRUNC(+D63*3.3058,-1)</f>
        <v>20890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TRUNC(5067,-1)</f>
        <v>5060</v>
      </c>
      <c r="E65" s="64">
        <f>TRUNC(+D65*3.3058,-1)</f>
        <v>16720</v>
      </c>
    </row>
    <row r="66" spans="1:7" x14ac:dyDescent="0.3">
      <c r="A66" s="2">
        <v>4</v>
      </c>
      <c r="C66" s="27" t="s">
        <v>112</v>
      </c>
      <c r="D66" s="39">
        <f>SUM(D63:D65)</f>
        <v>11380</v>
      </c>
      <c r="E66" s="65">
        <f>SUM(E63:E65)</f>
        <v>37610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TRUNC(5885,-1)</f>
        <v>5880</v>
      </c>
      <c r="E69" s="62">
        <f t="shared" ref="E69:E94" si="2">TRUNC(+D69*3.3058,-1)</f>
        <v>19430</v>
      </c>
    </row>
    <row r="70" spans="1:7" ht="16.5" customHeight="1" x14ac:dyDescent="0.3">
      <c r="A70" s="2">
        <v>2</v>
      </c>
      <c r="C70" s="38" t="s">
        <v>31</v>
      </c>
      <c r="D70" s="42">
        <f>TRUNC(818,-1)</f>
        <v>810</v>
      </c>
      <c r="E70" s="63">
        <f t="shared" si="2"/>
        <v>2670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TRUNC(4173,-1)</f>
        <v>4170</v>
      </c>
      <c r="E72" s="63">
        <f t="shared" si="2"/>
        <v>13780</v>
      </c>
    </row>
    <row r="73" spans="1:7" x14ac:dyDescent="0.3">
      <c r="A73" s="2">
        <v>5</v>
      </c>
      <c r="C73" s="38" t="s">
        <v>34</v>
      </c>
      <c r="D73" s="42">
        <f>TRUNC(13058,-1)</f>
        <v>13050</v>
      </c>
      <c r="E73" s="63">
        <f t="shared" si="2"/>
        <v>43140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TRUNC(6445,-1)</f>
        <v>6440</v>
      </c>
      <c r="E89" s="63">
        <f t="shared" si="2"/>
        <v>21280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TRUNC(2959,-1)</f>
        <v>2950</v>
      </c>
      <c r="E91" s="63">
        <f t="shared" si="2"/>
        <v>9750</v>
      </c>
    </row>
    <row r="92" spans="1:7" x14ac:dyDescent="0.3">
      <c r="A92" s="2">
        <v>24</v>
      </c>
      <c r="C92" s="38" t="s">
        <v>38</v>
      </c>
      <c r="D92" s="42">
        <f>TRUNC(9511,-1)</f>
        <v>9510</v>
      </c>
      <c r="E92" s="63">
        <f t="shared" si="2"/>
        <v>31430</v>
      </c>
    </row>
    <row r="93" spans="1:7" x14ac:dyDescent="0.3">
      <c r="A93" s="2">
        <v>25</v>
      </c>
      <c r="C93" s="38" t="s">
        <v>148</v>
      </c>
      <c r="D93" s="42">
        <f>TRUNC(92532,-1)</f>
        <v>92530</v>
      </c>
      <c r="E93" s="63">
        <f t="shared" si="2"/>
        <v>305880</v>
      </c>
    </row>
    <row r="94" spans="1:7" ht="17.25" thickBot="1" x14ac:dyDescent="0.35">
      <c r="A94" s="2">
        <v>26</v>
      </c>
      <c r="C94" s="38" t="s">
        <v>47</v>
      </c>
      <c r="D94" s="43">
        <f>TRUNC(1300+2994+597,-1)</f>
        <v>4890</v>
      </c>
      <c r="E94" s="64">
        <f t="shared" si="2"/>
        <v>16160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140230</v>
      </c>
      <c r="E95" s="39">
        <f>SUM(E69:E94)</f>
        <v>463520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TRUNC(19362,-1)</f>
        <v>19360</v>
      </c>
      <c r="E98" s="62">
        <f t="shared" ref="E98:E118" si="3">TRUNC(+D98*3.3058,-1)</f>
        <v>64000</v>
      </c>
    </row>
    <row r="99" spans="1:7" x14ac:dyDescent="0.3">
      <c r="A99" s="2">
        <v>2</v>
      </c>
      <c r="C99" s="38" t="s">
        <v>40</v>
      </c>
      <c r="D99" s="42">
        <f>TRUNC(2832,-1)</f>
        <v>2830</v>
      </c>
      <c r="E99" s="63">
        <f t="shared" si="3"/>
        <v>9350</v>
      </c>
    </row>
    <row r="100" spans="1:7" x14ac:dyDescent="0.3">
      <c r="A100" s="2">
        <v>3</v>
      </c>
      <c r="C100" s="38" t="s">
        <v>41</v>
      </c>
      <c r="D100" s="42">
        <f>TRUNC(2262,-1)</f>
        <v>2260</v>
      </c>
      <c r="E100" s="63">
        <f t="shared" si="3"/>
        <v>7470</v>
      </c>
    </row>
    <row r="101" spans="1:7" x14ac:dyDescent="0.3">
      <c r="A101" s="2">
        <v>4</v>
      </c>
      <c r="C101" s="38" t="s">
        <v>42</v>
      </c>
      <c r="D101" s="42">
        <f>TRUNC(23518,-1)</f>
        <v>23510</v>
      </c>
      <c r="E101" s="63">
        <f t="shared" si="3"/>
        <v>77710</v>
      </c>
    </row>
    <row r="102" spans="1:7" x14ac:dyDescent="0.3">
      <c r="A102" s="2">
        <v>5</v>
      </c>
      <c r="C102" s="38" t="s">
        <v>43</v>
      </c>
      <c r="D102" s="42">
        <f>TRUNC(14193,-1)</f>
        <v>14190</v>
      </c>
      <c r="E102" s="63">
        <f t="shared" si="3"/>
        <v>46900</v>
      </c>
    </row>
    <row r="103" spans="1:7" x14ac:dyDescent="0.3">
      <c r="A103" s="2">
        <v>6</v>
      </c>
      <c r="C103" s="38" t="s">
        <v>44</v>
      </c>
      <c r="D103" s="42">
        <f>TRUNC(6360,-1)</f>
        <v>6360</v>
      </c>
      <c r="E103" s="63">
        <f t="shared" si="3"/>
        <v>21020</v>
      </c>
    </row>
    <row r="104" spans="1:7" x14ac:dyDescent="0.3">
      <c r="A104" s="2">
        <v>7</v>
      </c>
      <c r="C104" s="38" t="s">
        <v>45</v>
      </c>
      <c r="D104" s="42">
        <f>TRUNC(2650,-1)</f>
        <v>2650</v>
      </c>
      <c r="E104" s="63">
        <f t="shared" si="3"/>
        <v>8760</v>
      </c>
    </row>
    <row r="105" spans="1:7" x14ac:dyDescent="0.3">
      <c r="A105" s="2">
        <v>8</v>
      </c>
      <c r="C105" s="38" t="s">
        <v>46</v>
      </c>
      <c r="D105" s="42">
        <f>TRUNC(1880,-1)</f>
        <v>1880</v>
      </c>
      <c r="E105" s="63">
        <f t="shared" si="3"/>
        <v>6210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TRUNC(1895,-1)</f>
        <v>1890</v>
      </c>
      <c r="E116" s="63">
        <f t="shared" si="3"/>
        <v>6240</v>
      </c>
      <c r="F116" s="2" t="s">
        <v>258</v>
      </c>
    </row>
    <row r="117" spans="1:7" x14ac:dyDescent="0.3">
      <c r="A117" s="2">
        <v>20</v>
      </c>
      <c r="C117" s="38" t="s">
        <v>148</v>
      </c>
      <c r="D117" s="42">
        <f>TRUNC(82182,-1)</f>
        <v>82180</v>
      </c>
      <c r="E117" s="63">
        <f t="shared" si="3"/>
        <v>271670</v>
      </c>
    </row>
    <row r="118" spans="1:7" ht="17.25" thickBot="1" x14ac:dyDescent="0.35">
      <c r="A118" s="2">
        <v>21</v>
      </c>
      <c r="C118" s="38" t="s">
        <v>47</v>
      </c>
      <c r="D118" s="43">
        <f>TRUNC(8673,-1)</f>
        <v>8670</v>
      </c>
      <c r="E118" s="64">
        <f t="shared" si="3"/>
        <v>28660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165780</v>
      </c>
      <c r="E119" s="39">
        <f>SUM(E98:E118)</f>
        <v>547990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TRUNC(3259,-1)</f>
        <v>3250</v>
      </c>
      <c r="E122" s="62">
        <f t="shared" ref="E122:E132" si="4">TRUNC(+D122*3.3058,-1)</f>
        <v>10740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v>0</v>
      </c>
      <c r="E125" s="63">
        <f t="shared" si="4"/>
        <v>0</v>
      </c>
    </row>
    <row r="126" spans="1:7" x14ac:dyDescent="0.3">
      <c r="A126" s="2">
        <v>5</v>
      </c>
      <c r="C126" s="38" t="s">
        <v>53</v>
      </c>
      <c r="D126" s="42">
        <f>TRUNC(13828,-1)</f>
        <v>13820</v>
      </c>
      <c r="E126" s="63">
        <f t="shared" si="4"/>
        <v>45680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TRUNC(3736,-1)</f>
        <v>3730</v>
      </c>
      <c r="E128" s="63">
        <f t="shared" si="4"/>
        <v>12330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f>TRUNC(23086,-1)</f>
        <v>23080</v>
      </c>
      <c r="E131" s="63">
        <f t="shared" si="4"/>
        <v>76290</v>
      </c>
    </row>
    <row r="132" spans="1:7" ht="18" thickBot="1" x14ac:dyDescent="0.35">
      <c r="A132" s="2">
        <v>11</v>
      </c>
      <c r="C132" s="38" t="s">
        <v>47</v>
      </c>
      <c r="D132" s="43">
        <f>TRUNC(1925,-1)</f>
        <v>1920</v>
      </c>
      <c r="E132" s="64">
        <f t="shared" si="4"/>
        <v>6340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45800</v>
      </c>
      <c r="E133" s="39">
        <f>SUM(E122:E132)</f>
        <v>151380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TRUNC(247,-1)</f>
        <v>240</v>
      </c>
      <c r="E137" s="63">
        <f t="shared" si="5"/>
        <v>790</v>
      </c>
      <c r="F137" s="2" t="s">
        <v>254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TRUNC(1569,-1)</f>
        <v>1560</v>
      </c>
      <c r="E139" s="63">
        <f t="shared" si="5"/>
        <v>5150</v>
      </c>
    </row>
    <row r="140" spans="1:7" x14ac:dyDescent="0.3">
      <c r="A140" s="2">
        <v>5</v>
      </c>
      <c r="C140" s="38" t="s">
        <v>57</v>
      </c>
      <c r="D140" s="42">
        <f>TRUNC(2688,-1)</f>
        <v>2680</v>
      </c>
      <c r="E140" s="63">
        <f t="shared" si="5"/>
        <v>8850</v>
      </c>
    </row>
    <row r="141" spans="1:7" x14ac:dyDescent="0.3">
      <c r="A141" s="2">
        <v>6</v>
      </c>
      <c r="C141" s="38" t="s">
        <v>59</v>
      </c>
      <c r="D141" s="42">
        <f>TRUNC(28042,-1)</f>
        <v>28040</v>
      </c>
      <c r="E141" s="63">
        <f t="shared" si="5"/>
        <v>92690</v>
      </c>
    </row>
    <row r="142" spans="1:7" x14ac:dyDescent="0.3">
      <c r="A142" s="2">
        <v>7</v>
      </c>
      <c r="C142" s="38" t="s">
        <v>58</v>
      </c>
      <c r="D142" s="42">
        <f>TRUNC(7556,-1)</f>
        <v>7550</v>
      </c>
      <c r="E142" s="63">
        <f t="shared" si="5"/>
        <v>24950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40070</v>
      </c>
      <c r="E146" s="39">
        <f>SUM(E136:E145)</f>
        <v>132430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TRUNC(9547,-1)</f>
        <v>9540</v>
      </c>
      <c r="E149" s="62">
        <f>TRUNC(+D149*3.3058,-1)</f>
        <v>31530</v>
      </c>
      <c r="F149" s="2" t="s">
        <v>253</v>
      </c>
    </row>
    <row r="150" spans="1:7" x14ac:dyDescent="0.3">
      <c r="A150" s="2">
        <v>2</v>
      </c>
      <c r="C150" s="38" t="s">
        <v>49</v>
      </c>
      <c r="D150" s="42">
        <f>TRUNC(6512,-1)</f>
        <v>6510</v>
      </c>
      <c r="E150" s="63">
        <f>TRUNC(+D150*3.3058,-1)</f>
        <v>21520</v>
      </c>
    </row>
    <row r="151" spans="1:7" x14ac:dyDescent="0.3">
      <c r="A151" s="2">
        <v>3</v>
      </c>
      <c r="C151" s="38" t="s">
        <v>50</v>
      </c>
      <c r="D151" s="42">
        <f>TRUNC(22363,-1)</f>
        <v>22360</v>
      </c>
      <c r="E151" s="63">
        <f>TRUNC(+D151*3.3058,-1)</f>
        <v>73910</v>
      </c>
    </row>
    <row r="152" spans="1:7" x14ac:dyDescent="0.3">
      <c r="A152" s="2">
        <v>4</v>
      </c>
      <c r="C152" s="38" t="s">
        <v>47</v>
      </c>
      <c r="D152" s="42">
        <f>TRUNC(354,-1)</f>
        <v>350</v>
      </c>
      <c r="E152" s="63">
        <f>TRUNC(+D152*3.3058,-1)</f>
        <v>1150</v>
      </c>
      <c r="F152" s="2" t="s">
        <v>254</v>
      </c>
    </row>
    <row r="153" spans="1:7" ht="17.25" thickBot="1" x14ac:dyDescent="0.35">
      <c r="A153" s="2">
        <v>5</v>
      </c>
      <c r="C153" s="38" t="s">
        <v>148</v>
      </c>
      <c r="D153" s="43">
        <f>TRUNC(12442,-1)</f>
        <v>12440</v>
      </c>
      <c r="E153" s="64">
        <f>TRUNC(+D153*3.3058,-1)</f>
        <v>41120</v>
      </c>
    </row>
    <row r="154" spans="1:7" x14ac:dyDescent="0.3">
      <c r="A154" s="2">
        <v>6</v>
      </c>
      <c r="C154" s="27" t="s">
        <v>112</v>
      </c>
      <c r="D154" s="39">
        <f>SUM(D149:D153)</f>
        <v>51200</v>
      </c>
      <c r="E154" s="39">
        <f>SUM(E149:E153)</f>
        <v>169230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TRUNC(10624,-1)</f>
        <v>10620</v>
      </c>
      <c r="E157" s="62">
        <f>TRUNC(+D157*3.3058,-1)</f>
        <v>35100</v>
      </c>
    </row>
    <row r="158" spans="1:7" x14ac:dyDescent="0.3">
      <c r="A158" s="2">
        <v>2</v>
      </c>
      <c r="C158" s="38" t="s">
        <v>52</v>
      </c>
      <c r="D158" s="42">
        <f>TRUNC(1826,-1)</f>
        <v>1820</v>
      </c>
      <c r="E158" s="63">
        <f>TRUNC(+D158*3.3058,-1)</f>
        <v>6010</v>
      </c>
      <c r="F158" s="2" t="s">
        <v>252</v>
      </c>
    </row>
    <row r="159" spans="1:7" x14ac:dyDescent="0.3">
      <c r="A159" s="2">
        <v>3</v>
      </c>
      <c r="C159" s="38" t="s">
        <v>47</v>
      </c>
      <c r="D159" s="42">
        <f>TRUNC(205,-1)</f>
        <v>200</v>
      </c>
      <c r="E159" s="63">
        <f>TRUNC(+D159*3.3058,-1)</f>
        <v>660</v>
      </c>
      <c r="F159" s="2" t="s">
        <v>251</v>
      </c>
    </row>
    <row r="160" spans="1:7" ht="17.25" thickBot="1" x14ac:dyDescent="0.35">
      <c r="A160" s="2">
        <v>4</v>
      </c>
      <c r="C160" s="38" t="s">
        <v>148</v>
      </c>
      <c r="D160" s="43">
        <f>TRUNC(1358,-1)</f>
        <v>1350</v>
      </c>
      <c r="E160" s="64">
        <f>TRUNC(+D160*3.3058,-1)</f>
        <v>4460</v>
      </c>
    </row>
    <row r="161" spans="1:5" x14ac:dyDescent="0.3">
      <c r="A161" s="2">
        <v>5</v>
      </c>
      <c r="C161" s="27" t="s">
        <v>112</v>
      </c>
      <c r="D161" s="39">
        <f>SUM(D157:D160)</f>
        <v>13990</v>
      </c>
      <c r="E161" s="39">
        <f>SUM(E157:E160)</f>
        <v>46230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2020-12-08T03:58:46Z</dcterms:modified>
</cp:coreProperties>
</file>