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0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1" i="4" l="1"/>
  <c r="D117" i="4"/>
  <c r="D93" i="4"/>
  <c r="D94" i="4"/>
  <c r="D153" i="4"/>
  <c r="D59" i="4"/>
  <c r="E160" i="4" l="1"/>
  <c r="E159" i="4"/>
  <c r="E158" i="4"/>
  <c r="E157" i="4"/>
  <c r="E161" i="4" s="1"/>
  <c r="E153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1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59" i="4"/>
  <c r="E57" i="4"/>
  <c r="E56" i="4"/>
  <c r="E54" i="4"/>
  <c r="E37" i="4"/>
  <c r="E146" i="4" l="1"/>
  <c r="E95" i="4"/>
  <c r="D40" i="4"/>
  <c r="E40" i="4" s="1"/>
  <c r="D152" i="4"/>
  <c r="E152" i="4" s="1"/>
  <c r="E154" i="4" s="1"/>
  <c r="D58" i="4" l="1"/>
  <c r="E58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55" i="4"/>
  <c r="E55" i="4" s="1"/>
  <c r="D44" i="4"/>
  <c r="E44" i="4" s="1"/>
  <c r="D47" i="4"/>
  <c r="E47" i="4" s="1"/>
  <c r="D45" i="4"/>
  <c r="E45" i="4" s="1"/>
  <c r="D46" i="4"/>
  <c r="E46" i="4" s="1"/>
  <c r="D43" i="4"/>
  <c r="E43" i="4" s="1"/>
  <c r="D42" i="4"/>
  <c r="E42" i="4" s="1"/>
  <c r="D41" i="4"/>
  <c r="E41" i="4" s="1"/>
  <c r="D63" i="4"/>
  <c r="E63" i="4" s="1"/>
  <c r="E66" i="4" s="1"/>
  <c r="D118" i="4"/>
  <c r="E118" i="4" s="1"/>
  <c r="E119" i="4" s="1"/>
  <c r="D132" i="4"/>
  <c r="E132" i="4" s="1"/>
  <c r="E133" i="4" s="1"/>
  <c r="E60" i="4" l="1"/>
  <c r="D161" i="4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32" i="4"/>
  <c r="E32" i="4" s="1"/>
  <c r="D31" i="4"/>
  <c r="E31" i="4" s="1"/>
  <c r="D27" i="4"/>
  <c r="E27" i="4" s="1"/>
  <c r="D24" i="4"/>
  <c r="E24" i="4" s="1"/>
  <c r="D7" i="4"/>
  <c r="D33" i="4" l="1"/>
  <c r="D34" i="4" l="1"/>
  <c r="E33" i="4"/>
  <c r="E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<sst xmlns="http://schemas.openxmlformats.org/spreadsheetml/2006/main" count="384" uniqueCount="259">
  <si>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</si>
  <si>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</si>
  <si>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</si>
  <si>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</si>
  <si>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</si>
  <si>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</si>
  <si>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</si>
  <si>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</si>
  <si>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</si>
  <si>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</si>
  <si>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</si>
  <si>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</si>
  <si>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</si>
  <si>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</si>
  <si>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</si>
  <si>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</si>
  <si>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</si>
  <si>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</si>
  <si>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</si>
  <si>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</si>
  <si>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</si>
  <si>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</si>
  <si>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</si>
  <si>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</si>
  <si>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</si>
  <si>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</si>
  <si>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</si>
  <si>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</si>
  <si>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</si>
  <si>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</si>
  <si>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</si>
  <si>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</si>
  <si>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</si>
  <si>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</si>
  <si>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</si>
  <si>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</si>
  <si>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</si>
  <si>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</si>
  <si>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</si>
  <si>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</si>
  <si>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</si>
  <si>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</si>
  <si>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</si>
  <si>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</si>
  <si>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</si>
  <si>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</si>
  <si>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</si>
  <si>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</si>
  <si>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</si>
  <si>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</si>
  <si>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</si>
  <si>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</si>
  <si>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</si>
  <si>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</si>
  <si>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</si>
  <si>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</si>
  <si>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</si>
  <si>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</si>
  <si>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</si>
  <si>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</si>
  <si>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</si>
  <si>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</si>
  <si>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</si>
  <si>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</si>
  <si>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</si>
  <si>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</si>
  <si>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</si>
  <si>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</si>
  <si>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</si>
  <si>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</si>
  <si>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</si>
  <si>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</si>
  <si>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</si>
  <si>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</si>
  <si>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</si>
  <si>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</si>
  <si>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</si>
  <si>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</si>
  <si>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</si>
  <si>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</si>
  <si>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</si>
  <si>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</si>
  <si>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</si>
  <si>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</si>
  <si>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</si>
  <si>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</si>
  <si>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</si>
  <si>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</si>
  <si>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</si>
  <si>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</si>
  <si>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</si>
  <si>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</si>
  <si>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</si>
  <si>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</si>
  <si>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</si>
  <si>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</si>
  <si>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</si>
  <si>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</si>
  <si>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</si>
  <si>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</si>
  <si>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</si>
  <si>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</si>
  <si>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</si>
  <si>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</si>
  <si>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</si>
  <si>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</si>
  <si>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</si>
  <si>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</si>
  <si>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</si>
  <si>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</si>
  <si>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</si>
  <si>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</si>
  <si>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</si>
  <si>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</si>
  <si>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</si>
  <si>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</si>
  <si>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</si>
  <si>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</si>
  <si>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</si>
  <si>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</si>
  <si>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</si>
  <si>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</si>
  <si>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</si>
  <si>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</si>
  <si>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</si>
  <si>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</si>
  <si>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</si>
  <si>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</si>
  <si>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</si>
  <si>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</si>
  <si>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</si>
  <si>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</si>
  <si>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</si>
  <si>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</si>
  <si>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</si>
  <si>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</si>
  <si>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</si>
  <si>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</si>
  <si>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</si>
  <si>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</si>
  <si>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</si>
  <si>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</si>
  <si>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</si>
  <si>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</si>
  <si>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</si>
  <si>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</si>
  <si>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</si>
  <si>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</si>
  <si>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</si>
  <si>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</si>
  <si>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</si>
  <si>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</si>
  <si>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</si>
  <si>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</si>
  <si>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</si>
  <si>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</si>
  <si>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</si>
  <si>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</si>
  <si>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</si>
  <si>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</si>
  <si>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</si>
  <si>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</si>
  <si>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</si>
  <si>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</si>
  <si>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</si>
  <si>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</si>
  <si>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</si>
  <si>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</si>
  <si>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</si>
  <si>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</si>
  <si>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</si>
  <si>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</si>
  <si>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</si>
  <si>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</si>
  <si>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</si>
  <si>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</si>
  <si>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</si>
  <si>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</si>
  <si>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</si>
  <si>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</si>
  <si>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</si>
  <si>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</si>
  <si>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</si>
  <si>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</si>
  <si>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</si>
  <si>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</si>
  <si>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</si>
  <si>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</si>
  <si>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</si>
  <si>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</si>
  <si>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</si>
  <si>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</si>
  <si>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</si>
  <si>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</si>
  <si>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</si>
  <si>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</si>
  <si>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</si>
  <si>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</si>
  <si>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</si>
  <si>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</si>
  <si>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</si>
  <si>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</si>
  <si>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</si>
  <si>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</si>
  <si>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</si>
  <si>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</si>
  <si>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</si>
  <si>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</si>
  <si>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</si>
  <si>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</si>
  <si>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</si>
  <si>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</si>
  <si>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</si>
  <si>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</si>
  <si>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</si>
  <si>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</si>
  <si>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</si>
  <si>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</si>
  <si>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</si>
  <si>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</si>
  <si>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</si>
  <si>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</si>
  <si>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</si>
  <si>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</si>
  <si>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</si>
  <si>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</si>
  <si>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</si>
  <si>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</si>
  <si>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</si>
  <si>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</si>
  <si>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</si>
  <si>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</si>
  <si>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</si>
  <si>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</si>
  <si>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</si>
  <si>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</si>
  <si>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</si>
  <si>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</si>
  <si>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</si>
  <si>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</si>
  <si>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</si>
  <si>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</si>
  <si>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</si>
  <si>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</si>
  <si>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</si>
  <si>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</si>
  <si>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선운중 교사 신축공사</t>
  </si>
  <si>
    <t>교육연구</t>
  </si>
  <si>
    <t>광주시</t>
  </si>
  <si>
    <t>기타공사,골재대 및 운반비</t>
  </si>
  <si>
    <t>토공사 및 지정공사</t>
  </si>
  <si>
    <t>원/ m2</t>
    <phoneticPr fontId="2" type="noConversion"/>
  </si>
  <si>
    <t>작업부산물,부대시설공사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</si>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</sst>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256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9679</v>
      </c>
      <c r="D7" s="36">
        <f>+C7/3.3058</f>
        <v>2927.8843245205394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193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257</v>
      </c>
    </row>
    <row r="19" spans="1:5" x14ac:dyDescent="0.3">
      <c r="A19" s="2">
        <v>9</v>
      </c>
      <c r="B19" s="2" t="s">
        <v>258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738390</v>
      </c>
      <c r="E25" s="60">
        <f t="shared" si="0"/>
        <v>2440960</v>
      </c>
    </row>
    <row r="26" spans="1:5" x14ac:dyDescent="0.3">
      <c r="B26" s="2">
        <v>3</v>
      </c>
      <c r="C26" s="35" t="s">
        <v>95</v>
      </c>
      <c r="D26" s="45">
        <f>+D66</f>
        <v>33360</v>
      </c>
      <c r="E26" s="60">
        <f t="shared" si="0"/>
        <v>110280</v>
      </c>
    </row>
    <row r="27" spans="1:5" x14ac:dyDescent="0.3">
      <c r="B27" s="2">
        <v>4</v>
      </c>
      <c r="C27" s="35" t="s">
        <v>96</v>
      </c>
      <c r="D27" s="45">
        <f>+D95</f>
        <v>229920</v>
      </c>
      <c r="E27" s="60">
        <f t="shared" si="0"/>
        <v>760060</v>
      </c>
    </row>
    <row r="28" spans="1:5" x14ac:dyDescent="0.3">
      <c r="B28" s="2">
        <v>5</v>
      </c>
      <c r="C28" s="35" t="s">
        <v>97</v>
      </c>
      <c r="D28" s="45">
        <f>+D119</f>
        <v>105240</v>
      </c>
      <c r="E28" s="60">
        <f t="shared" si="0"/>
        <v>347900</v>
      </c>
    </row>
    <row r="29" spans="1:5" x14ac:dyDescent="0.3">
      <c r="B29" s="2">
        <v>6</v>
      </c>
      <c r="C29" s="35" t="s">
        <v>98</v>
      </c>
      <c r="D29" s="45">
        <f>+D133</f>
        <v>84660</v>
      </c>
      <c r="E29" s="60">
        <f t="shared" si="0"/>
        <v>279860</v>
      </c>
    </row>
    <row r="30" spans="1:5" x14ac:dyDescent="0.3">
      <c r="B30" s="2">
        <v>7</v>
      </c>
      <c r="C30" s="35" t="s">
        <v>99</v>
      </c>
      <c r="D30" s="45">
        <f>+D146</f>
        <v>0</v>
      </c>
      <c r="E30" s="60">
        <f t="shared" si="0"/>
        <v>0</v>
      </c>
    </row>
    <row r="31" spans="1:5" x14ac:dyDescent="0.3">
      <c r="B31" s="2">
        <v>8</v>
      </c>
      <c r="C31" s="35" t="s">
        <v>100</v>
      </c>
      <c r="D31" s="45">
        <f>+D154</f>
        <v>143880</v>
      </c>
      <c r="E31" s="60">
        <f t="shared" si="0"/>
        <v>475630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60">
        <f t="shared" si="0"/>
        <v>0</v>
      </c>
    </row>
    <row r="33" spans="1:7" x14ac:dyDescent="0.3">
      <c r="B33" s="2">
        <v>10</v>
      </c>
      <c r="C33" s="35" t="s">
        <v>153</v>
      </c>
      <c r="D33" s="53">
        <f>TRUNC(SUM(D24:D32)*0.275,-1)</f>
        <v>367240</v>
      </c>
      <c r="E33" s="61">
        <f t="shared" si="0"/>
        <v>1214020</v>
      </c>
    </row>
    <row r="34" spans="1:7" x14ac:dyDescent="0.3">
      <c r="C34" s="35" t="s">
        <v>112</v>
      </c>
      <c r="D34" s="44">
        <f>SUM(D24:D33)</f>
        <v>1702690</v>
      </c>
      <c r="E34" s="44">
        <f>SUM(E24:E33)</f>
        <v>5628710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236</v>
      </c>
      <c r="D36" s="57" t="s">
        <v>251</v>
      </c>
      <c r="E36" s="57" t="s">
        <v>253</v>
      </c>
      <c r="G36" s="55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254</v>
      </c>
      <c r="E39" s="67" t="s">
        <v>255</v>
      </c>
      <c r="G39" s="68"/>
    </row>
    <row r="40" spans="1:7" x14ac:dyDescent="0.3">
      <c r="A40" s="2">
        <v>1</v>
      </c>
      <c r="C40" s="38" t="s">
        <v>15</v>
      </c>
      <c r="D40" s="40">
        <f>TRUNC(27559,-1)</f>
        <v>27550</v>
      </c>
      <c r="E40" s="63">
        <f t="shared" ref="E40:E59" si="1">TRUNC(+D40*3.3058,-1)</f>
        <v>91070</v>
      </c>
    </row>
    <row r="41" spans="1:7" x14ac:dyDescent="0.3">
      <c r="A41" s="2">
        <v>2</v>
      </c>
      <c r="C41" s="38" t="s">
        <v>13</v>
      </c>
      <c r="D41" s="42">
        <f>TRUNC(195981,-1)</f>
        <v>195980</v>
      </c>
      <c r="E41" s="64">
        <f t="shared" si="1"/>
        <v>647870</v>
      </c>
    </row>
    <row r="42" spans="1:7" x14ac:dyDescent="0.3">
      <c r="A42" s="2">
        <v>3</v>
      </c>
      <c r="C42" s="38" t="s">
        <v>14</v>
      </c>
      <c r="D42" s="42">
        <f>TRUNC(7846,-1)</f>
        <v>7840</v>
      </c>
      <c r="E42" s="64">
        <f t="shared" si="1"/>
        <v>25910</v>
      </c>
    </row>
    <row r="43" spans="1:7" x14ac:dyDescent="0.3">
      <c r="A43" s="2">
        <v>4</v>
      </c>
      <c r="C43" s="38" t="s">
        <v>16</v>
      </c>
      <c r="D43" s="42">
        <f>TRUNC(29459,-1)</f>
        <v>29450</v>
      </c>
      <c r="E43" s="64">
        <f t="shared" si="1"/>
        <v>97350</v>
      </c>
    </row>
    <row r="44" spans="1:7" x14ac:dyDescent="0.3">
      <c r="A44" s="2">
        <v>5</v>
      </c>
      <c r="C44" s="38" t="s">
        <v>17</v>
      </c>
      <c r="D44" s="42">
        <f>TRUNC(19701,-1)</f>
        <v>19700</v>
      </c>
      <c r="E44" s="64">
        <f t="shared" si="1"/>
        <v>65120</v>
      </c>
    </row>
    <row r="45" spans="1:7" x14ac:dyDescent="0.3">
      <c r="A45" s="2">
        <v>6</v>
      </c>
      <c r="C45" s="38" t="s">
        <v>18</v>
      </c>
      <c r="D45" s="42">
        <f>TRUNC(10333,-1)</f>
        <v>10330</v>
      </c>
      <c r="E45" s="64">
        <f t="shared" si="1"/>
        <v>34140</v>
      </c>
    </row>
    <row r="46" spans="1:7" x14ac:dyDescent="0.3">
      <c r="A46" s="2">
        <v>7</v>
      </c>
      <c r="C46" s="38" t="s">
        <v>19</v>
      </c>
      <c r="D46" s="42">
        <f>TRUNC(9740,-1)</f>
        <v>9740</v>
      </c>
      <c r="E46" s="64">
        <f t="shared" si="1"/>
        <v>32190</v>
      </c>
    </row>
    <row r="47" spans="1:7" x14ac:dyDescent="0.3">
      <c r="A47" s="2">
        <v>8</v>
      </c>
      <c r="C47" s="38" t="s">
        <v>20</v>
      </c>
      <c r="D47" s="42">
        <f>TRUNC(25827,-1)</f>
        <v>25820</v>
      </c>
      <c r="E47" s="64">
        <f t="shared" si="1"/>
        <v>85350</v>
      </c>
    </row>
    <row r="48" spans="1:7" x14ac:dyDescent="0.3">
      <c r="A48" s="2">
        <v>9</v>
      </c>
      <c r="C48" s="38" t="s">
        <v>21</v>
      </c>
      <c r="D48" s="42">
        <f>TRUNC(56729,-1)</f>
        <v>56720</v>
      </c>
      <c r="E48" s="64">
        <f t="shared" si="1"/>
        <v>187500</v>
      </c>
    </row>
    <row r="49" spans="1:7" x14ac:dyDescent="0.3">
      <c r="A49" s="2">
        <v>10</v>
      </c>
      <c r="C49" s="38" t="s">
        <v>22</v>
      </c>
      <c r="D49" s="42">
        <f>TRUNC(27857,-1)</f>
        <v>27850</v>
      </c>
      <c r="E49" s="64">
        <f t="shared" si="1"/>
        <v>92060</v>
      </c>
    </row>
    <row r="50" spans="1:7" x14ac:dyDescent="0.3">
      <c r="A50" s="2">
        <v>11</v>
      </c>
      <c r="C50" s="38" t="s">
        <v>154</v>
      </c>
      <c r="D50" s="42">
        <f>TRUNC(58286,-1)</f>
        <v>58280</v>
      </c>
      <c r="E50" s="64">
        <f t="shared" si="1"/>
        <v>192660</v>
      </c>
    </row>
    <row r="51" spans="1:7" x14ac:dyDescent="0.3">
      <c r="A51" s="2">
        <v>12</v>
      </c>
      <c r="C51" s="38" t="s">
        <v>23</v>
      </c>
      <c r="D51" s="42">
        <f>TRUNC(12807,-1)</f>
        <v>12800</v>
      </c>
      <c r="E51" s="64">
        <f t="shared" si="1"/>
        <v>42310</v>
      </c>
    </row>
    <row r="52" spans="1:7" x14ac:dyDescent="0.3">
      <c r="A52" s="2">
        <v>13</v>
      </c>
      <c r="C52" s="38" t="s">
        <v>24</v>
      </c>
      <c r="D52" s="42">
        <f>TRUNC(7482,-1)</f>
        <v>7480</v>
      </c>
      <c r="E52" s="64">
        <f t="shared" si="1"/>
        <v>24720</v>
      </c>
    </row>
    <row r="53" spans="1:7" x14ac:dyDescent="0.3">
      <c r="A53" s="2">
        <v>14</v>
      </c>
      <c r="C53" s="38" t="s">
        <v>25</v>
      </c>
      <c r="D53" s="42">
        <f>TRUNC(78037,-1)</f>
        <v>78030</v>
      </c>
      <c r="E53" s="64">
        <f t="shared" si="1"/>
        <v>257950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TRUNC(9313,-1)</f>
        <v>9310</v>
      </c>
      <c r="E55" s="64">
        <f t="shared" si="1"/>
        <v>30770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TRUNC(10700+5446,-1)</f>
        <v>16140</v>
      </c>
      <c r="E58" s="64">
        <f t="shared" si="1"/>
        <v>53350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TRUNC(145375.865275338,-1)</f>
        <v>145370</v>
      </c>
      <c r="E59" s="65">
        <f t="shared" si="1"/>
        <v>480560</v>
      </c>
    </row>
    <row r="60" spans="1:7" x14ac:dyDescent="0.3">
      <c r="A60" s="2">
        <v>21</v>
      </c>
      <c r="C60" s="27" t="s">
        <v>112</v>
      </c>
      <c r="D60" s="39">
        <f>SUM(D40:D59)</f>
        <v>738390</v>
      </c>
      <c r="E60" s="39">
        <f>SUM(E40:E59)</f>
        <v>2440880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237</v>
      </c>
      <c r="C62" s="56" t="s">
        <v>238</v>
      </c>
      <c r="D62" s="57" t="s">
        <v>234</v>
      </c>
      <c r="E62" s="57" t="s">
        <v>253</v>
      </c>
      <c r="G62" s="55"/>
    </row>
    <row r="63" spans="1:7" x14ac:dyDescent="0.3">
      <c r="A63" s="2">
        <v>1</v>
      </c>
      <c r="C63" s="38" t="s">
        <v>27</v>
      </c>
      <c r="D63" s="40">
        <f>TRUNC(33367,-1)</f>
        <v>33360</v>
      </c>
      <c r="E63" s="63">
        <f>TRUNC(+D63*3.3058,-1)</f>
        <v>110280</v>
      </c>
      <c r="F63" s="2" t="s">
        <v>250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8">
        <f>SUM(D63:D65)</f>
        <v>33360</v>
      </c>
      <c r="E66" s="58">
        <f>SUM(E63:E65)</f>
        <v>110280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239</v>
      </c>
      <c r="C68" s="56" t="s">
        <v>240</v>
      </c>
      <c r="D68" s="57" t="s">
        <v>234</v>
      </c>
      <c r="E68" s="57" t="s">
        <v>253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3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4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4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TRUNC(71225.4365120364,-1)</f>
        <v>71220</v>
      </c>
      <c r="E93" s="64">
        <f t="shared" si="2"/>
        <v>235430</v>
      </c>
    </row>
    <row r="94" spans="1:7" ht="17.25" thickBot="1" x14ac:dyDescent="0.35">
      <c r="A94" s="2">
        <v>26</v>
      </c>
      <c r="C94" s="38" t="s">
        <v>47</v>
      </c>
      <c r="D94" s="43">
        <f>TRUNC(158704,-1)</f>
        <v>158700</v>
      </c>
      <c r="E94" s="65">
        <f t="shared" si="2"/>
        <v>524630</v>
      </c>
    </row>
    <row r="95" spans="1:7" x14ac:dyDescent="0.3">
      <c r="A95" s="2">
        <v>27</v>
      </c>
      <c r="C95" s="27" t="s">
        <v>112</v>
      </c>
      <c r="D95" s="39">
        <f>SUM(D69:D94)</f>
        <v>229920</v>
      </c>
      <c r="E95" s="39">
        <f>SUM(E69:E94)</f>
        <v>760060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241</v>
      </c>
      <c r="C97" s="56" t="s">
        <v>240</v>
      </c>
      <c r="D97" s="57" t="s">
        <v>234</v>
      </c>
      <c r="E97" s="57" t="s">
        <v>253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3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4">
        <f t="shared" si="3"/>
        <v>0</v>
      </c>
    </row>
    <row r="100" spans="1:7" x14ac:dyDescent="0.3">
      <c r="A100" s="2">
        <v>3</v>
      </c>
      <c r="C100" s="38" t="s">
        <v>41</v>
      </c>
      <c r="D100" s="42">
        <v>0</v>
      </c>
      <c r="E100" s="64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3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4">
        <f t="shared" si="3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4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4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TRUNC(24641.9051554913,-1)</f>
        <v>24640</v>
      </c>
      <c r="E117" s="64">
        <f t="shared" si="3"/>
        <v>81450</v>
      </c>
    </row>
    <row r="118" spans="1:7" ht="17.25" thickBot="1" x14ac:dyDescent="0.35">
      <c r="A118" s="2">
        <v>21</v>
      </c>
      <c r="C118" s="38" t="s">
        <v>47</v>
      </c>
      <c r="D118" s="43">
        <f>TRUNC(80609,-1)</f>
        <v>80600</v>
      </c>
      <c r="E118" s="65">
        <f t="shared" si="3"/>
        <v>266440</v>
      </c>
    </row>
    <row r="119" spans="1:7" x14ac:dyDescent="0.3">
      <c r="A119" s="2">
        <v>22</v>
      </c>
      <c r="C119" s="27" t="s">
        <v>112</v>
      </c>
      <c r="D119" s="39">
        <f>SUM(D98:D118)</f>
        <v>105240</v>
      </c>
      <c r="E119" s="39">
        <f>SUM(E98:E118)</f>
        <v>347890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242</v>
      </c>
      <c r="C121" s="56" t="s">
        <v>240</v>
      </c>
      <c r="D121" s="57" t="s">
        <v>234</v>
      </c>
      <c r="E121" s="57" t="s">
        <v>253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3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4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TRUNC(36847.2982746151,-1)</f>
        <v>36840</v>
      </c>
      <c r="E131" s="64">
        <f t="shared" si="4"/>
        <v>121780</v>
      </c>
    </row>
    <row r="132" spans="1:7" ht="18" thickBot="1" x14ac:dyDescent="0.35">
      <c r="A132" s="2">
        <v>11</v>
      </c>
      <c r="C132" s="38" t="s">
        <v>47</v>
      </c>
      <c r="D132" s="43">
        <f>TRUNC(47824,-1)</f>
        <v>47820</v>
      </c>
      <c r="E132" s="65">
        <f t="shared" si="4"/>
        <v>158080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84660</v>
      </c>
      <c r="E133" s="39">
        <f>SUM(E122:E132)</f>
        <v>279860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243</v>
      </c>
      <c r="C135" s="56" t="s">
        <v>240</v>
      </c>
      <c r="D135" s="57" t="s">
        <v>234</v>
      </c>
      <c r="E135" s="57" t="s">
        <v>253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0</v>
      </c>
      <c r="E146" s="39">
        <f>SUM(E136:E145)</f>
        <v>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244</v>
      </c>
      <c r="C148" s="56" t="s">
        <v>240</v>
      </c>
      <c r="D148" s="57" t="s">
        <v>234</v>
      </c>
      <c r="E148" s="57" t="s">
        <v>253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4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TRUNC(-1132+105347,-1)</f>
        <v>104210</v>
      </c>
      <c r="E152" s="64">
        <f>TRUNC(+D152*3.3058,-1)</f>
        <v>344490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f>TRUNC(39674.1398904846,-1)</f>
        <v>39670</v>
      </c>
      <c r="E153" s="65">
        <f>TRUNC(+D153*3.3058,-1)</f>
        <v>131140</v>
      </c>
    </row>
    <row r="154" spans="1:7" x14ac:dyDescent="0.3">
      <c r="A154" s="2">
        <v>6</v>
      </c>
      <c r="C154" s="27" t="s">
        <v>112</v>
      </c>
      <c r="D154" s="39">
        <f>SUM(D149:D153)</f>
        <v>143880</v>
      </c>
      <c r="E154" s="39">
        <f>SUM(E149:E153)</f>
        <v>475630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245</v>
      </c>
      <c r="C156" s="56" t="s">
        <v>240</v>
      </c>
      <c r="D156" s="57" t="s">
        <v>234</v>
      </c>
      <c r="E156" s="57" t="s">
        <v>253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3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2020-12-07T09:27:33Z</dcterms:modified>
</cp:coreProperties>
</file>