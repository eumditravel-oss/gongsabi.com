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79" i="4"/>
  <c r="D94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18" i="4"/>
  <c r="E117" i="4"/>
  <c r="E116" i="4"/>
  <c r="E115" i="4"/>
  <c r="E114" i="4"/>
  <c r="E113" i="4"/>
  <c r="E112" i="4"/>
  <c r="E111" i="4"/>
  <c r="E110" i="4"/>
  <c r="E109" i="4"/>
  <c r="E107" i="4"/>
  <c r="E106" i="4"/>
  <c r="E105" i="4"/>
  <c r="E104" i="4"/>
  <c r="E103" i="4"/>
  <c r="E101" i="4"/>
  <c r="E99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1" i="4"/>
  <c r="E65" i="4"/>
  <c r="E64" i="4"/>
  <c r="E63" i="4"/>
  <c r="E66" i="4" s="1"/>
  <c r="E59" i="4"/>
  <c r="E57" i="4"/>
  <c r="E56" i="4"/>
  <c r="E54" i="4"/>
  <c r="E42" i="4"/>
  <c r="E146" i="4" l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D37" i="4"/>
  <c r="E37" i="4" s="1"/>
  <c r="D72" i="4"/>
  <c r="E72" i="4" s="1"/>
  <c r="D70" i="4"/>
  <c r="E70" i="4" s="1"/>
  <c r="D69" i="4"/>
  <c r="E69" i="4" s="1"/>
  <c r="E95" i="4" s="1"/>
  <c r="D108" i="4"/>
  <c r="E108" i="4" s="1"/>
  <c r="D102" i="4"/>
  <c r="E102" i="4" s="1"/>
  <c r="D100" i="4"/>
  <c r="E100" i="4" s="1"/>
  <c r="D98" i="4"/>
  <c r="E98" i="4" s="1"/>
  <c r="E119" i="4" s="1"/>
  <c r="D132" i="4"/>
  <c r="E132" i="4" s="1"/>
  <c r="D122" i="4"/>
  <c r="E122" i="4" s="1"/>
  <c r="E133" i="4" s="1"/>
  <c r="D159" i="4"/>
  <c r="E159" i="4" s="1"/>
  <c r="E161" i="4" s="1"/>
  <c r="D152" i="4"/>
  <c r="E152" i="4" s="1"/>
  <c r="E154" i="4" s="1"/>
  <c r="E60" i="4" l="1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D34" i="4"/>
  <c r="E34" i="4" l="1"/>
</calcChain>
</file>

<file path=xl/sharedStrings.xml><?xml version="1.0" encoding="utf-8"?>
<sst xmlns="http://schemas.openxmlformats.org/spreadsheetml/2006/main" count="388" uniqueCount="264">
  <si>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</si>
  <si>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</si>
  <si>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</si>
  <si>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</si>
  <si>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</si>
  <si>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</si>
  <si>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</si>
  <si>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</si>
  <si>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</si>
  <si>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</si>
  <si>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</si>
  <si>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</si>
  <si>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</si>
  <si>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</si>
  <si>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</si>
  <si>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</si>
  <si>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</si>
  <si>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</si>
  <si>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</si>
  <si>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</si>
  <si>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</si>
  <si>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</si>
  <si>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</si>
  <si>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</si>
  <si>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</si>
  <si>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</si>
  <si>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</si>
  <si>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</si>
  <si>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</si>
  <si>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</si>
  <si>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</si>
  <si>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</si>
  <si>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</si>
  <si>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</si>
  <si>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</si>
  <si>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</si>
  <si>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</si>
  <si>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</si>
  <si>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</si>
  <si>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</si>
  <si>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</si>
  <si>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</si>
  <si>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</si>
  <si>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</si>
  <si>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</si>
  <si>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</si>
  <si>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</si>
  <si>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</si>
  <si>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</si>
  <si>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</si>
  <si>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</si>
  <si>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</si>
  <si>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</si>
  <si>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</si>
  <si>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</si>
  <si>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</si>
  <si>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</si>
  <si>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</si>
  <si>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</si>
  <si>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</si>
  <si>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</si>
  <si>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</si>
  <si>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</si>
  <si>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</si>
  <si>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</si>
  <si>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</si>
  <si>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</si>
  <si>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</si>
  <si>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</si>
  <si>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</si>
  <si>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</si>
  <si>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</si>
  <si>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</si>
  <si>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</si>
  <si>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</si>
  <si>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</si>
  <si>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</si>
  <si>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</si>
  <si>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</si>
  <si>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</si>
  <si>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</si>
  <si>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</si>
  <si>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</si>
  <si>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</si>
  <si>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</si>
  <si>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</si>
  <si>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</si>
  <si>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</si>
  <si>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</si>
  <si>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</si>
  <si>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</si>
  <si>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</si>
  <si>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</si>
  <si>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</si>
  <si>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</si>
  <si>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</si>
  <si>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</si>
  <si>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</si>
  <si>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</si>
  <si>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</si>
  <si>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</si>
  <si>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</si>
  <si>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</si>
  <si>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</si>
  <si>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</si>
  <si>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</si>
  <si>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</si>
  <si>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</si>
  <si>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</si>
  <si>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</si>
  <si>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</si>
  <si>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</si>
  <si>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</si>
  <si>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</si>
  <si>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</si>
  <si>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</si>
  <si>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</si>
  <si>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</si>
  <si>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</si>
  <si>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</si>
  <si>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</si>
  <si>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</si>
  <si>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</si>
  <si>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</si>
  <si>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</si>
  <si>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</si>
  <si>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</si>
  <si>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</si>
  <si>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</si>
  <si>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</si>
  <si>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</si>
  <si>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</si>
  <si>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</si>
  <si>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</si>
  <si>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</si>
  <si>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</si>
  <si>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</si>
  <si>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</si>
  <si>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</si>
  <si>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</si>
  <si>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</si>
  <si>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</si>
  <si>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</si>
  <si>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</si>
  <si>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</si>
  <si>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</si>
  <si>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</si>
  <si>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</si>
  <si>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</si>
  <si>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</si>
  <si>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</si>
  <si>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</si>
  <si>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</si>
  <si>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</si>
  <si>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</si>
  <si>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</si>
  <si>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</si>
  <si>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</si>
  <si>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</si>
  <si>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</si>
  <si>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</si>
  <si>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</si>
  <si>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</si>
  <si>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</si>
  <si>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</si>
  <si>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</si>
  <si>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</si>
  <si>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</si>
  <si>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</si>
  <si>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</si>
  <si>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</si>
  <si>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</si>
  <si>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</si>
  <si>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</si>
  <si>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</si>
  <si>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</si>
  <si>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</si>
  <si>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</si>
  <si>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</si>
  <si>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</si>
  <si>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</si>
  <si>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</si>
  <si>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</si>
  <si>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</si>
  <si>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</si>
  <si>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</si>
  <si>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</si>
  <si>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</si>
  <si>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</si>
  <si>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</si>
  <si>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</si>
  <si>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</si>
  <si>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</si>
  <si>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</si>
  <si>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</si>
  <si>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</si>
  <si>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</si>
  <si>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</si>
  <si>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</si>
  <si>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</si>
  <si>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</si>
  <si>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</si>
  <si>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</si>
  <si>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</si>
  <si>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</si>
  <si>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</si>
  <si>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</si>
  <si>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</si>
  <si>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</si>
  <si>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</si>
  <si>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</si>
  <si>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</si>
  <si>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</si>
  <si>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</si>
  <si>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</si>
  <si>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</si>
  <si>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</si>
  <si>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</si>
  <si>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</si>
  <si>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</si>
  <si>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</si>
  <si>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</si>
  <si>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</si>
  <si>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</si>
  <si>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</si>
  <si>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</si>
  <si>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</si>
  <si>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</si>
  <si>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</si>
  <si>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</si>
  <si>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</si>
  <si>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</si>
  <si>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</si>
  <si>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</si>
  <si>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</si>
  <si>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</si>
  <si>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</si>
  <si>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</si>
  <si>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</si>
  <si>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</si>
  <si>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</si>
  <si>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</si>
  <si>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</si>
  <si>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</si>
  <si>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</si>
  <si>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</si>
  <si>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</si>
  <si>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 직장어린이집 신축공사</t>
    <phoneticPr fontId="2" type="noConversion"/>
  </si>
  <si>
    <t>기타</t>
  </si>
  <si>
    <t>경기도</t>
  </si>
  <si>
    <t>부대공사</t>
    <phoneticPr fontId="2" type="noConversion"/>
  </si>
  <si>
    <t>조경공사</t>
    <phoneticPr fontId="2" type="noConversion"/>
  </si>
  <si>
    <t>기계 소화설비공사</t>
    <phoneticPr fontId="2" type="noConversion"/>
  </si>
  <si>
    <t>통신간선설비,난방제어설비공사,CCTV설비</t>
    <phoneticPr fontId="2" type="noConversion"/>
  </si>
  <si>
    <t>토및지정공사,기타공사,철거공사,작업부산물,골재비</t>
    <phoneticPr fontId="2" type="noConversion"/>
  </si>
  <si>
    <t>원 /평</t>
    <phoneticPr fontId="2" type="noConversion"/>
  </si>
  <si>
    <t>원 /평</t>
    <phoneticPr fontId="2" type="noConversion"/>
  </si>
  <si>
    <t>난방배관공사,위생배관공사</t>
    <phoneticPr fontId="2" type="noConversion"/>
  </si>
  <si>
    <t>환기덕트설치공사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</si>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</sst>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499</v>
      </c>
      <c r="D7" s="36">
        <f>+C7/3.3058</f>
        <v>150.94682073930667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255</v>
      </c>
    </row>
    <row r="24" spans="1:5" x14ac:dyDescent="0.3">
      <c r="B24" s="2">
        <v>1</v>
      </c>
      <c r="C24" s="35" t="s">
        <v>110</v>
      </c>
      <c r="D24" s="41">
        <f>+D37</f>
        <v>5540</v>
      </c>
      <c r="E24" s="58">
        <f t="shared" ref="E24:E33" si="0">TRUNC(+D24*3.3058,-1)</f>
        <v>18310</v>
      </c>
    </row>
    <row r="25" spans="1:5" x14ac:dyDescent="0.3">
      <c r="B25" s="2">
        <v>2</v>
      </c>
      <c r="C25" s="35" t="s">
        <v>111</v>
      </c>
      <c r="D25" s="45">
        <f>+D60</f>
        <v>1101060</v>
      </c>
      <c r="E25" s="59">
        <f t="shared" si="0"/>
        <v>3639880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219580</v>
      </c>
      <c r="E27" s="59">
        <f t="shared" si="0"/>
        <v>725880</v>
      </c>
    </row>
    <row r="28" spans="1:5" x14ac:dyDescent="0.3">
      <c r="B28" s="2">
        <v>5</v>
      </c>
      <c r="C28" s="35" t="s">
        <v>97</v>
      </c>
      <c r="D28" s="45">
        <f>+D119</f>
        <v>148920</v>
      </c>
      <c r="E28" s="59">
        <f t="shared" si="0"/>
        <v>492290</v>
      </c>
    </row>
    <row r="29" spans="1:5" x14ac:dyDescent="0.3">
      <c r="B29" s="2">
        <v>6</v>
      </c>
      <c r="C29" s="35" t="s">
        <v>98</v>
      </c>
      <c r="D29" s="45">
        <f>+D133</f>
        <v>114710</v>
      </c>
      <c r="E29" s="59">
        <f t="shared" si="0"/>
        <v>379200</v>
      </c>
    </row>
    <row r="30" spans="1:5" x14ac:dyDescent="0.3">
      <c r="B30" s="2">
        <v>7</v>
      </c>
      <c r="C30" s="35" t="s">
        <v>99</v>
      </c>
      <c r="D30" s="45">
        <f>+D146</f>
        <v>66770</v>
      </c>
      <c r="E30" s="59">
        <f t="shared" si="0"/>
        <v>220720</v>
      </c>
    </row>
    <row r="31" spans="1:5" x14ac:dyDescent="0.3">
      <c r="B31" s="2">
        <v>8</v>
      </c>
      <c r="C31" s="35" t="s">
        <v>100</v>
      </c>
      <c r="D31" s="45">
        <f>+D154</f>
        <v>79310</v>
      </c>
      <c r="E31" s="59">
        <f t="shared" si="0"/>
        <v>262180</v>
      </c>
    </row>
    <row r="32" spans="1:5" x14ac:dyDescent="0.3">
      <c r="B32" s="2">
        <v>9</v>
      </c>
      <c r="C32" s="35" t="s">
        <v>101</v>
      </c>
      <c r="D32" s="45">
        <f>+D161</f>
        <v>5310</v>
      </c>
      <c r="E32" s="59">
        <f t="shared" si="0"/>
        <v>17550</v>
      </c>
    </row>
    <row r="33" spans="1:7" x14ac:dyDescent="0.3">
      <c r="B33" s="2">
        <v>10</v>
      </c>
      <c r="C33" s="35" t="s">
        <v>153</v>
      </c>
      <c r="D33" s="53">
        <f>TRUNC(SUM(D24:D32)*0.275,-1)</f>
        <v>478830</v>
      </c>
      <c r="E33" s="60">
        <f t="shared" si="0"/>
        <v>1582910</v>
      </c>
    </row>
    <row r="34" spans="1:7" x14ac:dyDescent="0.3">
      <c r="C34" s="35" t="s">
        <v>112</v>
      </c>
      <c r="D34" s="44">
        <f>SUM(D24:D33)</f>
        <v>2220030</v>
      </c>
      <c r="E34" s="44">
        <f>SUM(E24:E33)</f>
        <v>7338920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255</v>
      </c>
      <c r="G36" s="55"/>
    </row>
    <row r="37" spans="1:7" ht="17.25" thickBot="1" x14ac:dyDescent="0.35">
      <c r="C37" s="38" t="s">
        <v>143</v>
      </c>
      <c r="D37" s="52">
        <f>TRUNC(5548,-1)</f>
        <v>5540</v>
      </c>
      <c r="E37" s="61">
        <f>TRUNC(+D37*3.3058,-1)</f>
        <v>18310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TRUNC(37213,-1)</f>
        <v>37210</v>
      </c>
      <c r="E40" s="62">
        <f t="shared" ref="E40:E59" si="1">TRUNC(+D40*3.3058,-1)</f>
        <v>123000</v>
      </c>
    </row>
    <row r="41" spans="1:7" x14ac:dyDescent="0.3">
      <c r="A41" s="2">
        <v>2</v>
      </c>
      <c r="C41" s="38" t="s">
        <v>13</v>
      </c>
      <c r="D41" s="42">
        <f>TRUNC(199955,-1)</f>
        <v>199950</v>
      </c>
      <c r="E41" s="63">
        <f t="shared" si="1"/>
        <v>660990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TRUNC(85669,-1)</f>
        <v>85660</v>
      </c>
      <c r="E43" s="63">
        <f t="shared" si="1"/>
        <v>283170</v>
      </c>
    </row>
    <row r="44" spans="1:7" x14ac:dyDescent="0.3">
      <c r="A44" s="2">
        <v>5</v>
      </c>
      <c r="C44" s="38" t="s">
        <v>17</v>
      </c>
      <c r="D44" s="42">
        <f>TRUNC(56190,-1)</f>
        <v>56190</v>
      </c>
      <c r="E44" s="63">
        <f t="shared" si="1"/>
        <v>185750</v>
      </c>
    </row>
    <row r="45" spans="1:7" x14ac:dyDescent="0.3">
      <c r="A45" s="2">
        <v>6</v>
      </c>
      <c r="C45" s="38" t="s">
        <v>18</v>
      </c>
      <c r="D45" s="42">
        <f>TRUNC(13939,-1)</f>
        <v>13930</v>
      </c>
      <c r="E45" s="63">
        <f t="shared" si="1"/>
        <v>46040</v>
      </c>
    </row>
    <row r="46" spans="1:7" x14ac:dyDescent="0.3">
      <c r="A46" s="2">
        <v>7</v>
      </c>
      <c r="C46" s="38" t="s">
        <v>19</v>
      </c>
      <c r="D46" s="42">
        <f>TRUNC(3153,-1)</f>
        <v>3150</v>
      </c>
      <c r="E46" s="63">
        <f t="shared" si="1"/>
        <v>10410</v>
      </c>
    </row>
    <row r="47" spans="1:7" x14ac:dyDescent="0.3">
      <c r="A47" s="2">
        <v>8</v>
      </c>
      <c r="C47" s="38" t="s">
        <v>20</v>
      </c>
      <c r="D47" s="42">
        <f>TRUNC(176432,-1)</f>
        <v>176430</v>
      </c>
      <c r="E47" s="63">
        <f t="shared" si="1"/>
        <v>583240</v>
      </c>
    </row>
    <row r="48" spans="1:7" x14ac:dyDescent="0.3">
      <c r="A48" s="2">
        <v>9</v>
      </c>
      <c r="C48" s="38" t="s">
        <v>21</v>
      </c>
      <c r="D48" s="42">
        <f>TRUNC(32815,-1)</f>
        <v>32810</v>
      </c>
      <c r="E48" s="63">
        <f t="shared" si="1"/>
        <v>108460</v>
      </c>
    </row>
    <row r="49" spans="1:7" x14ac:dyDescent="0.3">
      <c r="A49" s="2">
        <v>10</v>
      </c>
      <c r="C49" s="38" t="s">
        <v>22</v>
      </c>
      <c r="D49" s="42">
        <f>TRUNC(14021,-1)</f>
        <v>14020</v>
      </c>
      <c r="E49" s="63">
        <f t="shared" si="1"/>
        <v>46340</v>
      </c>
    </row>
    <row r="50" spans="1:7" x14ac:dyDescent="0.3">
      <c r="A50" s="2">
        <v>11</v>
      </c>
      <c r="C50" s="38" t="s">
        <v>154</v>
      </c>
      <c r="D50" s="42">
        <f>TRUNC(169907,-1)</f>
        <v>169900</v>
      </c>
      <c r="E50" s="63">
        <f t="shared" si="1"/>
        <v>561650</v>
      </c>
    </row>
    <row r="51" spans="1:7" x14ac:dyDescent="0.3">
      <c r="A51" s="2">
        <v>12</v>
      </c>
      <c r="C51" s="38" t="s">
        <v>23</v>
      </c>
      <c r="D51" s="42">
        <f>TRUNC(60466,-1)</f>
        <v>60460</v>
      </c>
      <c r="E51" s="63">
        <f t="shared" si="1"/>
        <v>199860</v>
      </c>
    </row>
    <row r="52" spans="1:7" x14ac:dyDescent="0.3">
      <c r="A52" s="2">
        <v>13</v>
      </c>
      <c r="C52" s="38" t="s">
        <v>24</v>
      </c>
      <c r="D52" s="42">
        <f>TRUNC(34238,-1)</f>
        <v>34230</v>
      </c>
      <c r="E52" s="63">
        <f t="shared" si="1"/>
        <v>113150</v>
      </c>
    </row>
    <row r="53" spans="1:7" x14ac:dyDescent="0.3">
      <c r="A53" s="2">
        <v>14</v>
      </c>
      <c r="C53" s="38" t="s">
        <v>25</v>
      </c>
      <c r="D53" s="42">
        <f>TRUNC(150735,-1)</f>
        <v>150730</v>
      </c>
      <c r="E53" s="63">
        <f t="shared" si="1"/>
        <v>498280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TRUNC(2203,-1)</f>
        <v>2200</v>
      </c>
      <c r="E55" s="63">
        <f t="shared" si="1"/>
        <v>7270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TRUNC(16197+30807+12098-1263+6355,-1)</f>
        <v>64190</v>
      </c>
      <c r="E58" s="63">
        <f t="shared" si="1"/>
        <v>212190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1101060</v>
      </c>
      <c r="E60" s="39">
        <f>SUM(E40:E59)</f>
        <v>3639800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255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255</v>
      </c>
      <c r="G68" s="55"/>
    </row>
    <row r="69" spans="1:7" x14ac:dyDescent="0.3">
      <c r="A69" s="2">
        <v>1</v>
      </c>
      <c r="C69" s="38" t="s">
        <v>30</v>
      </c>
      <c r="D69" s="40">
        <f>TRUNC(32600,-1)</f>
        <v>32600</v>
      </c>
      <c r="E69" s="62">
        <f t="shared" ref="E69:E94" si="2">TRUNC(+D69*3.3058,-1)</f>
        <v>107760</v>
      </c>
    </row>
    <row r="70" spans="1:7" ht="16.5" customHeight="1" x14ac:dyDescent="0.3">
      <c r="A70" s="2">
        <v>2</v>
      </c>
      <c r="C70" s="38" t="s">
        <v>31</v>
      </c>
      <c r="D70" s="42">
        <f>TRUNC(5823,-1)</f>
        <v>5820</v>
      </c>
      <c r="E70" s="63">
        <f t="shared" si="2"/>
        <v>19230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TRUNC(19257,-1)</f>
        <v>19250</v>
      </c>
      <c r="E72" s="63">
        <f t="shared" si="2"/>
        <v>63630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TRUNC(5142,-1)</f>
        <v>5140</v>
      </c>
      <c r="E79" s="63">
        <f t="shared" si="2"/>
        <v>16990</v>
      </c>
      <c r="F79" s="2" t="s">
        <v>258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TRUNC(50922+105848,-1)</f>
        <v>156770</v>
      </c>
      <c r="E94" s="64">
        <f t="shared" si="2"/>
        <v>518250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219580</v>
      </c>
      <c r="E95" s="39">
        <f>SUM(E69:E94)</f>
        <v>725860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255</v>
      </c>
      <c r="G97" s="55"/>
    </row>
    <row r="98" spans="1:7" x14ac:dyDescent="0.3">
      <c r="A98" s="2">
        <v>1</v>
      </c>
      <c r="C98" s="38" t="s">
        <v>39</v>
      </c>
      <c r="D98" s="40">
        <f>TRUNC(43486,-1)</f>
        <v>43480</v>
      </c>
      <c r="E98" s="62">
        <f t="shared" ref="E98:E118" si="3">TRUNC(+D98*3.3058,-1)</f>
        <v>143730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TRUNC(83355,-1)</f>
        <v>83350</v>
      </c>
      <c r="E100" s="63">
        <f t="shared" si="3"/>
        <v>275530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TRUNC(15354,-1)</f>
        <v>15350</v>
      </c>
      <c r="E102" s="63">
        <f t="shared" si="3"/>
        <v>50740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TRUNC(6746,-1)</f>
        <v>6740</v>
      </c>
      <c r="E108" s="63">
        <f t="shared" si="3"/>
        <v>22280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148920</v>
      </c>
      <c r="E119" s="39">
        <f>SUM(E98:E118)</f>
        <v>492280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256</v>
      </c>
      <c r="G121" s="55"/>
    </row>
    <row r="122" spans="1:7" x14ac:dyDescent="0.3">
      <c r="A122" s="2">
        <v>1</v>
      </c>
      <c r="C122" s="38" t="s">
        <v>55</v>
      </c>
      <c r="D122" s="40">
        <f>TRUNC(11578,-1)</f>
        <v>11570</v>
      </c>
      <c r="E122" s="62">
        <f t="shared" ref="E122:E132" si="4">TRUNC(+D122*3.3058,-1)</f>
        <v>38240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TRUNC(44711+2440+55997,-1)</f>
        <v>103140</v>
      </c>
      <c r="E132" s="64">
        <f t="shared" si="4"/>
        <v>340960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114710</v>
      </c>
      <c r="E133" s="39">
        <f>SUM(E122:E132)</f>
        <v>379200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256</v>
      </c>
      <c r="G135" s="55"/>
    </row>
    <row r="136" spans="1:7" x14ac:dyDescent="0.3">
      <c r="A136" s="2">
        <v>1</v>
      </c>
      <c r="C136" s="38" t="s">
        <v>131</v>
      </c>
      <c r="D136" s="40">
        <f>TRUNC(66772,-1)</f>
        <v>66770</v>
      </c>
      <c r="E136" s="62">
        <f t="shared" ref="E136:E145" si="5">TRUNC(+D136*3.3058,-1)</f>
        <v>220720</v>
      </c>
      <c r="F136" s="2" t="s">
        <v>252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66770</v>
      </c>
      <c r="E146" s="39">
        <f>SUM(E136:E145)</f>
        <v>220720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256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TRUNC(79311,-1)</f>
        <v>79310</v>
      </c>
      <c r="E152" s="63">
        <f>TRUNC(+D152*3.3058,-1)</f>
        <v>262180</v>
      </c>
      <c r="F152" s="2" t="s">
        <v>250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79310</v>
      </c>
      <c r="E154" s="39">
        <f>SUM(E149:E153)</f>
        <v>262180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256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TRUNC(5311,-1)</f>
        <v>5310</v>
      </c>
      <c r="E159" s="63">
        <f>TRUNC(+D159*3.3058,-1)</f>
        <v>17550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5310</v>
      </c>
      <c r="E161" s="39">
        <f>SUM(E157:E160)</f>
        <v>17550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2020-12-07T09:44:02Z</dcterms:modified>
</cp:coreProperties>
</file>