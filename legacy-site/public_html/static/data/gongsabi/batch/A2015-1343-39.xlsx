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39" i="4"/>
  <c r="E136" i="4"/>
  <c r="E129" i="4"/>
  <c r="E126" i="4"/>
  <c r="E123" i="4"/>
  <c r="E115" i="4"/>
  <c r="E113" i="4"/>
  <c r="E112" i="4"/>
  <c r="E111" i="4"/>
  <c r="E110" i="4"/>
  <c r="E109" i="4"/>
  <c r="E108" i="4"/>
  <c r="E107" i="4"/>
  <c r="E106" i="4"/>
  <c r="E10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1" i="4"/>
  <c r="E47" i="4"/>
  <c r="E37" i="4"/>
  <c r="D159" i="4" l="1"/>
  <c r="E159" i="4" s="1"/>
  <c r="D158" i="4"/>
  <c r="D157" i="4"/>
  <c r="E157" i="4" s="1"/>
  <c r="D153" i="4"/>
  <c r="E153" i="4" s="1"/>
  <c r="D152" i="4"/>
  <c r="E152" i="4" s="1"/>
  <c r="D151" i="4"/>
  <c r="E151" i="4" s="1"/>
  <c r="D150" i="4"/>
  <c r="D149" i="4"/>
  <c r="E149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E138" i="4" s="1"/>
  <c r="D137" i="4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5" i="4"/>
  <c r="D63" i="4"/>
  <c r="E63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133" i="4" l="1"/>
  <c r="D29" i="4" s="1"/>
  <c r="E29" i="4" s="1"/>
  <c r="E122" i="4"/>
  <c r="E133" i="4" s="1"/>
  <c r="D66" i="4"/>
  <c r="D26" i="4" s="1"/>
  <c r="E26" i="4" s="1"/>
  <c r="E65" i="4"/>
  <c r="D146" i="4"/>
  <c r="D30" i="4" s="1"/>
  <c r="E30" i="4" s="1"/>
  <c r="E137" i="4"/>
  <c r="D60" i="4"/>
  <c r="D25" i="4" s="1"/>
  <c r="E25" i="4" s="1"/>
  <c r="E40" i="4"/>
  <c r="E60" i="4" s="1"/>
  <c r="D95" i="4"/>
  <c r="D27" i="4" s="1"/>
  <c r="E27" i="4" s="1"/>
  <c r="E69" i="4"/>
  <c r="E95" i="4" s="1"/>
  <c r="E146" i="4"/>
  <c r="D154" i="4"/>
  <c r="D31" i="4" s="1"/>
  <c r="E31" i="4" s="1"/>
  <c r="E150" i="4"/>
  <c r="E154" i="4" s="1"/>
  <c r="D119" i="4"/>
  <c r="D28" i="4" s="1"/>
  <c r="E28" i="4" s="1"/>
  <c r="E99" i="4"/>
  <c r="E119" i="4" s="1"/>
  <c r="D161" i="4"/>
  <c r="D32" i="4" s="1"/>
  <c r="E32" i="4" s="1"/>
  <c r="E158" i="4"/>
  <c r="E161" i="4" s="1"/>
  <c r="E66" i="4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<sst xmlns="http://schemas.openxmlformats.org/spreadsheetml/2006/main" count="395" uniqueCount="267">
  <si>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</si>
  <si>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</si>
  <si>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</si>
  <si>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</si>
  <si>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</si>
  <si>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</si>
  <si>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</si>
  <si>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</si>
  <si>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</si>
  <si>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</si>
  <si>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</si>
  <si>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</si>
  <si>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</si>
  <si>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</si>
  <si>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</si>
  <si>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</si>
  <si>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</si>
  <si>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</si>
  <si>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</si>
  <si>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</si>
  <si>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</si>
  <si>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</si>
  <si>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</si>
  <si>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</si>
  <si>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</si>
  <si>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</si>
  <si>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</si>
  <si>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</si>
  <si>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</si>
  <si>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</si>
  <si>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</si>
  <si>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</si>
  <si>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</si>
  <si>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</si>
  <si>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</si>
  <si>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</si>
  <si>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</si>
  <si>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</si>
  <si>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</si>
  <si>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</si>
  <si>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</si>
  <si>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</si>
  <si>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</si>
  <si>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</si>
  <si>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</si>
  <si>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</si>
  <si>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</si>
  <si>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</si>
  <si>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</si>
  <si>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</si>
  <si>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</si>
  <si>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</si>
  <si>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</si>
  <si>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</si>
  <si>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</si>
  <si>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</si>
  <si>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</si>
  <si>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</si>
  <si>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</si>
  <si>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</si>
  <si>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</si>
  <si>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</si>
  <si>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</si>
  <si>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</si>
  <si>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</si>
  <si>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</si>
  <si>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</si>
  <si>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</si>
  <si>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</si>
  <si>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</si>
  <si>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</si>
  <si>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</si>
  <si>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</si>
  <si>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</si>
  <si>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</si>
  <si>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</si>
  <si>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</si>
  <si>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</si>
  <si>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</si>
  <si>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</si>
  <si>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</si>
  <si>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</si>
  <si>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</si>
  <si>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</si>
  <si>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</si>
  <si>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</si>
  <si>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</si>
  <si>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</si>
  <si>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</si>
  <si>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</si>
  <si>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</si>
  <si>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</si>
  <si>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</si>
  <si>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</si>
  <si>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</si>
  <si>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</si>
  <si>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</si>
  <si>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</si>
  <si>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</si>
  <si>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</si>
  <si>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</si>
  <si>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</si>
  <si>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</si>
  <si>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</si>
  <si>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</si>
  <si>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</si>
  <si>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</si>
  <si>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</si>
  <si>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</si>
  <si>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</si>
  <si>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</si>
  <si>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</si>
  <si>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</si>
  <si>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</si>
  <si>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</si>
  <si>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</si>
  <si>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</si>
  <si>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</si>
  <si>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</si>
  <si>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</si>
  <si>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</si>
  <si>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</si>
  <si>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</si>
  <si>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</si>
  <si>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</si>
  <si>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</si>
  <si>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</si>
  <si>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</si>
  <si>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</si>
  <si>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</si>
  <si>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</si>
  <si>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</si>
  <si>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</si>
  <si>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</si>
  <si>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</si>
  <si>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</si>
  <si>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</si>
  <si>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</si>
  <si>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</si>
  <si>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</si>
  <si>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</si>
  <si>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</si>
  <si>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</si>
  <si>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</si>
  <si>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</si>
  <si>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</si>
  <si>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</si>
  <si>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</si>
  <si>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</si>
  <si>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</si>
  <si>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</si>
  <si>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</si>
  <si>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</si>
  <si>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</si>
  <si>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</si>
  <si>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</si>
  <si>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</si>
  <si>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</si>
  <si>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</si>
  <si>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</si>
  <si>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</si>
  <si>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</si>
  <si>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</si>
  <si>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</si>
  <si>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</si>
  <si>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</si>
  <si>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</si>
  <si>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</si>
  <si>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</si>
  <si>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</si>
  <si>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</si>
  <si>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</si>
  <si>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</si>
  <si>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</si>
  <si>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</si>
  <si>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</si>
  <si>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</si>
  <si>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</si>
  <si>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</si>
  <si>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</si>
  <si>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</si>
  <si>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</si>
  <si>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</si>
  <si>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</si>
  <si>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</si>
  <si>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</si>
  <si>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</si>
  <si>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</si>
  <si>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</si>
  <si>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</si>
  <si>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</si>
  <si>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</si>
  <si>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</si>
  <si>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</si>
  <si>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</si>
  <si>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</si>
  <si>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</si>
  <si>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</si>
  <si>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</si>
  <si>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</si>
  <si>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</si>
  <si>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</si>
  <si>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</si>
  <si>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</si>
  <si>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</si>
  <si>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</si>
  <si>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</si>
  <si>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</si>
  <si>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</si>
  <si>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</si>
  <si>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</si>
  <si>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</si>
  <si>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</si>
  <si>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</si>
  <si>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</si>
  <si>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</si>
  <si>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</si>
  <si>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</si>
  <si>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</si>
  <si>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</si>
  <si>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</si>
  <si>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</si>
  <si>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</si>
  <si>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</si>
  <si>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</si>
  <si>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</si>
  <si>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</si>
  <si>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</si>
  <si>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</si>
  <si>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</si>
  <si>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</si>
  <si>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</si>
  <si>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</si>
  <si>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</si>
  <si>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</si>
  <si>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</si>
  <si>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</si>
  <si>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</si>
  <si>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</si>
  <si>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</si>
  <si>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</si>
  <si>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</si>
  <si>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</si>
  <si>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</si>
  <si>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</si>
  <si>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</si>
  <si>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 인천논현경찰서 신축 공사</t>
  </si>
  <si>
    <t>업무</t>
  </si>
  <si>
    <t>인천시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</si>
  <si>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</si>
  <si>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</si>
  <si>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</si>
  <si>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</si>
  <si>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기초공사,골재비및운반비,작업부산물,품질시험비,기타공사</t>
    <phoneticPr fontId="2" type="noConversion"/>
  </si>
  <si>
    <t>우수처리시설공사,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</si>
  <si>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</si>
  <si>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</si>
  <si>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 주차관제설비공사, 기타공사</t>
    <phoneticPr fontId="2" type="noConversion"/>
  </si>
  <si>
    <t>옥외소화배관공사,펌프실배관공사,무선통신보조설비공사</t>
    <phoneticPr fontId="2" type="noConversion"/>
  </si>
  <si>
    <t>토목</t>
    <phoneticPr fontId="2" type="noConversion"/>
  </si>
  <si>
    <t>토목 상수도공사, 토목 사급자재비, 토목 운반비, 토목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</si>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</sst>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12415</v>
      </c>
      <c r="D7" s="36">
        <f>+C7/3.3058</f>
        <v>3755.5206001572992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802190</v>
      </c>
      <c r="E25" s="60">
        <f t="shared" si="0"/>
        <v>2651870</v>
      </c>
    </row>
    <row r="26" spans="1:5" x14ac:dyDescent="0.3">
      <c r="B26" s="2">
        <v>3</v>
      </c>
      <c r="C26" s="35" t="s">
        <v>95</v>
      </c>
      <c r="D26" s="45">
        <f>+D66</f>
        <v>50790</v>
      </c>
      <c r="E26" s="60">
        <f t="shared" si="0"/>
        <v>167900</v>
      </c>
    </row>
    <row r="27" spans="1:5" x14ac:dyDescent="0.3">
      <c r="B27" s="2">
        <v>4</v>
      </c>
      <c r="C27" s="35" t="s">
        <v>96</v>
      </c>
      <c r="D27" s="45">
        <f>+D95</f>
        <v>262730</v>
      </c>
      <c r="E27" s="60">
        <f t="shared" si="0"/>
        <v>868530</v>
      </c>
    </row>
    <row r="28" spans="1:5" x14ac:dyDescent="0.3">
      <c r="B28" s="2">
        <v>5</v>
      </c>
      <c r="C28" s="35" t="s">
        <v>97</v>
      </c>
      <c r="D28" s="45">
        <f>+D119</f>
        <v>133520</v>
      </c>
      <c r="E28" s="60">
        <f t="shared" si="0"/>
        <v>441390</v>
      </c>
    </row>
    <row r="29" spans="1:5" x14ac:dyDescent="0.3">
      <c r="B29" s="2">
        <v>6</v>
      </c>
      <c r="C29" s="35" t="s">
        <v>98</v>
      </c>
      <c r="D29" s="45">
        <f>+D133</f>
        <v>157550</v>
      </c>
      <c r="E29" s="60">
        <f t="shared" si="0"/>
        <v>520820</v>
      </c>
    </row>
    <row r="30" spans="1:5" x14ac:dyDescent="0.3">
      <c r="B30" s="2">
        <v>7</v>
      </c>
      <c r="C30" s="35" t="s">
        <v>99</v>
      </c>
      <c r="D30" s="45">
        <f>+D146</f>
        <v>64130</v>
      </c>
      <c r="E30" s="60">
        <f t="shared" si="0"/>
        <v>212000</v>
      </c>
    </row>
    <row r="31" spans="1:5" x14ac:dyDescent="0.3">
      <c r="B31" s="2">
        <v>8</v>
      </c>
      <c r="C31" s="35" t="s">
        <v>100</v>
      </c>
      <c r="D31" s="45">
        <f>+D154</f>
        <v>49600</v>
      </c>
      <c r="E31" s="60">
        <f t="shared" si="0"/>
        <v>163960</v>
      </c>
    </row>
    <row r="32" spans="1:5" x14ac:dyDescent="0.3">
      <c r="B32" s="2">
        <v>9</v>
      </c>
      <c r="C32" s="35" t="s">
        <v>101</v>
      </c>
      <c r="D32" s="45">
        <f>+D161</f>
        <v>28080</v>
      </c>
      <c r="E32" s="60">
        <f t="shared" si="0"/>
        <v>92820</v>
      </c>
    </row>
    <row r="33" spans="1:7" x14ac:dyDescent="0.3">
      <c r="B33" s="2">
        <v>10</v>
      </c>
      <c r="C33" s="35" t="s">
        <v>154</v>
      </c>
      <c r="D33" s="53">
        <f>TRUNC(SUM(D24:D32)*0.275,-1)</f>
        <v>425860</v>
      </c>
      <c r="E33" s="61">
        <f t="shared" si="0"/>
        <v>1407800</v>
      </c>
    </row>
    <row r="34" spans="1:7" x14ac:dyDescent="0.3">
      <c r="C34" s="35" t="s">
        <v>112</v>
      </c>
      <c r="D34" s="44">
        <f>SUM(D24:D33)</f>
        <v>1974450</v>
      </c>
      <c r="E34" s="44">
        <f>SUM(E24:E33)</f>
        <v>6527090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TRUNC(45019,-1)</f>
        <v>45010</v>
      </c>
      <c r="E40" s="63">
        <f t="shared" ref="E40:E59" si="1">TRUNC(+D40*3.3058,-1)</f>
        <v>148790</v>
      </c>
    </row>
    <row r="41" spans="1:7" x14ac:dyDescent="0.3">
      <c r="A41" s="2">
        <v>2</v>
      </c>
      <c r="C41" s="38" t="s">
        <v>13</v>
      </c>
      <c r="D41" s="42">
        <f>TRUNC(135854,-1)</f>
        <v>135850</v>
      </c>
      <c r="E41" s="64">
        <f t="shared" si="1"/>
        <v>449090</v>
      </c>
    </row>
    <row r="42" spans="1:7" x14ac:dyDescent="0.3">
      <c r="A42" s="2">
        <v>3</v>
      </c>
      <c r="C42" s="38" t="s">
        <v>14</v>
      </c>
      <c r="D42" s="42">
        <f>TRUNC(234,-1)</f>
        <v>230</v>
      </c>
      <c r="E42" s="64">
        <f t="shared" si="1"/>
        <v>760</v>
      </c>
    </row>
    <row r="43" spans="1:7" x14ac:dyDescent="0.3">
      <c r="A43" s="2">
        <v>4</v>
      </c>
      <c r="C43" s="38" t="s">
        <v>16</v>
      </c>
      <c r="D43" s="42">
        <f>TRUNC(24388,-1)</f>
        <v>24380</v>
      </c>
      <c r="E43" s="64">
        <f t="shared" si="1"/>
        <v>80590</v>
      </c>
    </row>
    <row r="44" spans="1:7" x14ac:dyDescent="0.3">
      <c r="A44" s="2">
        <v>5</v>
      </c>
      <c r="C44" s="38" t="s">
        <v>17</v>
      </c>
      <c r="D44" s="42">
        <f>TRUNC(22262,-1)</f>
        <v>22260</v>
      </c>
      <c r="E44" s="64">
        <f t="shared" si="1"/>
        <v>73580</v>
      </c>
    </row>
    <row r="45" spans="1:7" x14ac:dyDescent="0.3">
      <c r="A45" s="2">
        <v>6</v>
      </c>
      <c r="C45" s="38" t="s">
        <v>18</v>
      </c>
      <c r="D45" s="42">
        <f>TRUNC(8986,-1)</f>
        <v>8980</v>
      </c>
      <c r="E45" s="64">
        <f t="shared" si="1"/>
        <v>29680</v>
      </c>
    </row>
    <row r="46" spans="1:7" x14ac:dyDescent="0.3">
      <c r="A46" s="2">
        <v>7</v>
      </c>
      <c r="C46" s="38" t="s">
        <v>19</v>
      </c>
      <c r="D46" s="42">
        <f>TRUNC(10771,-1)</f>
        <v>10770</v>
      </c>
      <c r="E46" s="64">
        <f t="shared" si="1"/>
        <v>35600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TRUNC(82858,-1)</f>
        <v>82850</v>
      </c>
      <c r="E48" s="64">
        <f t="shared" si="1"/>
        <v>273880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TRUNC(13256,-1)</f>
        <v>13250</v>
      </c>
      <c r="E49" s="64">
        <f t="shared" si="1"/>
        <v>43800</v>
      </c>
    </row>
    <row r="50" spans="1:7" x14ac:dyDescent="0.3">
      <c r="A50" s="2">
        <v>11</v>
      </c>
      <c r="C50" s="38" t="s">
        <v>155</v>
      </c>
      <c r="D50" s="42">
        <f>TRUNC(44747,-1)</f>
        <v>44740</v>
      </c>
      <c r="E50" s="64">
        <f t="shared" si="1"/>
        <v>147900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TRUNC(11946,-1)</f>
        <v>11940</v>
      </c>
      <c r="E52" s="64">
        <f t="shared" si="1"/>
        <v>39470</v>
      </c>
    </row>
    <row r="53" spans="1:7" x14ac:dyDescent="0.3">
      <c r="A53" s="2">
        <v>14</v>
      </c>
      <c r="C53" s="38" t="s">
        <v>25</v>
      </c>
      <c r="D53" s="42">
        <f>TRUNC(72652,-1)</f>
        <v>72650</v>
      </c>
      <c r="E53" s="64">
        <f t="shared" si="1"/>
        <v>240160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TRUNC(24978+4523-535+418+7769,-1)</f>
        <v>37150</v>
      </c>
      <c r="E58" s="64">
        <f t="shared" si="1"/>
        <v>122810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TRUNC(292131,-1)</f>
        <v>292130</v>
      </c>
      <c r="E59" s="65">
        <f t="shared" si="1"/>
        <v>965720</v>
      </c>
    </row>
    <row r="60" spans="1:7" x14ac:dyDescent="0.3">
      <c r="A60" s="2">
        <v>21</v>
      </c>
      <c r="C60" s="27" t="s">
        <v>112</v>
      </c>
      <c r="D60" s="39">
        <f>SUM(D40:D59)</f>
        <v>802190</v>
      </c>
      <c r="E60" s="39">
        <f>SUM(E40:E59)</f>
        <v>2651830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TRUNC(1772,-1)</f>
        <v>1770</v>
      </c>
      <c r="E63" s="63">
        <f>TRUNC(+D63*3.3058,-1)</f>
        <v>5850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TRUNC(49026,-1)</f>
        <v>49020</v>
      </c>
      <c r="E65" s="65">
        <f>TRUNC(+D65*3.3058,-1)</f>
        <v>162050</v>
      </c>
    </row>
    <row r="66" spans="1:7" x14ac:dyDescent="0.3">
      <c r="A66" s="2">
        <v>4</v>
      </c>
      <c r="C66" s="27" t="s">
        <v>112</v>
      </c>
      <c r="D66" s="57">
        <f>SUM(D63:D65)</f>
        <v>50790</v>
      </c>
      <c r="E66" s="57">
        <f>SUM(E63:E65)</f>
        <v>167900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TRUNC(5482,-1)</f>
        <v>5480</v>
      </c>
      <c r="E69" s="63">
        <f t="shared" ref="E69:E94" si="2">TRUNC(+D69*3.3058,-1)</f>
        <v>18110</v>
      </c>
    </row>
    <row r="70" spans="1:7" ht="16.5" customHeight="1" x14ac:dyDescent="0.3">
      <c r="A70" s="2">
        <v>2</v>
      </c>
      <c r="C70" s="38" t="s">
        <v>31</v>
      </c>
      <c r="D70" s="42">
        <f>TRUNC(646,-1)</f>
        <v>640</v>
      </c>
      <c r="E70" s="64">
        <f t="shared" si="2"/>
        <v>2110</v>
      </c>
    </row>
    <row r="71" spans="1:7" x14ac:dyDescent="0.3">
      <c r="A71" s="2">
        <v>3</v>
      </c>
      <c r="C71" s="38" t="s">
        <v>32</v>
      </c>
      <c r="D71" s="42">
        <f>TRUNC(6107,-1)</f>
        <v>6100</v>
      </c>
      <c r="E71" s="64">
        <f t="shared" si="2"/>
        <v>20160</v>
      </c>
    </row>
    <row r="72" spans="1:7" x14ac:dyDescent="0.3">
      <c r="A72" s="2">
        <v>4</v>
      </c>
      <c r="C72" s="38" t="s">
        <v>33</v>
      </c>
      <c r="D72" s="42">
        <f>TRUNC(2064,-1)</f>
        <v>2060</v>
      </c>
      <c r="E72" s="64">
        <f t="shared" si="2"/>
        <v>6800</v>
      </c>
    </row>
    <row r="73" spans="1:7" x14ac:dyDescent="0.3">
      <c r="A73" s="2">
        <v>5</v>
      </c>
      <c r="C73" s="38" t="s">
        <v>34</v>
      </c>
      <c r="D73" s="42">
        <f>TRUNC(9382,-1)</f>
        <v>9380</v>
      </c>
      <c r="E73" s="64">
        <f t="shared" si="2"/>
        <v>31000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TRUNC(566,-1)</f>
        <v>560</v>
      </c>
      <c r="E75" s="64">
        <f t="shared" si="2"/>
        <v>1850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TRUNC(9058,-1)</f>
        <v>9050</v>
      </c>
      <c r="E89" s="64">
        <f t="shared" si="2"/>
        <v>29910</v>
      </c>
    </row>
    <row r="90" spans="1:7" x14ac:dyDescent="0.3">
      <c r="A90" s="2">
        <v>22</v>
      </c>
      <c r="C90" s="38" t="s">
        <v>36</v>
      </c>
      <c r="D90" s="42">
        <f>TRUNC(3682,-1)</f>
        <v>3680</v>
      </c>
      <c r="E90" s="64">
        <f t="shared" si="2"/>
        <v>12160</v>
      </c>
    </row>
    <row r="91" spans="1:7" x14ac:dyDescent="0.3">
      <c r="A91" s="2">
        <v>23</v>
      </c>
      <c r="C91" s="38" t="s">
        <v>37</v>
      </c>
      <c r="D91" s="42">
        <f>TRUNC(24463,-1)</f>
        <v>24460</v>
      </c>
      <c r="E91" s="64">
        <f t="shared" si="2"/>
        <v>80850</v>
      </c>
    </row>
    <row r="92" spans="1:7" x14ac:dyDescent="0.3">
      <c r="A92" s="2">
        <v>24</v>
      </c>
      <c r="C92" s="38" t="s">
        <v>38</v>
      </c>
      <c r="D92" s="42">
        <f>TRUNC(4704,-1)</f>
        <v>4700</v>
      </c>
      <c r="E92" s="64">
        <f t="shared" si="2"/>
        <v>15530</v>
      </c>
    </row>
    <row r="93" spans="1:7" x14ac:dyDescent="0.3">
      <c r="A93" s="2">
        <v>25</v>
      </c>
      <c r="C93" s="38" t="s">
        <v>148</v>
      </c>
      <c r="D93" s="42">
        <f>TRUNC(179774,-1)</f>
        <v>179770</v>
      </c>
      <c r="E93" s="64">
        <f t="shared" si="2"/>
        <v>594280</v>
      </c>
    </row>
    <row r="94" spans="1:7" ht="17.25" thickBot="1" x14ac:dyDescent="0.35">
      <c r="A94" s="2">
        <v>26</v>
      </c>
      <c r="C94" s="38" t="s">
        <v>47</v>
      </c>
      <c r="D94" s="43">
        <f>TRUNC(1612+1523+13722,-1)</f>
        <v>16850</v>
      </c>
      <c r="E94" s="65">
        <f t="shared" si="2"/>
        <v>55700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262730</v>
      </c>
      <c r="E95" s="39">
        <f>SUM(E69:E94)</f>
        <v>868460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TRUNC(8153,-1)</f>
        <v>8150</v>
      </c>
      <c r="E98" s="63">
        <f t="shared" ref="E98:E118" si="3">TRUNC(+D98*3.3058,-1)</f>
        <v>26940</v>
      </c>
    </row>
    <row r="99" spans="1:7" x14ac:dyDescent="0.3">
      <c r="A99" s="2">
        <v>2</v>
      </c>
      <c r="C99" s="38" t="s">
        <v>40</v>
      </c>
      <c r="D99" s="42">
        <f>TRUNC(11693,-1)</f>
        <v>11690</v>
      </c>
      <c r="E99" s="64">
        <f t="shared" si="3"/>
        <v>38640</v>
      </c>
    </row>
    <row r="100" spans="1:7" x14ac:dyDescent="0.3">
      <c r="A100" s="2">
        <v>3</v>
      </c>
      <c r="C100" s="38" t="s">
        <v>41</v>
      </c>
      <c r="D100" s="42">
        <f>TRUNC(28960,-1)</f>
        <v>28960</v>
      </c>
      <c r="E100" s="64">
        <f t="shared" si="3"/>
        <v>95730</v>
      </c>
    </row>
    <row r="101" spans="1:7" x14ac:dyDescent="0.3">
      <c r="A101" s="2">
        <v>4</v>
      </c>
      <c r="C101" s="38" t="s">
        <v>42</v>
      </c>
      <c r="D101" s="42">
        <f>TRUNC(659,-1)</f>
        <v>650</v>
      </c>
      <c r="E101" s="64">
        <f t="shared" si="3"/>
        <v>2140</v>
      </c>
    </row>
    <row r="102" spans="1:7" x14ac:dyDescent="0.3">
      <c r="A102" s="2">
        <v>5</v>
      </c>
      <c r="C102" s="38" t="s">
        <v>43</v>
      </c>
      <c r="D102" s="42">
        <f>TRUNC(10544,-1)</f>
        <v>10540</v>
      </c>
      <c r="E102" s="64">
        <f t="shared" si="3"/>
        <v>34840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TRUNC(3965,-1)</f>
        <v>3960</v>
      </c>
      <c r="E104" s="64">
        <f t="shared" si="3"/>
        <v>13090</v>
      </c>
    </row>
    <row r="105" spans="1:7" x14ac:dyDescent="0.3">
      <c r="A105" s="2">
        <v>8</v>
      </c>
      <c r="C105" s="38" t="s">
        <v>46</v>
      </c>
      <c r="D105" s="42">
        <f>TRUNC(3558,-1)</f>
        <v>3550</v>
      </c>
      <c r="E105" s="64">
        <f t="shared" si="3"/>
        <v>11730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TRUNC(2685,-1)</f>
        <v>2680</v>
      </c>
      <c r="E114" s="64">
        <f t="shared" si="3"/>
        <v>8850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TRUNC(2555,-1)</f>
        <v>2550</v>
      </c>
      <c r="E116" s="64">
        <f t="shared" si="3"/>
        <v>8420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TRUNC(60494,-1)</f>
        <v>60490</v>
      </c>
      <c r="E117" s="64">
        <f t="shared" si="3"/>
        <v>199960</v>
      </c>
    </row>
    <row r="118" spans="1:7" ht="17.25" thickBot="1" x14ac:dyDescent="0.35">
      <c r="A118" s="2">
        <v>21</v>
      </c>
      <c r="C118" s="38" t="s">
        <v>47</v>
      </c>
      <c r="D118" s="43">
        <f>TRUNC(304,-1)</f>
        <v>300</v>
      </c>
      <c r="E118" s="65">
        <f t="shared" si="3"/>
        <v>990</v>
      </c>
    </row>
    <row r="119" spans="1:7" x14ac:dyDescent="0.3">
      <c r="A119" s="2">
        <v>22</v>
      </c>
      <c r="C119" s="27" t="s">
        <v>112</v>
      </c>
      <c r="D119" s="39">
        <f>SUM(D98:D118)</f>
        <v>133520</v>
      </c>
      <c r="E119" s="39">
        <f>SUM(E98:E118)</f>
        <v>441330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TRUNC(2550,-1)</f>
        <v>2550</v>
      </c>
      <c r="E122" s="63">
        <f t="shared" ref="E122:E132" si="4">TRUNC(+D122*3.3058,-1)</f>
        <v>8420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TRUNC(924,-1)</f>
        <v>920</v>
      </c>
      <c r="E124" s="64">
        <f t="shared" si="4"/>
        <v>3040</v>
      </c>
    </row>
    <row r="125" spans="1:7" x14ac:dyDescent="0.3">
      <c r="A125" s="2">
        <v>4</v>
      </c>
      <c r="C125" s="38" t="s">
        <v>138</v>
      </c>
      <c r="D125" s="42">
        <f>TRUNC(5031,-1)</f>
        <v>5030</v>
      </c>
      <c r="E125" s="64">
        <f t="shared" si="4"/>
        <v>16620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TRUNC(1249,-1)</f>
        <v>1240</v>
      </c>
      <c r="E127" s="64">
        <f t="shared" si="4"/>
        <v>4090</v>
      </c>
    </row>
    <row r="128" spans="1:7" x14ac:dyDescent="0.3">
      <c r="A128" s="2">
        <v>7</v>
      </c>
      <c r="C128" s="38" t="s">
        <v>46</v>
      </c>
      <c r="D128" s="42">
        <f>TRUNC(3423,-1)</f>
        <v>3420</v>
      </c>
      <c r="E128" s="64">
        <f t="shared" si="4"/>
        <v>11300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TRUNC(34993,-1)</f>
        <v>34990</v>
      </c>
      <c r="E130" s="64">
        <f t="shared" si="4"/>
        <v>115660</v>
      </c>
    </row>
    <row r="131" spans="1:7" x14ac:dyDescent="0.3">
      <c r="A131" s="2">
        <v>10</v>
      </c>
      <c r="C131" s="38" t="s">
        <v>148</v>
      </c>
      <c r="D131" s="42">
        <f>TRUNC(97319,-1)</f>
        <v>97310</v>
      </c>
      <c r="E131" s="64">
        <f t="shared" si="4"/>
        <v>321680</v>
      </c>
    </row>
    <row r="132" spans="1:7" ht="17.25" thickBot="1" x14ac:dyDescent="0.35">
      <c r="A132" s="2">
        <v>11</v>
      </c>
      <c r="C132" s="38" t="s">
        <v>47</v>
      </c>
      <c r="D132" s="43">
        <f>TRUNC(2653+1418+8022,-1)</f>
        <v>12090</v>
      </c>
      <c r="E132" s="65">
        <f t="shared" si="4"/>
        <v>39960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157550</v>
      </c>
      <c r="E133" s="39">
        <f>SUM(E122:E132)</f>
        <v>520770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TRUNC(122+1389+1781,-1)</f>
        <v>3290</v>
      </c>
      <c r="E137" s="64">
        <f t="shared" si="5"/>
        <v>10870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TRUNC(6375,-1)</f>
        <v>6370</v>
      </c>
      <c r="E138" s="64">
        <f t="shared" si="5"/>
        <v>21050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TRUNC(2237,-1)</f>
        <v>2230</v>
      </c>
      <c r="E140" s="64">
        <f t="shared" si="5"/>
        <v>7370</v>
      </c>
    </row>
    <row r="141" spans="1:7" x14ac:dyDescent="0.3">
      <c r="A141" s="2">
        <v>6</v>
      </c>
      <c r="C141" s="38" t="s">
        <v>59</v>
      </c>
      <c r="D141" s="42">
        <f>TRUNC(25640,-1)</f>
        <v>25640</v>
      </c>
      <c r="E141" s="64">
        <f t="shared" si="5"/>
        <v>84760</v>
      </c>
    </row>
    <row r="142" spans="1:7" x14ac:dyDescent="0.3">
      <c r="A142" s="2">
        <v>7</v>
      </c>
      <c r="C142" s="38" t="s">
        <v>58</v>
      </c>
      <c r="D142" s="42">
        <f>TRUNC(4739,-1)</f>
        <v>4730</v>
      </c>
      <c r="E142" s="64">
        <f t="shared" si="5"/>
        <v>15630</v>
      </c>
    </row>
    <row r="143" spans="1:7" x14ac:dyDescent="0.3">
      <c r="A143" s="2">
        <v>8</v>
      </c>
      <c r="C143" s="38" t="s">
        <v>62</v>
      </c>
      <c r="D143" s="42">
        <f>TRUNC(5092,-1)</f>
        <v>5090</v>
      </c>
      <c r="E143" s="64">
        <f t="shared" si="5"/>
        <v>16820</v>
      </c>
    </row>
    <row r="144" spans="1:7" x14ac:dyDescent="0.3">
      <c r="A144" s="2">
        <v>9</v>
      </c>
      <c r="C144" s="38" t="s">
        <v>63</v>
      </c>
      <c r="D144" s="42">
        <f>TRUNC(14909,-1)</f>
        <v>14900</v>
      </c>
      <c r="E144" s="64">
        <f t="shared" si="5"/>
        <v>49250</v>
      </c>
    </row>
    <row r="145" spans="1:7" ht="17.25" thickBot="1" x14ac:dyDescent="0.35">
      <c r="A145" s="2">
        <v>10</v>
      </c>
      <c r="C145" s="38" t="s">
        <v>148</v>
      </c>
      <c r="D145" s="43">
        <f>TRUNC(1889,-1)</f>
        <v>1880</v>
      </c>
      <c r="E145" s="65">
        <f t="shared" si="5"/>
        <v>6210</v>
      </c>
    </row>
    <row r="146" spans="1:7" x14ac:dyDescent="0.3">
      <c r="A146" s="2">
        <v>11</v>
      </c>
      <c r="C146" s="27" t="s">
        <v>112</v>
      </c>
      <c r="D146" s="39">
        <f>SUM(D136:D145)</f>
        <v>64130</v>
      </c>
      <c r="E146" s="39">
        <f>SUM(E136:E145)</f>
        <v>211960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TRUNC(6314+2110,-1)</f>
        <v>8420</v>
      </c>
      <c r="E149" s="63">
        <f>TRUNC(+D149*3.3058,-1)</f>
        <v>27830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TRUNC(4427,-1)</f>
        <v>4420</v>
      </c>
      <c r="E150" s="64">
        <f>TRUNC(+D150*3.3058,-1)</f>
        <v>14610</v>
      </c>
      <c r="F150" s="2" t="s">
        <v>259</v>
      </c>
    </row>
    <row r="151" spans="1:7" x14ac:dyDescent="0.3">
      <c r="A151" s="2">
        <v>3</v>
      </c>
      <c r="C151" s="38" t="s">
        <v>50</v>
      </c>
      <c r="D151" s="42">
        <f>TRUNC(2618,-1)</f>
        <v>2610</v>
      </c>
      <c r="E151" s="64">
        <f>TRUNC(+D151*3.3058,-1)</f>
        <v>8620</v>
      </c>
    </row>
    <row r="152" spans="1:7" x14ac:dyDescent="0.3">
      <c r="A152" s="2">
        <v>4</v>
      </c>
      <c r="C152" s="38" t="s">
        <v>47</v>
      </c>
      <c r="D152" s="42">
        <f>TRUNC(148+12849+337+2439,-1)</f>
        <v>15770</v>
      </c>
      <c r="E152" s="64">
        <f>TRUNC(+D152*3.3058,-1)</f>
        <v>52130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TRUNC(18385,-1)</f>
        <v>18380</v>
      </c>
      <c r="E153" s="65">
        <f>TRUNC(+D153*3.3058,-1)</f>
        <v>60760</v>
      </c>
      <c r="F153" s="2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49600</v>
      </c>
      <c r="E154" s="39">
        <f>SUM(E149:E153)</f>
        <v>163950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TRUNC(11380,-1)</f>
        <v>11380</v>
      </c>
      <c r="E157" s="63">
        <f>TRUNC(+D157*3.3058,-1)</f>
        <v>37620</v>
      </c>
    </row>
    <row r="158" spans="1:7" x14ac:dyDescent="0.3">
      <c r="A158" s="2">
        <v>2</v>
      </c>
      <c r="C158" s="38" t="s">
        <v>52</v>
      </c>
      <c r="D158" s="42">
        <f>TRUNC(12867,-1)</f>
        <v>12860</v>
      </c>
      <c r="E158" s="64">
        <f>TRUNC(+D158*3.3058,-1)</f>
        <v>42510</v>
      </c>
    </row>
    <row r="159" spans="1:7" x14ac:dyDescent="0.3">
      <c r="A159" s="2">
        <v>3</v>
      </c>
      <c r="C159" s="38" t="s">
        <v>47</v>
      </c>
      <c r="D159" s="42">
        <f>TRUNC(1705+2136,-1)</f>
        <v>3840</v>
      </c>
      <c r="E159" s="64">
        <f>TRUNC(+D159*3.3058,-1)</f>
        <v>12690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28080</v>
      </c>
      <c r="E161" s="39">
        <f>SUM(E157:E160)</f>
        <v>92820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2020-12-07T10:06:13Z</dcterms:modified>
</cp:coreProperties>
</file>