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4" i="4" l="1"/>
  <c r="D94" i="4"/>
  <c r="D159" i="4"/>
  <c r="D152" i="4"/>
  <c r="D131" i="4"/>
  <c r="D117" i="4"/>
  <c r="D93" i="4"/>
  <c r="D59" i="4"/>
  <c r="D99" i="4" l="1"/>
  <c r="E99" i="4" s="1"/>
  <c r="D118" i="4"/>
  <c r="E118" i="4" s="1"/>
  <c r="E160" i="4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1" i="4"/>
  <c r="E130" i="4"/>
  <c r="E129" i="4"/>
  <c r="E123" i="4"/>
  <c r="E117" i="4"/>
  <c r="E116" i="4"/>
  <c r="E113" i="4"/>
  <c r="E112" i="4"/>
  <c r="E111" i="4"/>
  <c r="E110" i="4"/>
  <c r="E109" i="4"/>
  <c r="E108" i="4"/>
  <c r="E107" i="4"/>
  <c r="E106" i="4"/>
  <c r="E103" i="4"/>
  <c r="E101" i="4"/>
  <c r="E94" i="4"/>
  <c r="E93" i="4"/>
  <c r="E91" i="4"/>
  <c r="E89" i="4"/>
  <c r="E87" i="4"/>
  <c r="E86" i="4"/>
  <c r="E83" i="4"/>
  <c r="E82" i="4"/>
  <c r="E81" i="4"/>
  <c r="E80" i="4"/>
  <c r="E79" i="4"/>
  <c r="E76" i="4"/>
  <c r="E74" i="4"/>
  <c r="E73" i="4"/>
  <c r="E72" i="4"/>
  <c r="E65" i="4"/>
  <c r="E64" i="4"/>
  <c r="E59" i="4"/>
  <c r="E57" i="4"/>
  <c r="E56" i="4"/>
  <c r="E66" i="4" l="1"/>
  <c r="E161" i="4"/>
  <c r="E154" i="4"/>
  <c r="D127" i="4"/>
  <c r="E127" i="4" s="1"/>
  <c r="D132" i="4"/>
  <c r="E132" i="4" s="1"/>
  <c r="D128" i="4"/>
  <c r="E128" i="4" s="1"/>
  <c r="D124" i="4"/>
  <c r="E124" i="4" s="1"/>
  <c r="D125" i="4"/>
  <c r="E125" i="4" s="1"/>
  <c r="D122" i="4"/>
  <c r="E122" i="4" s="1"/>
  <c r="D126" i="4"/>
  <c r="E126" i="4" s="1"/>
  <c r="D137" i="4"/>
  <c r="E137" i="4" s="1"/>
  <c r="D104" i="4"/>
  <c r="E104" i="4" s="1"/>
  <c r="D105" i="4"/>
  <c r="E105" i="4" s="1"/>
  <c r="D102" i="4"/>
  <c r="E102" i="4" s="1"/>
  <c r="D100" i="4"/>
  <c r="E100" i="4" s="1"/>
  <c r="D98" i="4"/>
  <c r="E98" i="4" s="1"/>
  <c r="E119" i="4" s="1"/>
  <c r="D115" i="4"/>
  <c r="E115" i="4" s="1"/>
  <c r="D114" i="4"/>
  <c r="E114" i="4" s="1"/>
  <c r="D136" i="4"/>
  <c r="E136" i="4" s="1"/>
  <c r="E146" i="4" s="1"/>
  <c r="D88" i="4"/>
  <c r="E88" i="4" s="1"/>
  <c r="D77" i="4"/>
  <c r="E77" i="4" s="1"/>
  <c r="D85" i="4"/>
  <c r="E85" i="4" s="1"/>
  <c r="D84" i="4"/>
  <c r="E84" i="4" s="1"/>
  <c r="D90" i="4"/>
  <c r="E90" i="4" s="1"/>
  <c r="D75" i="4"/>
  <c r="E75" i="4" s="1"/>
  <c r="D92" i="4"/>
  <c r="E92" i="4" s="1"/>
  <c r="D78" i="4"/>
  <c r="E78" i="4" s="1"/>
  <c r="D71" i="4"/>
  <c r="E71" i="4" s="1"/>
  <c r="D70" i="4"/>
  <c r="E70" i="4" s="1"/>
  <c r="D69" i="4"/>
  <c r="E69" i="4" s="1"/>
  <c r="E95" i="4" s="1"/>
  <c r="D63" i="4"/>
  <c r="E63" i="4" s="1"/>
  <c r="D58" i="4"/>
  <c r="E58" i="4" s="1"/>
  <c r="D54" i="4"/>
  <c r="E54" i="4" s="1"/>
  <c r="D53" i="4"/>
  <c r="E53" i="4" s="1"/>
  <c r="D52" i="4"/>
  <c r="E52" i="4" s="1"/>
  <c r="D46" i="4"/>
  <c r="E46" i="4" s="1"/>
  <c r="D45" i="4"/>
  <c r="E45" i="4" s="1"/>
  <c r="D51" i="4"/>
  <c r="E51" i="4" s="1"/>
  <c r="D50" i="4"/>
  <c r="E50" i="4" s="1"/>
  <c r="D55" i="4"/>
  <c r="E55" i="4" s="1"/>
  <c r="D48" i="4"/>
  <c r="E48" i="4" s="1"/>
  <c r="D47" i="4"/>
  <c r="E47" i="4" s="1"/>
  <c r="D44" i="4"/>
  <c r="E44" i="4" s="1"/>
  <c r="D49" i="4"/>
  <c r="E49" i="4" s="1"/>
  <c r="D43" i="4"/>
  <c r="E43" i="4" s="1"/>
  <c r="D42" i="4"/>
  <c r="E42" i="4" s="1"/>
  <c r="E60" i="4" s="1"/>
  <c r="D41" i="4"/>
  <c r="E41" i="4" s="1"/>
  <c r="D40" i="4"/>
  <c r="E40" i="4" s="1"/>
  <c r="D37" i="4"/>
  <c r="E37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6" i="4"/>
  <c r="D95" i="4"/>
  <c r="D161" i="4"/>
  <c r="D32" i="4" s="1"/>
  <c r="D7" i="4"/>
  <c r="O31" i="1"/>
  <c r="M31" i="1"/>
  <c r="D26" i="4"/>
  <c r="E26" i="4" s="1"/>
  <c r="D154" i="4"/>
  <c r="D146" i="4"/>
  <c r="D30" i="4" s="1"/>
  <c r="E30" i="4" s="1"/>
  <c r="D119" i="4"/>
  <c r="E133" i="4" l="1"/>
  <c r="D133" i="4"/>
  <c r="D29" i="4" s="1"/>
  <c r="D60" i="4"/>
  <c r="D25" i="4" s="1"/>
  <c r="E25" i="4" s="1"/>
  <c r="D27" i="4"/>
  <c r="E32" i="4"/>
  <c r="D31" i="4"/>
  <c r="E29" i="4"/>
  <c r="D28" i="4"/>
  <c r="E27" i="4" l="1"/>
  <c r="E31" i="4"/>
  <c r="E28" i="4"/>
  <c r="D33" i="4"/>
  <c r="D34" i="4" s="1"/>
  <c r="E33" i="4" l="1"/>
  <c r="E34" i="4" s="1"/>
</calcChain>
</file>

<file path=xl/sharedStrings.xml><?xml version="1.0" encoding="utf-8"?>
<sst xmlns="http://schemas.openxmlformats.org/spreadsheetml/2006/main" count="394" uniqueCount="329">
  <si>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</si>
  <si>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</si>
  <si>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</si>
  <si>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</si>
  <si>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</si>
  <si>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</si>
  <si>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</si>
  <si>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</si>
  <si>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</si>
  <si>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</si>
  <si>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</si>
  <si>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</si>
  <si>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</si>
  <si>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</si>
  <si>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</si>
  <si>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</si>
  <si>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</si>
  <si>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</si>
  <si>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</si>
  <si>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</si>
  <si>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</si>
  <si>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</si>
  <si>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</si>
  <si>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</si>
  <si>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</si>
  <si>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</si>
  <si>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</si>
  <si>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</si>
  <si>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</si>
  <si>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</si>
  <si>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</si>
  <si>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</si>
  <si>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</si>
  <si>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</si>
  <si>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</si>
  <si>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</si>
  <si>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</si>
  <si>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</si>
  <si>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</si>
  <si>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</si>
  <si>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</si>
  <si>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</si>
  <si>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</si>
  <si>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</si>
  <si>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</si>
  <si>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</si>
  <si>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</si>
  <si>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</si>
  <si>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</si>
  <si>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</si>
  <si>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</si>
  <si>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</si>
  <si>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</si>
  <si>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</si>
  <si>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</si>
  <si>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</si>
  <si>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</si>
  <si>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</si>
  <si>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</si>
  <si>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</si>
  <si>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</si>
  <si>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</si>
  <si>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</si>
  <si>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</si>
  <si>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</si>
  <si>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</si>
  <si>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</si>
  <si>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</si>
  <si>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</si>
  <si>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</si>
  <si>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</si>
  <si>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</si>
  <si>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</si>
  <si>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</si>
  <si>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</si>
  <si>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</si>
  <si>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</si>
  <si>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</si>
  <si>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</si>
  <si>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</si>
  <si>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</si>
  <si>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</si>
  <si>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</si>
  <si>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</si>
  <si>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</si>
  <si>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</si>
  <si>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</si>
  <si>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</si>
  <si>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</si>
  <si>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</si>
  <si>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</si>
  <si>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</si>
  <si>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</si>
  <si>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</si>
  <si>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</si>
  <si>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</si>
  <si>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</si>
  <si>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</si>
  <si>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</si>
  <si>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</si>
  <si>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</si>
  <si>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</si>
  <si>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</si>
  <si>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</si>
  <si>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</si>
  <si>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</si>
  <si>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</si>
  <si>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</si>
  <si>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</si>
  <si>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</si>
  <si>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</si>
  <si>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</si>
  <si>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</si>
  <si>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</si>
  <si>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</si>
  <si>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</si>
  <si>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</si>
  <si>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</si>
  <si>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</si>
  <si>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</si>
  <si>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</si>
  <si>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</si>
  <si>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</si>
  <si>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</si>
  <si>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</si>
  <si>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</si>
  <si>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</si>
  <si>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</si>
  <si>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</si>
  <si>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</si>
  <si>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</si>
  <si>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</si>
  <si>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</si>
  <si>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</si>
  <si>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</si>
  <si>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</si>
  <si>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</si>
  <si>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</si>
  <si>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</si>
  <si>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</si>
  <si>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</si>
  <si>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</si>
  <si>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</si>
  <si>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</si>
  <si>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</si>
  <si>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</si>
  <si>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</si>
  <si>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</si>
  <si>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</si>
  <si>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</si>
  <si>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</si>
  <si>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</si>
  <si>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</si>
  <si>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</si>
  <si>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</si>
  <si>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</si>
  <si>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</si>
  <si>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</si>
  <si>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</si>
  <si>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</si>
  <si>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</si>
  <si>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</si>
  <si>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</si>
  <si>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</si>
  <si>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</si>
  <si>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</si>
  <si>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</si>
  <si>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</si>
  <si>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</si>
  <si>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</si>
  <si>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</si>
  <si>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</si>
  <si>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</si>
  <si>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</si>
  <si>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</si>
  <si>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</si>
  <si>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</si>
  <si>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</si>
  <si>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</si>
  <si>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</si>
  <si>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</si>
  <si>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</si>
  <si>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</si>
  <si>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</si>
  <si>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</si>
  <si>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</si>
  <si>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</si>
  <si>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</si>
  <si>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</si>
  <si>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</si>
  <si>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</si>
  <si>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</si>
  <si>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</si>
  <si>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</si>
  <si>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</si>
  <si>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</si>
  <si>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</si>
  <si>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</si>
  <si>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</si>
  <si>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</si>
  <si>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</si>
  <si>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</si>
  <si>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</si>
  <si>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</si>
  <si>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</si>
  <si>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</si>
  <si>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</si>
  <si>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</si>
  <si>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</si>
  <si>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</si>
  <si>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</si>
  <si>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</si>
  <si>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</si>
  <si>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</si>
  <si>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</si>
  <si>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</si>
  <si>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</si>
  <si>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</si>
  <si>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</si>
  <si>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</si>
  <si>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</si>
  <si>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</si>
  <si>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</si>
  <si>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</si>
  <si>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</si>
  <si>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</si>
  <si>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</si>
  <si>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</si>
  <si>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</si>
  <si>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</si>
  <si>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</si>
  <si>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</si>
  <si>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</si>
  <si>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</si>
  <si>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</si>
  <si>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</si>
  <si>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</si>
  <si>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</si>
  <si>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</si>
  <si>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</si>
  <si>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</si>
  <si>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</si>
  <si>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</si>
  <si>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</si>
  <si>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</si>
  <si>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</si>
  <si>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</si>
  <si>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</si>
  <si>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</si>
  <si>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</si>
  <si>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</si>
  <si>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</si>
  <si>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</si>
  <si>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</si>
  <si>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</si>
  <si>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</si>
  <si>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</si>
  <si>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</si>
  <si>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</si>
  <si>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</si>
  <si>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</si>
  <si>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</si>
  <si>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</si>
  <si>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</si>
  <si>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</si>
  <si>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</si>
  <si>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</si>
  <si>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</si>
  <si>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</si>
  <si>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</si>
  <si>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</si>
  <si>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</si>
  <si>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</si>
  <si>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</si>
  <si>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</si>
  <si>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</si>
  <si>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</si>
  <si>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</si>
  <si>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</si>
  <si>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</si>
  <si>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</si>
  <si>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</si>
  <si>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</si>
  <si>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</si>
  <si>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</si>
  <si>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</si>
  <si>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</si>
  <si>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</si>
  <si>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</si>
  <si>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</si>
  <si>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</si>
  <si>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</si>
  <si>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</si>
  <si>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</si>
  <si>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</si>
  <si>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</si>
  <si>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</si>
  <si>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</si>
  <si>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</si>
  <si>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</si>
  <si>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</si>
  <si>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</si>
  <si>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</si>
  <si>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</si>
  <si>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</si>
  <si>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</si>
  <si>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</si>
  <si>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</si>
  <si>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00연수원 본원 신청사 건립공사</t>
  </si>
  <si>
    <t>업무</t>
  </si>
  <si>
    <t>충청도</t>
  </si>
  <si>
    <t>품질시험비,기타공사,골재비및운반비,작업부산물</t>
    <phoneticPr fontId="2" type="noConversion"/>
  </si>
  <si>
    <t>토및지정공사</t>
  </si>
  <si>
    <t>위생설비공사</t>
  </si>
  <si>
    <t>전기바닥난방설치공사</t>
  </si>
  <si>
    <t>기계 기계소방공사</t>
    <phoneticPr fontId="2" type="noConversion"/>
  </si>
  <si>
    <t>전기 소방공사</t>
    <phoneticPr fontId="2" type="noConversion"/>
  </si>
  <si>
    <t>TV공청설비공사</t>
  </si>
  <si>
    <t>정보통신설비공사,CCTV설비공사,주차관제설비공사,빌딩안내설비공사,통합,SI설비공사,가설사무소</t>
    <phoneticPr fontId="2" type="noConversion"/>
  </si>
  <si>
    <t>옥외테니스장조명설비공사,경비실전기공사,파고다전기공사,태양광설비공사,전기자동차 충전설비공사,가설사무소</t>
    <phoneticPr fontId="2" type="noConversion"/>
  </si>
  <si>
    <t>동력설비공사,주방동력설비공사</t>
    <phoneticPr fontId="2" type="noConversion"/>
  </si>
  <si>
    <t>부대토목공사</t>
    <phoneticPr fontId="2" type="noConversion"/>
  </si>
  <si>
    <t>조경공사</t>
    <phoneticPr fontId="2" type="noConversion"/>
  </si>
  <si>
    <t>원/ m2</t>
  </si>
  <si>
    <t>원 /평</t>
  </si>
  <si>
    <t>공조배관공사,우수처리시설공사,VAV디퓨저설치공사,주방기구설치공사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</si>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</sst>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0" sqref="G1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19669</v>
      </c>
      <c r="D7" s="36">
        <f>+C7/3.3058</f>
        <v>5949.8457256942338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74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327</v>
      </c>
    </row>
    <row r="19" spans="1:5" x14ac:dyDescent="0.3">
      <c r="A19" s="2">
        <v>9</v>
      </c>
      <c r="B19" s="2" t="s">
        <v>328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10700</v>
      </c>
      <c r="E24" s="59">
        <f t="shared" ref="E24:E33" si="0">TRUNC(+D24*3.3058,-1)</f>
        <v>35370</v>
      </c>
    </row>
    <row r="25" spans="1:5" x14ac:dyDescent="0.3">
      <c r="B25" s="2">
        <v>2</v>
      </c>
      <c r="C25" s="35" t="s">
        <v>45</v>
      </c>
      <c r="D25" s="47">
        <f>+D60</f>
        <v>810080</v>
      </c>
      <c r="E25" s="60">
        <f t="shared" si="0"/>
        <v>2677960</v>
      </c>
    </row>
    <row r="26" spans="1:5" x14ac:dyDescent="0.3">
      <c r="B26" s="2">
        <v>3</v>
      </c>
      <c r="C26" s="35" t="s">
        <v>29</v>
      </c>
      <c r="D26" s="47">
        <f>+D66</f>
        <v>5910</v>
      </c>
      <c r="E26" s="60">
        <f t="shared" si="0"/>
        <v>19530</v>
      </c>
    </row>
    <row r="27" spans="1:5" x14ac:dyDescent="0.3">
      <c r="B27" s="2">
        <v>4</v>
      </c>
      <c r="C27" s="35" t="s">
        <v>30</v>
      </c>
      <c r="D27" s="47">
        <f>+D95</f>
        <v>355130</v>
      </c>
      <c r="E27" s="60">
        <f t="shared" si="0"/>
        <v>1173980</v>
      </c>
    </row>
    <row r="28" spans="1:5" x14ac:dyDescent="0.3">
      <c r="B28" s="2">
        <v>5</v>
      </c>
      <c r="C28" s="35" t="s">
        <v>31</v>
      </c>
      <c r="D28" s="47">
        <f>+D119</f>
        <v>122550</v>
      </c>
      <c r="E28" s="60">
        <f t="shared" si="0"/>
        <v>405120</v>
      </c>
    </row>
    <row r="29" spans="1:5" x14ac:dyDescent="0.3">
      <c r="B29" s="2">
        <v>6</v>
      </c>
      <c r="C29" s="35" t="s">
        <v>32</v>
      </c>
      <c r="D29" s="47">
        <f>+D133</f>
        <v>98500</v>
      </c>
      <c r="E29" s="60">
        <f t="shared" si="0"/>
        <v>325620</v>
      </c>
    </row>
    <row r="30" spans="1:5" x14ac:dyDescent="0.3">
      <c r="B30" s="2">
        <v>7</v>
      </c>
      <c r="C30" s="35" t="s">
        <v>33</v>
      </c>
      <c r="D30" s="47">
        <f>+D146</f>
        <v>50270</v>
      </c>
      <c r="E30" s="60">
        <f t="shared" si="0"/>
        <v>166180</v>
      </c>
    </row>
    <row r="31" spans="1:5" x14ac:dyDescent="0.3">
      <c r="B31" s="2">
        <v>8</v>
      </c>
      <c r="C31" s="35" t="s">
        <v>34</v>
      </c>
      <c r="D31" s="47">
        <f>+D154</f>
        <v>19270</v>
      </c>
      <c r="E31" s="60">
        <f t="shared" si="0"/>
        <v>63700</v>
      </c>
    </row>
    <row r="32" spans="1:5" x14ac:dyDescent="0.3">
      <c r="B32" s="2">
        <v>9</v>
      </c>
      <c r="C32" s="35" t="s">
        <v>35</v>
      </c>
      <c r="D32" s="47">
        <f>+D161</f>
        <v>64120</v>
      </c>
      <c r="E32" s="60">
        <f t="shared" si="0"/>
        <v>211960</v>
      </c>
    </row>
    <row r="33" spans="1:5" x14ac:dyDescent="0.3">
      <c r="B33" s="2">
        <v>10</v>
      </c>
      <c r="C33" s="35" t="s">
        <v>60</v>
      </c>
      <c r="D33" s="55">
        <f>TRUNC(SUM(D24:D32)*0.275,-1)</f>
        <v>422540</v>
      </c>
      <c r="E33" s="61">
        <f t="shared" si="0"/>
        <v>1396830</v>
      </c>
    </row>
    <row r="34" spans="1:5" x14ac:dyDescent="0.3">
      <c r="C34" s="35" t="s">
        <v>46</v>
      </c>
      <c r="D34" s="46">
        <f>SUM(D24:D33)</f>
        <v>1959070</v>
      </c>
      <c r="E34" s="46">
        <f>SUM(E24:E33)</f>
        <v>6476250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TRUNC(10706,-1)</f>
        <v>10700</v>
      </c>
      <c r="E37" s="62">
        <f>TRUNC(+D37*3.3058,-1)</f>
        <v>35370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323</v>
      </c>
      <c r="E39" s="68" t="s">
        <v>324</v>
      </c>
    </row>
    <row r="40" spans="1:5" x14ac:dyDescent="0.3">
      <c r="A40" s="2">
        <v>1</v>
      </c>
      <c r="C40" s="39" t="s">
        <v>75</v>
      </c>
      <c r="D40" s="42">
        <f>TRUNC(39321,-1)</f>
        <v>39320</v>
      </c>
      <c r="E40" s="63">
        <f t="shared" ref="E40:E59" si="1">TRUNC(+D40*3.3058,-1)</f>
        <v>129980</v>
      </c>
    </row>
    <row r="41" spans="1:5" x14ac:dyDescent="0.3">
      <c r="A41" s="2">
        <v>2</v>
      </c>
      <c r="C41" s="39" t="s">
        <v>6</v>
      </c>
      <c r="D41" s="44">
        <f>TRUNC(81977,-1)</f>
        <v>81970</v>
      </c>
      <c r="E41" s="64">
        <f t="shared" si="1"/>
        <v>270970</v>
      </c>
    </row>
    <row r="42" spans="1:5" x14ac:dyDescent="0.3">
      <c r="A42" s="2">
        <v>3</v>
      </c>
      <c r="C42" s="39" t="s">
        <v>7</v>
      </c>
      <c r="D42" s="44">
        <f>TRUNC(10626,-1)</f>
        <v>10620</v>
      </c>
      <c r="E42" s="64">
        <f t="shared" si="1"/>
        <v>35100</v>
      </c>
    </row>
    <row r="43" spans="1:5" x14ac:dyDescent="0.3">
      <c r="A43" s="2">
        <v>4</v>
      </c>
      <c r="C43" s="39" t="s">
        <v>8</v>
      </c>
      <c r="D43" s="44">
        <f>TRUNC(15405,-1)</f>
        <v>15400</v>
      </c>
      <c r="E43" s="64">
        <f t="shared" si="1"/>
        <v>50900</v>
      </c>
    </row>
    <row r="44" spans="1:5" x14ac:dyDescent="0.3">
      <c r="A44" s="2">
        <v>5</v>
      </c>
      <c r="C44" s="39" t="s">
        <v>9</v>
      </c>
      <c r="D44" s="44">
        <f>TRUNC(23148,-1)</f>
        <v>23140</v>
      </c>
      <c r="E44" s="64">
        <f t="shared" si="1"/>
        <v>76490</v>
      </c>
    </row>
    <row r="45" spans="1:5" x14ac:dyDescent="0.3">
      <c r="A45" s="2">
        <v>6</v>
      </c>
      <c r="C45" s="39" t="s">
        <v>10</v>
      </c>
      <c r="D45" s="44">
        <f>TRUNC(4805,-1)</f>
        <v>4800</v>
      </c>
      <c r="E45" s="64">
        <f t="shared" si="1"/>
        <v>15860</v>
      </c>
    </row>
    <row r="46" spans="1:5" x14ac:dyDescent="0.3">
      <c r="A46" s="2">
        <v>7</v>
      </c>
      <c r="C46" s="39" t="s">
        <v>11</v>
      </c>
      <c r="D46" s="44">
        <f>TRUNC(18881,-1)</f>
        <v>18880</v>
      </c>
      <c r="E46" s="64">
        <f t="shared" si="1"/>
        <v>62410</v>
      </c>
    </row>
    <row r="47" spans="1:5" x14ac:dyDescent="0.3">
      <c r="A47" s="2">
        <v>8</v>
      </c>
      <c r="C47" s="39" t="s">
        <v>12</v>
      </c>
      <c r="D47" s="44">
        <f>TRUNC(1679,-1)</f>
        <v>1670</v>
      </c>
      <c r="E47" s="64">
        <f t="shared" si="1"/>
        <v>5520</v>
      </c>
    </row>
    <row r="48" spans="1:5" x14ac:dyDescent="0.3">
      <c r="A48" s="2">
        <v>9</v>
      </c>
      <c r="C48" s="39" t="s">
        <v>13</v>
      </c>
      <c r="D48" s="44">
        <f>TRUNC(93142,-1)</f>
        <v>93140</v>
      </c>
      <c r="E48" s="64">
        <f t="shared" si="1"/>
        <v>307900</v>
      </c>
    </row>
    <row r="49" spans="1:6" x14ac:dyDescent="0.3">
      <c r="A49" s="2">
        <v>10</v>
      </c>
      <c r="C49" s="39" t="s">
        <v>14</v>
      </c>
      <c r="D49" s="44">
        <f>TRUNC(14885,-1)</f>
        <v>14880</v>
      </c>
      <c r="E49" s="64">
        <f t="shared" si="1"/>
        <v>49190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TRUNC(35221,-1)</f>
        <v>35220</v>
      </c>
      <c r="E50" s="64">
        <f t="shared" si="1"/>
        <v>116430</v>
      </c>
      <c r="F50" s="2"/>
    </row>
    <row r="51" spans="1:6" x14ac:dyDescent="0.3">
      <c r="A51" s="2">
        <v>12</v>
      </c>
      <c r="C51" s="39" t="s">
        <v>16</v>
      </c>
      <c r="D51" s="44">
        <f>TRUNC(26942,-1)</f>
        <v>26940</v>
      </c>
      <c r="E51" s="64">
        <f t="shared" si="1"/>
        <v>89050</v>
      </c>
    </row>
    <row r="52" spans="1:6" x14ac:dyDescent="0.3">
      <c r="A52" s="2">
        <v>13</v>
      </c>
      <c r="C52" s="39" t="s">
        <v>17</v>
      </c>
      <c r="D52" s="44">
        <f>TRUNC(12025,-1)</f>
        <v>12020</v>
      </c>
      <c r="E52" s="64">
        <f t="shared" si="1"/>
        <v>39730</v>
      </c>
    </row>
    <row r="53" spans="1:6" x14ac:dyDescent="0.3">
      <c r="A53" s="2">
        <v>14</v>
      </c>
      <c r="C53" s="39" t="s">
        <v>18</v>
      </c>
      <c r="D53" s="44">
        <f>TRUNC(113603,-1)</f>
        <v>113600</v>
      </c>
      <c r="E53" s="64">
        <f t="shared" si="1"/>
        <v>375530</v>
      </c>
    </row>
    <row r="54" spans="1:6" x14ac:dyDescent="0.3">
      <c r="A54" s="2">
        <v>15</v>
      </c>
      <c r="C54" s="39" t="s">
        <v>55</v>
      </c>
      <c r="D54" s="44">
        <f>TRUNC(57900,-1)</f>
        <v>57900</v>
      </c>
      <c r="E54" s="64">
        <f t="shared" si="1"/>
        <v>191400</v>
      </c>
    </row>
    <row r="55" spans="1:6" x14ac:dyDescent="0.3">
      <c r="A55" s="2">
        <v>16</v>
      </c>
      <c r="C55" s="39" t="s">
        <v>52</v>
      </c>
      <c r="D55" s="44">
        <f>TRUNC(388,-1)</f>
        <v>380</v>
      </c>
      <c r="E55" s="64">
        <f t="shared" si="1"/>
        <v>1250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TRUNC(4070+16129+3519-1077,-1)</f>
        <v>22640</v>
      </c>
      <c r="E58" s="64">
        <f t="shared" si="1"/>
        <v>74840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TRUNC(237568.406731405,-1)</f>
        <v>237560</v>
      </c>
      <c r="E59" s="65">
        <f t="shared" si="1"/>
        <v>785320</v>
      </c>
    </row>
    <row r="60" spans="1:6" x14ac:dyDescent="0.3">
      <c r="A60" s="2">
        <v>21</v>
      </c>
      <c r="C60" s="27" t="s">
        <v>46</v>
      </c>
      <c r="D60" s="40">
        <f>SUM(D40:D59)</f>
        <v>810080</v>
      </c>
      <c r="E60" s="40">
        <f>SUM(E40:E59)</f>
        <v>2677870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TRUNC(5916,-1)</f>
        <v>5910</v>
      </c>
      <c r="E63" s="63">
        <f>TRUNC(+D63*3.3058,-1)</f>
        <v>19530</v>
      </c>
      <c r="F63" s="2" t="s">
        <v>312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5910</v>
      </c>
      <c r="E66" s="66">
        <f>SUM(E63:E65)</f>
        <v>19530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f>TRUNC(15111,-1)</f>
        <v>15110</v>
      </c>
      <c r="E69" s="63">
        <f t="shared" ref="E69:E94" si="2">TRUNC(+D69*3.3058,-1)</f>
        <v>49950</v>
      </c>
    </row>
    <row r="70" spans="1:5" ht="16.5" customHeight="1" x14ac:dyDescent="0.3">
      <c r="A70" s="2">
        <v>2</v>
      </c>
      <c r="C70" s="39" t="s">
        <v>79</v>
      </c>
      <c r="D70" s="44">
        <f>TRUNC(3017,-1)</f>
        <v>3010</v>
      </c>
      <c r="E70" s="64">
        <f t="shared" si="2"/>
        <v>9950</v>
      </c>
    </row>
    <row r="71" spans="1:5" x14ac:dyDescent="0.3">
      <c r="A71" s="2">
        <v>3</v>
      </c>
      <c r="C71" s="39" t="s">
        <v>80</v>
      </c>
      <c r="D71" s="44">
        <f>TRUNC(26225,-1)</f>
        <v>26220</v>
      </c>
      <c r="E71" s="64">
        <f t="shared" si="2"/>
        <v>86670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f>TRUNC(2774,-1)</f>
        <v>2770</v>
      </c>
      <c r="E74" s="64">
        <f t="shared" si="2"/>
        <v>9150</v>
      </c>
    </row>
    <row r="75" spans="1:5" x14ac:dyDescent="0.3">
      <c r="A75" s="2">
        <v>7</v>
      </c>
      <c r="C75" s="39" t="s">
        <v>84</v>
      </c>
      <c r="D75" s="44">
        <f>TRUNC(579,-1)</f>
        <v>570</v>
      </c>
      <c r="E75" s="64">
        <f t="shared" si="2"/>
        <v>1880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f>TRUNC(8135,-1)</f>
        <v>8130</v>
      </c>
      <c r="E77" s="64">
        <f t="shared" si="2"/>
        <v>26870</v>
      </c>
    </row>
    <row r="78" spans="1:5" x14ac:dyDescent="0.3">
      <c r="A78" s="2">
        <v>10</v>
      </c>
      <c r="C78" s="39" t="s">
        <v>87</v>
      </c>
      <c r="D78" s="44">
        <f>TRUNC(61779,-1)</f>
        <v>61770</v>
      </c>
      <c r="E78" s="64">
        <f t="shared" si="2"/>
        <v>204190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f>TRUNC(675,-1)</f>
        <v>670</v>
      </c>
      <c r="E84" s="64">
        <f t="shared" si="2"/>
        <v>2210</v>
      </c>
      <c r="F84" s="2" t="s">
        <v>314</v>
      </c>
    </row>
    <row r="85" spans="1:6" x14ac:dyDescent="0.3">
      <c r="A85" s="2">
        <v>17</v>
      </c>
      <c r="C85" s="39" t="s">
        <v>94</v>
      </c>
      <c r="D85" s="44">
        <f>TRUNC(398,-1)</f>
        <v>390</v>
      </c>
      <c r="E85" s="64">
        <f t="shared" si="2"/>
        <v>1280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f>TRUNC(7483,-1)</f>
        <v>7480</v>
      </c>
      <c r="E88" s="64">
        <f t="shared" si="2"/>
        <v>24720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f>TRUNC(2309,-1)</f>
        <v>2300</v>
      </c>
      <c r="E90" s="64">
        <f t="shared" si="2"/>
        <v>7600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f>TRUNC(13207,-1)</f>
        <v>13200</v>
      </c>
      <c r="E92" s="64">
        <f t="shared" si="2"/>
        <v>43630</v>
      </c>
      <c r="F92" s="2" t="s">
        <v>313</v>
      </c>
    </row>
    <row r="93" spans="1:6" x14ac:dyDescent="0.3">
      <c r="A93" s="2">
        <v>25</v>
      </c>
      <c r="C93" s="39" t="s">
        <v>102</v>
      </c>
      <c r="D93" s="44">
        <f>TRUNC(172432,-1)</f>
        <v>172430</v>
      </c>
      <c r="E93" s="64">
        <f t="shared" si="2"/>
        <v>570010</v>
      </c>
    </row>
    <row r="94" spans="1:6" ht="17.25" thickBot="1" x14ac:dyDescent="0.35">
      <c r="A94" s="2">
        <v>26</v>
      </c>
      <c r="C94" s="39" t="s">
        <v>103</v>
      </c>
      <c r="D94" s="45">
        <f>TRUNC(23982+1982+11786+3331,-1)</f>
        <v>41080</v>
      </c>
      <c r="E94" s="65">
        <f t="shared" si="2"/>
        <v>135800</v>
      </c>
      <c r="F94" s="2" t="s">
        <v>325</v>
      </c>
    </row>
    <row r="95" spans="1:6" x14ac:dyDescent="0.3">
      <c r="A95" s="2">
        <v>27</v>
      </c>
      <c r="C95" s="27" t="s">
        <v>104</v>
      </c>
      <c r="D95" s="40">
        <f>SUM(D69:D94)</f>
        <v>355130</v>
      </c>
      <c r="E95" s="40">
        <f>SUM(E69:E94)</f>
        <v>1173910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6" x14ac:dyDescent="0.3">
      <c r="A98" s="2">
        <v>1</v>
      </c>
      <c r="C98" s="29" t="s">
        <v>106</v>
      </c>
      <c r="D98" s="42">
        <f>TRUNC(10774,-1)</f>
        <v>10770</v>
      </c>
      <c r="E98" s="63">
        <f t="shared" ref="E98:E118" si="3">TRUNC(+D98*3.3058,-1)</f>
        <v>35600</v>
      </c>
    </row>
    <row r="99" spans="1:6" x14ac:dyDescent="0.3">
      <c r="A99" s="2">
        <v>2</v>
      </c>
      <c r="C99" s="29" t="s">
        <v>107</v>
      </c>
      <c r="D99" s="44">
        <f>TRUNC(6144+178,-1)</f>
        <v>6320</v>
      </c>
      <c r="E99" s="64">
        <f t="shared" si="3"/>
        <v>20890</v>
      </c>
      <c r="F99" s="2" t="s">
        <v>320</v>
      </c>
    </row>
    <row r="100" spans="1:6" x14ac:dyDescent="0.3">
      <c r="A100" s="2">
        <v>3</v>
      </c>
      <c r="C100" s="29" t="s">
        <v>108</v>
      </c>
      <c r="D100" s="44">
        <f>TRUNC(21497,-1)</f>
        <v>21490</v>
      </c>
      <c r="E100" s="64">
        <f t="shared" si="3"/>
        <v>71040</v>
      </c>
    </row>
    <row r="101" spans="1:6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6" x14ac:dyDescent="0.3">
      <c r="A102" s="2">
        <v>5</v>
      </c>
      <c r="C102" s="29" t="s">
        <v>110</v>
      </c>
      <c r="D102" s="44">
        <f>TRUNC(12252,-1)</f>
        <v>12250</v>
      </c>
      <c r="E102" s="64">
        <f t="shared" si="3"/>
        <v>40490</v>
      </c>
    </row>
    <row r="103" spans="1:6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112</v>
      </c>
      <c r="D104" s="44">
        <f>TRUNC(4059,-1)</f>
        <v>4050</v>
      </c>
      <c r="E104" s="64">
        <f t="shared" si="3"/>
        <v>13380</v>
      </c>
    </row>
    <row r="105" spans="1:6" x14ac:dyDescent="0.3">
      <c r="A105" s="2">
        <v>8</v>
      </c>
      <c r="C105" s="29" t="s">
        <v>113</v>
      </c>
      <c r="D105" s="44">
        <f>TRUNC(1060,-1)</f>
        <v>1060</v>
      </c>
      <c r="E105" s="64">
        <f t="shared" si="3"/>
        <v>3500</v>
      </c>
    </row>
    <row r="106" spans="1:6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6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6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f>TRUNC(3281,-1)</f>
        <v>3280</v>
      </c>
      <c r="E114" s="64">
        <f t="shared" si="3"/>
        <v>10840</v>
      </c>
    </row>
    <row r="115" spans="1:6" x14ac:dyDescent="0.3">
      <c r="A115" s="2">
        <v>18</v>
      </c>
      <c r="C115" s="29" t="s">
        <v>123</v>
      </c>
      <c r="D115" s="44">
        <f>TRUNC(4515,-1)</f>
        <v>4510</v>
      </c>
      <c r="E115" s="64">
        <f t="shared" si="3"/>
        <v>14900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TRUNC(57388.5301743861,-1)</f>
        <v>57380</v>
      </c>
      <c r="E117" s="64">
        <f t="shared" si="3"/>
        <v>189680</v>
      </c>
    </row>
    <row r="118" spans="1:6" ht="17.25" thickBot="1" x14ac:dyDescent="0.35">
      <c r="A118" s="2">
        <v>21</v>
      </c>
      <c r="C118" s="29" t="s">
        <v>103</v>
      </c>
      <c r="D118" s="45">
        <f>TRUNC(182+90+19+330+727+93,-1)</f>
        <v>1440</v>
      </c>
      <c r="E118" s="65">
        <f t="shared" si="3"/>
        <v>4760</v>
      </c>
      <c r="F118" s="2" t="s">
        <v>319</v>
      </c>
    </row>
    <row r="119" spans="1:6" x14ac:dyDescent="0.3">
      <c r="A119" s="2">
        <v>22</v>
      </c>
      <c r="C119" s="27" t="s">
        <v>104</v>
      </c>
      <c r="D119" s="40">
        <f>SUM(D98:D118)</f>
        <v>122550</v>
      </c>
      <c r="E119" s="40">
        <f>SUM(E98:E118)</f>
        <v>405080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TRUNC(7297,-1)</f>
        <v>7290</v>
      </c>
      <c r="E122" s="63">
        <f t="shared" ref="E122:E132" si="4">TRUNC(+D122*3.3058,-1)</f>
        <v>24090</v>
      </c>
      <c r="F122" s="2" t="s">
        <v>317</v>
      </c>
    </row>
    <row r="123" spans="1:6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128</v>
      </c>
      <c r="D124" s="44">
        <f>TRUNC(8212,-1)</f>
        <v>8210</v>
      </c>
      <c r="E124" s="64">
        <f t="shared" si="4"/>
        <v>27140</v>
      </c>
    </row>
    <row r="125" spans="1:6" x14ac:dyDescent="0.3">
      <c r="A125" s="2">
        <v>4</v>
      </c>
      <c r="C125" s="29" t="s">
        <v>129</v>
      </c>
      <c r="D125" s="44">
        <f>TRUNC(5416,-1)</f>
        <v>5410</v>
      </c>
      <c r="E125" s="64">
        <f t="shared" si="4"/>
        <v>17880</v>
      </c>
    </row>
    <row r="126" spans="1:6" x14ac:dyDescent="0.3">
      <c r="A126" s="2">
        <v>5</v>
      </c>
      <c r="C126" s="29" t="s">
        <v>130</v>
      </c>
      <c r="D126" s="44">
        <f>TRUNC(836,-1)</f>
        <v>830</v>
      </c>
      <c r="E126" s="64">
        <f t="shared" si="4"/>
        <v>2740</v>
      </c>
    </row>
    <row r="127" spans="1:6" x14ac:dyDescent="0.3">
      <c r="A127" s="2">
        <v>6</v>
      </c>
      <c r="C127" s="29" t="s">
        <v>131</v>
      </c>
      <c r="D127" s="44">
        <f>TRUNC(9976,-1)</f>
        <v>9970</v>
      </c>
      <c r="E127" s="64">
        <f t="shared" si="4"/>
        <v>32950</v>
      </c>
    </row>
    <row r="128" spans="1:6" x14ac:dyDescent="0.3">
      <c r="A128" s="2">
        <v>7</v>
      </c>
      <c r="C128" s="29" t="s">
        <v>113</v>
      </c>
      <c r="D128" s="44">
        <f>TRUNC(2776,-1)</f>
        <v>2770</v>
      </c>
      <c r="E128" s="64">
        <f t="shared" si="4"/>
        <v>9150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102</v>
      </c>
      <c r="D131" s="44">
        <f>TRUNC(2399.00350805837,-1)</f>
        <v>2390</v>
      </c>
      <c r="E131" s="64">
        <f t="shared" si="4"/>
        <v>7900</v>
      </c>
    </row>
    <row r="132" spans="1:6" ht="17.25" thickBot="1" x14ac:dyDescent="0.35">
      <c r="A132" s="2">
        <v>11</v>
      </c>
      <c r="C132" s="29" t="s">
        <v>103</v>
      </c>
      <c r="D132" s="45">
        <f>TRUNC(49781+1549+353+362+9497+93,-1)</f>
        <v>61630</v>
      </c>
      <c r="E132" s="65">
        <f t="shared" si="4"/>
        <v>203730</v>
      </c>
      <c r="F132" s="2" t="s">
        <v>318</v>
      </c>
    </row>
    <row r="133" spans="1:6" x14ac:dyDescent="0.3">
      <c r="A133" s="2">
        <v>12</v>
      </c>
      <c r="C133" s="41" t="s">
        <v>104</v>
      </c>
      <c r="D133" s="40">
        <f>SUM(D122:D132)</f>
        <v>98500</v>
      </c>
      <c r="E133" s="40">
        <f>SUM(E122:E132)</f>
        <v>325580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f>TRUNC(36046,-1)</f>
        <v>36040</v>
      </c>
      <c r="E136" s="63">
        <f t="shared" ref="E136:E145" si="5">TRUNC(+D136*3.3058,-1)</f>
        <v>119140</v>
      </c>
      <c r="F136" s="2" t="s">
        <v>315</v>
      </c>
    </row>
    <row r="137" spans="1:6" x14ac:dyDescent="0.3">
      <c r="A137" s="2">
        <v>2</v>
      </c>
      <c r="C137" s="39" t="s">
        <v>103</v>
      </c>
      <c r="D137" s="44">
        <f>TRUNC(14233,-1)</f>
        <v>14230</v>
      </c>
      <c r="E137" s="64">
        <f t="shared" si="5"/>
        <v>47040</v>
      </c>
      <c r="F137" s="2" t="s">
        <v>316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50270</v>
      </c>
      <c r="E146" s="40">
        <f>SUM(E136:E145)</f>
        <v>166180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TRUNC(19272,-1)</f>
        <v>19270</v>
      </c>
      <c r="E152" s="64">
        <f>TRUNC(+D152*3.3058,-1)</f>
        <v>63700</v>
      </c>
      <c r="F152" s="37" t="s">
        <v>321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19270</v>
      </c>
      <c r="E154" s="40">
        <f>SUM(E149:E153)</f>
        <v>63700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f>TRUNC(64127,-1)</f>
        <v>64120</v>
      </c>
      <c r="E159" s="64">
        <f>TRUNC(+D159*3.3058,-1)</f>
        <v>211960</v>
      </c>
      <c r="F159" s="2" t="s">
        <v>322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64120</v>
      </c>
      <c r="E161" s="40">
        <f>SUM(E157:E160)</f>
        <v>211960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2020-12-07T09:33:32Z</dcterms:modified>
</cp:coreProperties>
</file>