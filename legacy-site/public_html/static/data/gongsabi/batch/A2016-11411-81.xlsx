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38" i="4"/>
  <c r="E136" i="4"/>
  <c r="E129" i="4"/>
  <c r="E127" i="4"/>
  <c r="E126" i="4"/>
  <c r="E123" i="4"/>
  <c r="E116" i="4"/>
  <c r="E114" i="4"/>
  <c r="E113" i="4"/>
  <c r="E112" i="4"/>
  <c r="E111" i="4"/>
  <c r="E110" i="4"/>
  <c r="E109" i="4"/>
  <c r="E108" i="4"/>
  <c r="E107" i="4"/>
  <c r="E106" i="4"/>
  <c r="E10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5" i="4"/>
  <c r="E64" i="4"/>
  <c r="E57" i="4"/>
  <c r="E56" i="4"/>
  <c r="E55" i="4"/>
  <c r="E54" i="4"/>
  <c r="E53" i="4"/>
  <c r="E51" i="4"/>
  <c r="E37" i="4"/>
  <c r="D103" i="4" l="1"/>
  <c r="E103" i="4" s="1"/>
  <c r="D99" i="4"/>
  <c r="E99" i="4" s="1"/>
  <c r="D41" i="4"/>
  <c r="E41" i="4" s="1"/>
  <c r="D159" i="4"/>
  <c r="E159" i="4" s="1"/>
  <c r="D158" i="4"/>
  <c r="E158" i="4" s="1"/>
  <c r="D157" i="4"/>
  <c r="E157" i="4" s="1"/>
  <c r="E161" i="4" s="1"/>
  <c r="D150" i="4"/>
  <c r="E150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0" i="4"/>
  <c r="E130" i="4" s="1"/>
  <c r="D128" i="4"/>
  <c r="E128" i="4" s="1"/>
  <c r="D125" i="4"/>
  <c r="E125" i="4" s="1"/>
  <c r="D124" i="4"/>
  <c r="E124" i="4" s="1"/>
  <c r="D122" i="4"/>
  <c r="E122" i="4" s="1"/>
  <c r="D118" i="4"/>
  <c r="E118" i="4" s="1"/>
  <c r="D115" i="4"/>
  <c r="E115" i="4" s="1"/>
  <c r="D105" i="4"/>
  <c r="E105" i="4" s="1"/>
  <c r="D104" i="4"/>
  <c r="E104" i="4" s="1"/>
  <c r="D102" i="4"/>
  <c r="E102" i="4" s="1"/>
  <c r="D100" i="4"/>
  <c r="E100" i="4" s="1"/>
  <c r="D98" i="4"/>
  <c r="E98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2" i="4"/>
  <c r="E52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0" i="4"/>
  <c r="E40" i="4" s="1"/>
  <c r="D59" i="4"/>
  <c r="E59" i="4" s="1"/>
  <c r="D93" i="4"/>
  <c r="E93" i="4" s="1"/>
  <c r="D117" i="4"/>
  <c r="E117" i="4" s="1"/>
  <c r="D131" i="4"/>
  <c r="E131" i="4" s="1"/>
  <c r="D153" i="4"/>
  <c r="E153" i="4" s="1"/>
  <c r="D152" i="4"/>
  <c r="E152" i="4" s="1"/>
  <c r="D149" i="4"/>
  <c r="E149" i="4" s="1"/>
  <c r="D137" i="4"/>
  <c r="E137" i="4" s="1"/>
  <c r="E146" i="4" s="1"/>
  <c r="D132" i="4"/>
  <c r="E132" i="4" s="1"/>
  <c r="D94" i="4"/>
  <c r="E94" i="4" s="1"/>
  <c r="D58" i="4"/>
  <c r="E58" i="4" s="1"/>
  <c r="E133" i="4" l="1"/>
  <c r="E119" i="4"/>
  <c r="E60" i="4"/>
  <c r="E95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<sst xmlns="http://schemas.openxmlformats.org/spreadsheetml/2006/main" count="391" uniqueCount="266">
  <si>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</si>
  <si>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</si>
  <si>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</si>
  <si>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</si>
  <si>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</si>
  <si>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</si>
  <si>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</si>
  <si>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</si>
  <si>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</si>
  <si>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</si>
  <si>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</si>
  <si>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</si>
  <si>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</si>
  <si>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</si>
  <si>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</si>
  <si>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</si>
  <si>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</si>
  <si>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</si>
  <si>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</si>
  <si>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</si>
  <si>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</si>
  <si>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</si>
  <si>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</si>
  <si>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</si>
  <si>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</si>
  <si>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</si>
  <si>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</si>
  <si>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</si>
  <si>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</si>
  <si>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</si>
  <si>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</si>
  <si>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</si>
  <si>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</si>
  <si>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</si>
  <si>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</si>
  <si>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</si>
  <si>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</si>
  <si>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</si>
  <si>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</si>
  <si>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</si>
  <si>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</si>
  <si>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</si>
  <si>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</si>
  <si>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</si>
  <si>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</si>
  <si>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</si>
  <si>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</si>
  <si>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</si>
  <si>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</si>
  <si>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</si>
  <si>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</si>
  <si>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</si>
  <si>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</si>
  <si>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</si>
  <si>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</si>
  <si>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</si>
  <si>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</si>
  <si>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</si>
  <si>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</si>
  <si>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</si>
  <si>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</si>
  <si>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</si>
  <si>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</si>
  <si>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</si>
  <si>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</si>
  <si>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</si>
  <si>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</si>
  <si>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</si>
  <si>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</si>
  <si>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</si>
  <si>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</si>
  <si>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</si>
  <si>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</si>
  <si>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</si>
  <si>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</si>
  <si>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</si>
  <si>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</si>
  <si>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</si>
  <si>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</si>
  <si>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</si>
  <si>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</si>
  <si>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</si>
  <si>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</si>
  <si>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</si>
  <si>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</si>
  <si>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</si>
  <si>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</si>
  <si>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</si>
  <si>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</si>
  <si>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</si>
  <si>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</si>
  <si>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</si>
  <si>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</si>
  <si>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</si>
  <si>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</si>
  <si>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</si>
  <si>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</si>
  <si>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</si>
  <si>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</si>
  <si>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</si>
  <si>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</si>
  <si>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</si>
  <si>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</si>
  <si>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</si>
  <si>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</si>
  <si>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</si>
  <si>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</si>
  <si>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</si>
  <si>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</si>
  <si>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</si>
  <si>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</si>
  <si>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</si>
  <si>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</si>
  <si>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</si>
  <si>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</si>
  <si>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</si>
  <si>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</si>
  <si>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</si>
  <si>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</si>
  <si>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</si>
  <si>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</si>
  <si>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</si>
  <si>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</si>
  <si>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</si>
  <si>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</si>
  <si>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</si>
  <si>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</si>
  <si>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</si>
  <si>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</si>
  <si>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</si>
  <si>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</si>
  <si>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</si>
  <si>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</si>
  <si>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</si>
  <si>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</si>
  <si>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</si>
  <si>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</si>
  <si>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</si>
  <si>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</si>
  <si>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</si>
  <si>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</si>
  <si>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</si>
  <si>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</si>
  <si>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</si>
  <si>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</si>
  <si>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</si>
  <si>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</si>
  <si>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</si>
  <si>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</si>
  <si>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</si>
  <si>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</si>
  <si>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</si>
  <si>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</si>
  <si>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</si>
  <si>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</si>
  <si>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</si>
  <si>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</si>
  <si>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</si>
  <si>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</si>
  <si>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</si>
  <si>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</si>
  <si>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</si>
  <si>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</si>
  <si>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</si>
  <si>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</si>
  <si>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</si>
  <si>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</si>
  <si>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</si>
  <si>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</si>
  <si>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</si>
  <si>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</si>
  <si>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</si>
  <si>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</si>
  <si>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</si>
  <si>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</si>
  <si>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</si>
  <si>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</si>
  <si>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</si>
  <si>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</si>
  <si>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</si>
  <si>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</si>
  <si>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</si>
  <si>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</si>
  <si>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</si>
  <si>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</si>
  <si>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</si>
  <si>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</si>
  <si>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</si>
  <si>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</si>
  <si>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</si>
  <si>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</si>
  <si>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</si>
  <si>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</si>
  <si>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</si>
  <si>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</si>
  <si>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</si>
  <si>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</si>
  <si>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</si>
  <si>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</si>
  <si>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</si>
  <si>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</si>
  <si>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</si>
  <si>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</si>
  <si>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</si>
  <si>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</si>
  <si>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</si>
  <si>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</si>
  <si>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</si>
  <si>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</si>
  <si>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</si>
  <si>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</si>
  <si>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</si>
  <si>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</si>
  <si>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</si>
  <si>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</si>
  <si>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</si>
  <si>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</si>
  <si>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</si>
  <si>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</si>
  <si>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</si>
  <si>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</si>
  <si>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</si>
  <si>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</si>
  <si>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</si>
  <si>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</si>
  <si>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</si>
  <si>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</si>
  <si>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</si>
  <si>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</si>
  <si>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</si>
  <si>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</si>
  <si>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</si>
  <si>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</si>
  <si>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</si>
  <si>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</si>
  <si>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</si>
  <si>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</si>
  <si>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</si>
  <si>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</si>
  <si>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</si>
  <si>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</si>
  <si>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</si>
  <si>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</si>
  <si>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</si>
  <si>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</si>
  <si>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</si>
  <si>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</si>
  <si>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</si>
  <si>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</si>
  <si>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가칭 논산나래학교 교사 신축공사</t>
    <phoneticPr fontId="2" type="noConversion"/>
  </si>
  <si>
    <t>교육연구</t>
  </si>
  <si>
    <t>충청도</t>
  </si>
  <si>
    <t>창호및유리공사</t>
    <phoneticPr fontId="2" type="noConversion"/>
  </si>
  <si>
    <t>기초공사,골재비및운반비,작업부산물,기타공사</t>
    <phoneticPr fontId="2" type="noConversion"/>
  </si>
  <si>
    <t>우수처리시설공사,지열설비공사,기타공사</t>
    <phoneticPr fontId="2" type="noConversion"/>
  </si>
  <si>
    <t>전기인입 및 수변전 설비공사</t>
    <phoneticPr fontId="2" type="noConversion"/>
  </si>
  <si>
    <t>옥외소화배관공사,펌프실배관공사,기타공사</t>
    <phoneticPr fontId="2" type="noConversion"/>
  </si>
  <si>
    <t>사급자재비,기타공사</t>
    <phoneticPr fontId="2" type="noConversion"/>
  </si>
  <si>
    <t>조경시설물</t>
    <phoneticPr fontId="2" type="noConversion"/>
  </si>
  <si>
    <t>포장공사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</si>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</sst>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10789.6</v>
      </c>
      <c r="D7" s="36">
        <f>+C7/3.3058</f>
        <v>3263.8393127230929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771530</v>
      </c>
      <c r="E25" s="59">
        <f t="shared" si="0"/>
        <v>2550520</v>
      </c>
    </row>
    <row r="26" spans="1:5" x14ac:dyDescent="0.3">
      <c r="B26" s="2">
        <v>3</v>
      </c>
      <c r="C26" s="35" t="s">
        <v>95</v>
      </c>
      <c r="D26" s="45">
        <f>+D66</f>
        <v>6190</v>
      </c>
      <c r="E26" s="59">
        <f t="shared" si="0"/>
        <v>20460</v>
      </c>
    </row>
    <row r="27" spans="1:5" x14ac:dyDescent="0.3">
      <c r="B27" s="2">
        <v>4</v>
      </c>
      <c r="C27" s="35" t="s">
        <v>96</v>
      </c>
      <c r="D27" s="45">
        <f>+D95</f>
        <v>186540</v>
      </c>
      <c r="E27" s="59">
        <f t="shared" si="0"/>
        <v>616660</v>
      </c>
    </row>
    <row r="28" spans="1:5" x14ac:dyDescent="0.3">
      <c r="B28" s="2">
        <v>5</v>
      </c>
      <c r="C28" s="35" t="s">
        <v>97</v>
      </c>
      <c r="D28" s="45">
        <f>+D119</f>
        <v>145770</v>
      </c>
      <c r="E28" s="59">
        <f t="shared" si="0"/>
        <v>481880</v>
      </c>
    </row>
    <row r="29" spans="1:5" x14ac:dyDescent="0.3">
      <c r="B29" s="2">
        <v>6</v>
      </c>
      <c r="C29" s="35" t="s">
        <v>98</v>
      </c>
      <c r="D29" s="45">
        <f>+D133</f>
        <v>59120</v>
      </c>
      <c r="E29" s="59">
        <f t="shared" si="0"/>
        <v>195430</v>
      </c>
    </row>
    <row r="30" spans="1:5" x14ac:dyDescent="0.3">
      <c r="B30" s="2">
        <v>7</v>
      </c>
      <c r="C30" s="35" t="s">
        <v>99</v>
      </c>
      <c r="D30" s="45">
        <f>+D146</f>
        <v>40250</v>
      </c>
      <c r="E30" s="59">
        <f t="shared" si="0"/>
        <v>133050</v>
      </c>
    </row>
    <row r="31" spans="1:5" x14ac:dyDescent="0.3">
      <c r="B31" s="2">
        <v>8</v>
      </c>
      <c r="C31" s="35" t="s">
        <v>100</v>
      </c>
      <c r="D31" s="45">
        <f>+D154</f>
        <v>55000</v>
      </c>
      <c r="E31" s="59">
        <f t="shared" si="0"/>
        <v>181810</v>
      </c>
    </row>
    <row r="32" spans="1:5" x14ac:dyDescent="0.3">
      <c r="B32" s="2">
        <v>9</v>
      </c>
      <c r="C32" s="35" t="s">
        <v>101</v>
      </c>
      <c r="D32" s="45">
        <f>+D161</f>
        <v>31610</v>
      </c>
      <c r="E32" s="59">
        <f t="shared" si="0"/>
        <v>104490</v>
      </c>
    </row>
    <row r="33" spans="1:7" x14ac:dyDescent="0.3">
      <c r="B33" s="2">
        <v>10</v>
      </c>
      <c r="C33" s="35" t="s">
        <v>153</v>
      </c>
      <c r="D33" s="53">
        <f>TRUNC(SUM(D24:D32)*0.275,-1)</f>
        <v>356400</v>
      </c>
      <c r="E33" s="60">
        <f t="shared" si="0"/>
        <v>1178180</v>
      </c>
    </row>
    <row r="34" spans="1:7" x14ac:dyDescent="0.3">
      <c r="C34" s="35" t="s">
        <v>112</v>
      </c>
      <c r="D34" s="44">
        <f>SUM(D24:D33)</f>
        <v>1652410</v>
      </c>
      <c r="E34" s="44">
        <f>SUM(E24:E33)</f>
        <v>5462480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260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TRUNC(33139,-1)</f>
        <v>33130</v>
      </c>
      <c r="E40" s="62">
        <f t="shared" ref="E40:E59" si="1">TRUNC(+D40*3.3058,-1)</f>
        <v>109520</v>
      </c>
    </row>
    <row r="41" spans="1:7" x14ac:dyDescent="0.3">
      <c r="A41" s="2">
        <v>2</v>
      </c>
      <c r="C41" s="38" t="s">
        <v>13</v>
      </c>
      <c r="D41" s="42">
        <f>TRUNC(131607,-1)</f>
        <v>131600</v>
      </c>
      <c r="E41" s="63">
        <f t="shared" si="1"/>
        <v>435040</v>
      </c>
    </row>
    <row r="42" spans="1:7" x14ac:dyDescent="0.3">
      <c r="A42" s="2">
        <v>3</v>
      </c>
      <c r="C42" s="38" t="s">
        <v>14</v>
      </c>
      <c r="D42" s="42">
        <f>TRUNC(8800,-1)</f>
        <v>8800</v>
      </c>
      <c r="E42" s="63">
        <f t="shared" si="1"/>
        <v>29090</v>
      </c>
    </row>
    <row r="43" spans="1:7" x14ac:dyDescent="0.3">
      <c r="A43" s="2">
        <v>4</v>
      </c>
      <c r="C43" s="38" t="s">
        <v>16</v>
      </c>
      <c r="D43" s="42">
        <f>TRUNC(29225,-1)</f>
        <v>29220</v>
      </c>
      <c r="E43" s="63">
        <f t="shared" si="1"/>
        <v>96590</v>
      </c>
    </row>
    <row r="44" spans="1:7" x14ac:dyDescent="0.3">
      <c r="A44" s="2">
        <v>5</v>
      </c>
      <c r="C44" s="38" t="s">
        <v>17</v>
      </c>
      <c r="D44" s="42">
        <f>TRUNC(20802,-1)</f>
        <v>20800</v>
      </c>
      <c r="E44" s="63">
        <f t="shared" si="1"/>
        <v>68760</v>
      </c>
    </row>
    <row r="45" spans="1:7" x14ac:dyDescent="0.3">
      <c r="A45" s="2">
        <v>6</v>
      </c>
      <c r="C45" s="38" t="s">
        <v>18</v>
      </c>
      <c r="D45" s="42">
        <f>TRUNC(12676,-1)</f>
        <v>12670</v>
      </c>
      <c r="E45" s="63">
        <f t="shared" si="1"/>
        <v>41880</v>
      </c>
    </row>
    <row r="46" spans="1:7" x14ac:dyDescent="0.3">
      <c r="A46" s="2">
        <v>7</v>
      </c>
      <c r="C46" s="38" t="s">
        <v>19</v>
      </c>
      <c r="D46" s="42">
        <f>TRUNC(34957,-1)</f>
        <v>34950</v>
      </c>
      <c r="E46" s="63">
        <f t="shared" si="1"/>
        <v>115530</v>
      </c>
    </row>
    <row r="47" spans="1:7" x14ac:dyDescent="0.3">
      <c r="A47" s="2">
        <v>8</v>
      </c>
      <c r="C47" s="38" t="s">
        <v>20</v>
      </c>
      <c r="D47" s="42">
        <f>TRUNC(103904,-1)</f>
        <v>103900</v>
      </c>
      <c r="E47" s="63">
        <f t="shared" si="1"/>
        <v>343470</v>
      </c>
    </row>
    <row r="48" spans="1:7" x14ac:dyDescent="0.3">
      <c r="A48" s="2">
        <v>9</v>
      </c>
      <c r="C48" s="38" t="s">
        <v>21</v>
      </c>
      <c r="D48" s="42">
        <f>TRUNC(56498,-1)</f>
        <v>56490</v>
      </c>
      <c r="E48" s="63">
        <f t="shared" si="1"/>
        <v>186740</v>
      </c>
      <c r="F48" s="2" t="s">
        <v>247</v>
      </c>
    </row>
    <row r="49" spans="1:7" x14ac:dyDescent="0.3">
      <c r="A49" s="2">
        <v>10</v>
      </c>
      <c r="C49" s="38" t="s">
        <v>22</v>
      </c>
      <c r="D49" s="42">
        <f>TRUNC(23977,-1)</f>
        <v>23970</v>
      </c>
      <c r="E49" s="63">
        <f t="shared" si="1"/>
        <v>79240</v>
      </c>
    </row>
    <row r="50" spans="1:7" x14ac:dyDescent="0.3">
      <c r="A50" s="2">
        <v>11</v>
      </c>
      <c r="C50" s="38" t="s">
        <v>154</v>
      </c>
      <c r="D50" s="42">
        <f>TRUNC(54301,-1)</f>
        <v>54300</v>
      </c>
      <c r="E50" s="63">
        <f t="shared" si="1"/>
        <v>179500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TRUNC(8467,-1)</f>
        <v>8460</v>
      </c>
      <c r="E52" s="63">
        <f t="shared" si="1"/>
        <v>27960</v>
      </c>
    </row>
    <row r="53" spans="1:7" x14ac:dyDescent="0.3">
      <c r="A53" s="2">
        <v>14</v>
      </c>
      <c r="C53" s="38" t="s">
        <v>25</v>
      </c>
      <c r="D53" s="42"/>
      <c r="E53" s="63">
        <f t="shared" si="1"/>
        <v>0</v>
      </c>
      <c r="F53" s="2" t="s">
        <v>248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TRUNC(20777+7107-499+16065,-1)</f>
        <v>43450</v>
      </c>
      <c r="E58" s="63">
        <f t="shared" si="1"/>
        <v>143630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TRUNC(209796,-1)</f>
        <v>209790</v>
      </c>
      <c r="E59" s="64">
        <f t="shared" si="1"/>
        <v>693520</v>
      </c>
    </row>
    <row r="60" spans="1:7" x14ac:dyDescent="0.3">
      <c r="A60" s="2">
        <v>21</v>
      </c>
      <c r="C60" s="27" t="s">
        <v>112</v>
      </c>
      <c r="D60" s="39">
        <f>SUM(D40:D59)</f>
        <v>771530</v>
      </c>
      <c r="E60" s="39">
        <f>SUM(E40:E59)</f>
        <v>2550470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260</v>
      </c>
      <c r="G62" s="55"/>
    </row>
    <row r="63" spans="1:7" x14ac:dyDescent="0.3">
      <c r="A63" s="2">
        <v>1</v>
      </c>
      <c r="C63" s="38" t="s">
        <v>27</v>
      </c>
      <c r="D63" s="40">
        <f>TRUNC(6194,-1)</f>
        <v>6190</v>
      </c>
      <c r="E63" s="62">
        <f>TRUNC(+D63*3.3058,-1)</f>
        <v>20460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6190</v>
      </c>
      <c r="E66" s="65">
        <f>SUM(E63:E65)</f>
        <v>20460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260</v>
      </c>
      <c r="G68" s="55"/>
    </row>
    <row r="69" spans="1:7" x14ac:dyDescent="0.3">
      <c r="A69" s="2">
        <v>1</v>
      </c>
      <c r="C69" s="38" t="s">
        <v>30</v>
      </c>
      <c r="D69" s="40">
        <f>TRUNC(4478,-1)</f>
        <v>4470</v>
      </c>
      <c r="E69" s="62">
        <f t="shared" ref="E69:E94" si="2">TRUNC(+D69*3.3058,-1)</f>
        <v>14770</v>
      </c>
    </row>
    <row r="70" spans="1:7" ht="16.5" customHeight="1" x14ac:dyDescent="0.3">
      <c r="A70" s="2">
        <v>2</v>
      </c>
      <c r="C70" s="38" t="s">
        <v>31</v>
      </c>
      <c r="D70" s="42">
        <f>TRUNC(3430,-1)</f>
        <v>3430</v>
      </c>
      <c r="E70" s="63">
        <f t="shared" si="2"/>
        <v>11330</v>
      </c>
    </row>
    <row r="71" spans="1:7" x14ac:dyDescent="0.3">
      <c r="A71" s="2">
        <v>3</v>
      </c>
      <c r="C71" s="38" t="s">
        <v>32</v>
      </c>
      <c r="D71" s="42">
        <f>TRUNC(3725,-1)</f>
        <v>3720</v>
      </c>
      <c r="E71" s="63">
        <f t="shared" si="2"/>
        <v>12290</v>
      </c>
    </row>
    <row r="72" spans="1:7" x14ac:dyDescent="0.3">
      <c r="A72" s="2">
        <v>4</v>
      </c>
      <c r="C72" s="38" t="s">
        <v>33</v>
      </c>
      <c r="D72" s="42">
        <f>TRUNC(1236,-1)</f>
        <v>1230</v>
      </c>
      <c r="E72" s="63">
        <f t="shared" si="2"/>
        <v>4060</v>
      </c>
    </row>
    <row r="73" spans="1:7" x14ac:dyDescent="0.3">
      <c r="A73" s="2">
        <v>5</v>
      </c>
      <c r="C73" s="38" t="s">
        <v>34</v>
      </c>
      <c r="D73" s="42">
        <f>TRUNC(9314,-1)</f>
        <v>9310</v>
      </c>
      <c r="E73" s="63">
        <f t="shared" si="2"/>
        <v>30770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TRUNC(7812,-1)</f>
        <v>7810</v>
      </c>
      <c r="E89" s="63">
        <f t="shared" si="2"/>
        <v>25810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TRUNC(4154,-1)</f>
        <v>4150</v>
      </c>
      <c r="E91" s="63">
        <f t="shared" si="2"/>
        <v>13710</v>
      </c>
    </row>
    <row r="92" spans="1:7" x14ac:dyDescent="0.3">
      <c r="A92" s="2">
        <v>24</v>
      </c>
      <c r="C92" s="38" t="s">
        <v>38</v>
      </c>
      <c r="D92" s="42">
        <f>TRUNC(8746,-1)</f>
        <v>8740</v>
      </c>
      <c r="E92" s="63">
        <f t="shared" si="2"/>
        <v>28890</v>
      </c>
    </row>
    <row r="93" spans="1:7" x14ac:dyDescent="0.3">
      <c r="A93" s="2">
        <v>25</v>
      </c>
      <c r="C93" s="38" t="s">
        <v>148</v>
      </c>
      <c r="D93" s="42">
        <f>TRUNC(80882,-1)</f>
        <v>80880</v>
      </c>
      <c r="E93" s="63">
        <f t="shared" si="2"/>
        <v>267370</v>
      </c>
    </row>
    <row r="94" spans="1:7" ht="17.25" thickBot="1" x14ac:dyDescent="0.35">
      <c r="A94" s="2">
        <v>26</v>
      </c>
      <c r="C94" s="38" t="s">
        <v>47</v>
      </c>
      <c r="D94" s="43">
        <f>TRUNC(20847+39391+2567,-1)</f>
        <v>62800</v>
      </c>
      <c r="E94" s="64">
        <f t="shared" si="2"/>
        <v>207600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186540</v>
      </c>
      <c r="E95" s="39">
        <f>SUM(E69:E94)</f>
        <v>616600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260</v>
      </c>
      <c r="G97" s="55"/>
    </row>
    <row r="98" spans="1:7" x14ac:dyDescent="0.3">
      <c r="A98" s="2">
        <v>1</v>
      </c>
      <c r="C98" s="38" t="s">
        <v>39</v>
      </c>
      <c r="D98" s="40">
        <f>TRUNC(16431,-1)</f>
        <v>16430</v>
      </c>
      <c r="E98" s="62">
        <f t="shared" ref="E98:E118" si="3">TRUNC(+D98*3.3058,-1)</f>
        <v>54310</v>
      </c>
    </row>
    <row r="99" spans="1:7" x14ac:dyDescent="0.3">
      <c r="A99" s="2">
        <v>2</v>
      </c>
      <c r="C99" s="38" t="s">
        <v>40</v>
      </c>
      <c r="D99" s="42">
        <f>TRUNC(5086,-1)</f>
        <v>5080</v>
      </c>
      <c r="E99" s="63">
        <f t="shared" si="3"/>
        <v>16790</v>
      </c>
    </row>
    <row r="100" spans="1:7" x14ac:dyDescent="0.3">
      <c r="A100" s="2">
        <v>3</v>
      </c>
      <c r="C100" s="38" t="s">
        <v>41</v>
      </c>
      <c r="D100" s="42">
        <f>TRUNC(29095,-1)</f>
        <v>29090</v>
      </c>
      <c r="E100" s="63">
        <f t="shared" si="3"/>
        <v>96160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TRUNC(23174,-1)</f>
        <v>23170</v>
      </c>
      <c r="E102" s="63">
        <f t="shared" si="3"/>
        <v>76590</v>
      </c>
    </row>
    <row r="103" spans="1:7" x14ac:dyDescent="0.3">
      <c r="A103" s="2">
        <v>6</v>
      </c>
      <c r="C103" s="38" t="s">
        <v>44</v>
      </c>
      <c r="D103" s="42">
        <f>TRUNC(3178,-1)</f>
        <v>3170</v>
      </c>
      <c r="E103" s="63">
        <f t="shared" si="3"/>
        <v>10470</v>
      </c>
    </row>
    <row r="104" spans="1:7" x14ac:dyDescent="0.3">
      <c r="A104" s="2">
        <v>7</v>
      </c>
      <c r="C104" s="38" t="s">
        <v>45</v>
      </c>
      <c r="D104" s="42">
        <f>TRUNC(3061,-1)</f>
        <v>3060</v>
      </c>
      <c r="E104" s="63">
        <f t="shared" si="3"/>
        <v>10110</v>
      </c>
    </row>
    <row r="105" spans="1:7" x14ac:dyDescent="0.3">
      <c r="A105" s="2">
        <v>8</v>
      </c>
      <c r="C105" s="38" t="s">
        <v>46</v>
      </c>
      <c r="D105" s="42">
        <f>TRUNC(8102,-1)</f>
        <v>8100</v>
      </c>
      <c r="E105" s="63">
        <f t="shared" si="3"/>
        <v>26770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TRUNC(7580,-1)</f>
        <v>7580</v>
      </c>
      <c r="E115" s="63">
        <f t="shared" si="3"/>
        <v>25050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TRUNC(49748,-1)</f>
        <v>49740</v>
      </c>
      <c r="E117" s="63">
        <f t="shared" si="3"/>
        <v>164430</v>
      </c>
    </row>
    <row r="118" spans="1:7" ht="17.25" thickBot="1" x14ac:dyDescent="0.35">
      <c r="A118" s="2">
        <v>21</v>
      </c>
      <c r="C118" s="38" t="s">
        <v>47</v>
      </c>
      <c r="D118" s="43">
        <f>TRUNC(354,-1)</f>
        <v>350</v>
      </c>
      <c r="E118" s="64">
        <f t="shared" si="3"/>
        <v>1150</v>
      </c>
    </row>
    <row r="119" spans="1:7" x14ac:dyDescent="0.3">
      <c r="A119" s="2">
        <v>22</v>
      </c>
      <c r="C119" s="27" t="s">
        <v>112</v>
      </c>
      <c r="D119" s="39">
        <f>SUM(D98:D118)</f>
        <v>145770</v>
      </c>
      <c r="E119" s="39">
        <f>SUM(E98:E118)</f>
        <v>481830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260</v>
      </c>
      <c r="G121" s="55"/>
    </row>
    <row r="122" spans="1:7" x14ac:dyDescent="0.3">
      <c r="A122" s="2">
        <v>1</v>
      </c>
      <c r="C122" s="38" t="s">
        <v>55</v>
      </c>
      <c r="D122" s="40">
        <f>TRUNC(3849,-1)</f>
        <v>3840</v>
      </c>
      <c r="E122" s="62">
        <f t="shared" ref="E122:E132" si="4">TRUNC(+D122*3.3058,-1)</f>
        <v>12690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TRUNC(550,-1)</f>
        <v>550</v>
      </c>
      <c r="E124" s="63">
        <f t="shared" si="4"/>
        <v>1810</v>
      </c>
    </row>
    <row r="125" spans="1:7" x14ac:dyDescent="0.3">
      <c r="A125" s="2">
        <v>4</v>
      </c>
      <c r="C125" s="38" t="s">
        <v>138</v>
      </c>
      <c r="D125" s="42">
        <f>TRUNC(7504,-1)</f>
        <v>7500</v>
      </c>
      <c r="E125" s="63">
        <f t="shared" si="4"/>
        <v>24790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TRUNC(6176,-1)</f>
        <v>6170</v>
      </c>
      <c r="E128" s="63">
        <f t="shared" si="4"/>
        <v>20390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TRUNC(16105,-1)</f>
        <v>16100</v>
      </c>
      <c r="E130" s="63">
        <f t="shared" si="4"/>
        <v>53220</v>
      </c>
    </row>
    <row r="131" spans="1:7" x14ac:dyDescent="0.3">
      <c r="A131" s="2">
        <v>10</v>
      </c>
      <c r="C131" s="38" t="s">
        <v>148</v>
      </c>
      <c r="D131" s="42">
        <f>TRUNC(18557,-1)</f>
        <v>18550</v>
      </c>
      <c r="E131" s="63">
        <f t="shared" si="4"/>
        <v>61320</v>
      </c>
    </row>
    <row r="132" spans="1:7" ht="18" thickBot="1" x14ac:dyDescent="0.35">
      <c r="A132" s="2">
        <v>11</v>
      </c>
      <c r="C132" s="38" t="s">
        <v>47</v>
      </c>
      <c r="D132" s="43">
        <f>TRUNC(2053+4360,-1)</f>
        <v>6410</v>
      </c>
      <c r="E132" s="64">
        <f t="shared" si="4"/>
        <v>21190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59120</v>
      </c>
      <c r="E133" s="39">
        <f>SUM(E122:E132)</f>
        <v>195410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260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TRUNC(4474+2559+1318,-1)</f>
        <v>8350</v>
      </c>
      <c r="E137" s="63">
        <f t="shared" si="5"/>
        <v>27600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TRUNC(1956,-1)</f>
        <v>1950</v>
      </c>
      <c r="E139" s="63">
        <f t="shared" si="5"/>
        <v>6440</v>
      </c>
    </row>
    <row r="140" spans="1:7" x14ac:dyDescent="0.3">
      <c r="A140" s="2">
        <v>5</v>
      </c>
      <c r="C140" s="38" t="s">
        <v>57</v>
      </c>
      <c r="D140" s="42">
        <f>TRUNC(2075,-1)</f>
        <v>2070</v>
      </c>
      <c r="E140" s="63">
        <f t="shared" si="5"/>
        <v>6840</v>
      </c>
    </row>
    <row r="141" spans="1:7" x14ac:dyDescent="0.3">
      <c r="A141" s="2">
        <v>6</v>
      </c>
      <c r="C141" s="38" t="s">
        <v>59</v>
      </c>
      <c r="D141" s="42">
        <f>TRUNC(8805,-1)</f>
        <v>8800</v>
      </c>
      <c r="E141" s="63">
        <f t="shared" si="5"/>
        <v>29090</v>
      </c>
    </row>
    <row r="142" spans="1:7" x14ac:dyDescent="0.3">
      <c r="A142" s="2">
        <v>7</v>
      </c>
      <c r="C142" s="38" t="s">
        <v>58</v>
      </c>
      <c r="D142" s="42">
        <f>TRUNC(132,-1)</f>
        <v>130</v>
      </c>
      <c r="E142" s="63">
        <f t="shared" si="5"/>
        <v>420</v>
      </c>
    </row>
    <row r="143" spans="1:7" x14ac:dyDescent="0.3">
      <c r="A143" s="2">
        <v>8</v>
      </c>
      <c r="C143" s="38" t="s">
        <v>62</v>
      </c>
      <c r="D143" s="42">
        <f>TRUNC(4689,-10)</f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TRUNC(18955,-1)</f>
        <v>18950</v>
      </c>
      <c r="E144" s="63">
        <f t="shared" si="5"/>
        <v>62640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40250</v>
      </c>
      <c r="E146" s="39">
        <f>SUM(E136:E145)</f>
        <v>133030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260</v>
      </c>
      <c r="G148" s="55"/>
    </row>
    <row r="149" spans="1:7" x14ac:dyDescent="0.3">
      <c r="A149" s="2">
        <v>1</v>
      </c>
      <c r="C149" s="38" t="s">
        <v>48</v>
      </c>
      <c r="D149" s="40">
        <f>TRUNC(7232+58,-1)</f>
        <v>7290</v>
      </c>
      <c r="E149" s="62">
        <f>TRUNC(+D149*3.3058,-1)</f>
        <v>24090</v>
      </c>
    </row>
    <row r="150" spans="1:7" x14ac:dyDescent="0.3">
      <c r="A150" s="2">
        <v>2</v>
      </c>
      <c r="C150" s="38" t="s">
        <v>49</v>
      </c>
      <c r="D150" s="42">
        <f>TRUNC(2905,-1)</f>
        <v>2900</v>
      </c>
      <c r="E150" s="63">
        <f>TRUNC(+D150*3.3058,-1)</f>
        <v>9580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TRUNC(9548+7527,-1)</f>
        <v>17070</v>
      </c>
      <c r="E152" s="63">
        <f>TRUNC(+D152*3.3058,-1)</f>
        <v>56430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TRUNC(27740,-1)</f>
        <v>27740</v>
      </c>
      <c r="E153" s="64">
        <f>TRUNC(+D153*3.3058,-1)</f>
        <v>91700</v>
      </c>
    </row>
    <row r="154" spans="1:7" x14ac:dyDescent="0.3">
      <c r="A154" s="2">
        <v>6</v>
      </c>
      <c r="C154" s="27" t="s">
        <v>112</v>
      </c>
      <c r="D154" s="39">
        <f>SUM(D149:D153)</f>
        <v>55000</v>
      </c>
      <c r="E154" s="39">
        <f>SUM(E149:E153)</f>
        <v>181800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260</v>
      </c>
      <c r="G156" s="55"/>
    </row>
    <row r="157" spans="1:7" x14ac:dyDescent="0.3">
      <c r="A157" s="2">
        <v>1</v>
      </c>
      <c r="C157" s="38" t="s">
        <v>51</v>
      </c>
      <c r="D157" s="40">
        <f>TRUNC(21745,-1)</f>
        <v>21740</v>
      </c>
      <c r="E157" s="62">
        <f>TRUNC(+D157*3.3058,-1)</f>
        <v>71860</v>
      </c>
    </row>
    <row r="158" spans="1:7" x14ac:dyDescent="0.3">
      <c r="A158" s="2">
        <v>2</v>
      </c>
      <c r="C158" s="38" t="s">
        <v>52</v>
      </c>
      <c r="D158" s="42">
        <f>TRUNC(5805,-1)</f>
        <v>5800</v>
      </c>
      <c r="E158" s="63">
        <f>TRUNC(+D158*3.3058,-1)</f>
        <v>19170</v>
      </c>
      <c r="F158" s="2" t="s">
        <v>258</v>
      </c>
    </row>
    <row r="159" spans="1:7" x14ac:dyDescent="0.3">
      <c r="A159" s="2">
        <v>3</v>
      </c>
      <c r="C159" s="38" t="s">
        <v>47</v>
      </c>
      <c r="D159" s="42">
        <f>TRUNC(4073,-1)</f>
        <v>4070</v>
      </c>
      <c r="E159" s="63">
        <f>TRUNC(+D159*3.3058,-1)</f>
        <v>13450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31610</v>
      </c>
      <c r="E161" s="39">
        <f>SUM(E157:E160)</f>
        <v>104480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2020-12-08T01:22:45Z</dcterms:modified>
</cp:coreProperties>
</file>