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3" i="4"/>
  <c r="D152" i="4"/>
  <c r="D150" i="4"/>
  <c r="D149" i="4"/>
  <c r="D143" i="4"/>
  <c r="D142" i="4"/>
  <c r="D141" i="4"/>
  <c r="D140" i="4"/>
  <c r="D137" i="4"/>
  <c r="D132" i="4"/>
  <c r="D131" i="4"/>
  <c r="D130" i="4"/>
  <c r="D128" i="4"/>
  <c r="D125" i="4"/>
  <c r="D124" i="4"/>
  <c r="D122" i="4"/>
  <c r="D118" i="4"/>
  <c r="D117" i="4"/>
  <c r="D114" i="4"/>
  <c r="D105" i="4"/>
  <c r="D104" i="4"/>
  <c r="D103" i="4"/>
  <c r="D102" i="4"/>
  <c r="D100" i="4"/>
  <c r="D99" i="4"/>
  <c r="D98" i="4"/>
  <c r="D94" i="4"/>
  <c r="D93" i="4"/>
  <c r="D92" i="4"/>
  <c r="D91" i="4"/>
  <c r="D90" i="4"/>
  <c r="D89" i="4"/>
  <c r="D76" i="4"/>
  <c r="D73" i="4"/>
  <c r="D72" i="4"/>
  <c r="D69" i="4"/>
  <c r="D63" i="4"/>
  <c r="D58" i="4"/>
  <c r="D53" i="4"/>
  <c r="D52" i="4"/>
  <c r="D50" i="4"/>
  <c r="D48" i="4"/>
  <c r="D46" i="4"/>
  <c r="D45" i="4"/>
  <c r="D44" i="4"/>
  <c r="D43" i="4"/>
  <c r="D42" i="4"/>
  <c r="D41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<sst xmlns="http://schemas.openxmlformats.org/spreadsheetml/2006/main" count="393" uniqueCount="269">
  <si>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</si>
  <si>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</si>
  <si>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</si>
  <si>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</si>
  <si>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</si>
  <si>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</si>
  <si>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</si>
  <si>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</si>
  <si>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</si>
  <si>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</si>
  <si>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</si>
  <si>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</si>
  <si>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</si>
  <si>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</si>
  <si>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</si>
  <si>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</si>
  <si>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</si>
  <si>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</si>
  <si>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</si>
  <si>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</si>
  <si>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</si>
  <si>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</si>
  <si>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</si>
  <si>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</si>
  <si>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</si>
  <si>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</si>
  <si>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</si>
  <si>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</si>
  <si>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</si>
  <si>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</si>
  <si>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</si>
  <si>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</si>
  <si>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</si>
  <si>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</si>
  <si>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</si>
  <si>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</si>
  <si>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</si>
  <si>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</si>
  <si>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</si>
  <si>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</si>
  <si>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</si>
  <si>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</si>
  <si>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</si>
  <si>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</si>
  <si>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</si>
  <si>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</si>
  <si>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</si>
  <si>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</si>
  <si>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</si>
  <si>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</si>
  <si>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</si>
  <si>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</si>
  <si>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</si>
  <si>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</si>
  <si>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</si>
  <si>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</si>
  <si>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</si>
  <si>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</si>
  <si>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</si>
  <si>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</si>
  <si>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</si>
  <si>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</si>
  <si>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</si>
  <si>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</si>
  <si>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</si>
  <si>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</si>
  <si>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</si>
  <si>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</si>
  <si>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</si>
  <si>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</si>
  <si>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</si>
  <si>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</si>
  <si>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</si>
  <si>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</si>
  <si>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</si>
  <si>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</si>
  <si>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</si>
  <si>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</si>
  <si>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</si>
  <si>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</si>
  <si>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</si>
  <si>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</si>
  <si>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</si>
  <si>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</si>
  <si>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</si>
  <si>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</si>
  <si>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</si>
  <si>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</si>
  <si>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</si>
  <si>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</si>
  <si>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</si>
  <si>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</si>
  <si>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</si>
  <si>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</si>
  <si>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</si>
  <si>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</si>
  <si>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</si>
  <si>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</si>
  <si>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</si>
  <si>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</si>
  <si>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</si>
  <si>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</si>
  <si>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</si>
  <si>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</si>
  <si>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</si>
  <si>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</si>
  <si>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</si>
  <si>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</si>
  <si>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</si>
  <si>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</si>
  <si>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</si>
  <si>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</si>
  <si>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</si>
  <si>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</si>
  <si>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</si>
  <si>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</si>
  <si>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</si>
  <si>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</si>
  <si>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</si>
  <si>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</si>
  <si>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</si>
  <si>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</si>
  <si>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</si>
  <si>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</si>
  <si>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</si>
  <si>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</si>
  <si>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</si>
  <si>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</si>
  <si>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</si>
  <si>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</si>
  <si>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</si>
  <si>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</si>
  <si>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</si>
  <si>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</si>
  <si>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</si>
  <si>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</si>
  <si>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</si>
  <si>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</si>
  <si>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</si>
  <si>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</si>
  <si>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</si>
  <si>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</si>
  <si>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</si>
  <si>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</si>
  <si>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</si>
  <si>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</si>
  <si>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</si>
  <si>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</si>
  <si>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</si>
  <si>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</si>
  <si>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</si>
  <si>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</si>
  <si>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</si>
  <si>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</si>
  <si>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</si>
  <si>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</si>
  <si>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</si>
  <si>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</si>
  <si>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</si>
  <si>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</si>
  <si>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</si>
  <si>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</si>
  <si>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</si>
  <si>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</si>
  <si>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</si>
  <si>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</si>
  <si>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</si>
  <si>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</si>
  <si>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</si>
  <si>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</si>
  <si>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</si>
  <si>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</si>
  <si>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</si>
  <si>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</si>
  <si>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</si>
  <si>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</si>
  <si>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</si>
  <si>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</si>
  <si>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</si>
  <si>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</si>
  <si>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</si>
  <si>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</si>
  <si>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</si>
  <si>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</si>
  <si>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</si>
  <si>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</si>
  <si>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</si>
  <si>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</si>
  <si>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</si>
  <si>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</si>
  <si>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</si>
  <si>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</si>
  <si>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</si>
  <si>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</si>
  <si>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</si>
  <si>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</si>
  <si>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</si>
  <si>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</si>
  <si>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</si>
  <si>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</si>
  <si>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</si>
  <si>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</si>
  <si>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</si>
  <si>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</si>
  <si>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</si>
  <si>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</si>
  <si>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</si>
  <si>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</si>
  <si>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</si>
  <si>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</si>
  <si>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</si>
  <si>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</si>
  <si>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</si>
  <si>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</si>
  <si>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</si>
  <si>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</si>
  <si>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</si>
  <si>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</si>
  <si>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</si>
  <si>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</si>
  <si>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</si>
  <si>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</si>
  <si>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</si>
  <si>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</si>
  <si>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</si>
  <si>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</si>
  <si>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</si>
  <si>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</si>
  <si>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</si>
  <si>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</si>
  <si>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</si>
  <si>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</si>
  <si>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</si>
  <si>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</si>
  <si>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</si>
  <si>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</si>
  <si>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</si>
  <si>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</si>
  <si>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</si>
  <si>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</si>
  <si>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</si>
  <si>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</si>
  <si>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</si>
  <si>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</si>
  <si>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</si>
  <si>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</si>
  <si>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</si>
  <si>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</si>
  <si>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</si>
  <si>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</si>
  <si>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</si>
  <si>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</si>
  <si>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</si>
  <si>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전기인입 및 수변전 설비공사</t>
    <phoneticPr fontId="2" type="noConversion"/>
  </si>
  <si>
    <t>기타공사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</si>
  <si>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</si>
  <si>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</si>
  <si>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</si>
  <si>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</si>
  <si>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당암유·초등학교 신축공사</t>
    <phoneticPr fontId="2" type="noConversion"/>
  </si>
  <si>
    <t>세종시</t>
  </si>
  <si>
    <t>기초공사, 골재비및운반비, 작업부산물, 기타공사</t>
    <phoneticPr fontId="2" type="noConversion"/>
  </si>
  <si>
    <t>공조배관공사,기타공사</t>
    <phoneticPr fontId="2" type="noConversion"/>
  </si>
  <si>
    <t>옥외보안등설비공사</t>
    <phoneticPr fontId="2" type="noConversion"/>
  </si>
  <si>
    <t>사급자재비, 운반비</t>
    <phoneticPr fontId="2" type="noConversion"/>
  </si>
  <si>
    <t>포장공사,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</si>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</sst>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21649.58</v>
      </c>
      <c r="D7" s="36">
        <f>+C7/3.3058</f>
        <v>6548.9684796418424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260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670830</v>
      </c>
      <c r="E25" s="59">
        <f t="shared" si="0"/>
        <v>2217620</v>
      </c>
    </row>
    <row r="26" spans="1:5" x14ac:dyDescent="0.3">
      <c r="B26" s="2">
        <v>3</v>
      </c>
      <c r="C26" s="35" t="s">
        <v>95</v>
      </c>
      <c r="D26" s="45">
        <f>+D66</f>
        <v>4340</v>
      </c>
      <c r="E26" s="59">
        <f t="shared" si="0"/>
        <v>14340</v>
      </c>
    </row>
    <row r="27" spans="1:5" x14ac:dyDescent="0.3">
      <c r="B27" s="2">
        <v>4</v>
      </c>
      <c r="C27" s="35" t="s">
        <v>96</v>
      </c>
      <c r="D27" s="45">
        <f>+D95</f>
        <v>193680</v>
      </c>
      <c r="E27" s="59">
        <f t="shared" si="0"/>
        <v>640260</v>
      </c>
    </row>
    <row r="28" spans="1:5" x14ac:dyDescent="0.3">
      <c r="B28" s="2">
        <v>5</v>
      </c>
      <c r="C28" s="35" t="s">
        <v>97</v>
      </c>
      <c r="D28" s="45">
        <f>+D119</f>
        <v>130750</v>
      </c>
      <c r="E28" s="59">
        <f t="shared" si="0"/>
        <v>432230</v>
      </c>
    </row>
    <row r="29" spans="1:5" x14ac:dyDescent="0.3">
      <c r="B29" s="2">
        <v>6</v>
      </c>
      <c r="C29" s="35" t="s">
        <v>98</v>
      </c>
      <c r="D29" s="45">
        <f>+D133</f>
        <v>42090</v>
      </c>
      <c r="E29" s="59">
        <f t="shared" si="0"/>
        <v>139140</v>
      </c>
    </row>
    <row r="30" spans="1:5" x14ac:dyDescent="0.3">
      <c r="B30" s="2">
        <v>7</v>
      </c>
      <c r="C30" s="35" t="s">
        <v>99</v>
      </c>
      <c r="D30" s="45">
        <f>+D146</f>
        <v>37170</v>
      </c>
      <c r="E30" s="59">
        <f t="shared" si="0"/>
        <v>122870</v>
      </c>
    </row>
    <row r="31" spans="1:5" x14ac:dyDescent="0.3">
      <c r="B31" s="2">
        <v>8</v>
      </c>
      <c r="C31" s="35" t="s">
        <v>100</v>
      </c>
      <c r="D31" s="45">
        <f>+D154</f>
        <v>68990</v>
      </c>
      <c r="E31" s="59">
        <f t="shared" si="0"/>
        <v>228060</v>
      </c>
    </row>
    <row r="32" spans="1:5" x14ac:dyDescent="0.3">
      <c r="B32" s="2">
        <v>9</v>
      </c>
      <c r="C32" s="35" t="s">
        <v>101</v>
      </c>
      <c r="D32" s="45">
        <f>+D161</f>
        <v>18740</v>
      </c>
      <c r="E32" s="59">
        <f t="shared" si="0"/>
        <v>61950</v>
      </c>
    </row>
    <row r="33" spans="1:7" x14ac:dyDescent="0.3">
      <c r="B33" s="2">
        <v>10</v>
      </c>
      <c r="C33" s="35" t="s">
        <v>154</v>
      </c>
      <c r="D33" s="53">
        <f>TRUNC(SUM(D24:D32)*0.275,-1)</f>
        <v>320810</v>
      </c>
      <c r="E33" s="60">
        <f t="shared" si="0"/>
        <v>1060530</v>
      </c>
    </row>
    <row r="34" spans="1:7" x14ac:dyDescent="0.3">
      <c r="C34" s="35" t="s">
        <v>112</v>
      </c>
      <c r="D34" s="44">
        <f>SUM(D24:D33)</f>
        <v>1487400</v>
      </c>
      <c r="E34" s="44">
        <f>SUM(E24:E33)</f>
        <v>4917000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249</v>
      </c>
      <c r="D39" s="57" t="s">
        <v>250</v>
      </c>
      <c r="E39" s="57" t="s">
        <v>251</v>
      </c>
      <c r="G39" s="55"/>
    </row>
    <row r="40" spans="1:7" x14ac:dyDescent="0.3">
      <c r="A40" s="2">
        <v>1</v>
      </c>
      <c r="C40" s="38" t="s">
        <v>15</v>
      </c>
      <c r="D40" s="40">
        <v>46200</v>
      </c>
      <c r="E40" s="62">
        <f t="shared" ref="E40:E59" si="1">TRUNC(+D40*3.3058,-1)</f>
        <v>152720</v>
      </c>
    </row>
    <row r="41" spans="1:7" x14ac:dyDescent="0.3">
      <c r="A41" s="2">
        <v>2</v>
      </c>
      <c r="C41" s="38" t="s">
        <v>13</v>
      </c>
      <c r="D41" s="42">
        <f>TRUNC(118457,-1)</f>
        <v>118450</v>
      </c>
      <c r="E41" s="63">
        <f t="shared" si="1"/>
        <v>391570</v>
      </c>
    </row>
    <row r="42" spans="1:7" x14ac:dyDescent="0.3">
      <c r="A42" s="2">
        <v>3</v>
      </c>
      <c r="C42" s="38" t="s">
        <v>14</v>
      </c>
      <c r="D42" s="42">
        <f>TRUNC(10854,-1)</f>
        <v>10850</v>
      </c>
      <c r="E42" s="63">
        <f t="shared" si="1"/>
        <v>35860</v>
      </c>
    </row>
    <row r="43" spans="1:7" x14ac:dyDescent="0.3">
      <c r="A43" s="2">
        <v>4</v>
      </c>
      <c r="C43" s="38" t="s">
        <v>16</v>
      </c>
      <c r="D43" s="42">
        <f>TRUNC(43731,-1)</f>
        <v>43730</v>
      </c>
      <c r="E43" s="63">
        <f t="shared" si="1"/>
        <v>144560</v>
      </c>
    </row>
    <row r="44" spans="1:7" x14ac:dyDescent="0.3">
      <c r="A44" s="2">
        <v>5</v>
      </c>
      <c r="C44" s="38" t="s">
        <v>17</v>
      </c>
      <c r="D44" s="42">
        <f>TRUNC(21758,-1)</f>
        <v>21750</v>
      </c>
      <c r="E44" s="63">
        <f t="shared" si="1"/>
        <v>71900</v>
      </c>
    </row>
    <row r="45" spans="1:7" x14ac:dyDescent="0.3">
      <c r="A45" s="2">
        <v>6</v>
      </c>
      <c r="C45" s="38" t="s">
        <v>18</v>
      </c>
      <c r="D45" s="42">
        <f>TRUNC(6582,-1)</f>
        <v>6580</v>
      </c>
      <c r="E45" s="63">
        <f t="shared" si="1"/>
        <v>21750</v>
      </c>
    </row>
    <row r="46" spans="1:7" x14ac:dyDescent="0.3">
      <c r="A46" s="2">
        <v>7</v>
      </c>
      <c r="C46" s="38" t="s">
        <v>19</v>
      </c>
      <c r="D46" s="42">
        <f>TRUNC(36414,-1)</f>
        <v>36410</v>
      </c>
      <c r="E46" s="63">
        <f t="shared" si="1"/>
        <v>120360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TRUNC(60757,-1)</f>
        <v>60750</v>
      </c>
      <c r="E48" s="63">
        <f t="shared" si="1"/>
        <v>200820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v>18750</v>
      </c>
      <c r="E49" s="63">
        <f t="shared" si="1"/>
        <v>61980</v>
      </c>
    </row>
    <row r="50" spans="1:7" x14ac:dyDescent="0.3">
      <c r="A50" s="2">
        <v>11</v>
      </c>
      <c r="C50" s="38" t="s">
        <v>155</v>
      </c>
      <c r="D50" s="42">
        <f>TRUNC(19366,-1)</f>
        <v>19360</v>
      </c>
      <c r="E50" s="63">
        <f t="shared" si="1"/>
        <v>64000</v>
      </c>
      <c r="F50" s="2" t="s">
        <v>257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TRUNC(8067,-1)</f>
        <v>8060</v>
      </c>
      <c r="E52" s="63">
        <f t="shared" si="1"/>
        <v>26640</v>
      </c>
    </row>
    <row r="53" spans="1:7" x14ac:dyDescent="0.3">
      <c r="A53" s="2">
        <v>14</v>
      </c>
      <c r="C53" s="38" t="s">
        <v>25</v>
      </c>
      <c r="D53" s="42">
        <f>TRUNC(56982,-1)</f>
        <v>56980</v>
      </c>
      <c r="E53" s="63">
        <f t="shared" si="1"/>
        <v>188360</v>
      </c>
      <c r="F53" s="2" t="s">
        <v>258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TRUNC(6573+5944-490+7716,-1)</f>
        <v>19740</v>
      </c>
      <c r="E58" s="63">
        <f t="shared" si="1"/>
        <v>65250</v>
      </c>
      <c r="F58" s="2" t="s">
        <v>261</v>
      </c>
    </row>
    <row r="59" spans="1:7" ht="17.25" thickBot="1" x14ac:dyDescent="0.35">
      <c r="A59" s="2">
        <v>20</v>
      </c>
      <c r="C59" s="38" t="s">
        <v>148</v>
      </c>
      <c r="D59" s="43">
        <v>203220</v>
      </c>
      <c r="E59" s="64">
        <f t="shared" si="1"/>
        <v>671800</v>
      </c>
    </row>
    <row r="60" spans="1:7" x14ac:dyDescent="0.3">
      <c r="A60" s="2">
        <v>21</v>
      </c>
      <c r="C60" s="27" t="s">
        <v>112</v>
      </c>
      <c r="D60" s="39">
        <f>SUM(D40:D59)</f>
        <v>670830</v>
      </c>
      <c r="E60" s="39">
        <f>SUM(E40:E59)</f>
        <v>2217570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TRUNC(4342,-1)</f>
        <v>4340</v>
      </c>
      <c r="E63" s="62">
        <f>TRUNC(+D63*3.3058,-1)</f>
        <v>14340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4340</v>
      </c>
      <c r="E66" s="65">
        <f>SUM(E63:E65)</f>
        <v>14340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TRUNC(6459,-1)</f>
        <v>6450</v>
      </c>
      <c r="E69" s="62">
        <f t="shared" ref="E69:E94" si="2">TRUNC(+D69*3.3058,-1)</f>
        <v>21320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TRUNC(3595,-1)</f>
        <v>3590</v>
      </c>
      <c r="E72" s="63">
        <f t="shared" si="2"/>
        <v>11860</v>
      </c>
    </row>
    <row r="73" spans="1:7" x14ac:dyDescent="0.3">
      <c r="A73" s="2">
        <v>5</v>
      </c>
      <c r="C73" s="38" t="s">
        <v>34</v>
      </c>
      <c r="D73" s="42">
        <f>TRUNC(16826,-1)</f>
        <v>16820</v>
      </c>
      <c r="E73" s="63">
        <f t="shared" si="2"/>
        <v>55600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TRUNC(31728,-1)</f>
        <v>31720</v>
      </c>
      <c r="E76" s="63">
        <f t="shared" si="2"/>
        <v>104850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TRUNC(6904,-1)</f>
        <v>6900</v>
      </c>
      <c r="E89" s="63">
        <f t="shared" si="2"/>
        <v>22810</v>
      </c>
    </row>
    <row r="90" spans="1:7" x14ac:dyDescent="0.3">
      <c r="A90" s="2">
        <v>22</v>
      </c>
      <c r="C90" s="38" t="s">
        <v>36</v>
      </c>
      <c r="D90" s="42">
        <f>TRUNC(466,-1)</f>
        <v>460</v>
      </c>
      <c r="E90" s="63">
        <f t="shared" si="2"/>
        <v>1520</v>
      </c>
    </row>
    <row r="91" spans="1:7" x14ac:dyDescent="0.3">
      <c r="A91" s="2">
        <v>23</v>
      </c>
      <c r="C91" s="38" t="s">
        <v>37</v>
      </c>
      <c r="D91" s="42">
        <f>TRUNC(5008,-1)</f>
        <v>5000</v>
      </c>
      <c r="E91" s="63">
        <f t="shared" si="2"/>
        <v>16520</v>
      </c>
    </row>
    <row r="92" spans="1:7" x14ac:dyDescent="0.3">
      <c r="A92" s="2">
        <v>24</v>
      </c>
      <c r="C92" s="38" t="s">
        <v>38</v>
      </c>
      <c r="D92" s="42">
        <f>TRUNC(8687,-1)</f>
        <v>8680</v>
      </c>
      <c r="E92" s="63">
        <f t="shared" si="2"/>
        <v>28690</v>
      </c>
    </row>
    <row r="93" spans="1:7" x14ac:dyDescent="0.3">
      <c r="A93" s="2">
        <v>25</v>
      </c>
      <c r="C93" s="38" t="s">
        <v>148</v>
      </c>
      <c r="D93" s="42">
        <f>TRUNC(103439,-1)</f>
        <v>103430</v>
      </c>
      <c r="E93" s="63">
        <f t="shared" si="2"/>
        <v>341910</v>
      </c>
    </row>
    <row r="94" spans="1:7" ht="17.25" thickBot="1" x14ac:dyDescent="0.35">
      <c r="A94" s="2">
        <v>26</v>
      </c>
      <c r="C94" s="38" t="s">
        <v>47</v>
      </c>
      <c r="D94" s="43">
        <f>TRUNC(780+9855,-1)</f>
        <v>10630</v>
      </c>
      <c r="E94" s="64">
        <f t="shared" si="2"/>
        <v>35140</v>
      </c>
      <c r="F94" s="2" t="s">
        <v>262</v>
      </c>
    </row>
    <row r="95" spans="1:7" x14ac:dyDescent="0.3">
      <c r="A95" s="2">
        <v>27</v>
      </c>
      <c r="C95" s="27" t="s">
        <v>112</v>
      </c>
      <c r="D95" s="39">
        <f>SUM(D69:D94)</f>
        <v>193680</v>
      </c>
      <c r="E95" s="39">
        <f>SUM(E69:E94)</f>
        <v>640220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TRUNC(7897,-1)</f>
        <v>7890</v>
      </c>
      <c r="E98" s="62">
        <f t="shared" ref="E98:E118" si="3">TRUNC(+D98*3.3058,-1)</f>
        <v>26080</v>
      </c>
    </row>
    <row r="99" spans="1:7" x14ac:dyDescent="0.3">
      <c r="A99" s="2">
        <v>2</v>
      </c>
      <c r="C99" s="38" t="s">
        <v>40</v>
      </c>
      <c r="D99" s="42">
        <f>TRUNC(3602,-1)</f>
        <v>3600</v>
      </c>
      <c r="E99" s="63">
        <f t="shared" si="3"/>
        <v>11900</v>
      </c>
    </row>
    <row r="100" spans="1:7" x14ac:dyDescent="0.3">
      <c r="A100" s="2">
        <v>3</v>
      </c>
      <c r="C100" s="38" t="s">
        <v>41</v>
      </c>
      <c r="D100" s="42">
        <f>TRUNC(22212,-1)</f>
        <v>22210</v>
      </c>
      <c r="E100" s="63">
        <f t="shared" si="3"/>
        <v>73420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TRUNC(13064,-1)</f>
        <v>13060</v>
      </c>
      <c r="E102" s="63">
        <f t="shared" si="3"/>
        <v>43170</v>
      </c>
    </row>
    <row r="103" spans="1:7" x14ac:dyDescent="0.3">
      <c r="A103" s="2">
        <v>6</v>
      </c>
      <c r="C103" s="38" t="s">
        <v>44</v>
      </c>
      <c r="D103" s="42">
        <f>TRUNC(9642,-1)</f>
        <v>9640</v>
      </c>
      <c r="E103" s="63">
        <f t="shared" si="3"/>
        <v>31860</v>
      </c>
    </row>
    <row r="104" spans="1:7" x14ac:dyDescent="0.3">
      <c r="A104" s="2">
        <v>7</v>
      </c>
      <c r="C104" s="38" t="s">
        <v>45</v>
      </c>
      <c r="D104" s="42">
        <f>TRUNC(2707,-1)</f>
        <v>2700</v>
      </c>
      <c r="E104" s="63">
        <f t="shared" si="3"/>
        <v>8920</v>
      </c>
    </row>
    <row r="105" spans="1:7" x14ac:dyDescent="0.3">
      <c r="A105" s="2">
        <v>8</v>
      </c>
      <c r="C105" s="38" t="s">
        <v>46</v>
      </c>
      <c r="D105" s="42">
        <f>TRUNC(5177,-1)</f>
        <v>5170</v>
      </c>
      <c r="E105" s="63">
        <f t="shared" si="3"/>
        <v>17090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TRUNC(1536,-1)</f>
        <v>1530</v>
      </c>
      <c r="E114" s="63">
        <f t="shared" si="3"/>
        <v>5050</v>
      </c>
      <c r="F114" s="2" t="s">
        <v>263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2930</v>
      </c>
      <c r="E116" s="63">
        <f t="shared" si="3"/>
        <v>9680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f>TRUNC(60749,-1)</f>
        <v>60740</v>
      </c>
      <c r="E117" s="63">
        <f t="shared" si="3"/>
        <v>200790</v>
      </c>
    </row>
    <row r="118" spans="1:7" ht="17.25" thickBot="1" x14ac:dyDescent="0.35">
      <c r="A118" s="2">
        <v>21</v>
      </c>
      <c r="C118" s="38" t="s">
        <v>47</v>
      </c>
      <c r="D118" s="43">
        <f>TRUNC(1284,-1)</f>
        <v>1280</v>
      </c>
      <c r="E118" s="64">
        <f t="shared" si="3"/>
        <v>4230</v>
      </c>
      <c r="F118" s="2" t="s">
        <v>254</v>
      </c>
    </row>
    <row r="119" spans="1:7" x14ac:dyDescent="0.3">
      <c r="A119" s="2">
        <v>22</v>
      </c>
      <c r="C119" s="27" t="s">
        <v>112</v>
      </c>
      <c r="D119" s="39">
        <f>SUM(D98:D118)</f>
        <v>130750</v>
      </c>
      <c r="E119" s="39">
        <f>SUM(E98:E118)</f>
        <v>432190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TRUNC(2637,-1)</f>
        <v>2630</v>
      </c>
      <c r="E122" s="62">
        <f t="shared" ref="E122:E132" si="4">TRUNC(+D122*3.3058,-1)</f>
        <v>8690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TRUNC(687,-1)</f>
        <v>680</v>
      </c>
      <c r="E124" s="63">
        <f t="shared" si="4"/>
        <v>2240</v>
      </c>
    </row>
    <row r="125" spans="1:7" x14ac:dyDescent="0.3">
      <c r="A125" s="2">
        <v>4</v>
      </c>
      <c r="C125" s="38" t="s">
        <v>138</v>
      </c>
      <c r="D125" s="42">
        <f>TRUNC(6021,-1)</f>
        <v>6020</v>
      </c>
      <c r="E125" s="63">
        <f t="shared" si="4"/>
        <v>19900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TRUNC(3188,-1)</f>
        <v>3180</v>
      </c>
      <c r="E128" s="63">
        <f t="shared" si="4"/>
        <v>10510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TRUNC(10311,-1)</f>
        <v>10310</v>
      </c>
      <c r="E130" s="63">
        <f t="shared" si="4"/>
        <v>34080</v>
      </c>
    </row>
    <row r="131" spans="1:7" x14ac:dyDescent="0.3">
      <c r="A131" s="2">
        <v>10</v>
      </c>
      <c r="C131" s="38" t="s">
        <v>148</v>
      </c>
      <c r="D131" s="42">
        <f>TRUNC(16977,-1)</f>
        <v>16970</v>
      </c>
      <c r="E131" s="63">
        <f t="shared" si="4"/>
        <v>56090</v>
      </c>
    </row>
    <row r="132" spans="1:7" ht="18" thickBot="1" x14ac:dyDescent="0.35">
      <c r="A132" s="2">
        <v>11</v>
      </c>
      <c r="C132" s="38" t="s">
        <v>47</v>
      </c>
      <c r="D132" s="43">
        <f>TRUNC(2228+73,-1)</f>
        <v>2300</v>
      </c>
      <c r="E132" s="64">
        <f t="shared" si="4"/>
        <v>7600</v>
      </c>
      <c r="F132" s="54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42090</v>
      </c>
      <c r="E133" s="39">
        <f>SUM(E122:E132)</f>
        <v>139110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TRUNC(13804,-1)</f>
        <v>13800</v>
      </c>
      <c r="E137" s="63">
        <f t="shared" si="5"/>
        <v>45620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TRUNC(1592,-1)</f>
        <v>1590</v>
      </c>
      <c r="E140" s="63">
        <f t="shared" si="5"/>
        <v>5250</v>
      </c>
    </row>
    <row r="141" spans="1:7" x14ac:dyDescent="0.3">
      <c r="A141" s="2">
        <v>6</v>
      </c>
      <c r="C141" s="38" t="s">
        <v>59</v>
      </c>
      <c r="D141" s="42">
        <f>TRUNC(14544,-1)</f>
        <v>14540</v>
      </c>
      <c r="E141" s="63">
        <f t="shared" si="5"/>
        <v>48060</v>
      </c>
    </row>
    <row r="142" spans="1:7" x14ac:dyDescent="0.3">
      <c r="A142" s="2">
        <v>7</v>
      </c>
      <c r="C142" s="38" t="s">
        <v>58</v>
      </c>
      <c r="D142" s="42">
        <f>TRUNC(6898,-1)</f>
        <v>6890</v>
      </c>
      <c r="E142" s="63">
        <f t="shared" si="5"/>
        <v>22770</v>
      </c>
    </row>
    <row r="143" spans="1:7" x14ac:dyDescent="0.3">
      <c r="A143" s="2">
        <v>8</v>
      </c>
      <c r="C143" s="38" t="s">
        <v>62</v>
      </c>
      <c r="D143" s="42">
        <f>TRUNC(359,-1)</f>
        <v>350</v>
      </c>
      <c r="E143" s="63">
        <f t="shared" si="5"/>
        <v>1150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37170</v>
      </c>
      <c r="E146" s="39">
        <f>SUM(E136:E145)</f>
        <v>122850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TRUNC(3773+902,-1)</f>
        <v>4670</v>
      </c>
      <c r="E149" s="62">
        <f>TRUNC(+D149*3.3058,-1)</f>
        <v>15430</v>
      </c>
    </row>
    <row r="150" spans="1:7" x14ac:dyDescent="0.3">
      <c r="A150" s="2">
        <v>2</v>
      </c>
      <c r="C150" s="38" t="s">
        <v>49</v>
      </c>
      <c r="D150" s="42">
        <f>TRUNC(5364,-1)</f>
        <v>5360</v>
      </c>
      <c r="E150" s="63">
        <f>TRUNC(+D150*3.3058,-1)</f>
        <v>17710</v>
      </c>
    </row>
    <row r="151" spans="1:7" x14ac:dyDescent="0.3">
      <c r="A151" s="2">
        <v>3</v>
      </c>
      <c r="C151" s="38" t="s">
        <v>50</v>
      </c>
      <c r="D151" s="42">
        <v>5080</v>
      </c>
      <c r="E151" s="63">
        <f>TRUNC(+D151*3.3058,-1)</f>
        <v>16790</v>
      </c>
    </row>
    <row r="152" spans="1:7" x14ac:dyDescent="0.3">
      <c r="A152" s="2">
        <v>4</v>
      </c>
      <c r="C152" s="38" t="s">
        <v>47</v>
      </c>
      <c r="D152" s="42">
        <f>TRUNC(3698+1104,-1)</f>
        <v>4800</v>
      </c>
      <c r="E152" s="63">
        <f>TRUNC(+D152*3.3058,-1)</f>
        <v>15860</v>
      </c>
      <c r="F152" s="2" t="s">
        <v>264</v>
      </c>
    </row>
    <row r="153" spans="1:7" ht="17.25" thickBot="1" x14ac:dyDescent="0.35">
      <c r="A153" s="2">
        <v>5</v>
      </c>
      <c r="C153" s="38" t="s">
        <v>148</v>
      </c>
      <c r="D153" s="43">
        <f>TRUNC(49081,-1)</f>
        <v>49080</v>
      </c>
      <c r="E153" s="64">
        <f>TRUNC(+D153*3.3058,-1)</f>
        <v>162240</v>
      </c>
    </row>
    <row r="154" spans="1:7" x14ac:dyDescent="0.3">
      <c r="A154" s="2">
        <v>6</v>
      </c>
      <c r="C154" s="27" t="s">
        <v>112</v>
      </c>
      <c r="D154" s="39">
        <f>SUM(D149:D153)</f>
        <v>68990</v>
      </c>
      <c r="E154" s="39">
        <f>SUM(E149:E153)</f>
        <v>228030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TRUNC(12868,-1)</f>
        <v>12860</v>
      </c>
      <c r="E157" s="62">
        <f>TRUNC(+D157*3.3058,-1)</f>
        <v>42510</v>
      </c>
    </row>
    <row r="158" spans="1:7" x14ac:dyDescent="0.3">
      <c r="A158" s="2">
        <v>2</v>
      </c>
      <c r="C158" s="38" t="s">
        <v>52</v>
      </c>
      <c r="D158" s="42">
        <f>TRUNC(2666,-1)</f>
        <v>2660</v>
      </c>
      <c r="E158" s="63">
        <f>TRUNC(+D158*3.3058,-1)</f>
        <v>8790</v>
      </c>
    </row>
    <row r="159" spans="1:7" x14ac:dyDescent="0.3">
      <c r="A159" s="2">
        <v>3</v>
      </c>
      <c r="C159" s="38" t="s">
        <v>47</v>
      </c>
      <c r="D159" s="42">
        <f>TRUNC(3224+1,-1)</f>
        <v>3220</v>
      </c>
      <c r="E159" s="63">
        <f>TRUNC(+D159*3.3058,-1)</f>
        <v>10640</v>
      </c>
      <c r="F159" s="2" t="s">
        <v>265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18740</v>
      </c>
      <c r="E161" s="39">
        <f>SUM(E157:E160)</f>
        <v>61940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2020-12-07T10:01:54Z</dcterms:modified>
</cp:coreProperties>
</file>