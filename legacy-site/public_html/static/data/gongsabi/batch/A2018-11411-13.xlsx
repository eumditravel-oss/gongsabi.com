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50" i="4"/>
  <c r="D149" i="4"/>
  <c r="D144" i="4"/>
  <c r="D143" i="4"/>
  <c r="D142" i="4"/>
  <c r="D140" i="4"/>
  <c r="D139" i="4"/>
  <c r="D137" i="4"/>
  <c r="D132" i="4"/>
  <c r="D131" i="4"/>
  <c r="D130" i="4"/>
  <c r="D128" i="4"/>
  <c r="D127" i="4"/>
  <c r="D125" i="4"/>
  <c r="D124" i="4"/>
  <c r="D116" i="4"/>
  <c r="D122" i="4"/>
  <c r="D118" i="4"/>
  <c r="D114" i="4"/>
  <c r="D105" i="4"/>
  <c r="D104" i="4"/>
  <c r="D102" i="4"/>
  <c r="D101" i="4"/>
  <c r="D100" i="4"/>
  <c r="D99" i="4"/>
  <c r="D98" i="4"/>
  <c r="D94" i="4"/>
  <c r="D92" i="4"/>
  <c r="D91" i="4"/>
  <c r="D89" i="4"/>
  <c r="D75" i="4"/>
  <c r="D73" i="4"/>
  <c r="D72" i="4"/>
  <c r="D71" i="4"/>
  <c r="D70" i="4"/>
  <c r="D69" i="4"/>
  <c r="D63" i="4"/>
  <c r="D59" i="4"/>
  <c r="D58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<sst xmlns="http://schemas.openxmlformats.org/spreadsheetml/2006/main" count="394" uniqueCount="269">
  <si>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</si>
  <si>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</si>
  <si>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</si>
  <si>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</si>
  <si>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</si>
  <si>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</si>
  <si>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</si>
  <si>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</si>
  <si>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</si>
  <si>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</si>
  <si>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</si>
  <si>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</si>
  <si>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</si>
  <si>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</si>
  <si>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</si>
  <si>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</si>
  <si>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</si>
  <si>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</si>
  <si>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</si>
  <si>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</si>
  <si>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</si>
  <si>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</si>
  <si>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</si>
  <si>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</si>
  <si>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</si>
  <si>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</si>
  <si>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</si>
  <si>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</si>
  <si>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</si>
  <si>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</si>
  <si>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</si>
  <si>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</si>
  <si>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</si>
  <si>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</si>
  <si>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</si>
  <si>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</si>
  <si>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</si>
  <si>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</si>
  <si>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</si>
  <si>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</si>
  <si>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</si>
  <si>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</si>
  <si>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</si>
  <si>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</si>
  <si>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</si>
  <si>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</si>
  <si>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</si>
  <si>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</si>
  <si>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</si>
  <si>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</si>
  <si>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</si>
  <si>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</si>
  <si>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</si>
  <si>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</si>
  <si>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</si>
  <si>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</si>
  <si>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</si>
  <si>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</si>
  <si>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</si>
  <si>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</si>
  <si>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</si>
  <si>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</si>
  <si>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</si>
  <si>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</si>
  <si>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</si>
  <si>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</si>
  <si>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</si>
  <si>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</si>
  <si>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</si>
  <si>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</si>
  <si>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</si>
  <si>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</si>
  <si>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</si>
  <si>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</si>
  <si>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</si>
  <si>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</si>
  <si>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</si>
  <si>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</si>
  <si>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</si>
  <si>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</si>
  <si>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</si>
  <si>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</si>
  <si>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</si>
  <si>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</si>
  <si>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</si>
  <si>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</si>
  <si>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</si>
  <si>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</si>
  <si>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</si>
  <si>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</si>
  <si>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</si>
  <si>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</si>
  <si>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</si>
  <si>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</si>
  <si>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</si>
  <si>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</si>
  <si>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</si>
  <si>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</si>
  <si>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</si>
  <si>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</si>
  <si>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</si>
  <si>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</si>
  <si>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</si>
  <si>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</si>
  <si>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</si>
  <si>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</si>
  <si>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</si>
  <si>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</si>
  <si>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</si>
  <si>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</si>
  <si>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</si>
  <si>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</si>
  <si>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</si>
  <si>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</si>
  <si>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</si>
  <si>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</si>
  <si>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</si>
  <si>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</si>
  <si>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</si>
  <si>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</si>
  <si>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</si>
  <si>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</si>
  <si>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</si>
  <si>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</si>
  <si>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</si>
  <si>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</si>
  <si>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</si>
  <si>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</si>
  <si>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</si>
  <si>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</si>
  <si>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</si>
  <si>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</si>
  <si>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</si>
  <si>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</si>
  <si>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</si>
  <si>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</si>
  <si>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</si>
  <si>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</si>
  <si>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</si>
  <si>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</si>
  <si>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</si>
  <si>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</si>
  <si>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</si>
  <si>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</si>
  <si>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</si>
  <si>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</si>
  <si>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</si>
  <si>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</si>
  <si>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</si>
  <si>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</si>
  <si>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</si>
  <si>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</si>
  <si>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</si>
  <si>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</si>
  <si>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</si>
  <si>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</si>
  <si>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</si>
  <si>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</si>
  <si>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</si>
  <si>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</si>
  <si>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</si>
  <si>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</si>
  <si>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</si>
  <si>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</si>
  <si>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</si>
  <si>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</si>
  <si>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</si>
  <si>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</si>
  <si>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</si>
  <si>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</si>
  <si>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</si>
  <si>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</si>
  <si>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</si>
  <si>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</si>
  <si>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</si>
  <si>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</si>
  <si>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</si>
  <si>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</si>
  <si>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</si>
  <si>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</si>
  <si>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</si>
  <si>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</si>
  <si>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</si>
  <si>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</si>
  <si>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</si>
  <si>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</si>
  <si>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</si>
  <si>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</si>
  <si>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</si>
  <si>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</si>
  <si>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</si>
  <si>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</si>
  <si>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</si>
  <si>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</si>
  <si>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</si>
  <si>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</si>
  <si>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</si>
  <si>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</si>
  <si>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</si>
  <si>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</si>
  <si>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</si>
  <si>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</si>
  <si>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</si>
  <si>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</si>
  <si>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</si>
  <si>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</si>
  <si>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</si>
  <si>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</si>
  <si>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</si>
  <si>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</si>
  <si>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</si>
  <si>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</si>
  <si>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</si>
  <si>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</si>
  <si>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</si>
  <si>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</si>
  <si>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</si>
  <si>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</si>
  <si>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</si>
  <si>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</si>
  <si>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</si>
  <si>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</si>
  <si>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</si>
  <si>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</si>
  <si>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</si>
  <si>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</si>
  <si>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</si>
  <si>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</si>
  <si>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</si>
  <si>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</si>
  <si>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</si>
  <si>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</si>
  <si>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</si>
  <si>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</si>
  <si>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</si>
  <si>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</si>
  <si>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</si>
  <si>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</si>
  <si>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</si>
  <si>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</si>
  <si>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</si>
  <si>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</si>
  <si>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</si>
  <si>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</si>
  <si>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</si>
  <si>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</si>
  <si>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</si>
  <si>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</si>
  <si>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중소기업 충청연수원 신축공사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</si>
  <si>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</si>
  <si>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</si>
  <si>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</si>
  <si>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</si>
  <si>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</si>
  <si>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폐기물처리비, 골재비및운반비, 품질시험비, 기타공사</t>
    <phoneticPr fontId="2" type="noConversion"/>
  </si>
  <si>
    <t>난방배관공사, 우수처리시설공사,기타공사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</si>
  <si>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</si>
  <si>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</si>
  <si>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원격검침 설비공사, 기타공사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</si>
  <si>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</si>
  <si>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</si>
  <si>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펌프실배관공사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</si>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</sst>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11892.33</v>
      </c>
      <c r="D7" s="36">
        <f>+C7/3.3058</f>
        <v>3597.4136366386351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1177210</v>
      </c>
      <c r="E25" s="59">
        <f t="shared" si="0"/>
        <v>3891620</v>
      </c>
    </row>
    <row r="26" spans="1:5" x14ac:dyDescent="0.3">
      <c r="B26" s="2">
        <v>3</v>
      </c>
      <c r="C26" s="35" t="s">
        <v>95</v>
      </c>
      <c r="D26" s="45">
        <f>+D66</f>
        <v>24370</v>
      </c>
      <c r="E26" s="59">
        <f t="shared" si="0"/>
        <v>80560</v>
      </c>
    </row>
    <row r="27" spans="1:5" x14ac:dyDescent="0.3">
      <c r="B27" s="2">
        <v>4</v>
      </c>
      <c r="C27" s="35" t="s">
        <v>96</v>
      </c>
      <c r="D27" s="45">
        <f>+D95</f>
        <v>83690</v>
      </c>
      <c r="E27" s="59">
        <f t="shared" si="0"/>
        <v>276660</v>
      </c>
    </row>
    <row r="28" spans="1:5" x14ac:dyDescent="0.3">
      <c r="B28" s="2">
        <v>5</v>
      </c>
      <c r="C28" s="35" t="s">
        <v>97</v>
      </c>
      <c r="D28" s="45">
        <f>+D119</f>
        <v>205250</v>
      </c>
      <c r="E28" s="59">
        <f t="shared" si="0"/>
        <v>678510</v>
      </c>
    </row>
    <row r="29" spans="1:5" x14ac:dyDescent="0.3">
      <c r="B29" s="2">
        <v>6</v>
      </c>
      <c r="C29" s="35" t="s">
        <v>98</v>
      </c>
      <c r="D29" s="45">
        <f>+D133</f>
        <v>145310</v>
      </c>
      <c r="E29" s="59">
        <f t="shared" si="0"/>
        <v>480360</v>
      </c>
    </row>
    <row r="30" spans="1:5" x14ac:dyDescent="0.3">
      <c r="B30" s="2">
        <v>7</v>
      </c>
      <c r="C30" s="35" t="s">
        <v>99</v>
      </c>
      <c r="D30" s="45">
        <f>+D146</f>
        <v>68290</v>
      </c>
      <c r="E30" s="59">
        <f t="shared" si="0"/>
        <v>225750</v>
      </c>
    </row>
    <row r="31" spans="1:5" x14ac:dyDescent="0.3">
      <c r="B31" s="2">
        <v>8</v>
      </c>
      <c r="C31" s="35" t="s">
        <v>100</v>
      </c>
      <c r="D31" s="45">
        <f>+D154</f>
        <v>51250</v>
      </c>
      <c r="E31" s="59">
        <f t="shared" si="0"/>
        <v>169420</v>
      </c>
    </row>
    <row r="32" spans="1:5" x14ac:dyDescent="0.3">
      <c r="B32" s="2">
        <v>9</v>
      </c>
      <c r="C32" s="35" t="s">
        <v>101</v>
      </c>
      <c r="D32" s="45">
        <f>+D161</f>
        <v>60030</v>
      </c>
      <c r="E32" s="59">
        <f t="shared" si="0"/>
        <v>198440</v>
      </c>
    </row>
    <row r="33" spans="1:7" x14ac:dyDescent="0.3">
      <c r="B33" s="2">
        <v>10</v>
      </c>
      <c r="C33" s="35" t="s">
        <v>154</v>
      </c>
      <c r="D33" s="53">
        <f>TRUNC(SUM(D24:D32)*0.275,-1)</f>
        <v>499230</v>
      </c>
      <c r="E33" s="60">
        <f t="shared" si="0"/>
        <v>1650350</v>
      </c>
    </row>
    <row r="34" spans="1:7" x14ac:dyDescent="0.3">
      <c r="C34" s="35" t="s">
        <v>112</v>
      </c>
      <c r="D34" s="44">
        <f>SUM(D24:D33)</f>
        <v>2314630</v>
      </c>
      <c r="E34" s="44">
        <f>SUM(E24:E33)</f>
        <v>7651670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TRUNC(73518,-1)</f>
        <v>73510</v>
      </c>
      <c r="E40" s="62">
        <f t="shared" ref="E40:E59" si="1">TRUNC(+D40*3.3058,-1)</f>
        <v>243000</v>
      </c>
    </row>
    <row r="41" spans="1:7" x14ac:dyDescent="0.3">
      <c r="A41" s="2">
        <v>2</v>
      </c>
      <c r="C41" s="38" t="s">
        <v>13</v>
      </c>
      <c r="D41" s="42">
        <f>TRUNC(159107,-1)</f>
        <v>159100</v>
      </c>
      <c r="E41" s="63">
        <f t="shared" si="1"/>
        <v>525950</v>
      </c>
    </row>
    <row r="42" spans="1:7" x14ac:dyDescent="0.3">
      <c r="A42" s="2">
        <v>3</v>
      </c>
      <c r="C42" s="38" t="s">
        <v>14</v>
      </c>
      <c r="D42" s="42">
        <f>TRUNC(11633,-1)</f>
        <v>11630</v>
      </c>
      <c r="E42" s="63">
        <f t="shared" si="1"/>
        <v>38440</v>
      </c>
    </row>
    <row r="43" spans="1:7" x14ac:dyDescent="0.3">
      <c r="A43" s="2">
        <v>4</v>
      </c>
      <c r="C43" s="38" t="s">
        <v>16</v>
      </c>
      <c r="D43" s="42">
        <f>TRUNC(17783,-1)</f>
        <v>17780</v>
      </c>
      <c r="E43" s="63">
        <f t="shared" si="1"/>
        <v>58770</v>
      </c>
    </row>
    <row r="44" spans="1:7" x14ac:dyDescent="0.3">
      <c r="A44" s="2">
        <v>5</v>
      </c>
      <c r="C44" s="38" t="s">
        <v>17</v>
      </c>
      <c r="D44" s="42">
        <f>TRUNC(38233,-1)</f>
        <v>38230</v>
      </c>
      <c r="E44" s="63">
        <f t="shared" si="1"/>
        <v>126380</v>
      </c>
    </row>
    <row r="45" spans="1:7" x14ac:dyDescent="0.3">
      <c r="A45" s="2">
        <v>6</v>
      </c>
      <c r="C45" s="38" t="s">
        <v>18</v>
      </c>
      <c r="D45" s="42">
        <f>TRUNC(6769,-1)</f>
        <v>6760</v>
      </c>
      <c r="E45" s="63">
        <f t="shared" si="1"/>
        <v>22340</v>
      </c>
    </row>
    <row r="46" spans="1:7" x14ac:dyDescent="0.3">
      <c r="A46" s="2">
        <v>7</v>
      </c>
      <c r="C46" s="38" t="s">
        <v>19</v>
      </c>
      <c r="D46" s="42">
        <f>TRUNC(34186,-1)</f>
        <v>34180</v>
      </c>
      <c r="E46" s="63">
        <f t="shared" si="1"/>
        <v>112990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TRUNC(53873,-1)</f>
        <v>53870</v>
      </c>
      <c r="E48" s="63">
        <f t="shared" si="1"/>
        <v>178080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TRUNC(13915,-1)</f>
        <v>13910</v>
      </c>
      <c r="E49" s="63">
        <f t="shared" si="1"/>
        <v>45980</v>
      </c>
    </row>
    <row r="50" spans="1:7" x14ac:dyDescent="0.3">
      <c r="A50" s="2">
        <v>11</v>
      </c>
      <c r="C50" s="38" t="s">
        <v>155</v>
      </c>
      <c r="D50" s="42">
        <f>TRUNC(82719,-1)</f>
        <v>82710</v>
      </c>
      <c r="E50" s="63">
        <f t="shared" si="1"/>
        <v>273420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TRUNC(16305,-1)</f>
        <v>16300</v>
      </c>
      <c r="E52" s="63">
        <f t="shared" si="1"/>
        <v>53880</v>
      </c>
    </row>
    <row r="53" spans="1:7" x14ac:dyDescent="0.3">
      <c r="A53" s="2">
        <v>14</v>
      </c>
      <c r="C53" s="38" t="s">
        <v>25</v>
      </c>
      <c r="D53" s="42">
        <v>113210</v>
      </c>
      <c r="E53" s="63">
        <f t="shared" si="1"/>
        <v>374240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TRUNC(23+722+7937-1058+1086+21354,-1)</f>
        <v>30060</v>
      </c>
      <c r="E58" s="63">
        <f t="shared" si="1"/>
        <v>99370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TRUNC(525963,-1)</f>
        <v>525960</v>
      </c>
      <c r="E59" s="64">
        <f t="shared" si="1"/>
        <v>1738710</v>
      </c>
    </row>
    <row r="60" spans="1:7" x14ac:dyDescent="0.3">
      <c r="A60" s="2">
        <v>21</v>
      </c>
      <c r="C60" s="27" t="s">
        <v>112</v>
      </c>
      <c r="D60" s="39">
        <f>SUM(D40:D59)</f>
        <v>1177210</v>
      </c>
      <c r="E60" s="39">
        <f>SUM(E40:E59)</f>
        <v>3891550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TRUNC(24379,-1)</f>
        <v>24370</v>
      </c>
      <c r="E63" s="62">
        <f>TRUNC(+D63*3.3058,-1)</f>
        <v>80560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24370</v>
      </c>
      <c r="E66" s="65">
        <f>SUM(E63:E65)</f>
        <v>80560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TRUNC(8418,-1)</f>
        <v>8410</v>
      </c>
      <c r="E69" s="62">
        <f t="shared" ref="E69:E94" si="2">TRUNC(+D69*3.3058,-1)</f>
        <v>27800</v>
      </c>
    </row>
    <row r="70" spans="1:7" ht="16.5" customHeight="1" x14ac:dyDescent="0.3">
      <c r="A70" s="2">
        <v>2</v>
      </c>
      <c r="C70" s="38" t="s">
        <v>31</v>
      </c>
      <c r="D70" s="42">
        <f>TRUNC(1465,-1)</f>
        <v>1460</v>
      </c>
      <c r="E70" s="63">
        <f t="shared" si="2"/>
        <v>4820</v>
      </c>
    </row>
    <row r="71" spans="1:7" x14ac:dyDescent="0.3">
      <c r="A71" s="2">
        <v>3</v>
      </c>
      <c r="C71" s="38" t="s">
        <v>32</v>
      </c>
      <c r="D71" s="42">
        <f>TRUNC(5726,-1)</f>
        <v>5720</v>
      </c>
      <c r="E71" s="63">
        <f t="shared" si="2"/>
        <v>18900</v>
      </c>
    </row>
    <row r="72" spans="1:7" x14ac:dyDescent="0.3">
      <c r="A72" s="2">
        <v>4</v>
      </c>
      <c r="C72" s="38" t="s">
        <v>33</v>
      </c>
      <c r="D72" s="42">
        <f>TRUNC(4853,-1)</f>
        <v>4850</v>
      </c>
      <c r="E72" s="63">
        <f t="shared" si="2"/>
        <v>16030</v>
      </c>
    </row>
    <row r="73" spans="1:7" x14ac:dyDescent="0.3">
      <c r="A73" s="2">
        <v>5</v>
      </c>
      <c r="C73" s="38" t="s">
        <v>34</v>
      </c>
      <c r="D73" s="42">
        <f>TRUNC(20122,-1)</f>
        <v>20120</v>
      </c>
      <c r="E73" s="63">
        <f t="shared" si="2"/>
        <v>66510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TRUNC(158,-1)</f>
        <v>150</v>
      </c>
      <c r="E75" s="63">
        <f t="shared" si="2"/>
        <v>490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TRUNC(10172,-1)</f>
        <v>10170</v>
      </c>
      <c r="E89" s="63">
        <f t="shared" si="2"/>
        <v>33610</v>
      </c>
    </row>
    <row r="90" spans="1:7" x14ac:dyDescent="0.3">
      <c r="A90" s="2">
        <v>22</v>
      </c>
      <c r="C90" s="38" t="s">
        <v>36</v>
      </c>
      <c r="D90" s="42">
        <v>1650</v>
      </c>
      <c r="E90" s="63">
        <f t="shared" si="2"/>
        <v>5450</v>
      </c>
    </row>
    <row r="91" spans="1:7" x14ac:dyDescent="0.3">
      <c r="A91" s="2">
        <v>23</v>
      </c>
      <c r="C91" s="38" t="s">
        <v>37</v>
      </c>
      <c r="D91" s="42">
        <f>TRUNC(8938,-1)</f>
        <v>8930</v>
      </c>
      <c r="E91" s="63">
        <f t="shared" si="2"/>
        <v>29520</v>
      </c>
    </row>
    <row r="92" spans="1:7" x14ac:dyDescent="0.3">
      <c r="A92" s="2">
        <v>24</v>
      </c>
      <c r="C92" s="38" t="s">
        <v>38</v>
      </c>
      <c r="D92" s="42">
        <f>TRUNC(8564,-1)</f>
        <v>8560</v>
      </c>
      <c r="E92" s="63">
        <f t="shared" si="2"/>
        <v>28290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TRUNC(648+5367+7661,-1)</f>
        <v>13670</v>
      </c>
      <c r="E94" s="64">
        <f t="shared" si="2"/>
        <v>45190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83690</v>
      </c>
      <c r="E95" s="39">
        <f>SUM(E69:E94)</f>
        <v>276610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TRUNC(15165,-1)</f>
        <v>15160</v>
      </c>
      <c r="E98" s="62">
        <f t="shared" ref="E98:E118" si="3">TRUNC(+D98*3.3058,-1)</f>
        <v>50110</v>
      </c>
    </row>
    <row r="99" spans="1:7" x14ac:dyDescent="0.3">
      <c r="A99" s="2">
        <v>2</v>
      </c>
      <c r="C99" s="38" t="s">
        <v>40</v>
      </c>
      <c r="D99" s="42">
        <f>TRUNC(13261,-1)</f>
        <v>13260</v>
      </c>
      <c r="E99" s="63">
        <f t="shared" si="3"/>
        <v>43830</v>
      </c>
    </row>
    <row r="100" spans="1:7" x14ac:dyDescent="0.3">
      <c r="A100" s="2">
        <v>3</v>
      </c>
      <c r="C100" s="38" t="s">
        <v>41</v>
      </c>
      <c r="D100" s="42">
        <f>TRUNC(28087,-1)</f>
        <v>28080</v>
      </c>
      <c r="E100" s="63">
        <f t="shared" si="3"/>
        <v>92820</v>
      </c>
    </row>
    <row r="101" spans="1:7" x14ac:dyDescent="0.3">
      <c r="A101" s="2">
        <v>4</v>
      </c>
      <c r="C101" s="38" t="s">
        <v>42</v>
      </c>
      <c r="D101" s="42">
        <f>TRUNC(11609,-1)</f>
        <v>11600</v>
      </c>
      <c r="E101" s="63">
        <f t="shared" si="3"/>
        <v>38340</v>
      </c>
    </row>
    <row r="102" spans="1:7" x14ac:dyDescent="0.3">
      <c r="A102" s="2">
        <v>5</v>
      </c>
      <c r="C102" s="38" t="s">
        <v>43</v>
      </c>
      <c r="D102" s="42">
        <f>TRUNC(5778,-1)</f>
        <v>5770</v>
      </c>
      <c r="E102" s="63">
        <f t="shared" si="3"/>
        <v>19070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TRUNC(3857,-1)</f>
        <v>3850</v>
      </c>
      <c r="E104" s="63">
        <f t="shared" si="3"/>
        <v>12720</v>
      </c>
    </row>
    <row r="105" spans="1:7" x14ac:dyDescent="0.3">
      <c r="A105" s="2">
        <v>8</v>
      </c>
      <c r="C105" s="38" t="s">
        <v>46</v>
      </c>
      <c r="D105" s="42">
        <f>TRUNC(5564,-1)</f>
        <v>5560</v>
      </c>
      <c r="E105" s="63">
        <f t="shared" si="3"/>
        <v>18380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TRUNC(8052,-1)</f>
        <v>8050</v>
      </c>
      <c r="E114" s="63">
        <f t="shared" si="3"/>
        <v>26610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TRUNC(5656,-1)</f>
        <v>5650</v>
      </c>
      <c r="E116" s="63">
        <f t="shared" si="3"/>
        <v>18670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v>106930</v>
      </c>
      <c r="E117" s="63">
        <f t="shared" si="3"/>
        <v>353480</v>
      </c>
    </row>
    <row r="118" spans="1:7" ht="17.25" thickBot="1" x14ac:dyDescent="0.35">
      <c r="A118" s="2">
        <v>21</v>
      </c>
      <c r="C118" s="38" t="s">
        <v>47</v>
      </c>
      <c r="D118" s="43">
        <f>TRUNC(1073+269,-1)</f>
        <v>1340</v>
      </c>
      <c r="E118" s="64">
        <f t="shared" si="3"/>
        <v>4420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205250</v>
      </c>
      <c r="E119" s="39">
        <f>SUM(E98:E118)</f>
        <v>678450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TRUNC(7538,-1)</f>
        <v>7530</v>
      </c>
      <c r="E122" s="62">
        <f t="shared" ref="E122:E132" si="4">TRUNC(+D122*3.3058,-1)</f>
        <v>24890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TRUNC(4124,-1)</f>
        <v>4120</v>
      </c>
      <c r="E124" s="63">
        <f t="shared" si="4"/>
        <v>13610</v>
      </c>
    </row>
    <row r="125" spans="1:7" x14ac:dyDescent="0.3">
      <c r="A125" s="2">
        <v>4</v>
      </c>
      <c r="C125" s="38" t="s">
        <v>138</v>
      </c>
      <c r="D125" s="42">
        <f>TRUNC(7619,-1)</f>
        <v>7610</v>
      </c>
      <c r="E125" s="63">
        <f t="shared" si="4"/>
        <v>25150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TRUNC(2303,-1)</f>
        <v>2300</v>
      </c>
      <c r="E127" s="63">
        <f t="shared" si="4"/>
        <v>7600</v>
      </c>
    </row>
    <row r="128" spans="1:7" x14ac:dyDescent="0.3">
      <c r="A128" s="2">
        <v>7</v>
      </c>
      <c r="C128" s="38" t="s">
        <v>46</v>
      </c>
      <c r="D128" s="42">
        <f>TRUNC(4791,-1)</f>
        <v>4790</v>
      </c>
      <c r="E128" s="63">
        <f t="shared" si="4"/>
        <v>15830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TRUNC(13484,-1)</f>
        <v>13480</v>
      </c>
      <c r="E130" s="63">
        <f t="shared" si="4"/>
        <v>44560</v>
      </c>
    </row>
    <row r="131" spans="1:7" x14ac:dyDescent="0.3">
      <c r="A131" s="2">
        <v>10</v>
      </c>
      <c r="C131" s="38" t="s">
        <v>148</v>
      </c>
      <c r="D131" s="42">
        <f>TRUNC(93952,-1)</f>
        <v>93950</v>
      </c>
      <c r="E131" s="63">
        <f t="shared" si="4"/>
        <v>310570</v>
      </c>
    </row>
    <row r="132" spans="1:7" ht="18" thickBot="1" x14ac:dyDescent="0.35">
      <c r="A132" s="2">
        <v>11</v>
      </c>
      <c r="C132" s="38" t="s">
        <v>47</v>
      </c>
      <c r="D132" s="43">
        <f>TRUNC(3941+180+7418,-1)</f>
        <v>11530</v>
      </c>
      <c r="E132" s="64">
        <f t="shared" si="4"/>
        <v>38110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145310</v>
      </c>
      <c r="E133" s="39">
        <f>SUM(E122:E132)</f>
        <v>480320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TRUNC(1981,-1)</f>
        <v>1980</v>
      </c>
      <c r="E137" s="63">
        <f t="shared" si="5"/>
        <v>6540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TRUNC(4816,-1)</f>
        <v>4810</v>
      </c>
      <c r="E139" s="63">
        <f t="shared" si="5"/>
        <v>15900</v>
      </c>
    </row>
    <row r="140" spans="1:7" x14ac:dyDescent="0.3">
      <c r="A140" s="2">
        <v>5</v>
      </c>
      <c r="C140" s="38" t="s">
        <v>57</v>
      </c>
      <c r="D140" s="42">
        <f>TRUNC(2289,-1)</f>
        <v>2280</v>
      </c>
      <c r="E140" s="63">
        <f t="shared" si="5"/>
        <v>7530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TRUNC(41099,-1)</f>
        <v>41090</v>
      </c>
      <c r="E142" s="63">
        <f t="shared" si="5"/>
        <v>135830</v>
      </c>
    </row>
    <row r="143" spans="1:7" x14ac:dyDescent="0.3">
      <c r="A143" s="2">
        <v>8</v>
      </c>
      <c r="C143" s="38" t="s">
        <v>62</v>
      </c>
      <c r="D143" s="42">
        <f>TRUNC(4552,-1)</f>
        <v>4550</v>
      </c>
      <c r="E143" s="63">
        <f t="shared" si="5"/>
        <v>15040</v>
      </c>
    </row>
    <row r="144" spans="1:7" x14ac:dyDescent="0.3">
      <c r="A144" s="2">
        <v>9</v>
      </c>
      <c r="C144" s="38" t="s">
        <v>63</v>
      </c>
      <c r="D144" s="42">
        <f>TRUNC(13584,-1)</f>
        <v>13580</v>
      </c>
      <c r="E144" s="63">
        <f t="shared" si="5"/>
        <v>44890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68290</v>
      </c>
      <c r="E146" s="39">
        <f>SUM(E136:E145)</f>
        <v>225730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TRUNC(13548+2365,-1)</f>
        <v>15910</v>
      </c>
      <c r="E149" s="62">
        <f>TRUNC(+D149*3.3058,-1)</f>
        <v>52590</v>
      </c>
    </row>
    <row r="150" spans="1:7" x14ac:dyDescent="0.3">
      <c r="A150" s="2">
        <v>2</v>
      </c>
      <c r="C150" s="38" t="s">
        <v>49</v>
      </c>
      <c r="D150" s="42">
        <f>TRUNC(8646,-1)</f>
        <v>8640</v>
      </c>
      <c r="E150" s="63">
        <f>TRUNC(+D150*3.3058,-1)</f>
        <v>28560</v>
      </c>
    </row>
    <row r="151" spans="1:7" x14ac:dyDescent="0.3">
      <c r="A151" s="2">
        <v>3</v>
      </c>
      <c r="C151" s="38" t="s">
        <v>50</v>
      </c>
      <c r="D151" s="42">
        <f>TRUNC(14809,-1)</f>
        <v>14800</v>
      </c>
      <c r="E151" s="63">
        <f>TRUNC(+D151*3.3058,-1)</f>
        <v>48920</v>
      </c>
    </row>
    <row r="152" spans="1:7" x14ac:dyDescent="0.3">
      <c r="A152" s="2">
        <v>4</v>
      </c>
      <c r="C152" s="38" t="s">
        <v>47</v>
      </c>
      <c r="D152" s="42">
        <f>TRUNC(196+10681+257+770,-1)</f>
        <v>11900</v>
      </c>
      <c r="E152" s="63">
        <f>TRUNC(+D152*3.3058,-1)</f>
        <v>39330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51250</v>
      </c>
      <c r="E154" s="39">
        <f>SUM(E149:E153)</f>
        <v>169400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TRUNC(38647,-1)</f>
        <v>38640</v>
      </c>
      <c r="E157" s="62">
        <f>TRUNC(+D157*3.3058,-1)</f>
        <v>127730</v>
      </c>
    </row>
    <row r="158" spans="1:7" x14ac:dyDescent="0.3">
      <c r="A158" s="2">
        <v>2</v>
      </c>
      <c r="C158" s="38" t="s">
        <v>52</v>
      </c>
      <c r="D158" s="42">
        <v>10780</v>
      </c>
      <c r="E158" s="63">
        <f>TRUNC(+D158*3.3058,-1)</f>
        <v>35630</v>
      </c>
    </row>
    <row r="159" spans="1:7" x14ac:dyDescent="0.3">
      <c r="A159" s="2">
        <v>3</v>
      </c>
      <c r="C159" s="38" t="s">
        <v>47</v>
      </c>
      <c r="D159" s="42">
        <f>TRUNC(10617,-1)</f>
        <v>10610</v>
      </c>
      <c r="E159" s="63">
        <f>TRUNC(+D159*3.3058,-1)</f>
        <v>35070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60030</v>
      </c>
      <c r="E161" s="39">
        <f>SUM(E157:E160)</f>
        <v>198430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2020-12-08T02:56:00Z</dcterms:modified>
</cp:coreProperties>
</file>