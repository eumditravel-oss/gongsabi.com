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45" i="4"/>
  <c r="E139" i="4"/>
  <c r="E136" i="4"/>
  <c r="E131" i="4"/>
  <c r="E130" i="4"/>
  <c r="E129" i="4"/>
  <c r="E127" i="4"/>
  <c r="E126" i="4"/>
  <c r="E124" i="4"/>
  <c r="E123" i="4"/>
  <c r="E117" i="4"/>
  <c r="E115" i="4"/>
  <c r="E113" i="4"/>
  <c r="E112" i="4"/>
  <c r="E111" i="4"/>
  <c r="E110" i="4"/>
  <c r="E109" i="4"/>
  <c r="E108" i="4"/>
  <c r="E107" i="4"/>
  <c r="E106" i="4"/>
  <c r="E103" i="4"/>
  <c r="E102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5" i="4"/>
  <c r="E64" i="4"/>
  <c r="E57" i="4"/>
  <c r="E56" i="4"/>
  <c r="E55" i="4"/>
  <c r="E54" i="4"/>
  <c r="E51" i="4"/>
  <c r="E50" i="4"/>
  <c r="E47" i="4"/>
  <c r="E45" i="4"/>
  <c r="E44" i="4"/>
  <c r="E37" i="4"/>
  <c r="D159" i="4" l="1"/>
  <c r="E159" i="4" s="1"/>
  <c r="D158" i="4"/>
  <c r="E158" i="4" s="1"/>
  <c r="D157" i="4"/>
  <c r="E157" i="4" s="1"/>
  <c r="E161" i="4" s="1"/>
  <c r="D153" i="4"/>
  <c r="E153" i="4" s="1"/>
  <c r="D152" i="4"/>
  <c r="E152" i="4" s="1"/>
  <c r="D151" i="4"/>
  <c r="E151" i="4" s="1"/>
  <c r="D150" i="4"/>
  <c r="E150" i="4" s="1"/>
  <c r="D149" i="4"/>
  <c r="E149" i="4" s="1"/>
  <c r="E154" i="4" s="1"/>
  <c r="D144" i="4"/>
  <c r="E144" i="4" s="1"/>
  <c r="D143" i="4"/>
  <c r="E143" i="4" s="1"/>
  <c r="D142" i="4"/>
  <c r="E142" i="4" s="1"/>
  <c r="D141" i="4"/>
  <c r="E141" i="4" s="1"/>
  <c r="E146" i="4" s="1"/>
  <c r="D140" i="4"/>
  <c r="E140" i="4" s="1"/>
  <c r="D138" i="4"/>
  <c r="E138" i="4" s="1"/>
  <c r="D137" i="4"/>
  <c r="E137" i="4" s="1"/>
  <c r="D132" i="4"/>
  <c r="E132" i="4" s="1"/>
  <c r="D128" i="4"/>
  <c r="E128" i="4" s="1"/>
  <c r="D125" i="4"/>
  <c r="E125" i="4" s="1"/>
  <c r="D122" i="4"/>
  <c r="E122" i="4" s="1"/>
  <c r="D118" i="4"/>
  <c r="E118" i="4" s="1"/>
  <c r="D116" i="4"/>
  <c r="E116" i="4" s="1"/>
  <c r="D114" i="4"/>
  <c r="E114" i="4" s="1"/>
  <c r="D104" i="4"/>
  <c r="E104" i="4" s="1"/>
  <c r="D105" i="4"/>
  <c r="E105" i="4" s="1"/>
  <c r="D101" i="4"/>
  <c r="E101" i="4" s="1"/>
  <c r="D100" i="4"/>
  <c r="E100" i="4" s="1"/>
  <c r="D99" i="4"/>
  <c r="E99" i="4" s="1"/>
  <c r="D98" i="4"/>
  <c r="E98" i="4" s="1"/>
  <c r="D94" i="4"/>
  <c r="E94" i="4" s="1"/>
  <c r="D93" i="4"/>
  <c r="E93" i="4" s="1"/>
  <c r="D92" i="4"/>
  <c r="E92" i="4" s="1"/>
  <c r="D91" i="4"/>
  <c r="E91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D63" i="4"/>
  <c r="E63" i="4" s="1"/>
  <c r="E66" i="4" s="1"/>
  <c r="D41" i="4"/>
  <c r="E41" i="4" s="1"/>
  <c r="D59" i="4"/>
  <c r="E59" i="4" s="1"/>
  <c r="D58" i="4"/>
  <c r="E58" i="4" s="1"/>
  <c r="D53" i="4"/>
  <c r="E53" i="4" s="1"/>
  <c r="D52" i="4"/>
  <c r="E52" i="4" s="1"/>
  <c r="D49" i="4"/>
  <c r="E49" i="4" s="1"/>
  <c r="D48" i="4"/>
  <c r="E48" i="4" s="1"/>
  <c r="D46" i="4"/>
  <c r="E46" i="4" s="1"/>
  <c r="D43" i="4"/>
  <c r="E43" i="4" s="1"/>
  <c r="D42" i="4"/>
  <c r="E42" i="4" s="1"/>
  <c r="D40" i="4"/>
  <c r="E40" i="4" s="1"/>
  <c r="E60" i="4" l="1"/>
  <c r="E133" i="4"/>
  <c r="E95" i="4"/>
  <c r="E119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<sst xmlns="http://schemas.openxmlformats.org/spreadsheetml/2006/main" count="398" uniqueCount="269">
  <si>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</si>
  <si>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</si>
  <si>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</si>
  <si>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</si>
  <si>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</si>
  <si>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</si>
  <si>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</si>
  <si>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</si>
  <si>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</si>
  <si>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</si>
  <si>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</si>
  <si>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</si>
  <si>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</si>
  <si>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</si>
  <si>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</si>
  <si>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</si>
  <si>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</si>
  <si>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</si>
  <si>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</si>
  <si>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</si>
  <si>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</si>
  <si>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</si>
  <si>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</si>
  <si>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</si>
  <si>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</si>
  <si>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</si>
  <si>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</si>
  <si>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</si>
  <si>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</si>
  <si>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</si>
  <si>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</si>
  <si>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</si>
  <si>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</si>
  <si>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</si>
  <si>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</si>
  <si>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</si>
  <si>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</si>
  <si>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</si>
  <si>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</si>
  <si>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</si>
  <si>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</si>
  <si>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</si>
  <si>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</si>
  <si>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</si>
  <si>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</si>
  <si>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</si>
  <si>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</si>
  <si>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</si>
  <si>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</si>
  <si>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</si>
  <si>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</si>
  <si>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</si>
  <si>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</si>
  <si>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</si>
  <si>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</si>
  <si>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</si>
  <si>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</si>
  <si>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</si>
  <si>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</si>
  <si>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</si>
  <si>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</si>
  <si>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</si>
  <si>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</si>
  <si>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</si>
  <si>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</si>
  <si>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</si>
  <si>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</si>
  <si>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</si>
  <si>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</si>
  <si>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</si>
  <si>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</si>
  <si>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</si>
  <si>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</si>
  <si>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</si>
  <si>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</si>
  <si>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</si>
  <si>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</si>
  <si>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</si>
  <si>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</si>
  <si>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</si>
  <si>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</si>
  <si>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</si>
  <si>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</si>
  <si>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</si>
  <si>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</si>
  <si>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</si>
  <si>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</si>
  <si>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</si>
  <si>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</si>
  <si>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</si>
  <si>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</si>
  <si>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</si>
  <si>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</si>
  <si>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</si>
  <si>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</si>
  <si>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</si>
  <si>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</si>
  <si>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</si>
  <si>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</si>
  <si>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</si>
  <si>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</si>
  <si>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</si>
  <si>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</si>
  <si>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</si>
  <si>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</si>
  <si>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</si>
  <si>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</si>
  <si>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</si>
  <si>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</si>
  <si>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</si>
  <si>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</si>
  <si>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</si>
  <si>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</si>
  <si>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</si>
  <si>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</si>
  <si>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</si>
  <si>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</si>
  <si>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</si>
  <si>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</si>
  <si>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</si>
  <si>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</si>
  <si>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</si>
  <si>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</si>
  <si>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</si>
  <si>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</si>
  <si>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</si>
  <si>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</si>
  <si>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</si>
  <si>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</si>
  <si>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</si>
  <si>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</si>
  <si>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</si>
  <si>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</si>
  <si>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</si>
  <si>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</si>
  <si>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</si>
  <si>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</si>
  <si>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</si>
  <si>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</si>
  <si>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</si>
  <si>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</si>
  <si>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</si>
  <si>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</si>
  <si>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</si>
  <si>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</si>
  <si>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</si>
  <si>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</si>
  <si>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</si>
  <si>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</si>
  <si>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</si>
  <si>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</si>
  <si>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</si>
  <si>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</si>
  <si>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</si>
  <si>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</si>
  <si>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</si>
  <si>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</si>
  <si>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</si>
  <si>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</si>
  <si>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</si>
  <si>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</si>
  <si>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</si>
  <si>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</si>
  <si>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</si>
  <si>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</si>
  <si>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</si>
  <si>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</si>
  <si>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</si>
  <si>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</si>
  <si>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</si>
  <si>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</si>
  <si>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</si>
  <si>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</si>
  <si>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</si>
  <si>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</si>
  <si>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</si>
  <si>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</si>
  <si>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</si>
  <si>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</si>
  <si>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</si>
  <si>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</si>
  <si>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</si>
  <si>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</si>
  <si>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</si>
  <si>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</si>
  <si>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</si>
  <si>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</si>
  <si>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</si>
  <si>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</si>
  <si>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</si>
  <si>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</si>
  <si>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</si>
  <si>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</si>
  <si>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</si>
  <si>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</si>
  <si>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</si>
  <si>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</si>
  <si>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</si>
  <si>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</si>
  <si>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</si>
  <si>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</si>
  <si>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</si>
  <si>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</si>
  <si>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</si>
  <si>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</si>
  <si>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</si>
  <si>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</si>
  <si>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</si>
  <si>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</si>
  <si>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</si>
  <si>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</si>
  <si>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</si>
  <si>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</si>
  <si>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</si>
  <si>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</si>
  <si>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</si>
  <si>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</si>
  <si>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</si>
  <si>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</si>
  <si>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</si>
  <si>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</si>
  <si>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</si>
  <si>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</si>
  <si>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</si>
  <si>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</si>
  <si>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</si>
  <si>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</si>
  <si>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</si>
  <si>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</si>
  <si>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</si>
  <si>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</si>
  <si>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</si>
  <si>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</si>
  <si>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</si>
  <si>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</si>
  <si>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</si>
  <si>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</si>
  <si>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</si>
  <si>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</si>
  <si>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</si>
  <si>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</si>
  <si>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</si>
  <si>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</si>
  <si>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</si>
  <si>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</si>
  <si>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</si>
  <si>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</si>
  <si>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</si>
  <si>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</si>
  <si>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</si>
  <si>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</si>
  <si>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</si>
  <si>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</si>
  <si>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충청남도 도립도서관 건립공사</t>
    <phoneticPr fontId="2" type="noConversion"/>
  </si>
  <si>
    <t>충청도</t>
  </si>
  <si>
    <t>골재비및운반비, 작업부산물, 품질시험비, 기타공사</t>
    <phoneticPr fontId="2" type="noConversion"/>
  </si>
  <si>
    <t>공조배관공사, 우수처리시설공사, 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</si>
  <si>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</si>
  <si>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</si>
  <si>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CCTV설비공사</t>
    <phoneticPr fontId="2" type="noConversion"/>
  </si>
  <si>
    <t>펌프실배관공사</t>
    <phoneticPr fontId="2" type="noConversion"/>
  </si>
  <si>
    <t>토목 상수도공사, 운반비, 기타공사</t>
    <phoneticPr fontId="2" type="noConversion"/>
  </si>
  <si>
    <t>포장공사, 기타공사</t>
    <phoneticPr fontId="2" type="noConversion"/>
  </si>
  <si>
    <t>교육연구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</si>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</sst>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1" fontId="0" fillId="0" borderId="23" xfId="1" applyFont="1" applyFill="1" applyBorder="1" applyAlignment="1">
      <alignment vertical="center" wrapText="1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57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263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12172.1</v>
      </c>
      <c r="D7" s="36">
        <f>+C7/3.3058</f>
        <v>3682.0436808034365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1058660</v>
      </c>
      <c r="E25" s="59">
        <f t="shared" si="0"/>
        <v>3499710</v>
      </c>
    </row>
    <row r="26" spans="1:5" x14ac:dyDescent="0.3">
      <c r="B26" s="2">
        <v>3</v>
      </c>
      <c r="C26" s="35" t="s">
        <v>95</v>
      </c>
      <c r="D26" s="45">
        <f>+D66</f>
        <v>24370</v>
      </c>
      <c r="E26" s="59">
        <f t="shared" si="0"/>
        <v>80560</v>
      </c>
    </row>
    <row r="27" spans="1:5" x14ac:dyDescent="0.3">
      <c r="B27" s="2">
        <v>4</v>
      </c>
      <c r="C27" s="35" t="s">
        <v>96</v>
      </c>
      <c r="D27" s="45">
        <f>+D95</f>
        <v>378130</v>
      </c>
      <c r="E27" s="59">
        <f t="shared" si="0"/>
        <v>1250020</v>
      </c>
    </row>
    <row r="28" spans="1:5" x14ac:dyDescent="0.3">
      <c r="B28" s="2">
        <v>5</v>
      </c>
      <c r="C28" s="35" t="s">
        <v>97</v>
      </c>
      <c r="D28" s="45">
        <f>+D119</f>
        <v>87180</v>
      </c>
      <c r="E28" s="59">
        <f t="shared" si="0"/>
        <v>288190</v>
      </c>
    </row>
    <row r="29" spans="1:5" x14ac:dyDescent="0.3">
      <c r="B29" s="2">
        <v>6</v>
      </c>
      <c r="C29" s="35" t="s">
        <v>98</v>
      </c>
      <c r="D29" s="45">
        <f>+D133</f>
        <v>34240</v>
      </c>
      <c r="E29" s="59">
        <f t="shared" si="0"/>
        <v>113190</v>
      </c>
    </row>
    <row r="30" spans="1:5" x14ac:dyDescent="0.3">
      <c r="B30" s="2">
        <v>7</v>
      </c>
      <c r="C30" s="35" t="s">
        <v>99</v>
      </c>
      <c r="D30" s="45">
        <f>+D146</f>
        <v>55280</v>
      </c>
      <c r="E30" s="59">
        <f t="shared" si="0"/>
        <v>182740</v>
      </c>
    </row>
    <row r="31" spans="1:5" x14ac:dyDescent="0.3">
      <c r="B31" s="2">
        <v>8</v>
      </c>
      <c r="C31" s="35" t="s">
        <v>100</v>
      </c>
      <c r="D31" s="45">
        <f>+D154</f>
        <v>129020</v>
      </c>
      <c r="E31" s="59">
        <f t="shared" si="0"/>
        <v>426510</v>
      </c>
    </row>
    <row r="32" spans="1:5" x14ac:dyDescent="0.3">
      <c r="B32" s="2">
        <v>9</v>
      </c>
      <c r="C32" s="35" t="s">
        <v>101</v>
      </c>
      <c r="D32" s="45">
        <f>+D161</f>
        <v>66240</v>
      </c>
      <c r="E32" s="59">
        <f t="shared" si="0"/>
        <v>218970</v>
      </c>
    </row>
    <row r="33" spans="1:7" x14ac:dyDescent="0.3">
      <c r="B33" s="2">
        <v>10</v>
      </c>
      <c r="C33" s="35" t="s">
        <v>154</v>
      </c>
      <c r="D33" s="53">
        <f>TRUNC(SUM(D24:D32)*0.275,-1)</f>
        <v>504100</v>
      </c>
      <c r="E33" s="60">
        <f t="shared" si="0"/>
        <v>1666450</v>
      </c>
    </row>
    <row r="34" spans="1:7" x14ac:dyDescent="0.3">
      <c r="C34" s="35" t="s">
        <v>112</v>
      </c>
      <c r="D34" s="44">
        <f>SUM(D24:D33)</f>
        <v>2337220</v>
      </c>
      <c r="E34" s="44">
        <f>SUM(E24:E33)</f>
        <v>7726340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TRUNC(49739,-1)</f>
        <v>49730</v>
      </c>
      <c r="E40" s="62">
        <f t="shared" ref="E40:E59" si="1">TRUNC(+D40*3.3058,-1)</f>
        <v>164390</v>
      </c>
    </row>
    <row r="41" spans="1:7" x14ac:dyDescent="0.3">
      <c r="A41" s="2">
        <v>2</v>
      </c>
      <c r="C41" s="38" t="s">
        <v>13</v>
      </c>
      <c r="D41" s="42">
        <f>TRUNC(136367,-1)</f>
        <v>136360</v>
      </c>
      <c r="E41" s="63">
        <f t="shared" si="1"/>
        <v>450770</v>
      </c>
    </row>
    <row r="42" spans="1:7" x14ac:dyDescent="0.3">
      <c r="A42" s="2">
        <v>3</v>
      </c>
      <c r="C42" s="38" t="s">
        <v>14</v>
      </c>
      <c r="D42" s="42">
        <f>TRUNC(176044,-1)</f>
        <v>176040</v>
      </c>
      <c r="E42" s="63">
        <f t="shared" si="1"/>
        <v>581950</v>
      </c>
    </row>
    <row r="43" spans="1:7" x14ac:dyDescent="0.3">
      <c r="A43" s="2">
        <v>4</v>
      </c>
      <c r="C43" s="38" t="s">
        <v>16</v>
      </c>
      <c r="D43" s="42">
        <f>TRUNC(7315,-1)</f>
        <v>7310</v>
      </c>
      <c r="E43" s="63">
        <f t="shared" si="1"/>
        <v>24160</v>
      </c>
    </row>
    <row r="44" spans="1:7" x14ac:dyDescent="0.3">
      <c r="A44" s="2">
        <v>5</v>
      </c>
      <c r="C44" s="38" t="s">
        <v>17</v>
      </c>
      <c r="D44" s="42">
        <v>29580</v>
      </c>
      <c r="E44" s="63">
        <f t="shared" si="1"/>
        <v>97780</v>
      </c>
    </row>
    <row r="45" spans="1:7" x14ac:dyDescent="0.3">
      <c r="A45" s="2">
        <v>6</v>
      </c>
      <c r="C45" s="38" t="s">
        <v>18</v>
      </c>
      <c r="D45" s="42">
        <v>1170</v>
      </c>
      <c r="E45" s="63">
        <f t="shared" si="1"/>
        <v>3860</v>
      </c>
    </row>
    <row r="46" spans="1:7" x14ac:dyDescent="0.3">
      <c r="A46" s="2">
        <v>7</v>
      </c>
      <c r="C46" s="38" t="s">
        <v>19</v>
      </c>
      <c r="D46" s="42">
        <f>TRUNC(6135,-1)</f>
        <v>6130</v>
      </c>
      <c r="E46" s="63">
        <f t="shared" si="1"/>
        <v>20260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TRUNC(103869,-1)</f>
        <v>103860</v>
      </c>
      <c r="E48" s="63">
        <f t="shared" si="1"/>
        <v>343340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TRUNC(9265,-1)</f>
        <v>9260</v>
      </c>
      <c r="E49" s="63">
        <f t="shared" si="1"/>
        <v>30610</v>
      </c>
    </row>
    <row r="50" spans="1:7" x14ac:dyDescent="0.3">
      <c r="A50" s="2">
        <v>11</v>
      </c>
      <c r="C50" s="38" t="s">
        <v>155</v>
      </c>
      <c r="D50" s="42">
        <v>77090</v>
      </c>
      <c r="E50" s="63">
        <f t="shared" si="1"/>
        <v>254840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TRUNC(10372,-1)</f>
        <v>10370</v>
      </c>
      <c r="E52" s="63">
        <f t="shared" si="1"/>
        <v>34280</v>
      </c>
    </row>
    <row r="53" spans="1:7" x14ac:dyDescent="0.3">
      <c r="A53" s="2">
        <v>14</v>
      </c>
      <c r="C53" s="38" t="s">
        <v>25</v>
      </c>
      <c r="D53" s="42">
        <f>TRUNC(213828,-1)</f>
        <v>213820</v>
      </c>
      <c r="E53" s="63">
        <f t="shared" si="1"/>
        <v>706840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TRUNC(2594-2045+4873+10046,-1)</f>
        <v>15460</v>
      </c>
      <c r="E58" s="63">
        <f t="shared" si="1"/>
        <v>51100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TRUNC(222481,-1)</f>
        <v>222480</v>
      </c>
      <c r="E59" s="64">
        <f t="shared" si="1"/>
        <v>735470</v>
      </c>
    </row>
    <row r="60" spans="1:7" x14ac:dyDescent="0.3">
      <c r="A60" s="2">
        <v>21</v>
      </c>
      <c r="C60" s="27" t="s">
        <v>112</v>
      </c>
      <c r="D60" s="39">
        <f>SUM(D40:D59)</f>
        <v>1058660</v>
      </c>
      <c r="E60" s="39">
        <f>SUM(E40:E59)</f>
        <v>3499650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TRUNC(24378,-1)</f>
        <v>24370</v>
      </c>
      <c r="E63" s="62">
        <f>TRUNC(+D63*3.3058,-1)</f>
        <v>80560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24370</v>
      </c>
      <c r="E66" s="65">
        <f>SUM(E63:E65)</f>
        <v>80560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TRUNC(13137,-1)</f>
        <v>13130</v>
      </c>
      <c r="E69" s="62">
        <f t="shared" ref="E69:E94" si="2">TRUNC(+D69*3.3058,-1)</f>
        <v>43400</v>
      </c>
    </row>
    <row r="70" spans="1:7" ht="16.5" customHeight="1" x14ac:dyDescent="0.3">
      <c r="A70" s="2">
        <v>2</v>
      </c>
      <c r="C70" s="38" t="s">
        <v>31</v>
      </c>
      <c r="D70" s="42">
        <f>TRUNC(63,-1)</f>
        <v>60</v>
      </c>
      <c r="E70" s="63">
        <f t="shared" si="2"/>
        <v>190</v>
      </c>
    </row>
    <row r="71" spans="1:7" x14ac:dyDescent="0.3">
      <c r="A71" s="2">
        <v>3</v>
      </c>
      <c r="C71" s="38" t="s">
        <v>32</v>
      </c>
      <c r="D71" s="42">
        <f>TRUNC(13543,-1)</f>
        <v>13540</v>
      </c>
      <c r="E71" s="63">
        <f t="shared" si="2"/>
        <v>44760</v>
      </c>
    </row>
    <row r="72" spans="1:7" x14ac:dyDescent="0.3">
      <c r="A72" s="2">
        <v>4</v>
      </c>
      <c r="C72" s="38" t="s">
        <v>33</v>
      </c>
      <c r="D72" s="42">
        <f>TRUNC(689,-1)</f>
        <v>680</v>
      </c>
      <c r="E72" s="63">
        <f t="shared" si="2"/>
        <v>2240</v>
      </c>
    </row>
    <row r="73" spans="1:7" x14ac:dyDescent="0.3">
      <c r="A73" s="2">
        <v>5</v>
      </c>
      <c r="C73" s="38" t="s">
        <v>34</v>
      </c>
      <c r="D73" s="42">
        <f>TRUNC(6647,-1)</f>
        <v>6640</v>
      </c>
      <c r="E73" s="63">
        <f t="shared" si="2"/>
        <v>21950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TRUNC(865,-1)</f>
        <v>860</v>
      </c>
      <c r="E75" s="63">
        <f t="shared" si="2"/>
        <v>2840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TRUNC(6438,-1)</f>
        <v>6430</v>
      </c>
      <c r="E89" s="63">
        <f t="shared" si="2"/>
        <v>21250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TRUNC(66799,-1)</f>
        <v>66790</v>
      </c>
      <c r="E91" s="63">
        <f t="shared" si="2"/>
        <v>220790</v>
      </c>
    </row>
    <row r="92" spans="1:7" x14ac:dyDescent="0.3">
      <c r="A92" s="2">
        <v>24</v>
      </c>
      <c r="C92" s="38" t="s">
        <v>38</v>
      </c>
      <c r="D92" s="42">
        <f>TRUNC(3147,-1)</f>
        <v>3140</v>
      </c>
      <c r="E92" s="63">
        <f t="shared" si="2"/>
        <v>10380</v>
      </c>
    </row>
    <row r="93" spans="1:7" x14ac:dyDescent="0.3">
      <c r="A93" s="2">
        <v>25</v>
      </c>
      <c r="C93" s="38" t="s">
        <v>148</v>
      </c>
      <c r="D93" s="42">
        <f>TRUNC(239975,-1)</f>
        <v>239970</v>
      </c>
      <c r="E93" s="63">
        <f t="shared" si="2"/>
        <v>793290</v>
      </c>
    </row>
    <row r="94" spans="1:7" ht="17.25" thickBot="1" x14ac:dyDescent="0.35">
      <c r="A94" s="2">
        <v>26</v>
      </c>
      <c r="C94" s="38" t="s">
        <v>47</v>
      </c>
      <c r="D94" s="43">
        <f>TRUNC(12353+4693+9852,-1)</f>
        <v>26890</v>
      </c>
      <c r="E94" s="64">
        <f t="shared" si="2"/>
        <v>88890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378130</v>
      </c>
      <c r="E95" s="39">
        <f>SUM(E69:E94)</f>
        <v>1249980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TRUNC(14158,-1)</f>
        <v>14150</v>
      </c>
      <c r="E98" s="62">
        <f t="shared" ref="E98:E118" si="3">TRUNC(+D98*3.3058,-1)</f>
        <v>46770</v>
      </c>
    </row>
    <row r="99" spans="1:7" x14ac:dyDescent="0.3">
      <c r="A99" s="2">
        <v>2</v>
      </c>
      <c r="C99" s="38" t="s">
        <v>40</v>
      </c>
      <c r="D99" s="42">
        <f>TRUNC(10974,-1)</f>
        <v>10970</v>
      </c>
      <c r="E99" s="63">
        <f t="shared" si="3"/>
        <v>36260</v>
      </c>
    </row>
    <row r="100" spans="1:7" x14ac:dyDescent="0.3">
      <c r="A100" s="2">
        <v>3</v>
      </c>
      <c r="C100" s="38" t="s">
        <v>41</v>
      </c>
      <c r="D100" s="42">
        <f>TRUNC(25674,-1)</f>
        <v>25670</v>
      </c>
      <c r="E100" s="63">
        <f t="shared" si="3"/>
        <v>84850</v>
      </c>
    </row>
    <row r="101" spans="1:7" x14ac:dyDescent="0.3">
      <c r="A101" s="2">
        <v>4</v>
      </c>
      <c r="C101" s="38" t="s">
        <v>42</v>
      </c>
      <c r="D101" s="42">
        <f>TRUNC(1361,-1)</f>
        <v>1360</v>
      </c>
      <c r="E101" s="63">
        <f t="shared" si="3"/>
        <v>4490</v>
      </c>
    </row>
    <row r="102" spans="1:7" x14ac:dyDescent="0.3">
      <c r="A102" s="2">
        <v>5</v>
      </c>
      <c r="C102" s="38" t="s">
        <v>43</v>
      </c>
      <c r="D102" s="42">
        <v>9260</v>
      </c>
      <c r="E102" s="63">
        <f t="shared" si="3"/>
        <v>30610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TRUNC(3796,-1)</f>
        <v>3790</v>
      </c>
      <c r="E104" s="63">
        <f t="shared" si="3"/>
        <v>12520</v>
      </c>
    </row>
    <row r="105" spans="1:7" x14ac:dyDescent="0.3">
      <c r="A105" s="2">
        <v>8</v>
      </c>
      <c r="C105" s="38" t="s">
        <v>46</v>
      </c>
      <c r="D105" s="42">
        <f>TRUNC(3337,-1)</f>
        <v>3330</v>
      </c>
      <c r="E105" s="63">
        <f t="shared" si="3"/>
        <v>11000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TRUNC(5447,-1)</f>
        <v>5440</v>
      </c>
      <c r="E114" s="63">
        <f t="shared" si="3"/>
        <v>17980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TRUNC(11608,-1)</f>
        <v>11600</v>
      </c>
      <c r="E116" s="63">
        <f t="shared" si="3"/>
        <v>38340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TRUNC(1619,-1)</f>
        <v>1610</v>
      </c>
      <c r="E118" s="64">
        <f t="shared" si="3"/>
        <v>5320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87180</v>
      </c>
      <c r="E119" s="39">
        <f>SUM(E98:E118)</f>
        <v>288140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TRUNC(4494,-1)</f>
        <v>4490</v>
      </c>
      <c r="E122" s="62">
        <f t="shared" ref="E122:E132" si="4">TRUNC(+D122*3.3058,-1)</f>
        <v>14840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TRUNC(6758,-1)</f>
        <v>6750</v>
      </c>
      <c r="E125" s="63">
        <f t="shared" si="4"/>
        <v>22310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TRUNC(2011,-1)</f>
        <v>2010</v>
      </c>
      <c r="E128" s="63">
        <f t="shared" si="4"/>
        <v>6640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16010</v>
      </c>
      <c r="E130" s="63">
        <f t="shared" si="4"/>
        <v>52920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7.25" thickBot="1" x14ac:dyDescent="0.35">
      <c r="A132" s="2">
        <v>11</v>
      </c>
      <c r="C132" s="38" t="s">
        <v>47</v>
      </c>
      <c r="D132" s="43">
        <f>TRUNC(4988,-1)</f>
        <v>4980</v>
      </c>
      <c r="E132" s="64">
        <f t="shared" si="4"/>
        <v>16460</v>
      </c>
      <c r="F132" s="2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34240</v>
      </c>
      <c r="E133" s="39">
        <f>SUM(E122:E132)</f>
        <v>113170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TRUNC(1794,-1)</f>
        <v>1790</v>
      </c>
      <c r="E137" s="63">
        <f t="shared" si="5"/>
        <v>5910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TRUNC(9194,-1)</f>
        <v>9190</v>
      </c>
      <c r="E138" s="63">
        <f t="shared" si="5"/>
        <v>30380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TRUNC(1637,-1)</f>
        <v>1630</v>
      </c>
      <c r="E140" s="63">
        <f t="shared" si="5"/>
        <v>5380</v>
      </c>
    </row>
    <row r="141" spans="1:7" x14ac:dyDescent="0.3">
      <c r="A141" s="2">
        <v>6</v>
      </c>
      <c r="C141" s="38" t="s">
        <v>59</v>
      </c>
      <c r="D141" s="42">
        <f>TRUNC(22029,-1)</f>
        <v>22020</v>
      </c>
      <c r="E141" s="63">
        <f t="shared" si="5"/>
        <v>72790</v>
      </c>
    </row>
    <row r="142" spans="1:7" x14ac:dyDescent="0.3">
      <c r="A142" s="2">
        <v>7</v>
      </c>
      <c r="C142" s="38" t="s">
        <v>58</v>
      </c>
      <c r="D142" s="42">
        <f>TRUNC(5531,-1)</f>
        <v>5530</v>
      </c>
      <c r="E142" s="63">
        <f t="shared" si="5"/>
        <v>18280</v>
      </c>
    </row>
    <row r="143" spans="1:7" x14ac:dyDescent="0.3">
      <c r="A143" s="2">
        <v>8</v>
      </c>
      <c r="C143" s="38" t="s">
        <v>62</v>
      </c>
      <c r="D143" s="42">
        <f>TRUNC(2328,-1)</f>
        <v>2320</v>
      </c>
      <c r="E143" s="63">
        <f t="shared" si="5"/>
        <v>7660</v>
      </c>
    </row>
    <row r="144" spans="1:7" x14ac:dyDescent="0.3">
      <c r="A144" s="2">
        <v>9</v>
      </c>
      <c r="C144" s="38" t="s">
        <v>63</v>
      </c>
      <c r="D144" s="42">
        <f>TRUNC(12805,-1)</f>
        <v>12800</v>
      </c>
      <c r="E144" s="63">
        <f t="shared" si="5"/>
        <v>42310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55280</v>
      </c>
      <c r="E146" s="39">
        <f>SUM(E136:E145)</f>
        <v>182710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TRUNC(15237+1164,-1)</f>
        <v>16400</v>
      </c>
      <c r="E149" s="62">
        <f>TRUNC(+D149*3.3058,-1)</f>
        <v>54210</v>
      </c>
      <c r="F149" s="2" t="s">
        <v>232</v>
      </c>
    </row>
    <row r="150" spans="1:7" x14ac:dyDescent="0.3">
      <c r="A150" s="2">
        <v>2</v>
      </c>
      <c r="C150" s="38" t="s">
        <v>49</v>
      </c>
      <c r="D150" s="42">
        <f>TRUNC(10443,-1)</f>
        <v>10440</v>
      </c>
      <c r="E150" s="63">
        <f>TRUNC(+D150*3.3058,-1)</f>
        <v>34510</v>
      </c>
      <c r="F150" s="2" t="s">
        <v>232</v>
      </c>
    </row>
    <row r="151" spans="1:7" x14ac:dyDescent="0.3">
      <c r="A151" s="2">
        <v>3</v>
      </c>
      <c r="C151" s="38" t="s">
        <v>50</v>
      </c>
      <c r="D151" s="42">
        <f>TRUNC(10544,-1)</f>
        <v>10540</v>
      </c>
      <c r="E151" s="63">
        <f>TRUNC(+D151*3.3058,-1)</f>
        <v>34840</v>
      </c>
      <c r="F151" s="2" t="s">
        <v>232</v>
      </c>
    </row>
    <row r="152" spans="1:7" x14ac:dyDescent="0.3">
      <c r="A152" s="2">
        <v>4</v>
      </c>
      <c r="C152" s="38" t="s">
        <v>47</v>
      </c>
      <c r="D152" s="42">
        <f>TRUNC(582+119+2654,-1)</f>
        <v>3350</v>
      </c>
      <c r="E152" s="63">
        <f>TRUNC(+D152*3.3058,-1)</f>
        <v>11070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TRUNC(88292,-1)</f>
        <v>88290</v>
      </c>
      <c r="E153" s="64">
        <f>TRUNC(+D153*3.3058,-1)</f>
        <v>291860</v>
      </c>
      <c r="F153" s="2" t="s">
        <v>232</v>
      </c>
    </row>
    <row r="154" spans="1:7" x14ac:dyDescent="0.3">
      <c r="A154" s="2">
        <v>6</v>
      </c>
      <c r="C154" s="27" t="s">
        <v>112</v>
      </c>
      <c r="D154" s="39">
        <f>SUM(D149:D153)</f>
        <v>129020</v>
      </c>
      <c r="E154" s="39">
        <f>SUM(E149:E153)</f>
        <v>426490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TRUNC(30688,-1)</f>
        <v>30680</v>
      </c>
      <c r="E157" s="62">
        <f>TRUNC(+D157*3.3058,-1)</f>
        <v>101420</v>
      </c>
    </row>
    <row r="158" spans="1:7" x14ac:dyDescent="0.3">
      <c r="A158" s="2">
        <v>2</v>
      </c>
      <c r="C158" s="38" t="s">
        <v>52</v>
      </c>
      <c r="D158" s="42">
        <f>TRUNC(19339,-1)</f>
        <v>19330</v>
      </c>
      <c r="E158" s="63">
        <f>TRUNC(+D158*3.3058,-1)</f>
        <v>63900</v>
      </c>
    </row>
    <row r="159" spans="1:7" x14ac:dyDescent="0.3">
      <c r="A159" s="2">
        <v>3</v>
      </c>
      <c r="C159" s="38" t="s">
        <v>47</v>
      </c>
      <c r="D159" s="42">
        <f>TRUNC(9690+6545,-1)</f>
        <v>16230</v>
      </c>
      <c r="E159" s="63">
        <f>TRUNC(+D159*3.3058,-1)</f>
        <v>53650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66240</v>
      </c>
      <c r="E161" s="39">
        <f>SUM(E157:E160)</f>
        <v>218970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2020-12-07T10:14:17Z</dcterms:modified>
</cp:coreProperties>
</file>