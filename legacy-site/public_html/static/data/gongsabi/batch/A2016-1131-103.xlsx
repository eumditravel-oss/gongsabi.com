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37" i="4"/>
  <c r="D132" i="4"/>
  <c r="D130" i="4"/>
  <c r="D128" i="4"/>
  <c r="D127" i="4"/>
  <c r="D125" i="4"/>
  <c r="D122" i="4"/>
  <c r="D117" i="4"/>
  <c r="D114" i="4"/>
  <c r="D105" i="4"/>
  <c r="D104" i="4"/>
  <c r="D103" i="4"/>
  <c r="D102" i="4"/>
  <c r="D101" i="4"/>
  <c r="D99" i="4"/>
  <c r="D98" i="4"/>
  <c r="D94" i="4"/>
  <c r="D92" i="4"/>
  <c r="D89" i="4"/>
  <c r="D73" i="4"/>
  <c r="D72" i="4"/>
  <c r="D71" i="4"/>
  <c r="D70" i="4"/>
  <c r="D69" i="4"/>
  <c r="D65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1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<sst xmlns="http://schemas.openxmlformats.org/spreadsheetml/2006/main" count="394" uniqueCount="268">
  <si>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</si>
  <si>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</si>
  <si>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</si>
  <si>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</si>
  <si>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</si>
  <si>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</si>
  <si>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</si>
  <si>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</si>
  <si>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</si>
  <si>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</si>
  <si>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</si>
  <si>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</si>
  <si>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</si>
  <si>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</si>
  <si>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</si>
  <si>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</si>
  <si>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</si>
  <si>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</si>
  <si>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</si>
  <si>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</si>
  <si>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</si>
  <si>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</si>
  <si>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</si>
  <si>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</si>
  <si>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</si>
  <si>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</si>
  <si>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</si>
  <si>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</si>
  <si>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</si>
  <si>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</si>
  <si>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</si>
  <si>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</si>
  <si>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</si>
  <si>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</si>
  <si>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</si>
  <si>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</si>
  <si>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</si>
  <si>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</si>
  <si>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</si>
  <si>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</si>
  <si>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</si>
  <si>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</si>
  <si>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</si>
  <si>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</si>
  <si>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</si>
  <si>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</si>
  <si>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</si>
  <si>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</si>
  <si>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</si>
  <si>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</si>
  <si>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</si>
  <si>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</si>
  <si>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</si>
  <si>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</si>
  <si>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</si>
  <si>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</si>
  <si>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</si>
  <si>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</si>
  <si>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</si>
  <si>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</si>
  <si>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</si>
  <si>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</si>
  <si>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</si>
  <si>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</si>
  <si>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</si>
  <si>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</si>
  <si>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</si>
  <si>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</si>
  <si>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</si>
  <si>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</si>
  <si>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</si>
  <si>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</si>
  <si>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</si>
  <si>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</si>
  <si>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</si>
  <si>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</si>
  <si>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</si>
  <si>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</si>
  <si>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</si>
  <si>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</si>
  <si>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</si>
  <si>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</si>
  <si>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</si>
  <si>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</si>
  <si>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</si>
  <si>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</si>
  <si>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</si>
  <si>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</si>
  <si>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</si>
  <si>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</si>
  <si>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</si>
  <si>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</si>
  <si>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</si>
  <si>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</si>
  <si>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</si>
  <si>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</si>
  <si>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</si>
  <si>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</si>
  <si>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</si>
  <si>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</si>
  <si>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</si>
  <si>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</si>
  <si>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</si>
  <si>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</si>
  <si>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</si>
  <si>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</si>
  <si>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</si>
  <si>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</si>
  <si>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</si>
  <si>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</si>
  <si>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</si>
  <si>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</si>
  <si>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</si>
  <si>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</si>
  <si>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</si>
  <si>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</si>
  <si>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</si>
  <si>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</si>
  <si>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</si>
  <si>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</si>
  <si>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</si>
  <si>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</si>
  <si>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</si>
  <si>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</si>
  <si>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</si>
  <si>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</si>
  <si>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</si>
  <si>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</si>
  <si>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</si>
  <si>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</si>
  <si>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</si>
  <si>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</si>
  <si>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</si>
  <si>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</si>
  <si>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</si>
  <si>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</si>
  <si>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</si>
  <si>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</si>
  <si>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</si>
  <si>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</si>
  <si>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</si>
  <si>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</si>
  <si>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</si>
  <si>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</si>
  <si>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</si>
  <si>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</si>
  <si>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</si>
  <si>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</si>
  <si>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</si>
  <si>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</si>
  <si>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</si>
  <si>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</si>
  <si>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</si>
  <si>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</si>
  <si>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</si>
  <si>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</si>
  <si>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</si>
  <si>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</si>
  <si>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</si>
  <si>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</si>
  <si>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</si>
  <si>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</si>
  <si>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</si>
  <si>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</si>
  <si>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</si>
  <si>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</si>
  <si>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</si>
  <si>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</si>
  <si>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</si>
  <si>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</si>
  <si>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</si>
  <si>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</si>
  <si>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</si>
  <si>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</si>
  <si>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</si>
  <si>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</si>
  <si>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</si>
  <si>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</si>
  <si>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</si>
  <si>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</si>
  <si>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</si>
  <si>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</si>
  <si>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</si>
  <si>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</si>
  <si>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</si>
  <si>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</si>
  <si>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</si>
  <si>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</si>
  <si>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</si>
  <si>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</si>
  <si>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</si>
  <si>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</si>
  <si>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</si>
  <si>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</si>
  <si>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</si>
  <si>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</si>
  <si>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</si>
  <si>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</si>
  <si>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</si>
  <si>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</si>
  <si>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</si>
  <si>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</si>
  <si>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</si>
  <si>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</si>
  <si>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</si>
  <si>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</si>
  <si>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</si>
  <si>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</si>
  <si>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</si>
  <si>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</si>
  <si>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</si>
  <si>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</si>
  <si>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</si>
  <si>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</si>
  <si>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</si>
  <si>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</si>
  <si>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</si>
  <si>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</si>
  <si>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</si>
  <si>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</si>
  <si>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</si>
  <si>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</si>
  <si>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</si>
  <si>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</si>
  <si>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</si>
  <si>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</si>
  <si>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</si>
  <si>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</si>
  <si>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</si>
  <si>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</si>
  <si>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</si>
  <si>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</si>
  <si>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</si>
  <si>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</si>
  <si>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</si>
  <si>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</si>
  <si>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</si>
  <si>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</si>
  <si>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</si>
  <si>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</si>
  <si>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</si>
  <si>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</si>
  <si>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</si>
  <si>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</si>
  <si>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</si>
  <si>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</si>
  <si>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</si>
  <si>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</si>
  <si>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</si>
  <si>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</si>
  <si>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</si>
  <si>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</si>
  <si>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</si>
  <si>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</si>
  <si>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</si>
  <si>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</si>
  <si>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</si>
  <si>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교육연구</t>
  </si>
  <si>
    <t>서울교대 부설초등학교 교사 증·개축 공사</t>
    <phoneticPr fontId="2" type="noConversion"/>
  </si>
  <si>
    <t>서울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</si>
  <si>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/</t>
    <phoneticPr fontId="2" type="noConversion"/>
  </si>
  <si>
    <t>기초공사, 해체및철거공사, 골재비및운반비, 작업부산물, 기타공사</t>
    <phoneticPr fontId="2" type="noConversion"/>
  </si>
  <si>
    <t>우수처리시설공사, 기타공사</t>
    <phoneticPr fontId="2" type="noConversion"/>
  </si>
  <si>
    <t>원격검침 설비공사, 기타공사</t>
    <phoneticPr fontId="2" type="noConversion"/>
  </si>
  <si>
    <t>CCTV설비공사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</si>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</sst>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8551.85</v>
      </c>
      <c r="D7" s="36">
        <f>+C7/3.3058</f>
        <v>2586.9229838465726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843010</v>
      </c>
      <c r="E25" s="59">
        <f t="shared" si="0"/>
        <v>2786820</v>
      </c>
    </row>
    <row r="26" spans="1:5" x14ac:dyDescent="0.3">
      <c r="B26" s="2">
        <v>3</v>
      </c>
      <c r="C26" s="35" t="s">
        <v>95</v>
      </c>
      <c r="D26" s="45">
        <f>+D66</f>
        <v>36890</v>
      </c>
      <c r="E26" s="59">
        <f t="shared" si="0"/>
        <v>121950</v>
      </c>
    </row>
    <row r="27" spans="1:5" x14ac:dyDescent="0.3">
      <c r="B27" s="2">
        <v>4</v>
      </c>
      <c r="C27" s="35" t="s">
        <v>96</v>
      </c>
      <c r="D27" s="45">
        <f>+D95</f>
        <v>58020</v>
      </c>
      <c r="E27" s="59">
        <f t="shared" si="0"/>
        <v>191800</v>
      </c>
    </row>
    <row r="28" spans="1:5" x14ac:dyDescent="0.3">
      <c r="B28" s="2">
        <v>5</v>
      </c>
      <c r="C28" s="35" t="s">
        <v>97</v>
      </c>
      <c r="D28" s="45">
        <f>+D119</f>
        <v>158600</v>
      </c>
      <c r="E28" s="59">
        <f t="shared" si="0"/>
        <v>524290</v>
      </c>
    </row>
    <row r="29" spans="1:5" x14ac:dyDescent="0.3">
      <c r="B29" s="2">
        <v>6</v>
      </c>
      <c r="C29" s="35" t="s">
        <v>98</v>
      </c>
      <c r="D29" s="45">
        <f>+D133</f>
        <v>81720</v>
      </c>
      <c r="E29" s="59">
        <f t="shared" si="0"/>
        <v>270140</v>
      </c>
    </row>
    <row r="30" spans="1:5" x14ac:dyDescent="0.3">
      <c r="B30" s="2">
        <v>7</v>
      </c>
      <c r="C30" s="35" t="s">
        <v>99</v>
      </c>
      <c r="D30" s="45">
        <f>+D146</f>
        <v>24960</v>
      </c>
      <c r="E30" s="59">
        <f t="shared" si="0"/>
        <v>82510</v>
      </c>
    </row>
    <row r="31" spans="1:5" x14ac:dyDescent="0.3">
      <c r="B31" s="2">
        <v>8</v>
      </c>
      <c r="C31" s="35" t="s">
        <v>100</v>
      </c>
      <c r="D31" s="45">
        <f>+D154</f>
        <v>28860</v>
      </c>
      <c r="E31" s="59">
        <f t="shared" si="0"/>
        <v>95400</v>
      </c>
    </row>
    <row r="32" spans="1:5" x14ac:dyDescent="0.3">
      <c r="B32" s="2">
        <v>9</v>
      </c>
      <c r="C32" s="35" t="s">
        <v>101</v>
      </c>
      <c r="D32" s="45">
        <f>+D161</f>
        <v>21790</v>
      </c>
      <c r="E32" s="59">
        <f t="shared" si="0"/>
        <v>72030</v>
      </c>
    </row>
    <row r="33" spans="1:7" x14ac:dyDescent="0.3">
      <c r="B33" s="2">
        <v>10</v>
      </c>
      <c r="C33" s="35" t="s">
        <v>155</v>
      </c>
      <c r="D33" s="53">
        <f>TRUNC(SUM(D24:D32)*0.275,-1)</f>
        <v>344800</v>
      </c>
      <c r="E33" s="60">
        <f t="shared" si="0"/>
        <v>1139830</v>
      </c>
    </row>
    <row r="34" spans="1:7" x14ac:dyDescent="0.3">
      <c r="C34" s="35" t="s">
        <v>112</v>
      </c>
      <c r="D34" s="44">
        <f>SUM(D24:D33)</f>
        <v>1598650</v>
      </c>
      <c r="E34" s="44">
        <f>SUM(E24:E33)</f>
        <v>5284770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TRUNC(40444,-1)</f>
        <v>40440</v>
      </c>
      <c r="E40" s="62">
        <f t="shared" ref="E40:E59" si="1">TRUNC(+D40*3.3058,-1)</f>
        <v>133680</v>
      </c>
    </row>
    <row r="41" spans="1:7" x14ac:dyDescent="0.3">
      <c r="A41" s="2">
        <v>2</v>
      </c>
      <c r="C41" s="38" t="s">
        <v>13</v>
      </c>
      <c r="D41" s="42">
        <f>TRUNC(123142,-1)</f>
        <v>123140</v>
      </c>
      <c r="E41" s="63">
        <f t="shared" si="1"/>
        <v>407070</v>
      </c>
    </row>
    <row r="42" spans="1:7" x14ac:dyDescent="0.3">
      <c r="A42" s="2">
        <v>3</v>
      </c>
      <c r="C42" s="38" t="s">
        <v>14</v>
      </c>
      <c r="D42" s="42">
        <v>10700</v>
      </c>
      <c r="E42" s="63">
        <f t="shared" si="1"/>
        <v>35370</v>
      </c>
    </row>
    <row r="43" spans="1:7" x14ac:dyDescent="0.3">
      <c r="A43" s="2">
        <v>4</v>
      </c>
      <c r="C43" s="38" t="s">
        <v>16</v>
      </c>
      <c r="D43" s="42">
        <f>TRUNC(22197,-1)</f>
        <v>22190</v>
      </c>
      <c r="E43" s="63">
        <f t="shared" si="1"/>
        <v>73350</v>
      </c>
    </row>
    <row r="44" spans="1:7" x14ac:dyDescent="0.3">
      <c r="A44" s="2">
        <v>5</v>
      </c>
      <c r="C44" s="38" t="s">
        <v>17</v>
      </c>
      <c r="D44" s="42">
        <f>TRUNC(26853,-1)</f>
        <v>26850</v>
      </c>
      <c r="E44" s="63">
        <f t="shared" si="1"/>
        <v>88760</v>
      </c>
      <c r="F44" s="2" t="s">
        <v>260</v>
      </c>
    </row>
    <row r="45" spans="1:7" x14ac:dyDescent="0.3">
      <c r="A45" s="2">
        <v>6</v>
      </c>
      <c r="C45" s="38" t="s">
        <v>18</v>
      </c>
      <c r="D45" s="42">
        <f>TRUNC(3772,-1)</f>
        <v>3770</v>
      </c>
      <c r="E45" s="63">
        <f t="shared" si="1"/>
        <v>12460</v>
      </c>
    </row>
    <row r="46" spans="1:7" x14ac:dyDescent="0.3">
      <c r="A46" s="2">
        <v>7</v>
      </c>
      <c r="C46" s="38" t="s">
        <v>19</v>
      </c>
      <c r="D46" s="42">
        <f>TRUNC(20006,-1)</f>
        <v>20000</v>
      </c>
      <c r="E46" s="63">
        <f t="shared" si="1"/>
        <v>66110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TRUNC(36254,-1)</f>
        <v>36250</v>
      </c>
      <c r="E48" s="63">
        <f t="shared" si="1"/>
        <v>119830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TRUNC(4839,-1)</f>
        <v>4830</v>
      </c>
      <c r="E49" s="63">
        <f t="shared" si="1"/>
        <v>15960</v>
      </c>
    </row>
    <row r="50" spans="1:7" x14ac:dyDescent="0.3">
      <c r="A50" s="2">
        <v>11</v>
      </c>
      <c r="C50" s="38" t="s">
        <v>156</v>
      </c>
      <c r="D50" s="42">
        <f>TRUNC(55645,-1)</f>
        <v>55640</v>
      </c>
      <c r="E50" s="63">
        <f t="shared" si="1"/>
        <v>183930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TRUNC(11641,-1)</f>
        <v>11640</v>
      </c>
      <c r="E52" s="63">
        <f t="shared" si="1"/>
        <v>38470</v>
      </c>
    </row>
    <row r="53" spans="1:7" x14ac:dyDescent="0.3">
      <c r="A53" s="2">
        <v>14</v>
      </c>
      <c r="C53" s="38" t="s">
        <v>25</v>
      </c>
      <c r="D53" s="42">
        <f>TRUNC(128291,-1)</f>
        <v>128290</v>
      </c>
      <c r="E53" s="63">
        <f t="shared" si="1"/>
        <v>424100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TRUNC(22909+30592+3253-4856+5404,-1)</f>
        <v>57300</v>
      </c>
      <c r="E58" s="63">
        <f t="shared" si="1"/>
        <v>189420</v>
      </c>
      <c r="F58" s="2" t="s">
        <v>261</v>
      </c>
    </row>
    <row r="59" spans="1:7" ht="17.25" thickBot="1" x14ac:dyDescent="0.35">
      <c r="A59" s="2">
        <v>20</v>
      </c>
      <c r="C59" s="38" t="s">
        <v>149</v>
      </c>
      <c r="D59" s="43">
        <f>TRUNC(301978,-1)</f>
        <v>301970</v>
      </c>
      <c r="E59" s="64">
        <f t="shared" si="1"/>
        <v>998250</v>
      </c>
    </row>
    <row r="60" spans="1:7" x14ac:dyDescent="0.3">
      <c r="A60" s="2">
        <v>21</v>
      </c>
      <c r="C60" s="27" t="s">
        <v>112</v>
      </c>
      <c r="D60" s="39">
        <f>SUM(D40:D59)</f>
        <v>843010</v>
      </c>
      <c r="E60" s="39">
        <f>SUM(E40:E59)</f>
        <v>2786760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18220</v>
      </c>
      <c r="E63" s="62">
        <f>TRUNC(+D63*3.3058,-1)</f>
        <v>60230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TRUNC(18679,-1)</f>
        <v>18670</v>
      </c>
      <c r="E65" s="64">
        <f>TRUNC(+D65*3.3058,-1)</f>
        <v>61710</v>
      </c>
    </row>
    <row r="66" spans="1:7" x14ac:dyDescent="0.3">
      <c r="A66" s="2">
        <v>4</v>
      </c>
      <c r="C66" s="27" t="s">
        <v>112</v>
      </c>
      <c r="D66" s="39">
        <f>SUM(D63:D65)</f>
        <v>36890</v>
      </c>
      <c r="E66" s="65">
        <f>SUM(E63:E65)</f>
        <v>121940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TRUNC(5364,-1)</f>
        <v>5360</v>
      </c>
      <c r="E69" s="62">
        <f t="shared" ref="E69:E94" si="2">TRUNC(+D69*3.3058,-1)</f>
        <v>17710</v>
      </c>
    </row>
    <row r="70" spans="1:7" ht="16.5" customHeight="1" x14ac:dyDescent="0.3">
      <c r="A70" s="2">
        <v>2</v>
      </c>
      <c r="C70" s="38" t="s">
        <v>31</v>
      </c>
      <c r="D70" s="42">
        <f>TRUNC(59,-1)</f>
        <v>50</v>
      </c>
      <c r="E70" s="63">
        <f t="shared" si="2"/>
        <v>160</v>
      </c>
    </row>
    <row r="71" spans="1:7" x14ac:dyDescent="0.3">
      <c r="A71" s="2">
        <v>3</v>
      </c>
      <c r="C71" s="38" t="s">
        <v>32</v>
      </c>
      <c r="D71" s="42">
        <f>TRUNC(5376,-1)</f>
        <v>5370</v>
      </c>
      <c r="E71" s="63">
        <f t="shared" si="2"/>
        <v>17750</v>
      </c>
    </row>
    <row r="72" spans="1:7" x14ac:dyDescent="0.3">
      <c r="A72" s="2">
        <v>4</v>
      </c>
      <c r="C72" s="38" t="s">
        <v>33</v>
      </c>
      <c r="D72" s="42">
        <f>TRUNC(4181,-1)</f>
        <v>4180</v>
      </c>
      <c r="E72" s="63">
        <f t="shared" si="2"/>
        <v>13810</v>
      </c>
    </row>
    <row r="73" spans="1:7" x14ac:dyDescent="0.3">
      <c r="A73" s="2">
        <v>5</v>
      </c>
      <c r="C73" s="38" t="s">
        <v>34</v>
      </c>
      <c r="D73" s="42">
        <f>TRUNC(18113,-1)</f>
        <v>18110</v>
      </c>
      <c r="E73" s="63">
        <f t="shared" si="2"/>
        <v>59860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TRUNC(7997,-1)</f>
        <v>7990</v>
      </c>
      <c r="E89" s="63">
        <f t="shared" si="2"/>
        <v>26410</v>
      </c>
    </row>
    <row r="90" spans="1:7" x14ac:dyDescent="0.3">
      <c r="A90" s="2">
        <v>22</v>
      </c>
      <c r="C90" s="38" t="s">
        <v>36</v>
      </c>
      <c r="D90" s="42">
        <v>730</v>
      </c>
      <c r="E90" s="63">
        <f t="shared" si="2"/>
        <v>2410</v>
      </c>
    </row>
    <row r="91" spans="1:7" x14ac:dyDescent="0.3">
      <c r="A91" s="2">
        <v>23</v>
      </c>
      <c r="C91" s="38" t="s">
        <v>37</v>
      </c>
      <c r="D91" s="42">
        <v>6160</v>
      </c>
      <c r="E91" s="63">
        <f t="shared" si="2"/>
        <v>20360</v>
      </c>
    </row>
    <row r="92" spans="1:7" x14ac:dyDescent="0.3">
      <c r="A92" s="2">
        <v>24</v>
      </c>
      <c r="C92" s="38" t="s">
        <v>38</v>
      </c>
      <c r="D92" s="42">
        <f>TRUNC(6288,-1)</f>
        <v>6280</v>
      </c>
      <c r="E92" s="63">
        <f t="shared" si="2"/>
        <v>20760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TRUNC(582+3211,-1)</f>
        <v>3790</v>
      </c>
      <c r="E94" s="64">
        <f t="shared" si="2"/>
        <v>12520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58020</v>
      </c>
      <c r="E95" s="39">
        <f>SUM(E69:E94)</f>
        <v>191750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TRUNC(6673,-1)</f>
        <v>6670</v>
      </c>
      <c r="E98" s="62">
        <f t="shared" ref="E98:E118" si="3">TRUNC(+D98*3.3058,-1)</f>
        <v>22040</v>
      </c>
    </row>
    <row r="99" spans="1:7" x14ac:dyDescent="0.3">
      <c r="A99" s="2">
        <v>2</v>
      </c>
      <c r="C99" s="38" t="s">
        <v>40</v>
      </c>
      <c r="D99" s="42">
        <f>TRUNC(9268,-1)</f>
        <v>9260</v>
      </c>
      <c r="E99" s="63">
        <f t="shared" si="3"/>
        <v>30610</v>
      </c>
    </row>
    <row r="100" spans="1:7" x14ac:dyDescent="0.3">
      <c r="A100" s="2">
        <v>3</v>
      </c>
      <c r="C100" s="38" t="s">
        <v>41</v>
      </c>
      <c r="D100" s="42">
        <v>26820</v>
      </c>
      <c r="E100" s="63">
        <f t="shared" si="3"/>
        <v>88660</v>
      </c>
    </row>
    <row r="101" spans="1:7" x14ac:dyDescent="0.3">
      <c r="A101" s="2">
        <v>4</v>
      </c>
      <c r="C101" s="38" t="s">
        <v>42</v>
      </c>
      <c r="D101" s="42">
        <f>TRUNC(543,-1)</f>
        <v>540</v>
      </c>
      <c r="E101" s="63">
        <f t="shared" si="3"/>
        <v>1780</v>
      </c>
    </row>
    <row r="102" spans="1:7" x14ac:dyDescent="0.3">
      <c r="A102" s="2">
        <v>5</v>
      </c>
      <c r="C102" s="38" t="s">
        <v>43</v>
      </c>
      <c r="D102" s="42">
        <f>TRUNC(12778,-1)</f>
        <v>12770</v>
      </c>
      <c r="E102" s="63">
        <f t="shared" si="3"/>
        <v>42210</v>
      </c>
    </row>
    <row r="103" spans="1:7" x14ac:dyDescent="0.3">
      <c r="A103" s="2">
        <v>6</v>
      </c>
      <c r="C103" s="38" t="s">
        <v>44</v>
      </c>
      <c r="D103" s="42">
        <f>TRUNC(3901,-1)</f>
        <v>3900</v>
      </c>
      <c r="E103" s="63">
        <f t="shared" si="3"/>
        <v>12890</v>
      </c>
    </row>
    <row r="104" spans="1:7" x14ac:dyDescent="0.3">
      <c r="A104" s="2">
        <v>7</v>
      </c>
      <c r="C104" s="38" t="s">
        <v>45</v>
      </c>
      <c r="D104" s="42">
        <f>TRUNC(2445,-1)</f>
        <v>2440</v>
      </c>
      <c r="E104" s="63">
        <f t="shared" si="3"/>
        <v>8060</v>
      </c>
    </row>
    <row r="105" spans="1:7" x14ac:dyDescent="0.3">
      <c r="A105" s="2">
        <v>8</v>
      </c>
      <c r="C105" s="38" t="s">
        <v>46</v>
      </c>
      <c r="D105" s="42">
        <f>TRUNC(4571,-1)</f>
        <v>4570</v>
      </c>
      <c r="E105" s="63">
        <f t="shared" si="3"/>
        <v>15100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TRUNC(2972,-1)</f>
        <v>2970</v>
      </c>
      <c r="E114" s="63">
        <f t="shared" si="3"/>
        <v>9810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2990</v>
      </c>
      <c r="E116" s="63">
        <f t="shared" si="3"/>
        <v>9880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TRUNC(81596,-1)</f>
        <v>81590</v>
      </c>
      <c r="E117" s="63">
        <f t="shared" si="3"/>
        <v>269720</v>
      </c>
    </row>
    <row r="118" spans="1:7" ht="17.25" thickBot="1" x14ac:dyDescent="0.35">
      <c r="A118" s="2">
        <v>21</v>
      </c>
      <c r="C118" s="38" t="s">
        <v>47</v>
      </c>
      <c r="D118" s="43">
        <f>2457+1623</f>
        <v>4080</v>
      </c>
      <c r="E118" s="64">
        <f t="shared" si="3"/>
        <v>13480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158600</v>
      </c>
      <c r="E119" s="39">
        <f>SUM(E98:E118)</f>
        <v>524240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TRUNC(3973,-1)</f>
        <v>3970</v>
      </c>
      <c r="E122" s="62">
        <f t="shared" ref="E122:E132" si="4">TRUNC(+D122*3.3058,-1)</f>
        <v>13120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3620</v>
      </c>
      <c r="E124" s="63">
        <f t="shared" si="4"/>
        <v>11960</v>
      </c>
    </row>
    <row r="125" spans="1:7" x14ac:dyDescent="0.3">
      <c r="A125" s="2">
        <v>4</v>
      </c>
      <c r="C125" s="38" t="s">
        <v>138</v>
      </c>
      <c r="D125" s="42">
        <f>TRUNC(4085,-1)</f>
        <v>4080</v>
      </c>
      <c r="E125" s="63">
        <f t="shared" si="4"/>
        <v>13480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TRUNC(287,-1)</f>
        <v>280</v>
      </c>
      <c r="E127" s="63">
        <f t="shared" si="4"/>
        <v>920</v>
      </c>
    </row>
    <row r="128" spans="1:7" x14ac:dyDescent="0.3">
      <c r="A128" s="2">
        <v>7</v>
      </c>
      <c r="C128" s="38" t="s">
        <v>46</v>
      </c>
      <c r="D128" s="42">
        <f>TRUNC(4952,-1)</f>
        <v>4950</v>
      </c>
      <c r="E128" s="63">
        <f t="shared" si="4"/>
        <v>16360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TRUNC(19606,-1)</f>
        <v>19600</v>
      </c>
      <c r="E130" s="63">
        <f t="shared" si="4"/>
        <v>64790</v>
      </c>
    </row>
    <row r="131" spans="1:7" x14ac:dyDescent="0.3">
      <c r="A131" s="2">
        <v>10</v>
      </c>
      <c r="C131" s="38" t="s">
        <v>149</v>
      </c>
      <c r="D131" s="42">
        <v>42930</v>
      </c>
      <c r="E131" s="63">
        <f t="shared" si="4"/>
        <v>141910</v>
      </c>
    </row>
    <row r="132" spans="1:7" ht="18" thickBot="1" x14ac:dyDescent="0.35">
      <c r="A132" s="2">
        <v>11</v>
      </c>
      <c r="C132" s="38" t="s">
        <v>47</v>
      </c>
      <c r="D132" s="43">
        <f>TRUNC(2293,-1)</f>
        <v>2290</v>
      </c>
      <c r="E132" s="64">
        <f t="shared" si="4"/>
        <v>7570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81720</v>
      </c>
      <c r="E133" s="39">
        <f>SUM(E122:E132)</f>
        <v>270110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TRUNC(7422,-1)</f>
        <v>7420</v>
      </c>
      <c r="E137" s="63">
        <f t="shared" si="5"/>
        <v>24520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2990</v>
      </c>
      <c r="E143" s="63">
        <f t="shared" si="5"/>
        <v>9880</v>
      </c>
    </row>
    <row r="144" spans="1:7" x14ac:dyDescent="0.3">
      <c r="A144" s="2">
        <v>9</v>
      </c>
      <c r="C144" s="38" t="s">
        <v>63</v>
      </c>
      <c r="D144" s="42">
        <f>TRUNC(14557,-1)</f>
        <v>14550</v>
      </c>
      <c r="E144" s="63">
        <f t="shared" si="5"/>
        <v>48090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24960</v>
      </c>
      <c r="E146" s="39">
        <f>SUM(E136:E145)</f>
        <v>82490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TRUNC(9327+966,-1)</f>
        <v>10290</v>
      </c>
      <c r="E149" s="62">
        <f>TRUNC(+D149*3.3058,-1)</f>
        <v>34010</v>
      </c>
    </row>
    <row r="150" spans="1:7" x14ac:dyDescent="0.3">
      <c r="A150" s="2">
        <v>2</v>
      </c>
      <c r="C150" s="38" t="s">
        <v>49</v>
      </c>
      <c r="D150" s="42">
        <f>TRUNC(2141,-1)</f>
        <v>2140</v>
      </c>
      <c r="E150" s="63">
        <f>TRUNC(+D150*3.3058,-1)</f>
        <v>7070</v>
      </c>
    </row>
    <row r="151" spans="1:7" x14ac:dyDescent="0.3">
      <c r="A151" s="2">
        <v>3</v>
      </c>
      <c r="C151" s="38" t="s">
        <v>50</v>
      </c>
      <c r="D151" s="42">
        <f>TRUNC(2149,-1)</f>
        <v>2140</v>
      </c>
      <c r="E151" s="63">
        <f>TRUNC(+D151*3.3058,-1)</f>
        <v>7070</v>
      </c>
    </row>
    <row r="152" spans="1:7" x14ac:dyDescent="0.3">
      <c r="A152" s="2">
        <v>4</v>
      </c>
      <c r="C152" s="38" t="s">
        <v>47</v>
      </c>
      <c r="D152" s="42">
        <f>TRUNC(3927+2966+7404,-1)</f>
        <v>14290</v>
      </c>
      <c r="E152" s="63">
        <f>TRUNC(+D152*3.3058,-1)</f>
        <v>47230</v>
      </c>
      <c r="F152" s="2" t="s">
        <v>255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28860</v>
      </c>
      <c r="E154" s="39">
        <f>SUM(E149:E153)</f>
        <v>95380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TRUNC(8621,-1)</f>
        <v>8620</v>
      </c>
      <c r="E157" s="62">
        <f>TRUNC(+D157*3.3058,-1)</f>
        <v>28490</v>
      </c>
    </row>
    <row r="158" spans="1:7" x14ac:dyDescent="0.3">
      <c r="A158" s="2">
        <v>2</v>
      </c>
      <c r="C158" s="38" t="s">
        <v>52</v>
      </c>
      <c r="D158" s="42">
        <f>TRUNC(3595,-1)</f>
        <v>3590</v>
      </c>
      <c r="E158" s="63">
        <f>TRUNC(+D158*3.3058,-1)</f>
        <v>11860</v>
      </c>
    </row>
    <row r="159" spans="1:7" x14ac:dyDescent="0.3">
      <c r="A159" s="2">
        <v>3</v>
      </c>
      <c r="C159" s="38" t="s">
        <v>47</v>
      </c>
      <c r="D159" s="42">
        <f>TRUNC(4883+4701,-1)</f>
        <v>9580</v>
      </c>
      <c r="E159" s="63">
        <f>TRUNC(+D159*3.3058,-1)</f>
        <v>31660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21790</v>
      </c>
      <c r="E161" s="39">
        <f>SUM(E157:E160)</f>
        <v>72010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2020-12-08T01:13:11Z</dcterms:modified>
</cp:coreProperties>
</file>